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şla" sheetId="1" state="visible" r:id="rId3"/>
    <sheet name="İçerikler" sheetId="2" state="visible" r:id="rId4"/>
    <sheet name="Özet" sheetId="3" state="visible" r:id="rId5"/>
    <sheet name="Listeler" sheetId="4" state="visible" r:id="rId6"/>
    <sheet name="AI Komutları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<sst xmlns="http://schemas.openxmlformats.org/spreadsheetml/2006/main" count="128" uniqueCount="102">
  <si>
    <t xml:space="preserve">EXCEL KLİNİĞİ</t>
  </si>
  <si>
    <t xml:space="preserve">İÇERİK  |  Sosyal medya içerik performansı</t>
  </si>
  <si>
    <t xml:space="preserve">Hangi içerik türü, hangi gün, hangi konu daha çok erişim ve etkileşim getiriyor.</t>
  </si>
  <si>
    <t xml:space="preserve">NASIL KULLANILIR</t>
  </si>
  <si>
    <t xml:space="preserve">1. Listeler</t>
  </si>
  <si>
    <t xml:space="preserve">Kullandığın platformları ve içerik türlerini yaz.</t>
  </si>
  <si>
    <t xml:space="preserve">2. İçerikler</t>
  </si>
  <si>
    <t xml:space="preserve">Her paylaşımı tarih, tür, konu ve istatistikleriyle gir.</t>
  </si>
  <si>
    <t xml:space="preserve">3. Özet</t>
  </si>
  <si>
    <t xml:space="preserve">Aylık gidiş, türe ve güne göre ortalamalar, en iyi içerikler.</t>
  </si>
  <si>
    <t xml:space="preserve">BİLMEN GEREKENLER</t>
  </si>
  <si>
    <t xml:space="preserve">Etkileşim oranı</t>
  </si>
  <si>
    <t xml:space="preserve">Beğeni, yorum, kaydetme ve paylaşım toplamının erişime bölümüdür.</t>
  </si>
  <si>
    <t xml:space="preserve">Elle giriş</t>
  </si>
  <si>
    <t xml:space="preserve">Dosya platformlardan veri çekmez; rakamları sen yazarsın.</t>
  </si>
  <si>
    <t xml:space="preserve">Karşılaştırma</t>
  </si>
  <si>
    <t xml:space="preserve">Farklı platformların erişim tanımı aynı değildir; platformları kendi içinde karşılaştırmak daha sağlıklıdır.</t>
  </si>
  <si>
    <t xml:space="preserve">Kapasite</t>
  </si>
  <si>
    <t xml:space="preserve">İçerikler: 2000 satır.</t>
  </si>
  <si>
    <t xml:space="preserve">RENKLER</t>
  </si>
  <si>
    <t xml:space="preserve">Sarı hücre</t>
  </si>
  <si>
    <t xml:space="preserve">Senin dolduracağın hücre. İçindeki örnekleri silip kendi bilgini yaz.</t>
  </si>
  <si>
    <t xml:space="preserve">Beyaz hücre, açık başlık</t>
  </si>
  <si>
    <t xml:space="preserve">Formül. Değiştirme, kendiliğinden hesaplanır.</t>
  </si>
  <si>
    <t xml:space="preserve">İçerikler</t>
  </si>
  <si>
    <t xml:space="preserve">Her paylaşım bir satır. Rakamları paylaşımdan birkaç gün sonra, platformun istatistik ekranından yaz.</t>
  </si>
  <si>
    <t xml:space="preserve">Tarih</t>
  </si>
  <si>
    <t xml:space="preserve">Platform</t>
  </si>
  <si>
    <t xml:space="preserve">Tür</t>
  </si>
  <si>
    <t xml:space="preserve">Konu</t>
  </si>
  <si>
    <t xml:space="preserve">Erişim</t>
  </si>
  <si>
    <t xml:space="preserve">Beğeni</t>
  </si>
  <si>
    <t xml:space="preserve">Yorum</t>
  </si>
  <si>
    <t xml:space="preserve">Kaydetme</t>
  </si>
  <si>
    <t xml:space="preserve">Paylaşım</t>
  </si>
  <si>
    <t xml:space="preserve">Yeni takipçi</t>
  </si>
  <si>
    <t xml:space="preserve">Etkileşim</t>
  </si>
  <si>
    <t xml:space="preserve">y</t>
  </si>
  <si>
    <t xml:space="preserve">Instagram</t>
  </si>
  <si>
    <t xml:space="preserve">Reels</t>
  </si>
  <si>
    <t xml:space="preserve">Dağınık Excel önce ve sonra</t>
  </si>
  <si>
    <t xml:space="preserve">Gönderi</t>
  </si>
  <si>
    <t xml:space="preserve">5 Excel kısayolu</t>
  </si>
  <si>
    <t xml:space="preserve">YouTube</t>
  </si>
  <si>
    <t xml:space="preserve">Shorts</t>
  </si>
  <si>
    <t xml:space="preserve">Elle toplamı formüle çevir</t>
  </si>
  <si>
    <t xml:space="preserve">Birleştirilmiş hücre hatası</t>
  </si>
  <si>
    <t xml:space="preserve">Hikâye</t>
  </si>
  <si>
    <t xml:space="preserve">Soru cevap</t>
  </si>
  <si>
    <t xml:space="preserve">Özet</t>
  </si>
  <si>
    <t xml:space="preserve">Bu sayfada yalnızca yılı değiştir.</t>
  </si>
  <si>
    <t xml:space="preserve">Yıl</t>
  </si>
  <si>
    <t xml:space="preserve">İçerik (yıl)</t>
  </si>
  <si>
    <t xml:space="preserve">Toplam erişim</t>
  </si>
  <si>
    <t xml:space="preserve">İçerik başına erişim</t>
  </si>
  <si>
    <t xml:space="preserve">Aylık tablo</t>
  </si>
  <si>
    <t xml:space="preserve">Türe göre (tüm kayıtlar)</t>
  </si>
  <si>
    <t xml:space="preserve">Ay</t>
  </si>
  <si>
    <t xml:space="preserve">İçerik</t>
  </si>
  <si>
    <t xml:space="preserve">Ortalama erişim</t>
  </si>
  <si>
    <t xml:space="preserve">Ocak</t>
  </si>
  <si>
    <t xml:space="preserve">Şubat</t>
  </si>
  <si>
    <t xml:space="preserve">Mart</t>
  </si>
  <si>
    <t xml:space="preserve">Nisan</t>
  </si>
  <si>
    <t xml:space="preserve">Mayıs</t>
  </si>
  <si>
    <t xml:space="preserve">Haziran</t>
  </si>
  <si>
    <t xml:space="preserve">Temmuz</t>
  </si>
  <si>
    <t xml:space="preserve">Ağustos</t>
  </si>
  <si>
    <t xml:space="preserve">Eylül</t>
  </si>
  <si>
    <t xml:space="preserve">Ekim</t>
  </si>
  <si>
    <t xml:space="preserve">Kasım</t>
  </si>
  <si>
    <t xml:space="preserve">Aralık</t>
  </si>
  <si>
    <t xml:space="preserve">En çok erişim alan 5 içerik</t>
  </si>
  <si>
    <t xml:space="preserve">TOPLAM</t>
  </si>
  <si>
    <t xml:space="preserve">Haftanın günlerine göre ortalama erişim</t>
  </si>
  <si>
    <t xml:space="preserve">Gün</t>
  </si>
  <si>
    <t xml:space="preserve">Pazartesi</t>
  </si>
  <si>
    <t xml:space="preserve">Salı</t>
  </si>
  <si>
    <t xml:space="preserve">Çarşamba</t>
  </si>
  <si>
    <t xml:space="preserve">Perşembe</t>
  </si>
  <si>
    <t xml:space="preserve">Cuma</t>
  </si>
  <si>
    <t xml:space="preserve">Cumartesi</t>
  </si>
  <si>
    <t xml:space="preserve">Pazar</t>
  </si>
  <si>
    <t xml:space="preserve">Listeler</t>
  </si>
  <si>
    <t xml:space="preserve">Açılır listelerde çıkan seçenekler. Sarı hücrelere kendi seçeneklerini yaz.</t>
  </si>
  <si>
    <t xml:space="preserve">TikTok</t>
  </si>
  <si>
    <t xml:space="preserve">LinkedIn</t>
  </si>
  <si>
    <t xml:space="preserve">Video</t>
  </si>
  <si>
    <t xml:space="preserve">Kaydırmalı gönderi</t>
  </si>
  <si>
    <t xml:space="preserve">Yapay Zeka Komutları</t>
  </si>
  <si>
    <t xml:space="preserve">İlgili sayfada başlık satırıyla birlikte kayıtlarını seç, kopyala, kullandığın yapay zeka asistanına yapıştır ve altına komutu ekle.</t>
  </si>
  <si>
    <t xml:space="preserve">Dikkat: Hesap adını paylaşmak zorunda değilsin. Yapay zekanın verdiği rakamları dosyadaki özet sayfasıyla karşılaştır.</t>
  </si>
  <si>
    <t xml:space="preserve">Ne için</t>
  </si>
  <si>
    <t xml:space="preserve">Komut (kopyala, yapıştır)</t>
  </si>
  <si>
    <t xml:space="preserve">Ne işe yarıyor</t>
  </si>
  <si>
    <t xml:space="preserve">[İçerikler sayfası] En çok erişim ve en yüksek etkileşim oranı alan içeriklerin ortak özelliklerini bul.</t>
  </si>
  <si>
    <t xml:space="preserve">Takvim</t>
  </si>
  <si>
    <t xml:space="preserve">[Özet sayfası] Tür ve gün ortalamalarına bakarak gelecek hafta için beş içerik fikri ve paylaşım günü öner.</t>
  </si>
  <si>
    <t xml:space="preserve">Başlık</t>
  </si>
  <si>
    <t xml:space="preserve">[konu] için dikkat çekici beş açılış cümlesi yaz.</t>
  </si>
  <si>
    <t xml:space="preserve">Zayıf içerik</t>
  </si>
  <si>
    <t xml:space="preserve">En düşük erişim alan içeriklerin neden tutmamış olabileceğini yorumla; kesin bilemeyeceğini belirt.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</si>
</sst>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.mm\.yyyy"/>
    <numFmt numFmtId="166" formatCode="#,##0;[RED]\-#,##0;\-"/>
    <numFmt numFmtId="167" formatCode="0.0%"/>
    <numFmt numFmtId="168" formatCode="General"/>
    <numFmt numFmtId="169" formatCode="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20"/>
      <color rgb="FF1F6F43"/>
      <name val="Arial"/>
      <family val="0"/>
      <charset val="1"/>
    </font>
    <font>
      <sz val="10"/>
      <color rgb="FF475467"/>
      <name val="Arial"/>
      <family val="0"/>
      <charset val="1"/>
    </font>
    <font>
      <b val="true"/>
      <sz val="10"/>
      <color rgb="FF1F6F43"/>
      <name val="Arial"/>
      <family val="0"/>
      <charset val="1"/>
    </font>
    <font>
      <b val="true"/>
      <sz val="10"/>
      <color rgb="FF1B1F23"/>
      <name val="Arial"/>
      <family val="0"/>
      <charset val="1"/>
    </font>
    <font>
      <sz val="10"/>
      <color rgb="FF1B1F23"/>
      <name val="Arial"/>
      <family val="0"/>
      <charset val="1"/>
    </font>
    <font>
      <b val="true"/>
      <sz val="16"/>
      <color rgb="FF1F6F43"/>
      <name val="Arial"/>
      <family val="0"/>
      <charset val="1"/>
    </font>
    <font>
      <i val="true"/>
      <sz val="9"/>
      <color rgb="FF47546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1F2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1B1F23"/>
      <name val="Arial"/>
      <family val="0"/>
      <charset val="1"/>
    </font>
    <font>
      <b val="true"/>
      <sz val="11"/>
      <color rgb="FF1F6F43"/>
      <name val="Arial"/>
      <family val="0"/>
      <charset val="1"/>
    </font>
    <font>
      <b val="true"/>
      <sz val="10"/>
      <color rgb="FFB4231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6F43"/>
        <bgColor rgb="FF3B8A5E"/>
      </patternFill>
    </fill>
    <fill>
      <patternFill patternType="solid">
        <fgColor rgb="FFE8F5EE"/>
        <bgColor rgb="FFF3F4F6"/>
      </patternFill>
    </fill>
    <fill>
      <patternFill patternType="solid">
        <fgColor rgb="FFFFF9DB"/>
        <bgColor rgb="FFF3F4F6"/>
      </patternFill>
    </fill>
    <fill>
      <patternFill patternType="solid">
        <fgColor rgb="FF3B8A5E"/>
        <bgColor rgb="FF1F6F43"/>
      </patternFill>
    </fill>
    <fill>
      <patternFill patternType="solid">
        <fgColor rgb="FFFFFFFF"/>
        <bgColor rgb="FFF3F4F6"/>
      </patternFill>
    </fill>
    <fill>
      <patternFill patternType="solid">
        <fgColor rgb="FFF3F4F6"/>
        <bgColor rgb="FFE8F5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3"/>
      <rgbColor rgb="FFC0C0C0"/>
      <rgbColor rgb="FF808080"/>
      <rgbColor rgb="FF9999FF"/>
      <rgbColor rgb="FF993366"/>
      <rgbColor rgb="FFFFF9DB"/>
      <rgbColor rgb="FFE8F5EE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467"/>
      <rgbColor rgb="FF969696"/>
      <rgbColor rgb="FF003366"/>
      <rgbColor rgb="FF3B8A5E"/>
      <rgbColor rgb="FF003300"/>
      <rgbColor rgb="FF333300"/>
      <rgbColor rgb="FFB42318"/>
      <rgbColor rgb="FF993366"/>
      <rgbColor rgb="FF333399"/>
      <rgbColor rgb="FF1B1F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2:C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88"/>
  </cols>
  <sheetData>
    <row r="2" customFormat="false" ht="24" hidden="false" customHeight="true" outlineLevel="0" collapsed="false">
      <c r="B2" s="1" t="s">
        <v>0</v>
      </c>
      <c r="C2" s="1"/>
    </row>
    <row r="3" customFormat="false" ht="36" hidden="false" customHeight="true" outlineLevel="0" collapsed="false">
      <c r="B3" s="2" t="s">
        <v>1</v>
      </c>
      <c r="C3" s="2"/>
    </row>
    <row r="4" customFormat="false" ht="15" hidden="false" customHeight="false" outlineLevel="0" collapsed="false">
      <c r="B4" s="3" t="s">
        <v>2</v>
      </c>
      <c r="C4" s="3"/>
    </row>
    <row r="6" customFormat="false" ht="19.5" hidden="false" customHeight="true" outlineLevel="0" collapsed="false">
      <c r="B6" s="4" t="s">
        <v>3</v>
      </c>
      <c r="C6" s="4"/>
    </row>
    <row r="7" customFormat="false" ht="18" hidden="false" customHeight="true" outlineLevel="0" collapsed="false">
      <c r="B7" s="5" t="s">
        <v>4</v>
      </c>
      <c r="C7" s="6" t="s">
        <v>5</v>
      </c>
    </row>
    <row r="8" customFormat="false" ht="18" hidden="false" customHeight="true" outlineLevel="0" collapsed="false">
      <c r="B8" s="5" t="s">
        <v>6</v>
      </c>
      <c r="C8" s="6" t="s">
        <v>7</v>
      </c>
    </row>
    <row r="9" customFormat="false" ht="18" hidden="false" customHeight="true" outlineLevel="0" collapsed="false">
      <c r="B9" s="5" t="s">
        <v>8</v>
      </c>
      <c r="C9" s="6" t="s">
        <v>9</v>
      </c>
    </row>
    <row r="11" customFormat="false" ht="19.5" hidden="false" customHeight="true" outlineLevel="0" collapsed="false">
      <c r="B11" s="4" t="s">
        <v>10</v>
      </c>
      <c r="C11" s="4"/>
    </row>
    <row r="12" customFormat="false" ht="18" hidden="false" customHeight="true" outlineLevel="0" collapsed="false">
      <c r="B12" s="5" t="s">
        <v>11</v>
      </c>
      <c r="C12" s="6" t="s">
        <v>12</v>
      </c>
    </row>
    <row r="13" customFormat="false" ht="18" hidden="false" customHeight="true" outlineLevel="0" collapsed="false">
      <c r="B13" s="5" t="s">
        <v>13</v>
      </c>
      <c r="C13" s="6" t="s">
        <v>14</v>
      </c>
    </row>
    <row r="14" customFormat="false" ht="30" hidden="false" customHeight="true" outlineLevel="0" collapsed="false">
      <c r="B14" s="5" t="s">
        <v>15</v>
      </c>
      <c r="C14" s="6" t="s">
        <v>16</v>
      </c>
    </row>
    <row r="15" customFormat="false" ht="18" hidden="false" customHeight="true" outlineLevel="0" collapsed="false">
      <c r="B15" s="5" t="s">
        <v>17</v>
      </c>
      <c r="C15" s="6" t="s">
        <v>18</v>
      </c>
    </row>
    <row r="17" customFormat="false" ht="19.5" hidden="false" customHeight="true" outlineLevel="0" collapsed="false">
      <c r="B17" s="4" t="s">
        <v>19</v>
      </c>
      <c r="C17" s="4"/>
    </row>
    <row r="18" customFormat="false" ht="18" hidden="false" customHeight="true" outlineLevel="0" collapsed="false">
      <c r="B18" s="7" t="s">
        <v>20</v>
      </c>
      <c r="C18" s="6" t="s">
        <v>21</v>
      </c>
    </row>
    <row r="19" customFormat="false" ht="18" hidden="false" customHeight="true" outlineLevel="0" collapsed="false">
      <c r="B19" s="5" t="s">
        <v>22</v>
      </c>
      <c r="C19" s="6" t="s">
        <v>23</v>
      </c>
    </row>
  </sheetData>
  <mergeCells count="6">
    <mergeCell ref="B2:C2"/>
    <mergeCell ref="B3:C3"/>
    <mergeCell ref="B4:C4"/>
    <mergeCell ref="B6:C6"/>
    <mergeCell ref="B11:C11"/>
    <mergeCell ref="B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M2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12" min="5" style="0" width="14"/>
    <col collapsed="false" customWidth="true" hidden="true" outlineLevel="0" max="13" min="13" style="0" width="14"/>
  </cols>
  <sheetData>
    <row r="1" customFormat="false" ht="19.7" hidden="false" customHeight="false" outlineLevel="0" collapsed="false">
      <c r="A1" s="8" t="s">
        <v>24</v>
      </c>
    </row>
    <row r="2" customFormat="false" ht="15" hidden="false" customHeight="false" outlineLevel="0" collapsed="false">
      <c r="A2" s="9" t="s">
        <v>25</v>
      </c>
    </row>
    <row r="4" customFormat="false" ht="27.75" hidden="false" customHeight="true" outlineLevel="0" collapsed="false">
      <c r="A4" s="10" t="s">
        <v>26</v>
      </c>
      <c r="B4" s="10" t="s">
        <v>27</v>
      </c>
      <c r="C4" s="10" t="s">
        <v>28</v>
      </c>
      <c r="D4" s="10" t="s">
        <v>29</v>
      </c>
      <c r="E4" s="10" t="s">
        <v>30</v>
      </c>
      <c r="F4" s="10" t="s">
        <v>31</v>
      </c>
      <c r="G4" s="10" t="s">
        <v>32</v>
      </c>
      <c r="H4" s="10" t="s">
        <v>33</v>
      </c>
      <c r="I4" s="10" t="s">
        <v>34</v>
      </c>
      <c r="J4" s="10" t="s">
        <v>35</v>
      </c>
      <c r="K4" s="11" t="s">
        <v>36</v>
      </c>
      <c r="L4" s="11" t="s">
        <v>11</v>
      </c>
      <c r="M4" s="11" t="s">
        <v>37</v>
      </c>
    </row>
    <row r="5" customFormat="false" ht="15" hidden="false" customHeight="false" outlineLevel="0" collapsed="false">
      <c r="A5" s="12" t="n">
        <v>46293</v>
      </c>
      <c r="B5" s="13" t="s">
        <v>38</v>
      </c>
      <c r="C5" s="13" t="s">
        <v>39</v>
      </c>
      <c r="D5" s="14" t="s">
        <v>40</v>
      </c>
      <c r="E5" s="15" t="n">
        <v>12400</v>
      </c>
      <c r="F5" s="15" t="n">
        <v>640</v>
      </c>
      <c r="G5" s="15" t="n">
        <v>38</v>
      </c>
      <c r="H5" s="15" t="n">
        <v>410</v>
      </c>
      <c r="I5" s="15" t="n">
        <v>95</v>
      </c>
      <c r="J5" s="15" t="n">
        <v>62</v>
      </c>
      <c r="K5" s="16" t="n">
        <f aca="false">IF(A5="","",F5+G5+H5+I5)</f>
        <v>1183</v>
      </c>
      <c r="L5" s="17" t="n">
        <f aca="false">IF(OR(K5="",E5=0,E5=""),"",K5/E5)</f>
        <v>0.0954032258064516</v>
      </c>
      <c r="M5" s="18" t="n">
        <f aca="false">IF(OR(A5="",E5=""),"",E5+ROW()/1000000)</f>
        <v>12400.000005</v>
      </c>
    </row>
    <row r="6" customFormat="false" ht="15" hidden="false" customHeight="false" outlineLevel="0" collapsed="false">
      <c r="A6" s="12" t="n">
        <v>46295</v>
      </c>
      <c r="B6" s="13" t="s">
        <v>38</v>
      </c>
      <c r="C6" s="13" t="s">
        <v>41</v>
      </c>
      <c r="D6" s="14" t="s">
        <v>42</v>
      </c>
      <c r="E6" s="15" t="n">
        <v>3100</v>
      </c>
      <c r="F6" s="15" t="n">
        <v>210</v>
      </c>
      <c r="G6" s="15" t="n">
        <v>12</v>
      </c>
      <c r="H6" s="15" t="n">
        <v>180</v>
      </c>
      <c r="I6" s="15" t="n">
        <v>22</v>
      </c>
      <c r="J6" s="15" t="n">
        <v>9</v>
      </c>
      <c r="K6" s="16" t="n">
        <f aca="false">IF(A6="","",F6+G6+H6+I6)</f>
        <v>424</v>
      </c>
      <c r="L6" s="17" t="n">
        <f aca="false">IF(OR(K6="",E6=0,E6=""),"",K6/E6)</f>
        <v>0.136774193548387</v>
      </c>
      <c r="M6" s="18" t="n">
        <f aca="false">IF(OR(A6="",E6=""),"",E6+ROW()/1000000)</f>
        <v>3100.000006</v>
      </c>
    </row>
    <row r="7" customFormat="false" ht="15" hidden="false" customHeight="false" outlineLevel="0" collapsed="false">
      <c r="A7" s="12" t="n">
        <v>46296</v>
      </c>
      <c r="B7" s="13" t="s">
        <v>43</v>
      </c>
      <c r="C7" s="13" t="s">
        <v>44</v>
      </c>
      <c r="D7" s="14" t="s">
        <v>45</v>
      </c>
      <c r="E7" s="15" t="n">
        <v>8800</v>
      </c>
      <c r="F7" s="15" t="n">
        <v>350</v>
      </c>
      <c r="G7" s="15" t="n">
        <v>20</v>
      </c>
      <c r="H7" s="15" t="n">
        <v>0</v>
      </c>
      <c r="I7" s="15" t="n">
        <v>40</v>
      </c>
      <c r="J7" s="15" t="n">
        <v>31</v>
      </c>
      <c r="K7" s="16" t="n">
        <f aca="false">IF(A7="","",F7+G7+H7+I7)</f>
        <v>410</v>
      </c>
      <c r="L7" s="17" t="n">
        <f aca="false">IF(OR(K7="",E7=0,E7=""),"",K7/E7)</f>
        <v>0.0465909090909091</v>
      </c>
      <c r="M7" s="18" t="n">
        <f aca="false">IF(OR(A7="",E7=""),"",E7+ROW()/1000000)</f>
        <v>8800.000007</v>
      </c>
    </row>
    <row r="8" customFormat="false" ht="15" hidden="false" customHeight="false" outlineLevel="0" collapsed="false">
      <c r="A8" s="12" t="n">
        <v>46297</v>
      </c>
      <c r="B8" s="13" t="s">
        <v>38</v>
      </c>
      <c r="C8" s="13" t="s">
        <v>39</v>
      </c>
      <c r="D8" s="14" t="s">
        <v>46</v>
      </c>
      <c r="E8" s="15" t="n">
        <v>20500</v>
      </c>
      <c r="F8" s="15" t="n">
        <v>1100</v>
      </c>
      <c r="G8" s="15" t="n">
        <v>74</v>
      </c>
      <c r="H8" s="15" t="n">
        <v>820</v>
      </c>
      <c r="I8" s="15" t="n">
        <v>210</v>
      </c>
      <c r="J8" s="15" t="n">
        <v>140</v>
      </c>
      <c r="K8" s="16" t="n">
        <f aca="false">IF(A8="","",F8+G8+H8+I8)</f>
        <v>2204</v>
      </c>
      <c r="L8" s="17" t="n">
        <f aca="false">IF(OR(K8="",E8=0,E8=""),"",K8/E8)</f>
        <v>0.107512195121951</v>
      </c>
      <c r="M8" s="18" t="n">
        <f aca="false">IF(OR(A8="",E8=""),"",E8+ROW()/1000000)</f>
        <v>20500.000008</v>
      </c>
    </row>
    <row r="9" customFormat="false" ht="15" hidden="false" customHeight="false" outlineLevel="0" collapsed="false">
      <c r="A9" s="12" t="n">
        <v>46298</v>
      </c>
      <c r="B9" s="13" t="s">
        <v>38</v>
      </c>
      <c r="C9" s="13" t="s">
        <v>47</v>
      </c>
      <c r="D9" s="14" t="s">
        <v>48</v>
      </c>
      <c r="E9" s="15" t="n">
        <v>900</v>
      </c>
      <c r="F9" s="15" t="n">
        <v>40</v>
      </c>
      <c r="G9" s="15" t="n">
        <v>6</v>
      </c>
      <c r="H9" s="15" t="n">
        <v>0</v>
      </c>
      <c r="I9" s="15" t="n">
        <v>2</v>
      </c>
      <c r="J9" s="15" t="n">
        <v>1</v>
      </c>
      <c r="K9" s="16" t="n">
        <f aca="false">IF(A9="","",F9+G9+H9+I9)</f>
        <v>48</v>
      </c>
      <c r="L9" s="17" t="n">
        <f aca="false">IF(OR(K9="",E9=0,E9=""),"",K9/E9)</f>
        <v>0.0533333333333333</v>
      </c>
      <c r="M9" s="18" t="n">
        <f aca="false">IF(OR(A9="",E9=""),"",E9+ROW()/1000000)</f>
        <v>900.000009</v>
      </c>
    </row>
    <row r="10" customFormat="false" ht="15" hidden="false" customHeight="false" outlineLevel="0" collapsed="false">
      <c r="A10" s="12"/>
      <c r="B10" s="13"/>
      <c r="C10" s="13"/>
      <c r="D10" s="14"/>
      <c r="E10" s="15"/>
      <c r="F10" s="15"/>
      <c r="G10" s="15"/>
      <c r="H10" s="15"/>
      <c r="I10" s="15"/>
      <c r="J10" s="15"/>
      <c r="K10" s="16" t="str">
        <f aca="false">IF(A10="","",F10+G10+H10+I10)</f>
        <v/>
      </c>
      <c r="L10" s="17" t="str">
        <f aca="false">IF(OR(K10="",E10=0,E10=""),"",K10/E10)</f>
        <v/>
      </c>
      <c r="M10" s="18" t="str">
        <f aca="false">IF(OR(A10="",E10=""),"",E10+ROW()/1000000)</f>
        <v/>
      </c>
    </row>
    <row r="11" customFormat="false" ht="15" hidden="false" customHeight="false" outlineLevel="0" collapsed="false">
      <c r="A11" s="12"/>
      <c r="B11" s="13"/>
      <c r="C11" s="13"/>
      <c r="D11" s="14"/>
      <c r="E11" s="15"/>
      <c r="F11" s="15"/>
      <c r="G11" s="15"/>
      <c r="H11" s="15"/>
      <c r="I11" s="15"/>
      <c r="J11" s="15"/>
      <c r="K11" s="16" t="str">
        <f aca="false">IF(A11="","",F11+G11+H11+I11)</f>
        <v/>
      </c>
      <c r="L11" s="17" t="str">
        <f aca="false">IF(OR(K11="",E11=0,E11=""),"",K11/E11)</f>
        <v/>
      </c>
      <c r="M11" s="18" t="str">
        <f aca="false">IF(OR(A11="",E11=""),"",E11+ROW()/1000000)</f>
        <v/>
      </c>
    </row>
    <row r="12" customFormat="false" ht="15" hidden="false" customHeight="false" outlineLevel="0" collapsed="false">
      <c r="A12" s="12"/>
      <c r="B12" s="13"/>
      <c r="C12" s="13"/>
      <c r="D12" s="14"/>
      <c r="E12" s="15"/>
      <c r="F12" s="15"/>
      <c r="G12" s="15"/>
      <c r="H12" s="15"/>
      <c r="I12" s="15"/>
      <c r="J12" s="15"/>
      <c r="K12" s="16" t="str">
        <f aca="false">IF(A12="","",F12+G12+H12+I12)</f>
        <v/>
      </c>
      <c r="L12" s="17" t="str">
        <f aca="false">IF(OR(K12="",E12=0,E12=""),"",K12/E12)</f>
        <v/>
      </c>
      <c r="M12" s="18" t="str">
        <f aca="false">IF(OR(A12="",E12=""),"",E12+ROW()/1000000)</f>
        <v/>
      </c>
    </row>
    <row r="13" customFormat="false" ht="15" hidden="false" customHeight="false" outlineLevel="0" collapsed="false">
      <c r="A13" s="12"/>
      <c r="B13" s="13"/>
      <c r="C13" s="13"/>
      <c r="D13" s="14"/>
      <c r="E13" s="15"/>
      <c r="F13" s="15"/>
      <c r="G13" s="15"/>
      <c r="H13" s="15"/>
      <c r="I13" s="15"/>
      <c r="J13" s="15"/>
      <c r="K13" s="16" t="str">
        <f aca="false">IF(A13="","",F13+G13+H13+I13)</f>
        <v/>
      </c>
      <c r="L13" s="17" t="str">
        <f aca="false">IF(OR(K13="",E13=0,E13=""),"",K13/E13)</f>
        <v/>
      </c>
      <c r="M13" s="18" t="str">
        <f aca="false">IF(OR(A13="",E13=""),"",E13+ROW()/1000000)</f>
        <v/>
      </c>
    </row>
    <row r="14" customFormat="false" ht="15" hidden="false" customHeight="false" outlineLevel="0" collapsed="false">
      <c r="A14" s="12"/>
      <c r="B14" s="13"/>
      <c r="C14" s="13"/>
      <c r="D14" s="14"/>
      <c r="E14" s="15"/>
      <c r="F14" s="15"/>
      <c r="G14" s="15"/>
      <c r="H14" s="15"/>
      <c r="I14" s="15"/>
      <c r="J14" s="15"/>
      <c r="K14" s="16" t="str">
        <f aca="false">IF(A14="","",F14+G14+H14+I14)</f>
        <v/>
      </c>
      <c r="L14" s="17" t="str">
        <f aca="false">IF(OR(K14="",E14=0,E14=""),"",K14/E14)</f>
        <v/>
      </c>
      <c r="M14" s="18" t="str">
        <f aca="false">IF(OR(A14="",E14=""),"",E14+ROW()/1000000)</f>
        <v/>
      </c>
    </row>
    <row r="15" customFormat="false" ht="15" hidden="false" customHeight="false" outlineLevel="0" collapsed="false">
      <c r="A15" s="12"/>
      <c r="B15" s="13"/>
      <c r="C15" s="13"/>
      <c r="D15" s="14"/>
      <c r="E15" s="15"/>
      <c r="F15" s="15"/>
      <c r="G15" s="15"/>
      <c r="H15" s="15"/>
      <c r="I15" s="15"/>
      <c r="J15" s="15"/>
      <c r="K15" s="16" t="str">
        <f aca="false">IF(A15="","",F15+G15+H15+I15)</f>
        <v/>
      </c>
      <c r="L15" s="17" t="str">
        <f aca="false">IF(OR(K15="",E15=0,E15=""),"",K15/E15)</f>
        <v/>
      </c>
      <c r="M15" s="18" t="str">
        <f aca="false">IF(OR(A15="",E15=""),"",E15+ROW()/1000000)</f>
        <v/>
      </c>
    </row>
    <row r="16" customFormat="false" ht="15" hidden="false" customHeight="false" outlineLevel="0" collapsed="false">
      <c r="A16" s="12"/>
      <c r="B16" s="13"/>
      <c r="C16" s="13"/>
      <c r="D16" s="14"/>
      <c r="E16" s="15"/>
      <c r="F16" s="15"/>
      <c r="G16" s="15"/>
      <c r="H16" s="15"/>
      <c r="I16" s="15"/>
      <c r="J16" s="15"/>
      <c r="K16" s="16" t="str">
        <f aca="false">IF(A16="","",F16+G16+H16+I16)</f>
        <v/>
      </c>
      <c r="L16" s="17" t="str">
        <f aca="false">IF(OR(K16="",E16=0,E16=""),"",K16/E16)</f>
        <v/>
      </c>
      <c r="M16" s="18" t="str">
        <f aca="false">IF(OR(A16="",E16=""),"",E16+ROW()/1000000)</f>
        <v/>
      </c>
    </row>
    <row r="17" customFormat="false" ht="15" hidden="false" customHeight="false" outlineLevel="0" collapsed="false">
      <c r="A17" s="12"/>
      <c r="B17" s="13"/>
      <c r="C17" s="13"/>
      <c r="D17" s="14"/>
      <c r="E17" s="15"/>
      <c r="F17" s="15"/>
      <c r="G17" s="15"/>
      <c r="H17" s="15"/>
      <c r="I17" s="15"/>
      <c r="J17" s="15"/>
      <c r="K17" s="16" t="str">
        <f aca="false">IF(A17="","",F17+G17+H17+I17)</f>
        <v/>
      </c>
      <c r="L17" s="17" t="str">
        <f aca="false">IF(OR(K17="",E17=0,E17=""),"",K17/E17)</f>
        <v/>
      </c>
      <c r="M17" s="18" t="str">
        <f aca="false">IF(OR(A17="",E17=""),"",E17+ROW()/1000000)</f>
        <v/>
      </c>
    </row>
    <row r="18" customFormat="false" ht="15" hidden="false" customHeight="false" outlineLevel="0" collapsed="false">
      <c r="A18" s="12"/>
      <c r="B18" s="13"/>
      <c r="C18" s="13"/>
      <c r="D18" s="14"/>
      <c r="E18" s="15"/>
      <c r="F18" s="15"/>
      <c r="G18" s="15"/>
      <c r="H18" s="15"/>
      <c r="I18" s="15"/>
      <c r="J18" s="15"/>
      <c r="K18" s="16" t="str">
        <f aca="false">IF(A18="","",F18+G18+H18+I18)</f>
        <v/>
      </c>
      <c r="L18" s="17" t="str">
        <f aca="false">IF(OR(K18="",E18=0,E18=""),"",K18/E18)</f>
        <v/>
      </c>
      <c r="M18" s="18" t="str">
        <f aca="false">IF(OR(A18="",E18=""),"",E18+ROW()/1000000)</f>
        <v/>
      </c>
    </row>
    <row r="19" customFormat="false" ht="15" hidden="false" customHeight="false" outlineLevel="0" collapsed="false">
      <c r="A19" s="12"/>
      <c r="B19" s="13"/>
      <c r="C19" s="13"/>
      <c r="D19" s="14"/>
      <c r="E19" s="15"/>
      <c r="F19" s="15"/>
      <c r="G19" s="15"/>
      <c r="H19" s="15"/>
      <c r="I19" s="15"/>
      <c r="J19" s="15"/>
      <c r="K19" s="16" t="str">
        <f aca="false">IF(A19="","",F19+G19+H19+I19)</f>
        <v/>
      </c>
      <c r="L19" s="17" t="str">
        <f aca="false">IF(OR(K19="",E19=0,E19=""),"",K19/E19)</f>
        <v/>
      </c>
      <c r="M19" s="18" t="str">
        <f aca="false">IF(OR(A19="",E19=""),"",E19+ROW()/1000000)</f>
        <v/>
      </c>
    </row>
    <row r="20" customFormat="false" ht="15" hidden="false" customHeight="false" outlineLevel="0" collapsed="false">
      <c r="A20" s="12"/>
      <c r="B20" s="13"/>
      <c r="C20" s="13"/>
      <c r="D20" s="14"/>
      <c r="E20" s="15"/>
      <c r="F20" s="15"/>
      <c r="G20" s="15"/>
      <c r="H20" s="15"/>
      <c r="I20" s="15"/>
      <c r="J20" s="15"/>
      <c r="K20" s="16" t="str">
        <f aca="false">IF(A20="","",F20+G20+H20+I20)</f>
        <v/>
      </c>
      <c r="L20" s="17" t="str">
        <f aca="false">IF(OR(K20="",E20=0,E20=""),"",K20/E20)</f>
        <v/>
      </c>
      <c r="M20" s="18" t="str">
        <f aca="false">IF(OR(A20="",E20=""),"",E20+ROW()/1000000)</f>
        <v/>
      </c>
    </row>
    <row r="21" customFormat="false" ht="15" hidden="false" customHeight="false" outlineLevel="0" collapsed="false">
      <c r="A21" s="12"/>
      <c r="B21" s="13"/>
      <c r="C21" s="13"/>
      <c r="D21" s="14"/>
      <c r="E21" s="15"/>
      <c r="F21" s="15"/>
      <c r="G21" s="15"/>
      <c r="H21" s="15"/>
      <c r="I21" s="15"/>
      <c r="J21" s="15"/>
      <c r="K21" s="16" t="str">
        <f aca="false">IF(A21="","",F21+G21+H21+I21)</f>
        <v/>
      </c>
      <c r="L21" s="17" t="str">
        <f aca="false">IF(OR(K21="",E21=0,E21=""),"",K21/E21)</f>
        <v/>
      </c>
      <c r="M21" s="18" t="str">
        <f aca="false">IF(OR(A21="",E21=""),"",E21+ROW()/1000000)</f>
        <v/>
      </c>
    </row>
    <row r="22" customFormat="false" ht="15" hidden="false" customHeight="false" outlineLevel="0" collapsed="false">
      <c r="A22" s="12"/>
      <c r="B22" s="13"/>
      <c r="C22" s="13"/>
      <c r="D22" s="14"/>
      <c r="E22" s="15"/>
      <c r="F22" s="15"/>
      <c r="G22" s="15"/>
      <c r="H22" s="15"/>
      <c r="I22" s="15"/>
      <c r="J22" s="15"/>
      <c r="K22" s="16" t="str">
        <f aca="false">IF(A22="","",F22+G22+H22+I22)</f>
        <v/>
      </c>
      <c r="L22" s="17" t="str">
        <f aca="false">IF(OR(K22="",E22=0,E22=""),"",K22/E22)</f>
        <v/>
      </c>
      <c r="M22" s="18" t="str">
        <f aca="false">IF(OR(A22="",E22=""),"",E22+ROW()/1000000)</f>
        <v/>
      </c>
    </row>
    <row r="23" customFormat="false" ht="15" hidden="false" customHeight="false" outlineLevel="0" collapsed="false">
      <c r="A23" s="12"/>
      <c r="B23" s="13"/>
      <c r="C23" s="13"/>
      <c r="D23" s="14"/>
      <c r="E23" s="15"/>
      <c r="F23" s="15"/>
      <c r="G23" s="15"/>
      <c r="H23" s="15"/>
      <c r="I23" s="15"/>
      <c r="J23" s="15"/>
      <c r="K23" s="16" t="str">
        <f aca="false">IF(A23="","",F23+G23+H23+I23)</f>
        <v/>
      </c>
      <c r="L23" s="17" t="str">
        <f aca="false">IF(OR(K23="",E23=0,E23=""),"",K23/E23)</f>
        <v/>
      </c>
      <c r="M23" s="18" t="str">
        <f aca="false">IF(OR(A23="",E23=""),"",E23+ROW()/1000000)</f>
        <v/>
      </c>
    </row>
    <row r="24" customFormat="false" ht="15" hidden="false" customHeight="false" outlineLevel="0" collapsed="false">
      <c r="A24" s="12"/>
      <c r="B24" s="13"/>
      <c r="C24" s="13"/>
      <c r="D24" s="14"/>
      <c r="E24" s="15"/>
      <c r="F24" s="15"/>
      <c r="G24" s="15"/>
      <c r="H24" s="15"/>
      <c r="I24" s="15"/>
      <c r="J24" s="15"/>
      <c r="K24" s="16" t="str">
        <f aca="false">IF(A24="","",F24+G24+H24+I24)</f>
        <v/>
      </c>
      <c r="L24" s="17" t="str">
        <f aca="false">IF(OR(K24="",E24=0,E24=""),"",K24/E24)</f>
        <v/>
      </c>
      <c r="M24" s="18" t="str">
        <f aca="false">IF(OR(A24="",E24=""),"",E24+ROW()/1000000)</f>
        <v/>
      </c>
    </row>
    <row r="25" customFormat="false" ht="15" hidden="false" customHeight="false" outlineLevel="0" collapsed="false">
      <c r="A25" s="12"/>
      <c r="B25" s="13"/>
      <c r="C25" s="13"/>
      <c r="D25" s="14"/>
      <c r="E25" s="15"/>
      <c r="F25" s="15"/>
      <c r="G25" s="15"/>
      <c r="H25" s="15"/>
      <c r="I25" s="15"/>
      <c r="J25" s="15"/>
      <c r="K25" s="16" t="str">
        <f aca="false">IF(A25="","",F25+G25+H25+I25)</f>
        <v/>
      </c>
      <c r="L25" s="17" t="str">
        <f aca="false">IF(OR(K25="",E25=0,E25=""),"",K25/E25)</f>
        <v/>
      </c>
      <c r="M25" s="18" t="str">
        <f aca="false">IF(OR(A25="",E25=""),"",E25+ROW()/1000000)</f>
        <v/>
      </c>
    </row>
    <row r="26" customFormat="false" ht="15" hidden="false" customHeight="false" outlineLevel="0" collapsed="false">
      <c r="A26" s="12"/>
      <c r="B26" s="13"/>
      <c r="C26" s="13"/>
      <c r="D26" s="14"/>
      <c r="E26" s="15"/>
      <c r="F26" s="15"/>
      <c r="G26" s="15"/>
      <c r="H26" s="15"/>
      <c r="I26" s="15"/>
      <c r="J26" s="15"/>
      <c r="K26" s="16" t="str">
        <f aca="false">IF(A26="","",F26+G26+H26+I26)</f>
        <v/>
      </c>
      <c r="L26" s="17" t="str">
        <f aca="false">IF(OR(K26="",E26=0,E26=""),"",K26/E26)</f>
        <v/>
      </c>
      <c r="M26" s="18" t="str">
        <f aca="false">IF(OR(A26="",E26=""),"",E26+ROW()/1000000)</f>
        <v/>
      </c>
    </row>
    <row r="27" customFormat="false" ht="15" hidden="false" customHeight="false" outlineLevel="0" collapsed="false">
      <c r="A27" s="12"/>
      <c r="B27" s="13"/>
      <c r="C27" s="13"/>
      <c r="D27" s="14"/>
      <c r="E27" s="15"/>
      <c r="F27" s="15"/>
      <c r="G27" s="15"/>
      <c r="H27" s="15"/>
      <c r="I27" s="15"/>
      <c r="J27" s="15"/>
      <c r="K27" s="16" t="str">
        <f aca="false">IF(A27="","",F27+G27+H27+I27)</f>
        <v/>
      </c>
      <c r="L27" s="17" t="str">
        <f aca="false">IF(OR(K27="",E27=0,E27=""),"",K27/E27)</f>
        <v/>
      </c>
      <c r="M27" s="18" t="str">
        <f aca="false">IF(OR(A27="",E27=""),"",E27+ROW()/1000000)</f>
        <v/>
      </c>
    </row>
    <row r="28" customFormat="false" ht="15" hidden="false" customHeight="false" outlineLevel="0" collapsed="false">
      <c r="A28" s="12"/>
      <c r="B28" s="13"/>
      <c r="C28" s="13"/>
      <c r="D28" s="14"/>
      <c r="E28" s="15"/>
      <c r="F28" s="15"/>
      <c r="G28" s="15"/>
      <c r="H28" s="15"/>
      <c r="I28" s="15"/>
      <c r="J28" s="15"/>
      <c r="K28" s="16" t="str">
        <f aca="false">IF(A28="","",F28+G28+H28+I28)</f>
        <v/>
      </c>
      <c r="L28" s="17" t="str">
        <f aca="false">IF(OR(K28="",E28=0,E28=""),"",K28/E28)</f>
        <v/>
      </c>
      <c r="M28" s="18" t="str">
        <f aca="false">IF(OR(A28="",E28=""),"",E28+ROW()/1000000)</f>
        <v/>
      </c>
    </row>
    <row r="29" customFormat="false" ht="15" hidden="false" customHeight="false" outlineLevel="0" collapsed="false">
      <c r="A29" s="12"/>
      <c r="B29" s="13"/>
      <c r="C29" s="13"/>
      <c r="D29" s="14"/>
      <c r="E29" s="15"/>
      <c r="F29" s="15"/>
      <c r="G29" s="15"/>
      <c r="H29" s="15"/>
      <c r="I29" s="15"/>
      <c r="J29" s="15"/>
      <c r="K29" s="16" t="str">
        <f aca="false">IF(A29="","",F29+G29+H29+I29)</f>
        <v/>
      </c>
      <c r="L29" s="17" t="str">
        <f aca="false">IF(OR(K29="",E29=0,E29=""),"",K29/E29)</f>
        <v/>
      </c>
      <c r="M29" s="18" t="str">
        <f aca="false">IF(OR(A29="",E29=""),"",E29+ROW()/1000000)</f>
        <v/>
      </c>
    </row>
    <row r="30" customFormat="false" ht="15" hidden="false" customHeight="false" outlineLevel="0" collapsed="false">
      <c r="A30" s="12"/>
      <c r="B30" s="13"/>
      <c r="C30" s="13"/>
      <c r="D30" s="14"/>
      <c r="E30" s="15"/>
      <c r="F30" s="15"/>
      <c r="G30" s="15"/>
      <c r="H30" s="15"/>
      <c r="I30" s="15"/>
      <c r="J30" s="15"/>
      <c r="K30" s="16" t="str">
        <f aca="false">IF(A30="","",F30+G30+H30+I30)</f>
        <v/>
      </c>
      <c r="L30" s="17" t="str">
        <f aca="false">IF(OR(K30="",E30=0,E30=""),"",K30/E30)</f>
        <v/>
      </c>
      <c r="M30" s="18" t="str">
        <f aca="false">IF(OR(A30="",E30=""),"",E30+ROW()/1000000)</f>
        <v/>
      </c>
    </row>
    <row r="31" customFormat="false" ht="15" hidden="false" customHeight="false" outlineLevel="0" collapsed="false">
      <c r="A31" s="12"/>
      <c r="B31" s="13"/>
      <c r="C31" s="13"/>
      <c r="D31" s="14"/>
      <c r="E31" s="15"/>
      <c r="F31" s="15"/>
      <c r="G31" s="15"/>
      <c r="H31" s="15"/>
      <c r="I31" s="15"/>
      <c r="J31" s="15"/>
      <c r="K31" s="16" t="str">
        <f aca="false">IF(A31="","",F31+G31+H31+I31)</f>
        <v/>
      </c>
      <c r="L31" s="17" t="str">
        <f aca="false">IF(OR(K31="",E31=0,E31=""),"",K31/E31)</f>
        <v/>
      </c>
      <c r="M31" s="18" t="str">
        <f aca="false">IF(OR(A31="",E31=""),"",E31+ROW()/1000000)</f>
        <v/>
      </c>
    </row>
    <row r="32" customFormat="false" ht="15" hidden="false" customHeight="false" outlineLevel="0" collapsed="false">
      <c r="A32" s="12"/>
      <c r="B32" s="13"/>
      <c r="C32" s="13"/>
      <c r="D32" s="14"/>
      <c r="E32" s="15"/>
      <c r="F32" s="15"/>
      <c r="G32" s="15"/>
      <c r="H32" s="15"/>
      <c r="I32" s="15"/>
      <c r="J32" s="15"/>
      <c r="K32" s="16" t="str">
        <f aca="false">IF(A32="","",F32+G32+H32+I32)</f>
        <v/>
      </c>
      <c r="L32" s="17" t="str">
        <f aca="false">IF(OR(K32="",E32=0,E32=""),"",K32/E32)</f>
        <v/>
      </c>
      <c r="M32" s="18" t="str">
        <f aca="false">IF(OR(A32="",E32=""),"",E32+ROW()/1000000)</f>
        <v/>
      </c>
    </row>
    <row r="33" customFormat="false" ht="15" hidden="false" customHeight="false" outlineLevel="0" collapsed="false">
      <c r="A33" s="12"/>
      <c r="B33" s="13"/>
      <c r="C33" s="13"/>
      <c r="D33" s="14"/>
      <c r="E33" s="15"/>
      <c r="F33" s="15"/>
      <c r="G33" s="15"/>
      <c r="H33" s="15"/>
      <c r="I33" s="15"/>
      <c r="J33" s="15"/>
      <c r="K33" s="16" t="str">
        <f aca="false">IF(A33="","",F33+G33+H33+I33)</f>
        <v/>
      </c>
      <c r="L33" s="17" t="str">
        <f aca="false">IF(OR(K33="",E33=0,E33=""),"",K33/E33)</f>
        <v/>
      </c>
      <c r="M33" s="18" t="str">
        <f aca="false">IF(OR(A33="",E33=""),"",E33+ROW()/1000000)</f>
        <v/>
      </c>
    </row>
    <row r="34" customFormat="false" ht="15" hidden="false" customHeight="false" outlineLevel="0" collapsed="false">
      <c r="A34" s="12"/>
      <c r="B34" s="13"/>
      <c r="C34" s="13"/>
      <c r="D34" s="14"/>
      <c r="E34" s="15"/>
      <c r="F34" s="15"/>
      <c r="G34" s="15"/>
      <c r="H34" s="15"/>
      <c r="I34" s="15"/>
      <c r="J34" s="15"/>
      <c r="K34" s="16" t="str">
        <f aca="false">IF(A34="","",F34+G34+H34+I34)</f>
        <v/>
      </c>
      <c r="L34" s="17" t="str">
        <f aca="false">IF(OR(K34="",E34=0,E34=""),"",K34/E34)</f>
        <v/>
      </c>
      <c r="M34" s="18" t="str">
        <f aca="false">IF(OR(A34="",E34=""),"",E34+ROW()/1000000)</f>
        <v/>
      </c>
    </row>
    <row r="35" customFormat="false" ht="15" hidden="false" customHeight="false" outlineLevel="0" collapsed="false">
      <c r="A35" s="12"/>
      <c r="B35" s="13"/>
      <c r="C35" s="13"/>
      <c r="D35" s="14"/>
      <c r="E35" s="15"/>
      <c r="F35" s="15"/>
      <c r="G35" s="15"/>
      <c r="H35" s="15"/>
      <c r="I35" s="15"/>
      <c r="J35" s="15"/>
      <c r="K35" s="16" t="str">
        <f aca="false">IF(A35="","",F35+G35+H35+I35)</f>
        <v/>
      </c>
      <c r="L35" s="17" t="str">
        <f aca="false">IF(OR(K35="",E35=0,E35=""),"",K35/E35)</f>
        <v/>
      </c>
      <c r="M35" s="18" t="str">
        <f aca="false">IF(OR(A35="",E35=""),"",E35+ROW()/1000000)</f>
        <v/>
      </c>
    </row>
    <row r="36" customFormat="false" ht="15" hidden="false" customHeight="false" outlineLevel="0" collapsed="false">
      <c r="A36" s="12"/>
      <c r="B36" s="13"/>
      <c r="C36" s="13"/>
      <c r="D36" s="14"/>
      <c r="E36" s="15"/>
      <c r="F36" s="15"/>
      <c r="G36" s="15"/>
      <c r="H36" s="15"/>
      <c r="I36" s="15"/>
      <c r="J36" s="15"/>
      <c r="K36" s="16" t="str">
        <f aca="false">IF(A36="","",F36+G36+H36+I36)</f>
        <v/>
      </c>
      <c r="L36" s="17" t="str">
        <f aca="false">IF(OR(K36="",E36=0,E36=""),"",K36/E36)</f>
        <v/>
      </c>
      <c r="M36" s="18" t="str">
        <f aca="false">IF(OR(A36="",E36=""),"",E36+ROW()/1000000)</f>
        <v/>
      </c>
    </row>
    <row r="37" customFormat="false" ht="15" hidden="false" customHeight="false" outlineLevel="0" collapsed="false">
      <c r="A37" s="12"/>
      <c r="B37" s="13"/>
      <c r="C37" s="13"/>
      <c r="D37" s="14"/>
      <c r="E37" s="15"/>
      <c r="F37" s="15"/>
      <c r="G37" s="15"/>
      <c r="H37" s="15"/>
      <c r="I37" s="15"/>
      <c r="J37" s="15"/>
      <c r="K37" s="16" t="str">
        <f aca="false">IF(A37="","",F37+G37+H37+I37)</f>
        <v/>
      </c>
      <c r="L37" s="17" t="str">
        <f aca="false">IF(OR(K37="",E37=0,E37=""),"",K37/E37)</f>
        <v/>
      </c>
      <c r="M37" s="18" t="str">
        <f aca="false">IF(OR(A37="",E37=""),"",E37+ROW()/1000000)</f>
        <v/>
      </c>
    </row>
    <row r="38" customFormat="false" ht="15" hidden="false" customHeight="false" outlineLevel="0" collapsed="false">
      <c r="A38" s="12"/>
      <c r="B38" s="13"/>
      <c r="C38" s="13"/>
      <c r="D38" s="14"/>
      <c r="E38" s="15"/>
      <c r="F38" s="15"/>
      <c r="G38" s="15"/>
      <c r="H38" s="15"/>
      <c r="I38" s="15"/>
      <c r="J38" s="15"/>
      <c r="K38" s="16" t="str">
        <f aca="false">IF(A38="","",F38+G38+H38+I38)</f>
        <v/>
      </c>
      <c r="L38" s="17" t="str">
        <f aca="false">IF(OR(K38="",E38=0,E38=""),"",K38/E38)</f>
        <v/>
      </c>
      <c r="M38" s="18" t="str">
        <f aca="false">IF(OR(A38="",E38=""),"",E38+ROW()/1000000)</f>
        <v/>
      </c>
    </row>
    <row r="39" customFormat="false" ht="15" hidden="false" customHeight="false" outlineLevel="0" collapsed="false">
      <c r="A39" s="12"/>
      <c r="B39" s="13"/>
      <c r="C39" s="13"/>
      <c r="D39" s="14"/>
      <c r="E39" s="15"/>
      <c r="F39" s="15"/>
      <c r="G39" s="15"/>
      <c r="H39" s="15"/>
      <c r="I39" s="15"/>
      <c r="J39" s="15"/>
      <c r="K39" s="16" t="str">
        <f aca="false">IF(A39="","",F39+G39+H39+I39)</f>
        <v/>
      </c>
      <c r="L39" s="17" t="str">
        <f aca="false">IF(OR(K39="",E39=0,E39=""),"",K39/E39)</f>
        <v/>
      </c>
      <c r="M39" s="18" t="str">
        <f aca="false">IF(OR(A39="",E39=""),"",E39+ROW()/1000000)</f>
        <v/>
      </c>
    </row>
    <row r="40" customFormat="false" ht="15" hidden="false" customHeight="false" outlineLevel="0" collapsed="false">
      <c r="A40" s="12"/>
      <c r="B40" s="13"/>
      <c r="C40" s="13"/>
      <c r="D40" s="14"/>
      <c r="E40" s="15"/>
      <c r="F40" s="15"/>
      <c r="G40" s="15"/>
      <c r="H40" s="15"/>
      <c r="I40" s="15"/>
      <c r="J40" s="15"/>
      <c r="K40" s="16" t="str">
        <f aca="false">IF(A40="","",F40+G40+H40+I40)</f>
        <v/>
      </c>
      <c r="L40" s="17" t="str">
        <f aca="false">IF(OR(K40="",E40=0,E40=""),"",K40/E40)</f>
        <v/>
      </c>
      <c r="M40" s="18" t="str">
        <f aca="false">IF(OR(A40="",E40=""),"",E40+ROW()/1000000)</f>
        <v/>
      </c>
    </row>
    <row r="41" customFormat="false" ht="15" hidden="false" customHeight="false" outlineLevel="0" collapsed="false">
      <c r="A41" s="12"/>
      <c r="B41" s="13"/>
      <c r="C41" s="13"/>
      <c r="D41" s="14"/>
      <c r="E41" s="15"/>
      <c r="F41" s="15"/>
      <c r="G41" s="15"/>
      <c r="H41" s="15"/>
      <c r="I41" s="15"/>
      <c r="J41" s="15"/>
      <c r="K41" s="16" t="str">
        <f aca="false">IF(A41="","",F41+G41+H41+I41)</f>
        <v/>
      </c>
      <c r="L41" s="17" t="str">
        <f aca="false">IF(OR(K41="",E41=0,E41=""),"",K41/E41)</f>
        <v/>
      </c>
      <c r="M41" s="18" t="str">
        <f aca="false">IF(OR(A41="",E41=""),"",E41+ROW()/1000000)</f>
        <v/>
      </c>
    </row>
    <row r="42" customFormat="false" ht="15" hidden="false" customHeight="false" outlineLevel="0" collapsed="false">
      <c r="A42" s="12"/>
      <c r="B42" s="13"/>
      <c r="C42" s="13"/>
      <c r="D42" s="14"/>
      <c r="E42" s="15"/>
      <c r="F42" s="15"/>
      <c r="G42" s="15"/>
      <c r="H42" s="15"/>
      <c r="I42" s="15"/>
      <c r="J42" s="15"/>
      <c r="K42" s="16" t="str">
        <f aca="false">IF(A42="","",F42+G42+H42+I42)</f>
        <v/>
      </c>
      <c r="L42" s="17" t="str">
        <f aca="false">IF(OR(K42="",E42=0,E42=""),"",K42/E42)</f>
        <v/>
      </c>
      <c r="M42" s="18" t="str">
        <f aca="false">IF(OR(A42="",E42=""),"",E42+ROW()/1000000)</f>
        <v/>
      </c>
    </row>
    <row r="43" customFormat="false" ht="15" hidden="false" customHeight="false" outlineLevel="0" collapsed="false">
      <c r="A43" s="12"/>
      <c r="B43" s="13"/>
      <c r="C43" s="13"/>
      <c r="D43" s="14"/>
      <c r="E43" s="15"/>
      <c r="F43" s="15"/>
      <c r="G43" s="15"/>
      <c r="H43" s="15"/>
      <c r="I43" s="15"/>
      <c r="J43" s="15"/>
      <c r="K43" s="16" t="str">
        <f aca="false">IF(A43="","",F43+G43+H43+I43)</f>
        <v/>
      </c>
      <c r="L43" s="17" t="str">
        <f aca="false">IF(OR(K43="",E43=0,E43=""),"",K43/E43)</f>
        <v/>
      </c>
      <c r="M43" s="18" t="str">
        <f aca="false">IF(OR(A43="",E43=""),"",E43+ROW()/1000000)</f>
        <v/>
      </c>
    </row>
    <row r="44" customFormat="false" ht="15" hidden="false" customHeight="false" outlineLevel="0" collapsed="false">
      <c r="A44" s="12"/>
      <c r="B44" s="13"/>
      <c r="C44" s="13"/>
      <c r="D44" s="14"/>
      <c r="E44" s="15"/>
      <c r="F44" s="15"/>
      <c r="G44" s="15"/>
      <c r="H44" s="15"/>
      <c r="I44" s="15"/>
      <c r="J44" s="15"/>
      <c r="K44" s="16" t="str">
        <f aca="false">IF(A44="","",F44+G44+H44+I44)</f>
        <v/>
      </c>
      <c r="L44" s="17" t="str">
        <f aca="false">IF(OR(K44="",E44=0,E44=""),"",K44/E44)</f>
        <v/>
      </c>
      <c r="M44" s="18" t="str">
        <f aca="false">IF(OR(A44="",E44=""),"",E44+ROW()/1000000)</f>
        <v/>
      </c>
    </row>
    <row r="45" customFormat="false" ht="15" hidden="false" customHeight="false" outlineLevel="0" collapsed="false">
      <c r="A45" s="12"/>
      <c r="B45" s="13"/>
      <c r="C45" s="13"/>
      <c r="D45" s="14"/>
      <c r="E45" s="15"/>
      <c r="F45" s="15"/>
      <c r="G45" s="15"/>
      <c r="H45" s="15"/>
      <c r="I45" s="15"/>
      <c r="J45" s="15"/>
      <c r="K45" s="16" t="str">
        <f aca="false">IF(A45="","",F45+G45+H45+I45)</f>
        <v/>
      </c>
      <c r="L45" s="17" t="str">
        <f aca="false">IF(OR(K45="",E45=0,E45=""),"",K45/E45)</f>
        <v/>
      </c>
      <c r="M45" s="18" t="str">
        <f aca="false">IF(OR(A45="",E45=""),"",E45+ROW()/1000000)</f>
        <v/>
      </c>
    </row>
    <row r="46" customFormat="false" ht="15" hidden="false" customHeight="false" outlineLevel="0" collapsed="false">
      <c r="A46" s="12"/>
      <c r="B46" s="13"/>
      <c r="C46" s="13"/>
      <c r="D46" s="14"/>
      <c r="E46" s="15"/>
      <c r="F46" s="15"/>
      <c r="G46" s="15"/>
      <c r="H46" s="15"/>
      <c r="I46" s="15"/>
      <c r="J46" s="15"/>
      <c r="K46" s="16" t="str">
        <f aca="false">IF(A46="","",F46+G46+H46+I46)</f>
        <v/>
      </c>
      <c r="L46" s="17" t="str">
        <f aca="false">IF(OR(K46="",E46=0,E46=""),"",K46/E46)</f>
        <v/>
      </c>
      <c r="M46" s="18" t="str">
        <f aca="false">IF(OR(A46="",E46=""),"",E46+ROW()/1000000)</f>
        <v/>
      </c>
    </row>
    <row r="47" customFormat="false" ht="15" hidden="false" customHeight="false" outlineLevel="0" collapsed="false">
      <c r="A47" s="12"/>
      <c r="B47" s="13"/>
      <c r="C47" s="13"/>
      <c r="D47" s="14"/>
      <c r="E47" s="15"/>
      <c r="F47" s="15"/>
      <c r="G47" s="15"/>
      <c r="H47" s="15"/>
      <c r="I47" s="15"/>
      <c r="J47" s="15"/>
      <c r="K47" s="16" t="str">
        <f aca="false">IF(A47="","",F47+G47+H47+I47)</f>
        <v/>
      </c>
      <c r="L47" s="17" t="str">
        <f aca="false">IF(OR(K47="",E47=0,E47=""),"",K47/E47)</f>
        <v/>
      </c>
      <c r="M47" s="18" t="str">
        <f aca="false">IF(OR(A47="",E47=""),"",E47+ROW()/1000000)</f>
        <v/>
      </c>
    </row>
    <row r="48" customFormat="false" ht="15" hidden="false" customHeight="false" outlineLevel="0" collapsed="false">
      <c r="A48" s="12"/>
      <c r="B48" s="13"/>
      <c r="C48" s="13"/>
      <c r="D48" s="14"/>
      <c r="E48" s="15"/>
      <c r="F48" s="15"/>
      <c r="G48" s="15"/>
      <c r="H48" s="15"/>
      <c r="I48" s="15"/>
      <c r="J48" s="15"/>
      <c r="K48" s="16" t="str">
        <f aca="false">IF(A48="","",F48+G48+H48+I48)</f>
        <v/>
      </c>
      <c r="L48" s="17" t="str">
        <f aca="false">IF(OR(K48="",E48=0,E48=""),"",K48/E48)</f>
        <v/>
      </c>
      <c r="M48" s="18" t="str">
        <f aca="false">IF(OR(A48="",E48=""),"",E48+ROW()/1000000)</f>
        <v/>
      </c>
    </row>
    <row r="49" customFormat="false" ht="15" hidden="false" customHeight="false" outlineLevel="0" collapsed="false">
      <c r="A49" s="12"/>
      <c r="B49" s="13"/>
      <c r="C49" s="13"/>
      <c r="D49" s="14"/>
      <c r="E49" s="15"/>
      <c r="F49" s="15"/>
      <c r="G49" s="15"/>
      <c r="H49" s="15"/>
      <c r="I49" s="15"/>
      <c r="J49" s="15"/>
      <c r="K49" s="16" t="str">
        <f aca="false">IF(A49="","",F49+G49+H49+I49)</f>
        <v/>
      </c>
      <c r="L49" s="17" t="str">
        <f aca="false">IF(OR(K49="",E49=0,E49=""),"",K49/E49)</f>
        <v/>
      </c>
      <c r="M49" s="18" t="str">
        <f aca="false">IF(OR(A49="",E49=""),"",E49+ROW()/1000000)</f>
        <v/>
      </c>
    </row>
    <row r="50" customFormat="false" ht="15" hidden="false" customHeight="false" outlineLevel="0" collapsed="false">
      <c r="A50" s="12"/>
      <c r="B50" s="13"/>
      <c r="C50" s="13"/>
      <c r="D50" s="14"/>
      <c r="E50" s="15"/>
      <c r="F50" s="15"/>
      <c r="G50" s="15"/>
      <c r="H50" s="15"/>
      <c r="I50" s="15"/>
      <c r="J50" s="15"/>
      <c r="K50" s="16" t="str">
        <f aca="false">IF(A50="","",F50+G50+H50+I50)</f>
        <v/>
      </c>
      <c r="L50" s="17" t="str">
        <f aca="false">IF(OR(K50="",E50=0,E50=""),"",K50/E50)</f>
        <v/>
      </c>
      <c r="M50" s="18" t="str">
        <f aca="false">IF(OR(A50="",E50=""),"",E50+ROW()/1000000)</f>
        <v/>
      </c>
    </row>
    <row r="51" customFormat="false" ht="15" hidden="false" customHeight="false" outlineLevel="0" collapsed="false">
      <c r="A51" s="12"/>
      <c r="B51" s="13"/>
      <c r="C51" s="13"/>
      <c r="D51" s="14"/>
      <c r="E51" s="15"/>
      <c r="F51" s="15"/>
      <c r="G51" s="15"/>
      <c r="H51" s="15"/>
      <c r="I51" s="15"/>
      <c r="J51" s="15"/>
      <c r="K51" s="16" t="str">
        <f aca="false">IF(A51="","",F51+G51+H51+I51)</f>
        <v/>
      </c>
      <c r="L51" s="17" t="str">
        <f aca="false">IF(OR(K51="",E51=0,E51=""),"",K51/E51)</f>
        <v/>
      </c>
      <c r="M51" s="18" t="str">
        <f aca="false">IF(OR(A51="",E51=""),"",E51+ROW()/1000000)</f>
        <v/>
      </c>
    </row>
    <row r="52" customFormat="false" ht="15" hidden="false" customHeight="false" outlineLevel="0" collapsed="false">
      <c r="A52" s="12"/>
      <c r="B52" s="13"/>
      <c r="C52" s="13"/>
      <c r="D52" s="14"/>
      <c r="E52" s="15"/>
      <c r="F52" s="15"/>
      <c r="G52" s="15"/>
      <c r="H52" s="15"/>
      <c r="I52" s="15"/>
      <c r="J52" s="15"/>
      <c r="K52" s="16" t="str">
        <f aca="false">IF(A52="","",F52+G52+H52+I52)</f>
        <v/>
      </c>
      <c r="L52" s="17" t="str">
        <f aca="false">IF(OR(K52="",E52=0,E52=""),"",K52/E52)</f>
        <v/>
      </c>
      <c r="M52" s="18" t="str">
        <f aca="false">IF(OR(A52="",E52=""),"",E52+ROW()/1000000)</f>
        <v/>
      </c>
    </row>
    <row r="53" customFormat="false" ht="15" hidden="false" customHeight="false" outlineLevel="0" collapsed="false">
      <c r="A53" s="12"/>
      <c r="B53" s="13"/>
      <c r="C53" s="13"/>
      <c r="D53" s="14"/>
      <c r="E53" s="15"/>
      <c r="F53" s="15"/>
      <c r="G53" s="15"/>
      <c r="H53" s="15"/>
      <c r="I53" s="15"/>
      <c r="J53" s="15"/>
      <c r="K53" s="16" t="str">
        <f aca="false">IF(A53="","",F53+G53+H53+I53)</f>
        <v/>
      </c>
      <c r="L53" s="17" t="str">
        <f aca="false">IF(OR(K53="",E53=0,E53=""),"",K53/E53)</f>
        <v/>
      </c>
      <c r="M53" s="18" t="str">
        <f aca="false">IF(OR(A53="",E53=""),"",E53+ROW()/1000000)</f>
        <v/>
      </c>
    </row>
    <row r="54" customFormat="false" ht="15" hidden="false" customHeight="false" outlineLevel="0" collapsed="false">
      <c r="A54" s="12"/>
      <c r="B54" s="13"/>
      <c r="C54" s="13"/>
      <c r="D54" s="14"/>
      <c r="E54" s="15"/>
      <c r="F54" s="15"/>
      <c r="G54" s="15"/>
      <c r="H54" s="15"/>
      <c r="I54" s="15"/>
      <c r="J54" s="15"/>
      <c r="K54" s="16" t="str">
        <f aca="false">IF(A54="","",F54+G54+H54+I54)</f>
        <v/>
      </c>
      <c r="L54" s="17" t="str">
        <f aca="false">IF(OR(K54="",E54=0,E54=""),"",K54/E54)</f>
        <v/>
      </c>
      <c r="M54" s="18" t="str">
        <f aca="false">IF(OR(A54="",E54=""),"",E54+ROW()/1000000)</f>
        <v/>
      </c>
    </row>
    <row r="55" customFormat="false" ht="15" hidden="false" customHeight="false" outlineLevel="0" collapsed="false">
      <c r="A55" s="12"/>
      <c r="B55" s="13"/>
      <c r="C55" s="13"/>
      <c r="D55" s="14"/>
      <c r="E55" s="15"/>
      <c r="F55" s="15"/>
      <c r="G55" s="15"/>
      <c r="H55" s="15"/>
      <c r="I55" s="15"/>
      <c r="J55" s="15"/>
      <c r="K55" s="16" t="str">
        <f aca="false">IF(A55="","",F55+G55+H55+I55)</f>
        <v/>
      </c>
      <c r="L55" s="17" t="str">
        <f aca="false">IF(OR(K55="",E55=0,E55=""),"",K55/E55)</f>
        <v/>
      </c>
      <c r="M55" s="18" t="str">
        <f aca="false">IF(OR(A55="",E55=""),"",E55+ROW()/1000000)</f>
        <v/>
      </c>
    </row>
    <row r="56" customFormat="false" ht="15" hidden="false" customHeight="false" outlineLevel="0" collapsed="false">
      <c r="A56" s="12"/>
      <c r="B56" s="13"/>
      <c r="C56" s="13"/>
      <c r="D56" s="14"/>
      <c r="E56" s="15"/>
      <c r="F56" s="15"/>
      <c r="G56" s="15"/>
      <c r="H56" s="15"/>
      <c r="I56" s="15"/>
      <c r="J56" s="15"/>
      <c r="K56" s="16" t="str">
        <f aca="false">IF(A56="","",F56+G56+H56+I56)</f>
        <v/>
      </c>
      <c r="L56" s="17" t="str">
        <f aca="false">IF(OR(K56="",E56=0,E56=""),"",K56/E56)</f>
        <v/>
      </c>
      <c r="M56" s="18" t="str">
        <f aca="false">IF(OR(A56="",E56=""),"",E56+ROW()/1000000)</f>
        <v/>
      </c>
    </row>
    <row r="57" customFormat="false" ht="15" hidden="false" customHeight="false" outlineLevel="0" collapsed="false">
      <c r="A57" s="12"/>
      <c r="B57" s="13"/>
      <c r="C57" s="13"/>
      <c r="D57" s="14"/>
      <c r="E57" s="15"/>
      <c r="F57" s="15"/>
      <c r="G57" s="15"/>
      <c r="H57" s="15"/>
      <c r="I57" s="15"/>
      <c r="J57" s="15"/>
      <c r="K57" s="16" t="str">
        <f aca="false">IF(A57="","",F57+G57+H57+I57)</f>
        <v/>
      </c>
      <c r="L57" s="17" t="str">
        <f aca="false">IF(OR(K57="",E57=0,E57=""),"",K57/E57)</f>
        <v/>
      </c>
      <c r="M57" s="18" t="str">
        <f aca="false">IF(OR(A57="",E57=""),"",E57+ROW()/1000000)</f>
        <v/>
      </c>
    </row>
    <row r="58" customFormat="false" ht="15" hidden="false" customHeight="false" outlineLevel="0" collapsed="false">
      <c r="A58" s="12"/>
      <c r="B58" s="13"/>
      <c r="C58" s="13"/>
      <c r="D58" s="14"/>
      <c r="E58" s="15"/>
      <c r="F58" s="15"/>
      <c r="G58" s="15"/>
      <c r="H58" s="15"/>
      <c r="I58" s="15"/>
      <c r="J58" s="15"/>
      <c r="K58" s="16" t="str">
        <f aca="false">IF(A58="","",F58+G58+H58+I58)</f>
        <v/>
      </c>
      <c r="L58" s="17" t="str">
        <f aca="false">IF(OR(K58="",E58=0,E58=""),"",K58/E58)</f>
        <v/>
      </c>
      <c r="M58" s="18" t="str">
        <f aca="false">IF(OR(A58="",E58=""),"",E58+ROW()/1000000)</f>
        <v/>
      </c>
    </row>
    <row r="59" customFormat="false" ht="15" hidden="false" customHeight="false" outlineLevel="0" collapsed="false">
      <c r="A59" s="12"/>
      <c r="B59" s="13"/>
      <c r="C59" s="13"/>
      <c r="D59" s="14"/>
      <c r="E59" s="15"/>
      <c r="F59" s="15"/>
      <c r="G59" s="15"/>
      <c r="H59" s="15"/>
      <c r="I59" s="15"/>
      <c r="J59" s="15"/>
      <c r="K59" s="16" t="str">
        <f aca="false">IF(A59="","",F59+G59+H59+I59)</f>
        <v/>
      </c>
      <c r="L59" s="17" t="str">
        <f aca="false">IF(OR(K59="",E59=0,E59=""),"",K59/E59)</f>
        <v/>
      </c>
      <c r="M59" s="18" t="str">
        <f aca="false">IF(OR(A59="",E59=""),"",E59+ROW()/1000000)</f>
        <v/>
      </c>
    </row>
    <row r="60" customFormat="false" ht="15" hidden="false" customHeight="false" outlineLevel="0" collapsed="false">
      <c r="A60" s="12"/>
      <c r="B60" s="13"/>
      <c r="C60" s="13"/>
      <c r="D60" s="14"/>
      <c r="E60" s="15"/>
      <c r="F60" s="15"/>
      <c r="G60" s="15"/>
      <c r="H60" s="15"/>
      <c r="I60" s="15"/>
      <c r="J60" s="15"/>
      <c r="K60" s="16" t="str">
        <f aca="false">IF(A60="","",F60+G60+H60+I60)</f>
        <v/>
      </c>
      <c r="L60" s="17" t="str">
        <f aca="false">IF(OR(K60="",E60=0,E60=""),"",K60/E60)</f>
        <v/>
      </c>
      <c r="M60" s="18" t="str">
        <f aca="false">IF(OR(A60="",E60=""),"",E60+ROW()/1000000)</f>
        <v/>
      </c>
    </row>
    <row r="61" customFormat="false" ht="15" hidden="false" customHeight="false" outlineLevel="0" collapsed="false">
      <c r="A61" s="12"/>
      <c r="B61" s="13"/>
      <c r="C61" s="13"/>
      <c r="D61" s="14"/>
      <c r="E61" s="15"/>
      <c r="F61" s="15"/>
      <c r="G61" s="15"/>
      <c r="H61" s="15"/>
      <c r="I61" s="15"/>
      <c r="J61" s="15"/>
      <c r="K61" s="16" t="str">
        <f aca="false">IF(A61="","",F61+G61+H61+I61)</f>
        <v/>
      </c>
      <c r="L61" s="17" t="str">
        <f aca="false">IF(OR(K61="",E61=0,E61=""),"",K61/E61)</f>
        <v/>
      </c>
      <c r="M61" s="18" t="str">
        <f aca="false">IF(OR(A61="",E61=""),"",E61+ROW()/1000000)</f>
        <v/>
      </c>
    </row>
    <row r="62" customFormat="false" ht="15" hidden="false" customHeight="false" outlineLevel="0" collapsed="false">
      <c r="A62" s="12"/>
      <c r="B62" s="13"/>
      <c r="C62" s="13"/>
      <c r="D62" s="14"/>
      <c r="E62" s="15"/>
      <c r="F62" s="15"/>
      <c r="G62" s="15"/>
      <c r="H62" s="15"/>
      <c r="I62" s="15"/>
      <c r="J62" s="15"/>
      <c r="K62" s="16" t="str">
        <f aca="false">IF(A62="","",F62+G62+H62+I62)</f>
        <v/>
      </c>
      <c r="L62" s="17" t="str">
        <f aca="false">IF(OR(K62="",E62=0,E62=""),"",K62/E62)</f>
        <v/>
      </c>
      <c r="M62" s="18" t="str">
        <f aca="false">IF(OR(A62="",E62=""),"",E62+ROW()/1000000)</f>
        <v/>
      </c>
    </row>
    <row r="63" customFormat="false" ht="15" hidden="false" customHeight="false" outlineLevel="0" collapsed="false">
      <c r="A63" s="12"/>
      <c r="B63" s="13"/>
      <c r="C63" s="13"/>
      <c r="D63" s="14"/>
      <c r="E63" s="15"/>
      <c r="F63" s="15"/>
      <c r="G63" s="15"/>
      <c r="H63" s="15"/>
      <c r="I63" s="15"/>
      <c r="J63" s="15"/>
      <c r="K63" s="16" t="str">
        <f aca="false">IF(A63="","",F63+G63+H63+I63)</f>
        <v/>
      </c>
      <c r="L63" s="17" t="str">
        <f aca="false">IF(OR(K63="",E63=0,E63=""),"",K63/E63)</f>
        <v/>
      </c>
      <c r="M63" s="18" t="str">
        <f aca="false">IF(OR(A63="",E63=""),"",E63+ROW()/1000000)</f>
        <v/>
      </c>
    </row>
    <row r="64" customFormat="false" ht="15" hidden="false" customHeight="false" outlineLevel="0" collapsed="false">
      <c r="A64" s="12"/>
      <c r="B64" s="13"/>
      <c r="C64" s="13"/>
      <c r="D64" s="14"/>
      <c r="E64" s="15"/>
      <c r="F64" s="15"/>
      <c r="G64" s="15"/>
      <c r="H64" s="15"/>
      <c r="I64" s="15"/>
      <c r="J64" s="15"/>
      <c r="K64" s="16" t="str">
        <f aca="false">IF(A64="","",F64+G64+H64+I64)</f>
        <v/>
      </c>
      <c r="L64" s="17" t="str">
        <f aca="false">IF(OR(K64="",E64=0,E64=""),"",K64/E64)</f>
        <v/>
      </c>
      <c r="M64" s="18" t="str">
        <f aca="false">IF(OR(A64="",E64=""),"",E64+ROW()/1000000)</f>
        <v/>
      </c>
    </row>
    <row r="65" customFormat="false" ht="15" hidden="false" customHeight="false" outlineLevel="0" collapsed="false">
      <c r="A65" s="12"/>
      <c r="B65" s="13"/>
      <c r="C65" s="13"/>
      <c r="D65" s="14"/>
      <c r="E65" s="15"/>
      <c r="F65" s="15"/>
      <c r="G65" s="15"/>
      <c r="H65" s="15"/>
      <c r="I65" s="15"/>
      <c r="J65" s="15"/>
      <c r="K65" s="16" t="str">
        <f aca="false">IF(A65="","",F65+G65+H65+I65)</f>
        <v/>
      </c>
      <c r="L65" s="17" t="str">
        <f aca="false">IF(OR(K65="",E65=0,E65=""),"",K65/E65)</f>
        <v/>
      </c>
      <c r="M65" s="18" t="str">
        <f aca="false">IF(OR(A65="",E65=""),"",E65+ROW()/1000000)</f>
        <v/>
      </c>
    </row>
    <row r="66" customFormat="false" ht="15" hidden="false" customHeight="false" outlineLevel="0" collapsed="false">
      <c r="A66" s="12"/>
      <c r="B66" s="13"/>
      <c r="C66" s="13"/>
      <c r="D66" s="14"/>
      <c r="E66" s="15"/>
      <c r="F66" s="15"/>
      <c r="G66" s="15"/>
      <c r="H66" s="15"/>
      <c r="I66" s="15"/>
      <c r="J66" s="15"/>
      <c r="K66" s="16" t="str">
        <f aca="false">IF(A66="","",F66+G66+H66+I66)</f>
        <v/>
      </c>
      <c r="L66" s="17" t="str">
        <f aca="false">IF(OR(K66="",E66=0,E66=""),"",K66/E66)</f>
        <v/>
      </c>
      <c r="M66" s="18" t="str">
        <f aca="false">IF(OR(A66="",E66=""),"",E66+ROW()/1000000)</f>
        <v/>
      </c>
    </row>
    <row r="67" customFormat="false" ht="15" hidden="false" customHeight="false" outlineLevel="0" collapsed="false">
      <c r="A67" s="12"/>
      <c r="B67" s="13"/>
      <c r="C67" s="13"/>
      <c r="D67" s="14"/>
      <c r="E67" s="15"/>
      <c r="F67" s="15"/>
      <c r="G67" s="15"/>
      <c r="H67" s="15"/>
      <c r="I67" s="15"/>
      <c r="J67" s="15"/>
      <c r="K67" s="16" t="str">
        <f aca="false">IF(A67="","",F67+G67+H67+I67)</f>
        <v/>
      </c>
      <c r="L67" s="17" t="str">
        <f aca="false">IF(OR(K67="",E67=0,E67=""),"",K67/E67)</f>
        <v/>
      </c>
      <c r="M67" s="18" t="str">
        <f aca="false">IF(OR(A67="",E67=""),"",E67+ROW()/1000000)</f>
        <v/>
      </c>
    </row>
    <row r="68" customFormat="false" ht="15" hidden="false" customHeight="false" outlineLevel="0" collapsed="false">
      <c r="A68" s="12"/>
      <c r="B68" s="13"/>
      <c r="C68" s="13"/>
      <c r="D68" s="14"/>
      <c r="E68" s="15"/>
      <c r="F68" s="15"/>
      <c r="G68" s="15"/>
      <c r="H68" s="15"/>
      <c r="I68" s="15"/>
      <c r="J68" s="15"/>
      <c r="K68" s="16" t="str">
        <f aca="false">IF(A68="","",F68+G68+H68+I68)</f>
        <v/>
      </c>
      <c r="L68" s="17" t="str">
        <f aca="false">IF(OR(K68="",E68=0,E68=""),"",K68/E68)</f>
        <v/>
      </c>
      <c r="M68" s="18" t="str">
        <f aca="false">IF(OR(A68="",E68=""),"",E68+ROW()/1000000)</f>
        <v/>
      </c>
    </row>
    <row r="69" customFormat="false" ht="15" hidden="false" customHeight="false" outlineLevel="0" collapsed="false">
      <c r="A69" s="12"/>
      <c r="B69" s="13"/>
      <c r="C69" s="13"/>
      <c r="D69" s="14"/>
      <c r="E69" s="15"/>
      <c r="F69" s="15"/>
      <c r="G69" s="15"/>
      <c r="H69" s="15"/>
      <c r="I69" s="15"/>
      <c r="J69" s="15"/>
      <c r="K69" s="16" t="str">
        <f aca="false">IF(A69="","",F69+G69+H69+I69)</f>
        <v/>
      </c>
      <c r="L69" s="17" t="str">
        <f aca="false">IF(OR(K69="",E69=0,E69=""),"",K69/E69)</f>
        <v/>
      </c>
      <c r="M69" s="18" t="str">
        <f aca="false">IF(OR(A69="",E69=""),"",E69+ROW()/1000000)</f>
        <v/>
      </c>
    </row>
    <row r="70" customFormat="false" ht="15" hidden="false" customHeight="false" outlineLevel="0" collapsed="false">
      <c r="A70" s="12"/>
      <c r="B70" s="13"/>
      <c r="C70" s="13"/>
      <c r="D70" s="14"/>
      <c r="E70" s="15"/>
      <c r="F70" s="15"/>
      <c r="G70" s="15"/>
      <c r="H70" s="15"/>
      <c r="I70" s="15"/>
      <c r="J70" s="15"/>
      <c r="K70" s="16" t="str">
        <f aca="false">IF(A70="","",F70+G70+H70+I70)</f>
        <v/>
      </c>
      <c r="L70" s="17" t="str">
        <f aca="false">IF(OR(K70="",E70=0,E70=""),"",K70/E70)</f>
        <v/>
      </c>
      <c r="M70" s="18" t="str">
        <f aca="false">IF(OR(A70="",E70=""),"",E70+ROW()/1000000)</f>
        <v/>
      </c>
    </row>
    <row r="71" customFormat="false" ht="15" hidden="false" customHeight="false" outlineLevel="0" collapsed="false">
      <c r="A71" s="12"/>
      <c r="B71" s="13"/>
      <c r="C71" s="13"/>
      <c r="D71" s="14"/>
      <c r="E71" s="15"/>
      <c r="F71" s="15"/>
      <c r="G71" s="15"/>
      <c r="H71" s="15"/>
      <c r="I71" s="15"/>
      <c r="J71" s="15"/>
      <c r="K71" s="16" t="str">
        <f aca="false">IF(A71="","",F71+G71+H71+I71)</f>
        <v/>
      </c>
      <c r="L71" s="17" t="str">
        <f aca="false">IF(OR(K71="",E71=0,E71=""),"",K71/E71)</f>
        <v/>
      </c>
      <c r="M71" s="18" t="str">
        <f aca="false">IF(OR(A71="",E71=""),"",E71+ROW()/1000000)</f>
        <v/>
      </c>
    </row>
    <row r="72" customFormat="false" ht="15" hidden="false" customHeight="false" outlineLevel="0" collapsed="false">
      <c r="A72" s="12"/>
      <c r="B72" s="13"/>
      <c r="C72" s="13"/>
      <c r="D72" s="14"/>
      <c r="E72" s="15"/>
      <c r="F72" s="15"/>
      <c r="G72" s="15"/>
      <c r="H72" s="15"/>
      <c r="I72" s="15"/>
      <c r="J72" s="15"/>
      <c r="K72" s="16" t="str">
        <f aca="false">IF(A72="","",F72+G72+H72+I72)</f>
        <v/>
      </c>
      <c r="L72" s="17" t="str">
        <f aca="false">IF(OR(K72="",E72=0,E72=""),"",K72/E72)</f>
        <v/>
      </c>
      <c r="M72" s="18" t="str">
        <f aca="false">IF(OR(A72="",E72=""),"",E72+ROW()/1000000)</f>
        <v/>
      </c>
    </row>
    <row r="73" customFormat="false" ht="15" hidden="false" customHeight="false" outlineLevel="0" collapsed="false">
      <c r="A73" s="12"/>
      <c r="B73" s="13"/>
      <c r="C73" s="13"/>
      <c r="D73" s="14"/>
      <c r="E73" s="15"/>
      <c r="F73" s="15"/>
      <c r="G73" s="15"/>
      <c r="H73" s="15"/>
      <c r="I73" s="15"/>
      <c r="J73" s="15"/>
      <c r="K73" s="16" t="str">
        <f aca="false">IF(A73="","",F73+G73+H73+I73)</f>
        <v/>
      </c>
      <c r="L73" s="17" t="str">
        <f aca="false">IF(OR(K73="",E73=0,E73=""),"",K73/E73)</f>
        <v/>
      </c>
      <c r="M73" s="18" t="str">
        <f aca="false">IF(OR(A73="",E73=""),"",E73+ROW()/1000000)</f>
        <v/>
      </c>
    </row>
    <row r="74" customFormat="false" ht="15" hidden="false" customHeight="false" outlineLevel="0" collapsed="false">
      <c r="A74" s="12"/>
      <c r="B74" s="13"/>
      <c r="C74" s="13"/>
      <c r="D74" s="14"/>
      <c r="E74" s="15"/>
      <c r="F74" s="15"/>
      <c r="G74" s="15"/>
      <c r="H74" s="15"/>
      <c r="I74" s="15"/>
      <c r="J74" s="15"/>
      <c r="K74" s="16" t="str">
        <f aca="false">IF(A74="","",F74+G74+H74+I74)</f>
        <v/>
      </c>
      <c r="L74" s="17" t="str">
        <f aca="false">IF(OR(K74="",E74=0,E74=""),"",K74/E74)</f>
        <v/>
      </c>
      <c r="M74" s="18" t="str">
        <f aca="false">IF(OR(A74="",E74=""),"",E74+ROW()/1000000)</f>
        <v/>
      </c>
    </row>
    <row r="75" customFormat="false" ht="15" hidden="false" customHeight="false" outlineLevel="0" collapsed="false">
      <c r="A75" s="12"/>
      <c r="B75" s="13"/>
      <c r="C75" s="13"/>
      <c r="D75" s="14"/>
      <c r="E75" s="15"/>
      <c r="F75" s="15"/>
      <c r="G75" s="15"/>
      <c r="H75" s="15"/>
      <c r="I75" s="15"/>
      <c r="J75" s="15"/>
      <c r="K75" s="16" t="str">
        <f aca="false">IF(A75="","",F75+G75+H75+I75)</f>
        <v/>
      </c>
      <c r="L75" s="17" t="str">
        <f aca="false">IF(OR(K75="",E75=0,E75=""),"",K75/E75)</f>
        <v/>
      </c>
      <c r="M75" s="18" t="str">
        <f aca="false">IF(OR(A75="",E75=""),"",E75+ROW()/1000000)</f>
        <v/>
      </c>
    </row>
    <row r="76" customFormat="false" ht="15" hidden="false" customHeight="false" outlineLevel="0" collapsed="false">
      <c r="A76" s="12"/>
      <c r="B76" s="13"/>
      <c r="C76" s="13"/>
      <c r="D76" s="14"/>
      <c r="E76" s="15"/>
      <c r="F76" s="15"/>
      <c r="G76" s="15"/>
      <c r="H76" s="15"/>
      <c r="I76" s="15"/>
      <c r="J76" s="15"/>
      <c r="K76" s="16" t="str">
        <f aca="false">IF(A76="","",F76+G76+H76+I76)</f>
        <v/>
      </c>
      <c r="L76" s="17" t="str">
        <f aca="false">IF(OR(K76="",E76=0,E76=""),"",K76/E76)</f>
        <v/>
      </c>
      <c r="M76" s="18" t="str">
        <f aca="false">IF(OR(A76="",E76=""),"",E76+ROW()/1000000)</f>
        <v/>
      </c>
    </row>
    <row r="77" customFormat="false" ht="15" hidden="false" customHeight="false" outlineLevel="0" collapsed="false">
      <c r="A77" s="12"/>
      <c r="B77" s="13"/>
      <c r="C77" s="13"/>
      <c r="D77" s="14"/>
      <c r="E77" s="15"/>
      <c r="F77" s="15"/>
      <c r="G77" s="15"/>
      <c r="H77" s="15"/>
      <c r="I77" s="15"/>
      <c r="J77" s="15"/>
      <c r="K77" s="16" t="str">
        <f aca="false">IF(A77="","",F77+G77+H77+I77)</f>
        <v/>
      </c>
      <c r="L77" s="17" t="str">
        <f aca="false">IF(OR(K77="",E77=0,E77=""),"",K77/E77)</f>
        <v/>
      </c>
      <c r="M77" s="18" t="str">
        <f aca="false">IF(OR(A77="",E77=""),"",E77+ROW()/1000000)</f>
        <v/>
      </c>
    </row>
    <row r="78" customFormat="false" ht="15" hidden="false" customHeight="false" outlineLevel="0" collapsed="false">
      <c r="A78" s="12"/>
      <c r="B78" s="13"/>
      <c r="C78" s="13"/>
      <c r="D78" s="14"/>
      <c r="E78" s="15"/>
      <c r="F78" s="15"/>
      <c r="G78" s="15"/>
      <c r="H78" s="15"/>
      <c r="I78" s="15"/>
      <c r="J78" s="15"/>
      <c r="K78" s="16" t="str">
        <f aca="false">IF(A78="","",F78+G78+H78+I78)</f>
        <v/>
      </c>
      <c r="L78" s="17" t="str">
        <f aca="false">IF(OR(K78="",E78=0,E78=""),"",K78/E78)</f>
        <v/>
      </c>
      <c r="M78" s="18" t="str">
        <f aca="false">IF(OR(A78="",E78=""),"",E78+ROW()/1000000)</f>
        <v/>
      </c>
    </row>
    <row r="79" customFormat="false" ht="15" hidden="false" customHeight="false" outlineLevel="0" collapsed="false">
      <c r="A79" s="12"/>
      <c r="B79" s="13"/>
      <c r="C79" s="13"/>
      <c r="D79" s="14"/>
      <c r="E79" s="15"/>
      <c r="F79" s="15"/>
      <c r="G79" s="15"/>
      <c r="H79" s="15"/>
      <c r="I79" s="15"/>
      <c r="J79" s="15"/>
      <c r="K79" s="16" t="str">
        <f aca="false">IF(A79="","",F79+G79+H79+I79)</f>
        <v/>
      </c>
      <c r="L79" s="17" t="str">
        <f aca="false">IF(OR(K79="",E79=0,E79=""),"",K79/E79)</f>
        <v/>
      </c>
      <c r="M79" s="18" t="str">
        <f aca="false">IF(OR(A79="",E79=""),"",E79+ROW()/1000000)</f>
        <v/>
      </c>
    </row>
    <row r="80" customFormat="false" ht="15" hidden="false" customHeight="false" outlineLevel="0" collapsed="false">
      <c r="A80" s="12"/>
      <c r="B80" s="13"/>
      <c r="C80" s="13"/>
      <c r="D80" s="14"/>
      <c r="E80" s="15"/>
      <c r="F80" s="15"/>
      <c r="G80" s="15"/>
      <c r="H80" s="15"/>
      <c r="I80" s="15"/>
      <c r="J80" s="15"/>
      <c r="K80" s="16" t="str">
        <f aca="false">IF(A80="","",F80+G80+H80+I80)</f>
        <v/>
      </c>
      <c r="L80" s="17" t="str">
        <f aca="false">IF(OR(K80="",E80=0,E80=""),"",K80/E80)</f>
        <v/>
      </c>
      <c r="M80" s="18" t="str">
        <f aca="false">IF(OR(A80="",E80=""),"",E80+ROW()/1000000)</f>
        <v/>
      </c>
    </row>
    <row r="81" customFormat="false" ht="15" hidden="false" customHeight="false" outlineLevel="0" collapsed="false">
      <c r="A81" s="12"/>
      <c r="B81" s="13"/>
      <c r="C81" s="13"/>
      <c r="D81" s="14"/>
      <c r="E81" s="15"/>
      <c r="F81" s="15"/>
      <c r="G81" s="15"/>
      <c r="H81" s="15"/>
      <c r="I81" s="15"/>
      <c r="J81" s="15"/>
      <c r="K81" s="16" t="str">
        <f aca="false">IF(A81="","",F81+G81+H81+I81)</f>
        <v/>
      </c>
      <c r="L81" s="17" t="str">
        <f aca="false">IF(OR(K81="",E81=0,E81=""),"",K81/E81)</f>
        <v/>
      </c>
      <c r="M81" s="18" t="str">
        <f aca="false">IF(OR(A81="",E81=""),"",E81+ROW()/1000000)</f>
        <v/>
      </c>
    </row>
    <row r="82" customFormat="false" ht="15" hidden="false" customHeight="false" outlineLevel="0" collapsed="false">
      <c r="A82" s="12"/>
      <c r="B82" s="13"/>
      <c r="C82" s="13"/>
      <c r="D82" s="14"/>
      <c r="E82" s="15"/>
      <c r="F82" s="15"/>
      <c r="G82" s="15"/>
      <c r="H82" s="15"/>
      <c r="I82" s="15"/>
      <c r="J82" s="15"/>
      <c r="K82" s="16" t="str">
        <f aca="false">IF(A82="","",F82+G82+H82+I82)</f>
        <v/>
      </c>
      <c r="L82" s="17" t="str">
        <f aca="false">IF(OR(K82="",E82=0,E82=""),"",K82/E82)</f>
        <v/>
      </c>
      <c r="M82" s="18" t="str">
        <f aca="false">IF(OR(A82="",E82=""),"",E82+ROW()/1000000)</f>
        <v/>
      </c>
    </row>
    <row r="83" customFormat="false" ht="15" hidden="false" customHeight="false" outlineLevel="0" collapsed="false">
      <c r="A83" s="12"/>
      <c r="B83" s="13"/>
      <c r="C83" s="13"/>
      <c r="D83" s="14"/>
      <c r="E83" s="15"/>
      <c r="F83" s="15"/>
      <c r="G83" s="15"/>
      <c r="H83" s="15"/>
      <c r="I83" s="15"/>
      <c r="J83" s="15"/>
      <c r="K83" s="16" t="str">
        <f aca="false">IF(A83="","",F83+G83+H83+I83)</f>
        <v/>
      </c>
      <c r="L83" s="17" t="str">
        <f aca="false">IF(OR(K83="",E83=0,E83=""),"",K83/E83)</f>
        <v/>
      </c>
      <c r="M83" s="18" t="str">
        <f aca="false">IF(OR(A83="",E83=""),"",E83+ROW()/1000000)</f>
        <v/>
      </c>
    </row>
    <row r="84" customFormat="false" ht="15" hidden="false" customHeight="false" outlineLevel="0" collapsed="false">
      <c r="A84" s="12"/>
      <c r="B84" s="13"/>
      <c r="C84" s="13"/>
      <c r="D84" s="14"/>
      <c r="E84" s="15"/>
      <c r="F84" s="15"/>
      <c r="G84" s="15"/>
      <c r="H84" s="15"/>
      <c r="I84" s="15"/>
      <c r="J84" s="15"/>
      <c r="K84" s="16" t="str">
        <f aca="false">IF(A84="","",F84+G84+H84+I84)</f>
        <v/>
      </c>
      <c r="L84" s="17" t="str">
        <f aca="false">IF(OR(K84="",E84=0,E84=""),"",K84/E84)</f>
        <v/>
      </c>
      <c r="M84" s="18" t="str">
        <f aca="false">IF(OR(A84="",E84=""),"",E84+ROW()/1000000)</f>
        <v/>
      </c>
    </row>
    <row r="85" customFormat="false" ht="15" hidden="false" customHeight="false" outlineLevel="0" collapsed="false">
      <c r="A85" s="12"/>
      <c r="B85" s="13"/>
      <c r="C85" s="13"/>
      <c r="D85" s="14"/>
      <c r="E85" s="15"/>
      <c r="F85" s="15"/>
      <c r="G85" s="15"/>
      <c r="H85" s="15"/>
      <c r="I85" s="15"/>
      <c r="J85" s="15"/>
      <c r="K85" s="16" t="str">
        <f aca="false">IF(A85="","",F85+G85+H85+I85)</f>
        <v/>
      </c>
      <c r="L85" s="17" t="str">
        <f aca="false">IF(OR(K85="",E85=0,E85=""),"",K85/E85)</f>
        <v/>
      </c>
      <c r="M85" s="18" t="str">
        <f aca="false">IF(OR(A85="",E85=""),"",E85+ROW()/1000000)</f>
        <v/>
      </c>
    </row>
    <row r="86" customFormat="false" ht="15" hidden="false" customHeight="false" outlineLevel="0" collapsed="false">
      <c r="A86" s="12"/>
      <c r="B86" s="13"/>
      <c r="C86" s="13"/>
      <c r="D86" s="14"/>
      <c r="E86" s="15"/>
      <c r="F86" s="15"/>
      <c r="G86" s="15"/>
      <c r="H86" s="15"/>
      <c r="I86" s="15"/>
      <c r="J86" s="15"/>
      <c r="K86" s="16" t="str">
        <f aca="false">IF(A86="","",F86+G86+H86+I86)</f>
        <v/>
      </c>
      <c r="L86" s="17" t="str">
        <f aca="false">IF(OR(K86="",E86=0,E86=""),"",K86/E86)</f>
        <v/>
      </c>
      <c r="M86" s="18" t="str">
        <f aca="false">IF(OR(A86="",E86=""),"",E86+ROW()/1000000)</f>
        <v/>
      </c>
    </row>
    <row r="87" customFormat="false" ht="15" hidden="false" customHeight="false" outlineLevel="0" collapsed="false">
      <c r="A87" s="12"/>
      <c r="B87" s="13"/>
      <c r="C87" s="13"/>
      <c r="D87" s="14"/>
      <c r="E87" s="15"/>
      <c r="F87" s="15"/>
      <c r="G87" s="15"/>
      <c r="H87" s="15"/>
      <c r="I87" s="15"/>
      <c r="J87" s="15"/>
      <c r="K87" s="16" t="str">
        <f aca="false">IF(A87="","",F87+G87+H87+I87)</f>
        <v/>
      </c>
      <c r="L87" s="17" t="str">
        <f aca="false">IF(OR(K87="",E87=0,E87=""),"",K87/E87)</f>
        <v/>
      </c>
      <c r="M87" s="18" t="str">
        <f aca="false">IF(OR(A87="",E87=""),"",E87+ROW()/1000000)</f>
        <v/>
      </c>
    </row>
    <row r="88" customFormat="false" ht="15" hidden="false" customHeight="false" outlineLevel="0" collapsed="false">
      <c r="A88" s="12"/>
      <c r="B88" s="13"/>
      <c r="C88" s="13"/>
      <c r="D88" s="14"/>
      <c r="E88" s="15"/>
      <c r="F88" s="15"/>
      <c r="G88" s="15"/>
      <c r="H88" s="15"/>
      <c r="I88" s="15"/>
      <c r="J88" s="15"/>
      <c r="K88" s="16" t="str">
        <f aca="false">IF(A88="","",F88+G88+H88+I88)</f>
        <v/>
      </c>
      <c r="L88" s="17" t="str">
        <f aca="false">IF(OR(K88="",E88=0,E88=""),"",K88/E88)</f>
        <v/>
      </c>
      <c r="M88" s="18" t="str">
        <f aca="false">IF(OR(A88="",E88=""),"",E88+ROW()/1000000)</f>
        <v/>
      </c>
    </row>
    <row r="89" customFormat="false" ht="15" hidden="false" customHeight="false" outlineLevel="0" collapsed="false">
      <c r="A89" s="12"/>
      <c r="B89" s="13"/>
      <c r="C89" s="13"/>
      <c r="D89" s="14"/>
      <c r="E89" s="15"/>
      <c r="F89" s="15"/>
      <c r="G89" s="15"/>
      <c r="H89" s="15"/>
      <c r="I89" s="15"/>
      <c r="J89" s="15"/>
      <c r="K89" s="16" t="str">
        <f aca="false">IF(A89="","",F89+G89+H89+I89)</f>
        <v/>
      </c>
      <c r="L89" s="17" t="str">
        <f aca="false">IF(OR(K89="",E89=0,E89=""),"",K89/E89)</f>
        <v/>
      </c>
      <c r="M89" s="18" t="str">
        <f aca="false">IF(OR(A89="",E89=""),"",E89+ROW()/1000000)</f>
        <v/>
      </c>
    </row>
    <row r="90" customFormat="false" ht="15" hidden="false" customHeight="false" outlineLevel="0" collapsed="false">
      <c r="A90" s="12"/>
      <c r="B90" s="13"/>
      <c r="C90" s="13"/>
      <c r="D90" s="14"/>
      <c r="E90" s="15"/>
      <c r="F90" s="15"/>
      <c r="G90" s="15"/>
      <c r="H90" s="15"/>
      <c r="I90" s="15"/>
      <c r="J90" s="15"/>
      <c r="K90" s="16" t="str">
        <f aca="false">IF(A90="","",F90+G90+H90+I90)</f>
        <v/>
      </c>
      <c r="L90" s="17" t="str">
        <f aca="false">IF(OR(K90="",E90=0,E90=""),"",K90/E90)</f>
        <v/>
      </c>
      <c r="M90" s="18" t="str">
        <f aca="false">IF(OR(A90="",E90=""),"",E90+ROW()/1000000)</f>
        <v/>
      </c>
    </row>
    <row r="91" customFormat="false" ht="15" hidden="false" customHeight="false" outlineLevel="0" collapsed="false">
      <c r="A91" s="12"/>
      <c r="B91" s="13"/>
      <c r="C91" s="13"/>
      <c r="D91" s="14"/>
      <c r="E91" s="15"/>
      <c r="F91" s="15"/>
      <c r="G91" s="15"/>
      <c r="H91" s="15"/>
      <c r="I91" s="15"/>
      <c r="J91" s="15"/>
      <c r="K91" s="16" t="str">
        <f aca="false">IF(A91="","",F91+G91+H91+I91)</f>
        <v/>
      </c>
      <c r="L91" s="17" t="str">
        <f aca="false">IF(OR(K91="",E91=0,E91=""),"",K91/E91)</f>
        <v/>
      </c>
      <c r="M91" s="18" t="str">
        <f aca="false">IF(OR(A91="",E91=""),"",E91+ROW()/1000000)</f>
        <v/>
      </c>
    </row>
    <row r="92" customFormat="false" ht="15" hidden="false" customHeight="false" outlineLevel="0" collapsed="false">
      <c r="A92" s="12"/>
      <c r="B92" s="13"/>
      <c r="C92" s="13"/>
      <c r="D92" s="14"/>
      <c r="E92" s="15"/>
      <c r="F92" s="15"/>
      <c r="G92" s="15"/>
      <c r="H92" s="15"/>
      <c r="I92" s="15"/>
      <c r="J92" s="15"/>
      <c r="K92" s="16" t="str">
        <f aca="false">IF(A92="","",F92+G92+H92+I92)</f>
        <v/>
      </c>
      <c r="L92" s="17" t="str">
        <f aca="false">IF(OR(K92="",E92=0,E92=""),"",K92/E92)</f>
        <v/>
      </c>
      <c r="M92" s="18" t="str">
        <f aca="false">IF(OR(A92="",E92=""),"",E92+ROW()/1000000)</f>
        <v/>
      </c>
    </row>
    <row r="93" customFormat="false" ht="15" hidden="false" customHeight="false" outlineLevel="0" collapsed="false">
      <c r="A93" s="12"/>
      <c r="B93" s="13"/>
      <c r="C93" s="13"/>
      <c r="D93" s="14"/>
      <c r="E93" s="15"/>
      <c r="F93" s="15"/>
      <c r="G93" s="15"/>
      <c r="H93" s="15"/>
      <c r="I93" s="15"/>
      <c r="J93" s="15"/>
      <c r="K93" s="16" t="str">
        <f aca="false">IF(A93="","",F93+G93+H93+I93)</f>
        <v/>
      </c>
      <c r="L93" s="17" t="str">
        <f aca="false">IF(OR(K93="",E93=0,E93=""),"",K93/E93)</f>
        <v/>
      </c>
      <c r="M93" s="18" t="str">
        <f aca="false">IF(OR(A93="",E93=""),"",E93+ROW()/1000000)</f>
        <v/>
      </c>
    </row>
    <row r="94" customFormat="false" ht="15" hidden="false" customHeight="false" outlineLevel="0" collapsed="false">
      <c r="A94" s="12"/>
      <c r="B94" s="13"/>
      <c r="C94" s="13"/>
      <c r="D94" s="14"/>
      <c r="E94" s="15"/>
      <c r="F94" s="15"/>
      <c r="G94" s="15"/>
      <c r="H94" s="15"/>
      <c r="I94" s="15"/>
      <c r="J94" s="15"/>
      <c r="K94" s="16" t="str">
        <f aca="false">IF(A94="","",F94+G94+H94+I94)</f>
        <v/>
      </c>
      <c r="L94" s="17" t="str">
        <f aca="false">IF(OR(K94="",E94=0,E94=""),"",K94/E94)</f>
        <v/>
      </c>
      <c r="M94" s="18" t="str">
        <f aca="false">IF(OR(A94="",E94=""),"",E94+ROW()/1000000)</f>
        <v/>
      </c>
    </row>
    <row r="95" customFormat="false" ht="15" hidden="false" customHeight="false" outlineLevel="0" collapsed="false">
      <c r="A95" s="12"/>
      <c r="B95" s="13"/>
      <c r="C95" s="13"/>
      <c r="D95" s="14"/>
      <c r="E95" s="15"/>
      <c r="F95" s="15"/>
      <c r="G95" s="15"/>
      <c r="H95" s="15"/>
      <c r="I95" s="15"/>
      <c r="J95" s="15"/>
      <c r="K95" s="16" t="str">
        <f aca="false">IF(A95="","",F95+G95+H95+I95)</f>
        <v/>
      </c>
      <c r="L95" s="17" t="str">
        <f aca="false">IF(OR(K95="",E95=0,E95=""),"",K95/E95)</f>
        <v/>
      </c>
      <c r="M95" s="18" t="str">
        <f aca="false">IF(OR(A95="",E95=""),"",E95+ROW()/1000000)</f>
        <v/>
      </c>
    </row>
    <row r="96" customFormat="false" ht="15" hidden="false" customHeight="false" outlineLevel="0" collapsed="false">
      <c r="A96" s="12"/>
      <c r="B96" s="13"/>
      <c r="C96" s="13"/>
      <c r="D96" s="14"/>
      <c r="E96" s="15"/>
      <c r="F96" s="15"/>
      <c r="G96" s="15"/>
      <c r="H96" s="15"/>
      <c r="I96" s="15"/>
      <c r="J96" s="15"/>
      <c r="K96" s="16" t="str">
        <f aca="false">IF(A96="","",F96+G96+H96+I96)</f>
        <v/>
      </c>
      <c r="L96" s="17" t="str">
        <f aca="false">IF(OR(K96="",E96=0,E96=""),"",K96/E96)</f>
        <v/>
      </c>
      <c r="M96" s="18" t="str">
        <f aca="false">IF(OR(A96="",E96=""),"",E96+ROW()/1000000)</f>
        <v/>
      </c>
    </row>
    <row r="97" customFormat="false" ht="15" hidden="false" customHeight="false" outlineLevel="0" collapsed="false">
      <c r="A97" s="12"/>
      <c r="B97" s="13"/>
      <c r="C97" s="13"/>
      <c r="D97" s="14"/>
      <c r="E97" s="15"/>
      <c r="F97" s="15"/>
      <c r="G97" s="15"/>
      <c r="H97" s="15"/>
      <c r="I97" s="15"/>
      <c r="J97" s="15"/>
      <c r="K97" s="16" t="str">
        <f aca="false">IF(A97="","",F97+G97+H97+I97)</f>
        <v/>
      </c>
      <c r="L97" s="17" t="str">
        <f aca="false">IF(OR(K97="",E97=0,E97=""),"",K97/E97)</f>
        <v/>
      </c>
      <c r="M97" s="18" t="str">
        <f aca="false">IF(OR(A97="",E97=""),"",E97+ROW()/1000000)</f>
        <v/>
      </c>
    </row>
    <row r="98" customFormat="false" ht="15" hidden="false" customHeight="false" outlineLevel="0" collapsed="false">
      <c r="A98" s="12"/>
      <c r="B98" s="13"/>
      <c r="C98" s="13"/>
      <c r="D98" s="14"/>
      <c r="E98" s="15"/>
      <c r="F98" s="15"/>
      <c r="G98" s="15"/>
      <c r="H98" s="15"/>
      <c r="I98" s="15"/>
      <c r="J98" s="15"/>
      <c r="K98" s="16" t="str">
        <f aca="false">IF(A98="","",F98+G98+H98+I98)</f>
        <v/>
      </c>
      <c r="L98" s="17" t="str">
        <f aca="false">IF(OR(K98="",E98=0,E98=""),"",K98/E98)</f>
        <v/>
      </c>
      <c r="M98" s="18" t="str">
        <f aca="false">IF(OR(A98="",E98=""),"",E98+ROW()/1000000)</f>
        <v/>
      </c>
    </row>
    <row r="99" customFormat="false" ht="15" hidden="false" customHeight="false" outlineLevel="0" collapsed="false">
      <c r="A99" s="12"/>
      <c r="B99" s="13"/>
      <c r="C99" s="13"/>
      <c r="D99" s="14"/>
      <c r="E99" s="15"/>
      <c r="F99" s="15"/>
      <c r="G99" s="15"/>
      <c r="H99" s="15"/>
      <c r="I99" s="15"/>
      <c r="J99" s="15"/>
      <c r="K99" s="16" t="str">
        <f aca="false">IF(A99="","",F99+G99+H99+I99)</f>
        <v/>
      </c>
      <c r="L99" s="17" t="str">
        <f aca="false">IF(OR(K99="",E99=0,E99=""),"",K99/E99)</f>
        <v/>
      </c>
      <c r="M99" s="18" t="str">
        <f aca="false">IF(OR(A99="",E99=""),"",E99+ROW()/1000000)</f>
        <v/>
      </c>
    </row>
    <row r="100" customFormat="false" ht="15" hidden="false" customHeight="false" outlineLevel="0" collapsed="false">
      <c r="A100" s="12"/>
      <c r="B100" s="13"/>
      <c r="C100" s="13"/>
      <c r="D100" s="14"/>
      <c r="E100" s="15"/>
      <c r="F100" s="15"/>
      <c r="G100" s="15"/>
      <c r="H100" s="15"/>
      <c r="I100" s="15"/>
      <c r="J100" s="15"/>
      <c r="K100" s="16" t="str">
        <f aca="false">IF(A100="","",F100+G100+H100+I100)</f>
        <v/>
      </c>
      <c r="L100" s="17" t="str">
        <f aca="false">IF(OR(K100="",E100=0,E100=""),"",K100/E100)</f>
        <v/>
      </c>
      <c r="M100" s="18" t="str">
        <f aca="false">IF(OR(A100="",E100=""),"",E100+ROW()/1000000)</f>
        <v/>
      </c>
    </row>
    <row r="101" customFormat="false" ht="15" hidden="false" customHeight="false" outlineLevel="0" collapsed="false">
      <c r="A101" s="12"/>
      <c r="B101" s="13"/>
      <c r="C101" s="13"/>
      <c r="D101" s="14"/>
      <c r="E101" s="15"/>
      <c r="F101" s="15"/>
      <c r="G101" s="15"/>
      <c r="H101" s="15"/>
      <c r="I101" s="15"/>
      <c r="J101" s="15"/>
      <c r="K101" s="16" t="str">
        <f aca="false">IF(A101="","",F101+G101+H101+I101)</f>
        <v/>
      </c>
      <c r="L101" s="17" t="str">
        <f aca="false">IF(OR(K101="",E101=0,E101=""),"",K101/E101)</f>
        <v/>
      </c>
      <c r="M101" s="18" t="str">
        <f aca="false">IF(OR(A101="",E101=""),"",E101+ROW()/1000000)</f>
        <v/>
      </c>
    </row>
    <row r="102" customFormat="false" ht="15" hidden="false" customHeight="false" outlineLevel="0" collapsed="false">
      <c r="A102" s="12"/>
      <c r="B102" s="13"/>
      <c r="C102" s="13"/>
      <c r="D102" s="14"/>
      <c r="E102" s="15"/>
      <c r="F102" s="15"/>
      <c r="G102" s="15"/>
      <c r="H102" s="15"/>
      <c r="I102" s="15"/>
      <c r="J102" s="15"/>
      <c r="K102" s="16" t="str">
        <f aca="false">IF(A102="","",F102+G102+H102+I102)</f>
        <v/>
      </c>
      <c r="L102" s="17" t="str">
        <f aca="false">IF(OR(K102="",E102=0,E102=""),"",K102/E102)</f>
        <v/>
      </c>
      <c r="M102" s="18" t="str">
        <f aca="false">IF(OR(A102="",E102=""),"",E102+ROW()/1000000)</f>
        <v/>
      </c>
    </row>
    <row r="103" customFormat="false" ht="15" hidden="false" customHeight="false" outlineLevel="0" collapsed="false">
      <c r="A103" s="12"/>
      <c r="B103" s="13"/>
      <c r="C103" s="13"/>
      <c r="D103" s="14"/>
      <c r="E103" s="15"/>
      <c r="F103" s="15"/>
      <c r="G103" s="15"/>
      <c r="H103" s="15"/>
      <c r="I103" s="15"/>
      <c r="J103" s="15"/>
      <c r="K103" s="16" t="str">
        <f aca="false">IF(A103="","",F103+G103+H103+I103)</f>
        <v/>
      </c>
      <c r="L103" s="17" t="str">
        <f aca="false">IF(OR(K103="",E103=0,E103=""),"",K103/E103)</f>
        <v/>
      </c>
      <c r="M103" s="18" t="str">
        <f aca="false">IF(OR(A103="",E103=""),"",E103+ROW()/1000000)</f>
        <v/>
      </c>
    </row>
    <row r="104" customFormat="false" ht="15" hidden="false" customHeight="false" outlineLevel="0" collapsed="false">
      <c r="A104" s="12"/>
      <c r="B104" s="13"/>
      <c r="C104" s="13"/>
      <c r="D104" s="14"/>
      <c r="E104" s="15"/>
      <c r="F104" s="15"/>
      <c r="G104" s="15"/>
      <c r="H104" s="15"/>
      <c r="I104" s="15"/>
      <c r="J104" s="15"/>
      <c r="K104" s="16" t="str">
        <f aca="false">IF(A104="","",F104+G104+H104+I104)</f>
        <v/>
      </c>
      <c r="L104" s="17" t="str">
        <f aca="false">IF(OR(K104="",E104=0,E104=""),"",K104/E104)</f>
        <v/>
      </c>
      <c r="M104" s="18" t="str">
        <f aca="false">IF(OR(A104="",E104=""),"",E104+ROW()/1000000)</f>
        <v/>
      </c>
    </row>
    <row r="105" customFormat="false" ht="15" hidden="false" customHeight="false" outlineLevel="0" collapsed="false">
      <c r="A105" s="12"/>
      <c r="B105" s="13"/>
      <c r="C105" s="13"/>
      <c r="D105" s="14"/>
      <c r="E105" s="15"/>
      <c r="F105" s="15"/>
      <c r="G105" s="15"/>
      <c r="H105" s="15"/>
      <c r="I105" s="15"/>
      <c r="J105" s="15"/>
      <c r="K105" s="16" t="str">
        <f aca="false">IF(A105="","",F105+G105+H105+I105)</f>
        <v/>
      </c>
      <c r="L105" s="17" t="str">
        <f aca="false">IF(OR(K105="",E105=0,E105=""),"",K105/E105)</f>
        <v/>
      </c>
      <c r="M105" s="18" t="str">
        <f aca="false">IF(OR(A105="",E105=""),"",E105+ROW()/1000000)</f>
        <v/>
      </c>
    </row>
    <row r="106" customFormat="false" ht="15" hidden="false" customHeight="false" outlineLevel="0" collapsed="false">
      <c r="A106" s="12"/>
      <c r="B106" s="13"/>
      <c r="C106" s="13"/>
      <c r="D106" s="14"/>
      <c r="E106" s="15"/>
      <c r="F106" s="15"/>
      <c r="G106" s="15"/>
      <c r="H106" s="15"/>
      <c r="I106" s="15"/>
      <c r="J106" s="15"/>
      <c r="K106" s="16" t="str">
        <f aca="false">IF(A106="","",F106+G106+H106+I106)</f>
        <v/>
      </c>
      <c r="L106" s="17" t="str">
        <f aca="false">IF(OR(K106="",E106=0,E106=""),"",K106/E106)</f>
        <v/>
      </c>
      <c r="M106" s="18" t="str">
        <f aca="false">IF(OR(A106="",E106=""),"",E106+ROW()/1000000)</f>
        <v/>
      </c>
    </row>
    <row r="107" customFormat="false" ht="15" hidden="false" customHeight="false" outlineLevel="0" collapsed="false">
      <c r="A107" s="12"/>
      <c r="B107" s="13"/>
      <c r="C107" s="13"/>
      <c r="D107" s="14"/>
      <c r="E107" s="15"/>
      <c r="F107" s="15"/>
      <c r="G107" s="15"/>
      <c r="H107" s="15"/>
      <c r="I107" s="15"/>
      <c r="J107" s="15"/>
      <c r="K107" s="16" t="str">
        <f aca="false">IF(A107="","",F107+G107+H107+I107)</f>
        <v/>
      </c>
      <c r="L107" s="17" t="str">
        <f aca="false">IF(OR(K107="",E107=0,E107=""),"",K107/E107)</f>
        <v/>
      </c>
      <c r="M107" s="18" t="str">
        <f aca="false">IF(OR(A107="",E107=""),"",E107+ROW()/1000000)</f>
        <v/>
      </c>
    </row>
    <row r="108" customFormat="false" ht="15" hidden="false" customHeight="false" outlineLevel="0" collapsed="false">
      <c r="A108" s="12"/>
      <c r="B108" s="13"/>
      <c r="C108" s="13"/>
      <c r="D108" s="14"/>
      <c r="E108" s="15"/>
      <c r="F108" s="15"/>
      <c r="G108" s="15"/>
      <c r="H108" s="15"/>
      <c r="I108" s="15"/>
      <c r="J108" s="15"/>
      <c r="K108" s="16" t="str">
        <f aca="false">IF(A108="","",F108+G108+H108+I108)</f>
        <v/>
      </c>
      <c r="L108" s="17" t="str">
        <f aca="false">IF(OR(K108="",E108=0,E108=""),"",K108/E108)</f>
        <v/>
      </c>
      <c r="M108" s="18" t="str">
        <f aca="false">IF(OR(A108="",E108=""),"",E108+ROW()/1000000)</f>
        <v/>
      </c>
    </row>
    <row r="109" customFormat="false" ht="15" hidden="false" customHeight="false" outlineLevel="0" collapsed="false">
      <c r="A109" s="12"/>
      <c r="B109" s="13"/>
      <c r="C109" s="13"/>
      <c r="D109" s="14"/>
      <c r="E109" s="15"/>
      <c r="F109" s="15"/>
      <c r="G109" s="15"/>
      <c r="H109" s="15"/>
      <c r="I109" s="15"/>
      <c r="J109" s="15"/>
      <c r="K109" s="16" t="str">
        <f aca="false">IF(A109="","",F109+G109+H109+I109)</f>
        <v/>
      </c>
      <c r="L109" s="17" t="str">
        <f aca="false">IF(OR(K109="",E109=0,E109=""),"",K109/E109)</f>
        <v/>
      </c>
      <c r="M109" s="18" t="str">
        <f aca="false">IF(OR(A109="",E109=""),"",E109+ROW()/1000000)</f>
        <v/>
      </c>
    </row>
    <row r="110" customFormat="false" ht="15" hidden="false" customHeight="false" outlineLevel="0" collapsed="false">
      <c r="A110" s="12"/>
      <c r="B110" s="13"/>
      <c r="C110" s="13"/>
      <c r="D110" s="14"/>
      <c r="E110" s="15"/>
      <c r="F110" s="15"/>
      <c r="G110" s="15"/>
      <c r="H110" s="15"/>
      <c r="I110" s="15"/>
      <c r="J110" s="15"/>
      <c r="K110" s="16" t="str">
        <f aca="false">IF(A110="","",F110+G110+H110+I110)</f>
        <v/>
      </c>
      <c r="L110" s="17" t="str">
        <f aca="false">IF(OR(K110="",E110=0,E110=""),"",K110/E110)</f>
        <v/>
      </c>
      <c r="M110" s="18" t="str">
        <f aca="false">IF(OR(A110="",E110=""),"",E110+ROW()/1000000)</f>
        <v/>
      </c>
    </row>
    <row r="111" customFormat="false" ht="15" hidden="false" customHeight="false" outlineLevel="0" collapsed="false">
      <c r="A111" s="12"/>
      <c r="B111" s="13"/>
      <c r="C111" s="13"/>
      <c r="D111" s="14"/>
      <c r="E111" s="15"/>
      <c r="F111" s="15"/>
      <c r="G111" s="15"/>
      <c r="H111" s="15"/>
      <c r="I111" s="15"/>
      <c r="J111" s="15"/>
      <c r="K111" s="16" t="str">
        <f aca="false">IF(A111="","",F111+G111+H111+I111)</f>
        <v/>
      </c>
      <c r="L111" s="17" t="str">
        <f aca="false">IF(OR(K111="",E111=0,E111=""),"",K111/E111)</f>
        <v/>
      </c>
      <c r="M111" s="18" t="str">
        <f aca="false">IF(OR(A111="",E111=""),"",E111+ROW()/1000000)</f>
        <v/>
      </c>
    </row>
    <row r="112" customFormat="false" ht="15" hidden="false" customHeight="false" outlineLevel="0" collapsed="false">
      <c r="A112" s="12"/>
      <c r="B112" s="13"/>
      <c r="C112" s="13"/>
      <c r="D112" s="14"/>
      <c r="E112" s="15"/>
      <c r="F112" s="15"/>
      <c r="G112" s="15"/>
      <c r="H112" s="15"/>
      <c r="I112" s="15"/>
      <c r="J112" s="15"/>
      <c r="K112" s="16" t="str">
        <f aca="false">IF(A112="","",F112+G112+H112+I112)</f>
        <v/>
      </c>
      <c r="L112" s="17" t="str">
        <f aca="false">IF(OR(K112="",E112=0,E112=""),"",K112/E112)</f>
        <v/>
      </c>
      <c r="M112" s="18" t="str">
        <f aca="false">IF(OR(A112="",E112=""),"",E112+ROW()/1000000)</f>
        <v/>
      </c>
    </row>
    <row r="113" customFormat="false" ht="15" hidden="false" customHeight="false" outlineLevel="0" collapsed="false">
      <c r="A113" s="12"/>
      <c r="B113" s="13"/>
      <c r="C113" s="13"/>
      <c r="D113" s="14"/>
      <c r="E113" s="15"/>
      <c r="F113" s="15"/>
      <c r="G113" s="15"/>
      <c r="H113" s="15"/>
      <c r="I113" s="15"/>
      <c r="J113" s="15"/>
      <c r="K113" s="16" t="str">
        <f aca="false">IF(A113="","",F113+G113+H113+I113)</f>
        <v/>
      </c>
      <c r="L113" s="17" t="str">
        <f aca="false">IF(OR(K113="",E113=0,E113=""),"",K113/E113)</f>
        <v/>
      </c>
      <c r="M113" s="18" t="str">
        <f aca="false">IF(OR(A113="",E113=""),"",E113+ROW()/1000000)</f>
        <v/>
      </c>
    </row>
    <row r="114" customFormat="false" ht="15" hidden="false" customHeight="false" outlineLevel="0" collapsed="false">
      <c r="A114" s="12"/>
      <c r="B114" s="13"/>
      <c r="C114" s="13"/>
      <c r="D114" s="14"/>
      <c r="E114" s="15"/>
      <c r="F114" s="15"/>
      <c r="G114" s="15"/>
      <c r="H114" s="15"/>
      <c r="I114" s="15"/>
      <c r="J114" s="15"/>
      <c r="K114" s="16" t="str">
        <f aca="false">IF(A114="","",F114+G114+H114+I114)</f>
        <v/>
      </c>
      <c r="L114" s="17" t="str">
        <f aca="false">IF(OR(K114="",E114=0,E114=""),"",K114/E114)</f>
        <v/>
      </c>
      <c r="M114" s="18" t="str">
        <f aca="false">IF(OR(A114="",E114=""),"",E114+ROW()/1000000)</f>
        <v/>
      </c>
    </row>
    <row r="115" customFormat="false" ht="15" hidden="false" customHeight="false" outlineLevel="0" collapsed="false">
      <c r="A115" s="12"/>
      <c r="B115" s="13"/>
      <c r="C115" s="13"/>
      <c r="D115" s="14"/>
      <c r="E115" s="15"/>
      <c r="F115" s="15"/>
      <c r="G115" s="15"/>
      <c r="H115" s="15"/>
      <c r="I115" s="15"/>
      <c r="J115" s="15"/>
      <c r="K115" s="16" t="str">
        <f aca="false">IF(A115="","",F115+G115+H115+I115)</f>
        <v/>
      </c>
      <c r="L115" s="17" t="str">
        <f aca="false">IF(OR(K115="",E115=0,E115=""),"",K115/E115)</f>
        <v/>
      </c>
      <c r="M115" s="18" t="str">
        <f aca="false">IF(OR(A115="",E115=""),"",E115+ROW()/1000000)</f>
        <v/>
      </c>
    </row>
    <row r="116" customFormat="false" ht="15" hidden="false" customHeight="false" outlineLevel="0" collapsed="false">
      <c r="A116" s="12"/>
      <c r="B116" s="13"/>
      <c r="C116" s="13"/>
      <c r="D116" s="14"/>
      <c r="E116" s="15"/>
      <c r="F116" s="15"/>
      <c r="G116" s="15"/>
      <c r="H116" s="15"/>
      <c r="I116" s="15"/>
      <c r="J116" s="15"/>
      <c r="K116" s="16" t="str">
        <f aca="false">IF(A116="","",F116+G116+H116+I116)</f>
        <v/>
      </c>
      <c r="L116" s="17" t="str">
        <f aca="false">IF(OR(K116="",E116=0,E116=""),"",K116/E116)</f>
        <v/>
      </c>
      <c r="M116" s="18" t="str">
        <f aca="false">IF(OR(A116="",E116=""),"",E116+ROW()/1000000)</f>
        <v/>
      </c>
    </row>
    <row r="117" customFormat="false" ht="15" hidden="false" customHeight="false" outlineLevel="0" collapsed="false">
      <c r="A117" s="12"/>
      <c r="B117" s="13"/>
      <c r="C117" s="13"/>
      <c r="D117" s="14"/>
      <c r="E117" s="15"/>
      <c r="F117" s="15"/>
      <c r="G117" s="15"/>
      <c r="H117" s="15"/>
      <c r="I117" s="15"/>
      <c r="J117" s="15"/>
      <c r="K117" s="16" t="str">
        <f aca="false">IF(A117="","",F117+G117+H117+I117)</f>
        <v/>
      </c>
      <c r="L117" s="17" t="str">
        <f aca="false">IF(OR(K117="",E117=0,E117=""),"",K117/E117)</f>
        <v/>
      </c>
      <c r="M117" s="18" t="str">
        <f aca="false">IF(OR(A117="",E117=""),"",E117+ROW()/1000000)</f>
        <v/>
      </c>
    </row>
    <row r="118" customFormat="false" ht="15" hidden="false" customHeight="false" outlineLevel="0" collapsed="false">
      <c r="A118" s="12"/>
      <c r="B118" s="13"/>
      <c r="C118" s="13"/>
      <c r="D118" s="14"/>
      <c r="E118" s="15"/>
      <c r="F118" s="15"/>
      <c r="G118" s="15"/>
      <c r="H118" s="15"/>
      <c r="I118" s="15"/>
      <c r="J118" s="15"/>
      <c r="K118" s="16" t="str">
        <f aca="false">IF(A118="","",F118+G118+H118+I118)</f>
        <v/>
      </c>
      <c r="L118" s="17" t="str">
        <f aca="false">IF(OR(K118="",E118=0,E118=""),"",K118/E118)</f>
        <v/>
      </c>
      <c r="M118" s="18" t="str">
        <f aca="false">IF(OR(A118="",E118=""),"",E118+ROW()/1000000)</f>
        <v/>
      </c>
    </row>
    <row r="119" customFormat="false" ht="15" hidden="false" customHeight="false" outlineLevel="0" collapsed="false">
      <c r="A119" s="12"/>
      <c r="B119" s="13"/>
      <c r="C119" s="13"/>
      <c r="D119" s="14"/>
      <c r="E119" s="15"/>
      <c r="F119" s="15"/>
      <c r="G119" s="15"/>
      <c r="H119" s="15"/>
      <c r="I119" s="15"/>
      <c r="J119" s="15"/>
      <c r="K119" s="16" t="str">
        <f aca="false">IF(A119="","",F119+G119+H119+I119)</f>
        <v/>
      </c>
      <c r="L119" s="17" t="str">
        <f aca="false">IF(OR(K119="",E119=0,E119=""),"",K119/E119)</f>
        <v/>
      </c>
      <c r="M119" s="18" t="str">
        <f aca="false">IF(OR(A119="",E119=""),"",E119+ROW()/1000000)</f>
        <v/>
      </c>
    </row>
    <row r="120" customFormat="false" ht="15" hidden="false" customHeight="false" outlineLevel="0" collapsed="false">
      <c r="A120" s="12"/>
      <c r="B120" s="13"/>
      <c r="C120" s="13"/>
      <c r="D120" s="14"/>
      <c r="E120" s="15"/>
      <c r="F120" s="15"/>
      <c r="G120" s="15"/>
      <c r="H120" s="15"/>
      <c r="I120" s="15"/>
      <c r="J120" s="15"/>
      <c r="K120" s="16" t="str">
        <f aca="false">IF(A120="","",F120+G120+H120+I120)</f>
        <v/>
      </c>
      <c r="L120" s="17" t="str">
        <f aca="false">IF(OR(K120="",E120=0,E120=""),"",K120/E120)</f>
        <v/>
      </c>
      <c r="M120" s="18" t="str">
        <f aca="false">IF(OR(A120="",E120=""),"",E120+ROW()/1000000)</f>
        <v/>
      </c>
    </row>
    <row r="121" customFormat="false" ht="15" hidden="false" customHeight="false" outlineLevel="0" collapsed="false">
      <c r="A121" s="12"/>
      <c r="B121" s="13"/>
      <c r="C121" s="13"/>
      <c r="D121" s="14"/>
      <c r="E121" s="15"/>
      <c r="F121" s="15"/>
      <c r="G121" s="15"/>
      <c r="H121" s="15"/>
      <c r="I121" s="15"/>
      <c r="J121" s="15"/>
      <c r="K121" s="16" t="str">
        <f aca="false">IF(A121="","",F121+G121+H121+I121)</f>
        <v/>
      </c>
      <c r="L121" s="17" t="str">
        <f aca="false">IF(OR(K121="",E121=0,E121=""),"",K121/E121)</f>
        <v/>
      </c>
      <c r="M121" s="18" t="str">
        <f aca="false">IF(OR(A121="",E121=""),"",E121+ROW()/1000000)</f>
        <v/>
      </c>
    </row>
    <row r="122" customFormat="false" ht="15" hidden="false" customHeight="false" outlineLevel="0" collapsed="false">
      <c r="A122" s="12"/>
      <c r="B122" s="13"/>
      <c r="C122" s="13"/>
      <c r="D122" s="14"/>
      <c r="E122" s="15"/>
      <c r="F122" s="15"/>
      <c r="G122" s="15"/>
      <c r="H122" s="15"/>
      <c r="I122" s="15"/>
      <c r="J122" s="15"/>
      <c r="K122" s="16" t="str">
        <f aca="false">IF(A122="","",F122+G122+H122+I122)</f>
        <v/>
      </c>
      <c r="L122" s="17" t="str">
        <f aca="false">IF(OR(K122="",E122=0,E122=""),"",K122/E122)</f>
        <v/>
      </c>
      <c r="M122" s="18" t="str">
        <f aca="false">IF(OR(A122="",E122=""),"",E122+ROW()/1000000)</f>
        <v/>
      </c>
    </row>
    <row r="123" customFormat="false" ht="15" hidden="false" customHeight="false" outlineLevel="0" collapsed="false">
      <c r="A123" s="12"/>
      <c r="B123" s="13"/>
      <c r="C123" s="13"/>
      <c r="D123" s="14"/>
      <c r="E123" s="15"/>
      <c r="F123" s="15"/>
      <c r="G123" s="15"/>
      <c r="H123" s="15"/>
      <c r="I123" s="15"/>
      <c r="J123" s="15"/>
      <c r="K123" s="16" t="str">
        <f aca="false">IF(A123="","",F123+G123+H123+I123)</f>
        <v/>
      </c>
      <c r="L123" s="17" t="str">
        <f aca="false">IF(OR(K123="",E123=0,E123=""),"",K123/E123)</f>
        <v/>
      </c>
      <c r="M123" s="18" t="str">
        <f aca="false">IF(OR(A123="",E123=""),"",E123+ROW()/1000000)</f>
        <v/>
      </c>
    </row>
    <row r="124" customFormat="false" ht="15" hidden="false" customHeight="false" outlineLevel="0" collapsed="false">
      <c r="A124" s="12"/>
      <c r="B124" s="13"/>
      <c r="C124" s="13"/>
      <c r="D124" s="14"/>
      <c r="E124" s="15"/>
      <c r="F124" s="15"/>
      <c r="G124" s="15"/>
      <c r="H124" s="15"/>
      <c r="I124" s="15"/>
      <c r="J124" s="15"/>
      <c r="K124" s="16" t="str">
        <f aca="false">IF(A124="","",F124+G124+H124+I124)</f>
        <v/>
      </c>
      <c r="L124" s="17" t="str">
        <f aca="false">IF(OR(K124="",E124=0,E124=""),"",K124/E124)</f>
        <v/>
      </c>
      <c r="M124" s="18" t="str">
        <f aca="false">IF(OR(A124="",E124=""),"",E124+ROW()/1000000)</f>
        <v/>
      </c>
    </row>
    <row r="125" customFormat="false" ht="15" hidden="false" customHeight="false" outlineLevel="0" collapsed="false">
      <c r="A125" s="12"/>
      <c r="B125" s="13"/>
      <c r="C125" s="13"/>
      <c r="D125" s="14"/>
      <c r="E125" s="15"/>
      <c r="F125" s="15"/>
      <c r="G125" s="15"/>
      <c r="H125" s="15"/>
      <c r="I125" s="15"/>
      <c r="J125" s="15"/>
      <c r="K125" s="16" t="str">
        <f aca="false">IF(A125="","",F125+G125+H125+I125)</f>
        <v/>
      </c>
      <c r="L125" s="17" t="str">
        <f aca="false">IF(OR(K125="",E125=0,E125=""),"",K125/E125)</f>
        <v/>
      </c>
      <c r="M125" s="18" t="str">
        <f aca="false">IF(OR(A125="",E125=""),"",E125+ROW()/1000000)</f>
        <v/>
      </c>
    </row>
    <row r="126" customFormat="false" ht="15" hidden="false" customHeight="false" outlineLevel="0" collapsed="false">
      <c r="A126" s="12"/>
      <c r="B126" s="13"/>
      <c r="C126" s="13"/>
      <c r="D126" s="14"/>
      <c r="E126" s="15"/>
      <c r="F126" s="15"/>
      <c r="G126" s="15"/>
      <c r="H126" s="15"/>
      <c r="I126" s="15"/>
      <c r="J126" s="15"/>
      <c r="K126" s="16" t="str">
        <f aca="false">IF(A126="","",F126+G126+H126+I126)</f>
        <v/>
      </c>
      <c r="L126" s="17" t="str">
        <f aca="false">IF(OR(K126="",E126=0,E126=""),"",K126/E126)</f>
        <v/>
      </c>
      <c r="M126" s="18" t="str">
        <f aca="false">IF(OR(A126="",E126=""),"",E126+ROW()/1000000)</f>
        <v/>
      </c>
    </row>
    <row r="127" customFormat="false" ht="15" hidden="false" customHeight="false" outlineLevel="0" collapsed="false">
      <c r="A127" s="12"/>
      <c r="B127" s="13"/>
      <c r="C127" s="13"/>
      <c r="D127" s="14"/>
      <c r="E127" s="15"/>
      <c r="F127" s="15"/>
      <c r="G127" s="15"/>
      <c r="H127" s="15"/>
      <c r="I127" s="15"/>
      <c r="J127" s="15"/>
      <c r="K127" s="16" t="str">
        <f aca="false">IF(A127="","",F127+G127+H127+I127)</f>
        <v/>
      </c>
      <c r="L127" s="17" t="str">
        <f aca="false">IF(OR(K127="",E127=0,E127=""),"",K127/E127)</f>
        <v/>
      </c>
      <c r="M127" s="18" t="str">
        <f aca="false">IF(OR(A127="",E127=""),"",E127+ROW()/1000000)</f>
        <v/>
      </c>
    </row>
    <row r="128" customFormat="false" ht="15" hidden="false" customHeight="false" outlineLevel="0" collapsed="false">
      <c r="A128" s="12"/>
      <c r="B128" s="13"/>
      <c r="C128" s="13"/>
      <c r="D128" s="14"/>
      <c r="E128" s="15"/>
      <c r="F128" s="15"/>
      <c r="G128" s="15"/>
      <c r="H128" s="15"/>
      <c r="I128" s="15"/>
      <c r="J128" s="15"/>
      <c r="K128" s="16" t="str">
        <f aca="false">IF(A128="","",F128+G128+H128+I128)</f>
        <v/>
      </c>
      <c r="L128" s="17" t="str">
        <f aca="false">IF(OR(K128="",E128=0,E128=""),"",K128/E128)</f>
        <v/>
      </c>
      <c r="M128" s="18" t="str">
        <f aca="false">IF(OR(A128="",E128=""),"",E128+ROW()/1000000)</f>
        <v/>
      </c>
    </row>
    <row r="129" customFormat="false" ht="15" hidden="false" customHeight="false" outlineLevel="0" collapsed="false">
      <c r="A129" s="12"/>
      <c r="B129" s="13"/>
      <c r="C129" s="13"/>
      <c r="D129" s="14"/>
      <c r="E129" s="15"/>
      <c r="F129" s="15"/>
      <c r="G129" s="15"/>
      <c r="H129" s="15"/>
      <c r="I129" s="15"/>
      <c r="J129" s="15"/>
      <c r="K129" s="16" t="str">
        <f aca="false">IF(A129="","",F129+G129+H129+I129)</f>
        <v/>
      </c>
      <c r="L129" s="17" t="str">
        <f aca="false">IF(OR(K129="",E129=0,E129=""),"",K129/E129)</f>
        <v/>
      </c>
      <c r="M129" s="18" t="str">
        <f aca="false">IF(OR(A129="",E129=""),"",E129+ROW()/1000000)</f>
        <v/>
      </c>
    </row>
    <row r="130" customFormat="false" ht="15" hidden="false" customHeight="false" outlineLevel="0" collapsed="false">
      <c r="A130" s="12"/>
      <c r="B130" s="13"/>
      <c r="C130" s="13"/>
      <c r="D130" s="14"/>
      <c r="E130" s="15"/>
      <c r="F130" s="15"/>
      <c r="G130" s="15"/>
      <c r="H130" s="15"/>
      <c r="I130" s="15"/>
      <c r="J130" s="15"/>
      <c r="K130" s="16" t="str">
        <f aca="false">IF(A130="","",F130+G130+H130+I130)</f>
        <v/>
      </c>
      <c r="L130" s="17" t="str">
        <f aca="false">IF(OR(K130="",E130=0,E130=""),"",K130/E130)</f>
        <v/>
      </c>
      <c r="M130" s="18" t="str">
        <f aca="false">IF(OR(A130="",E130=""),"",E130+ROW()/1000000)</f>
        <v/>
      </c>
    </row>
    <row r="131" customFormat="false" ht="15" hidden="false" customHeight="false" outlineLevel="0" collapsed="false">
      <c r="A131" s="12"/>
      <c r="B131" s="13"/>
      <c r="C131" s="13"/>
      <c r="D131" s="14"/>
      <c r="E131" s="15"/>
      <c r="F131" s="15"/>
      <c r="G131" s="15"/>
      <c r="H131" s="15"/>
      <c r="I131" s="15"/>
      <c r="J131" s="15"/>
      <c r="K131" s="16" t="str">
        <f aca="false">IF(A131="","",F131+G131+H131+I131)</f>
        <v/>
      </c>
      <c r="L131" s="17" t="str">
        <f aca="false">IF(OR(K131="",E131=0,E131=""),"",K131/E131)</f>
        <v/>
      </c>
      <c r="M131" s="18" t="str">
        <f aca="false">IF(OR(A131="",E131=""),"",E131+ROW()/1000000)</f>
        <v/>
      </c>
    </row>
    <row r="132" customFormat="false" ht="15" hidden="false" customHeight="false" outlineLevel="0" collapsed="false">
      <c r="A132" s="12"/>
      <c r="B132" s="13"/>
      <c r="C132" s="13"/>
      <c r="D132" s="14"/>
      <c r="E132" s="15"/>
      <c r="F132" s="15"/>
      <c r="G132" s="15"/>
      <c r="H132" s="15"/>
      <c r="I132" s="15"/>
      <c r="J132" s="15"/>
      <c r="K132" s="16" t="str">
        <f aca="false">IF(A132="","",F132+G132+H132+I132)</f>
        <v/>
      </c>
      <c r="L132" s="17" t="str">
        <f aca="false">IF(OR(K132="",E132=0,E132=""),"",K132/E132)</f>
        <v/>
      </c>
      <c r="M132" s="18" t="str">
        <f aca="false">IF(OR(A132="",E132=""),"",E132+ROW()/1000000)</f>
        <v/>
      </c>
    </row>
    <row r="133" customFormat="false" ht="15" hidden="false" customHeight="false" outlineLevel="0" collapsed="false">
      <c r="A133" s="12"/>
      <c r="B133" s="13"/>
      <c r="C133" s="13"/>
      <c r="D133" s="14"/>
      <c r="E133" s="15"/>
      <c r="F133" s="15"/>
      <c r="G133" s="15"/>
      <c r="H133" s="15"/>
      <c r="I133" s="15"/>
      <c r="J133" s="15"/>
      <c r="K133" s="16" t="str">
        <f aca="false">IF(A133="","",F133+G133+H133+I133)</f>
        <v/>
      </c>
      <c r="L133" s="17" t="str">
        <f aca="false">IF(OR(K133="",E133=0,E133=""),"",K133/E133)</f>
        <v/>
      </c>
      <c r="M133" s="18" t="str">
        <f aca="false">IF(OR(A133="",E133=""),"",E133+ROW()/1000000)</f>
        <v/>
      </c>
    </row>
    <row r="134" customFormat="false" ht="15" hidden="false" customHeight="false" outlineLevel="0" collapsed="false">
      <c r="A134" s="12"/>
      <c r="B134" s="13"/>
      <c r="C134" s="13"/>
      <c r="D134" s="14"/>
      <c r="E134" s="15"/>
      <c r="F134" s="15"/>
      <c r="G134" s="15"/>
      <c r="H134" s="15"/>
      <c r="I134" s="15"/>
      <c r="J134" s="15"/>
      <c r="K134" s="16" t="str">
        <f aca="false">IF(A134="","",F134+G134+H134+I134)</f>
        <v/>
      </c>
      <c r="L134" s="17" t="str">
        <f aca="false">IF(OR(K134="",E134=0,E134=""),"",K134/E134)</f>
        <v/>
      </c>
      <c r="M134" s="18" t="str">
        <f aca="false">IF(OR(A134="",E134=""),"",E134+ROW()/1000000)</f>
        <v/>
      </c>
    </row>
    <row r="135" customFormat="false" ht="15" hidden="false" customHeight="false" outlineLevel="0" collapsed="false">
      <c r="A135" s="12"/>
      <c r="B135" s="13"/>
      <c r="C135" s="13"/>
      <c r="D135" s="14"/>
      <c r="E135" s="15"/>
      <c r="F135" s="15"/>
      <c r="G135" s="15"/>
      <c r="H135" s="15"/>
      <c r="I135" s="15"/>
      <c r="J135" s="15"/>
      <c r="K135" s="16" t="str">
        <f aca="false">IF(A135="","",F135+G135+H135+I135)</f>
        <v/>
      </c>
      <c r="L135" s="17" t="str">
        <f aca="false">IF(OR(K135="",E135=0,E135=""),"",K135/E135)</f>
        <v/>
      </c>
      <c r="M135" s="18" t="str">
        <f aca="false">IF(OR(A135="",E135=""),"",E135+ROW()/1000000)</f>
        <v/>
      </c>
    </row>
    <row r="136" customFormat="false" ht="15" hidden="false" customHeight="false" outlineLevel="0" collapsed="false">
      <c r="A136" s="12"/>
      <c r="B136" s="13"/>
      <c r="C136" s="13"/>
      <c r="D136" s="14"/>
      <c r="E136" s="15"/>
      <c r="F136" s="15"/>
      <c r="G136" s="15"/>
      <c r="H136" s="15"/>
      <c r="I136" s="15"/>
      <c r="J136" s="15"/>
      <c r="K136" s="16" t="str">
        <f aca="false">IF(A136="","",F136+G136+H136+I136)</f>
        <v/>
      </c>
      <c r="L136" s="17" t="str">
        <f aca="false">IF(OR(K136="",E136=0,E136=""),"",K136/E136)</f>
        <v/>
      </c>
      <c r="M136" s="18" t="str">
        <f aca="false">IF(OR(A136="",E136=""),"",E136+ROW()/1000000)</f>
        <v/>
      </c>
    </row>
    <row r="137" customFormat="false" ht="15" hidden="false" customHeight="false" outlineLevel="0" collapsed="false">
      <c r="A137" s="12"/>
      <c r="B137" s="13"/>
      <c r="C137" s="13"/>
      <c r="D137" s="14"/>
      <c r="E137" s="15"/>
      <c r="F137" s="15"/>
      <c r="G137" s="15"/>
      <c r="H137" s="15"/>
      <c r="I137" s="15"/>
      <c r="J137" s="15"/>
      <c r="K137" s="16" t="str">
        <f aca="false">IF(A137="","",F137+G137+H137+I137)</f>
        <v/>
      </c>
      <c r="L137" s="17" t="str">
        <f aca="false">IF(OR(K137="",E137=0,E137=""),"",K137/E137)</f>
        <v/>
      </c>
      <c r="M137" s="18" t="str">
        <f aca="false">IF(OR(A137="",E137=""),"",E137+ROW()/1000000)</f>
        <v/>
      </c>
    </row>
    <row r="138" customFormat="false" ht="15" hidden="false" customHeight="false" outlineLevel="0" collapsed="false">
      <c r="A138" s="12"/>
      <c r="B138" s="13"/>
      <c r="C138" s="13"/>
      <c r="D138" s="14"/>
      <c r="E138" s="15"/>
      <c r="F138" s="15"/>
      <c r="G138" s="15"/>
      <c r="H138" s="15"/>
      <c r="I138" s="15"/>
      <c r="J138" s="15"/>
      <c r="K138" s="16" t="str">
        <f aca="false">IF(A138="","",F138+G138+H138+I138)</f>
        <v/>
      </c>
      <c r="L138" s="17" t="str">
        <f aca="false">IF(OR(K138="",E138=0,E138=""),"",K138/E138)</f>
        <v/>
      </c>
      <c r="M138" s="18" t="str">
        <f aca="false">IF(OR(A138="",E138=""),"",E138+ROW()/1000000)</f>
        <v/>
      </c>
    </row>
    <row r="139" customFormat="false" ht="15" hidden="false" customHeight="false" outlineLevel="0" collapsed="false">
      <c r="A139" s="12"/>
      <c r="B139" s="13"/>
      <c r="C139" s="13"/>
      <c r="D139" s="14"/>
      <c r="E139" s="15"/>
      <c r="F139" s="15"/>
      <c r="G139" s="15"/>
      <c r="H139" s="15"/>
      <c r="I139" s="15"/>
      <c r="J139" s="15"/>
      <c r="K139" s="16" t="str">
        <f aca="false">IF(A139="","",F139+G139+H139+I139)</f>
        <v/>
      </c>
      <c r="L139" s="17" t="str">
        <f aca="false">IF(OR(K139="",E139=0,E139=""),"",K139/E139)</f>
        <v/>
      </c>
      <c r="M139" s="18" t="str">
        <f aca="false">IF(OR(A139="",E139=""),"",E139+ROW()/1000000)</f>
        <v/>
      </c>
    </row>
    <row r="140" customFormat="false" ht="15" hidden="false" customHeight="false" outlineLevel="0" collapsed="false">
      <c r="A140" s="12"/>
      <c r="B140" s="13"/>
      <c r="C140" s="13"/>
      <c r="D140" s="14"/>
      <c r="E140" s="15"/>
      <c r="F140" s="15"/>
      <c r="G140" s="15"/>
      <c r="H140" s="15"/>
      <c r="I140" s="15"/>
      <c r="J140" s="15"/>
      <c r="K140" s="16" t="str">
        <f aca="false">IF(A140="","",F140+G140+H140+I140)</f>
        <v/>
      </c>
      <c r="L140" s="17" t="str">
        <f aca="false">IF(OR(K140="",E140=0,E140=""),"",K140/E140)</f>
        <v/>
      </c>
      <c r="M140" s="18" t="str">
        <f aca="false">IF(OR(A140="",E140=""),"",E140+ROW()/1000000)</f>
        <v/>
      </c>
    </row>
    <row r="141" customFormat="false" ht="15" hidden="false" customHeight="false" outlineLevel="0" collapsed="false">
      <c r="A141" s="12"/>
      <c r="B141" s="13"/>
      <c r="C141" s="13"/>
      <c r="D141" s="14"/>
      <c r="E141" s="15"/>
      <c r="F141" s="15"/>
      <c r="G141" s="15"/>
      <c r="H141" s="15"/>
      <c r="I141" s="15"/>
      <c r="J141" s="15"/>
      <c r="K141" s="16" t="str">
        <f aca="false">IF(A141="","",F141+G141+H141+I141)</f>
        <v/>
      </c>
      <c r="L141" s="17" t="str">
        <f aca="false">IF(OR(K141="",E141=0,E141=""),"",K141/E141)</f>
        <v/>
      </c>
      <c r="M141" s="18" t="str">
        <f aca="false">IF(OR(A141="",E141=""),"",E141+ROW()/1000000)</f>
        <v/>
      </c>
    </row>
    <row r="142" customFormat="false" ht="15" hidden="false" customHeight="false" outlineLevel="0" collapsed="false">
      <c r="A142" s="12"/>
      <c r="B142" s="13"/>
      <c r="C142" s="13"/>
      <c r="D142" s="14"/>
      <c r="E142" s="15"/>
      <c r="F142" s="15"/>
      <c r="G142" s="15"/>
      <c r="H142" s="15"/>
      <c r="I142" s="15"/>
      <c r="J142" s="15"/>
      <c r="K142" s="16" t="str">
        <f aca="false">IF(A142="","",F142+G142+H142+I142)</f>
        <v/>
      </c>
      <c r="L142" s="17" t="str">
        <f aca="false">IF(OR(K142="",E142=0,E142=""),"",K142/E142)</f>
        <v/>
      </c>
      <c r="M142" s="18" t="str">
        <f aca="false">IF(OR(A142="",E142=""),"",E142+ROW()/1000000)</f>
        <v/>
      </c>
    </row>
    <row r="143" customFormat="false" ht="15" hidden="false" customHeight="false" outlineLevel="0" collapsed="false">
      <c r="A143" s="12"/>
      <c r="B143" s="13"/>
      <c r="C143" s="13"/>
      <c r="D143" s="14"/>
      <c r="E143" s="15"/>
      <c r="F143" s="15"/>
      <c r="G143" s="15"/>
      <c r="H143" s="15"/>
      <c r="I143" s="15"/>
      <c r="J143" s="15"/>
      <c r="K143" s="16" t="str">
        <f aca="false">IF(A143="","",F143+G143+H143+I143)</f>
        <v/>
      </c>
      <c r="L143" s="17" t="str">
        <f aca="false">IF(OR(K143="",E143=0,E143=""),"",K143/E143)</f>
        <v/>
      </c>
      <c r="M143" s="18" t="str">
        <f aca="false">IF(OR(A143="",E143=""),"",E143+ROW()/1000000)</f>
        <v/>
      </c>
    </row>
    <row r="144" customFormat="false" ht="15" hidden="false" customHeight="false" outlineLevel="0" collapsed="false">
      <c r="A144" s="12"/>
      <c r="B144" s="13"/>
      <c r="C144" s="13"/>
      <c r="D144" s="14"/>
      <c r="E144" s="15"/>
      <c r="F144" s="15"/>
      <c r="G144" s="15"/>
      <c r="H144" s="15"/>
      <c r="I144" s="15"/>
      <c r="J144" s="15"/>
      <c r="K144" s="16" t="str">
        <f aca="false">IF(A144="","",F144+G144+H144+I144)</f>
        <v/>
      </c>
      <c r="L144" s="17" t="str">
        <f aca="false">IF(OR(K144="",E144=0,E144=""),"",K144/E144)</f>
        <v/>
      </c>
      <c r="M144" s="18" t="str">
        <f aca="false">IF(OR(A144="",E144=""),"",E144+ROW()/1000000)</f>
        <v/>
      </c>
    </row>
    <row r="145" customFormat="false" ht="15" hidden="false" customHeight="false" outlineLevel="0" collapsed="false">
      <c r="A145" s="12"/>
      <c r="B145" s="13"/>
      <c r="C145" s="13"/>
      <c r="D145" s="14"/>
      <c r="E145" s="15"/>
      <c r="F145" s="15"/>
      <c r="G145" s="15"/>
      <c r="H145" s="15"/>
      <c r="I145" s="15"/>
      <c r="J145" s="15"/>
      <c r="K145" s="16" t="str">
        <f aca="false">IF(A145="","",F145+G145+H145+I145)</f>
        <v/>
      </c>
      <c r="L145" s="17" t="str">
        <f aca="false">IF(OR(K145="",E145=0,E145=""),"",K145/E145)</f>
        <v/>
      </c>
      <c r="M145" s="18" t="str">
        <f aca="false">IF(OR(A145="",E145=""),"",E145+ROW()/1000000)</f>
        <v/>
      </c>
    </row>
    <row r="146" customFormat="false" ht="15" hidden="false" customHeight="false" outlineLevel="0" collapsed="false">
      <c r="A146" s="12"/>
      <c r="B146" s="13"/>
      <c r="C146" s="13"/>
      <c r="D146" s="14"/>
      <c r="E146" s="15"/>
      <c r="F146" s="15"/>
      <c r="G146" s="15"/>
      <c r="H146" s="15"/>
      <c r="I146" s="15"/>
      <c r="J146" s="15"/>
      <c r="K146" s="16" t="str">
        <f aca="false">IF(A146="","",F146+G146+H146+I146)</f>
        <v/>
      </c>
      <c r="L146" s="17" t="str">
        <f aca="false">IF(OR(K146="",E146=0,E146=""),"",K146/E146)</f>
        <v/>
      </c>
      <c r="M146" s="18" t="str">
        <f aca="false">IF(OR(A146="",E146=""),"",E146+ROW()/1000000)</f>
        <v/>
      </c>
    </row>
    <row r="147" customFormat="false" ht="15" hidden="false" customHeight="false" outlineLevel="0" collapsed="false">
      <c r="A147" s="12"/>
      <c r="B147" s="13"/>
      <c r="C147" s="13"/>
      <c r="D147" s="14"/>
      <c r="E147" s="15"/>
      <c r="F147" s="15"/>
      <c r="G147" s="15"/>
      <c r="H147" s="15"/>
      <c r="I147" s="15"/>
      <c r="J147" s="15"/>
      <c r="K147" s="16" t="str">
        <f aca="false">IF(A147="","",F147+G147+H147+I147)</f>
        <v/>
      </c>
      <c r="L147" s="17" t="str">
        <f aca="false">IF(OR(K147="",E147=0,E147=""),"",K147/E147)</f>
        <v/>
      </c>
      <c r="M147" s="18" t="str">
        <f aca="false">IF(OR(A147="",E147=""),"",E147+ROW()/1000000)</f>
        <v/>
      </c>
    </row>
    <row r="148" customFormat="false" ht="15" hidden="false" customHeight="false" outlineLevel="0" collapsed="false">
      <c r="A148" s="12"/>
      <c r="B148" s="13"/>
      <c r="C148" s="13"/>
      <c r="D148" s="14"/>
      <c r="E148" s="15"/>
      <c r="F148" s="15"/>
      <c r="G148" s="15"/>
      <c r="H148" s="15"/>
      <c r="I148" s="15"/>
      <c r="J148" s="15"/>
      <c r="K148" s="16" t="str">
        <f aca="false">IF(A148="","",F148+G148+H148+I148)</f>
        <v/>
      </c>
      <c r="L148" s="17" t="str">
        <f aca="false">IF(OR(K148="",E148=0,E148=""),"",K148/E148)</f>
        <v/>
      </c>
      <c r="M148" s="18" t="str">
        <f aca="false">IF(OR(A148="",E148=""),"",E148+ROW()/1000000)</f>
        <v/>
      </c>
    </row>
    <row r="149" customFormat="false" ht="15" hidden="false" customHeight="false" outlineLevel="0" collapsed="false">
      <c r="A149" s="12"/>
      <c r="B149" s="13"/>
      <c r="C149" s="13"/>
      <c r="D149" s="14"/>
      <c r="E149" s="15"/>
      <c r="F149" s="15"/>
      <c r="G149" s="15"/>
      <c r="H149" s="15"/>
      <c r="I149" s="15"/>
      <c r="J149" s="15"/>
      <c r="K149" s="16" t="str">
        <f aca="false">IF(A149="","",F149+G149+H149+I149)</f>
        <v/>
      </c>
      <c r="L149" s="17" t="str">
        <f aca="false">IF(OR(K149="",E149=0,E149=""),"",K149/E149)</f>
        <v/>
      </c>
      <c r="M149" s="18" t="str">
        <f aca="false">IF(OR(A149="",E149=""),"",E149+ROW()/1000000)</f>
        <v/>
      </c>
    </row>
    <row r="150" customFormat="false" ht="15" hidden="false" customHeight="false" outlineLevel="0" collapsed="false">
      <c r="A150" s="12"/>
      <c r="B150" s="13"/>
      <c r="C150" s="13"/>
      <c r="D150" s="14"/>
      <c r="E150" s="15"/>
      <c r="F150" s="15"/>
      <c r="G150" s="15"/>
      <c r="H150" s="15"/>
      <c r="I150" s="15"/>
      <c r="J150" s="15"/>
      <c r="K150" s="16" t="str">
        <f aca="false">IF(A150="","",F150+G150+H150+I150)</f>
        <v/>
      </c>
      <c r="L150" s="17" t="str">
        <f aca="false">IF(OR(K150="",E150=0,E150=""),"",K150/E150)</f>
        <v/>
      </c>
      <c r="M150" s="18" t="str">
        <f aca="false">IF(OR(A150="",E150=""),"",E150+ROW()/1000000)</f>
        <v/>
      </c>
    </row>
    <row r="151" customFormat="false" ht="15" hidden="false" customHeight="false" outlineLevel="0" collapsed="false">
      <c r="A151" s="12"/>
      <c r="B151" s="13"/>
      <c r="C151" s="13"/>
      <c r="D151" s="14"/>
      <c r="E151" s="15"/>
      <c r="F151" s="15"/>
      <c r="G151" s="15"/>
      <c r="H151" s="15"/>
      <c r="I151" s="15"/>
      <c r="J151" s="15"/>
      <c r="K151" s="16" t="str">
        <f aca="false">IF(A151="","",F151+G151+H151+I151)</f>
        <v/>
      </c>
      <c r="L151" s="17" t="str">
        <f aca="false">IF(OR(K151="",E151=0,E151=""),"",K151/E151)</f>
        <v/>
      </c>
      <c r="M151" s="18" t="str">
        <f aca="false">IF(OR(A151="",E151=""),"",E151+ROW()/1000000)</f>
        <v/>
      </c>
    </row>
    <row r="152" customFormat="false" ht="15" hidden="false" customHeight="false" outlineLevel="0" collapsed="false">
      <c r="A152" s="12"/>
      <c r="B152" s="13"/>
      <c r="C152" s="13"/>
      <c r="D152" s="14"/>
      <c r="E152" s="15"/>
      <c r="F152" s="15"/>
      <c r="G152" s="15"/>
      <c r="H152" s="15"/>
      <c r="I152" s="15"/>
      <c r="J152" s="15"/>
      <c r="K152" s="16" t="str">
        <f aca="false">IF(A152="","",F152+G152+H152+I152)</f>
        <v/>
      </c>
      <c r="L152" s="17" t="str">
        <f aca="false">IF(OR(K152="",E152=0,E152=""),"",K152/E152)</f>
        <v/>
      </c>
      <c r="M152" s="18" t="str">
        <f aca="false">IF(OR(A152="",E152=""),"",E152+ROW()/1000000)</f>
        <v/>
      </c>
    </row>
    <row r="153" customFormat="false" ht="15" hidden="false" customHeight="false" outlineLevel="0" collapsed="false">
      <c r="A153" s="12"/>
      <c r="B153" s="13"/>
      <c r="C153" s="13"/>
      <c r="D153" s="14"/>
      <c r="E153" s="15"/>
      <c r="F153" s="15"/>
      <c r="G153" s="15"/>
      <c r="H153" s="15"/>
      <c r="I153" s="15"/>
      <c r="J153" s="15"/>
      <c r="K153" s="16" t="str">
        <f aca="false">IF(A153="","",F153+G153+H153+I153)</f>
        <v/>
      </c>
      <c r="L153" s="17" t="str">
        <f aca="false">IF(OR(K153="",E153=0,E153=""),"",K153/E153)</f>
        <v/>
      </c>
      <c r="M153" s="18" t="str">
        <f aca="false">IF(OR(A153="",E153=""),"",E153+ROW()/1000000)</f>
        <v/>
      </c>
    </row>
    <row r="154" customFormat="false" ht="15" hidden="false" customHeight="false" outlineLevel="0" collapsed="false">
      <c r="A154" s="12"/>
      <c r="B154" s="13"/>
      <c r="C154" s="13"/>
      <c r="D154" s="14"/>
      <c r="E154" s="15"/>
      <c r="F154" s="15"/>
      <c r="G154" s="15"/>
      <c r="H154" s="15"/>
      <c r="I154" s="15"/>
      <c r="J154" s="15"/>
      <c r="K154" s="16" t="str">
        <f aca="false">IF(A154="","",F154+G154+H154+I154)</f>
        <v/>
      </c>
      <c r="L154" s="17" t="str">
        <f aca="false">IF(OR(K154="",E154=0,E154=""),"",K154/E154)</f>
        <v/>
      </c>
      <c r="M154" s="18" t="str">
        <f aca="false">IF(OR(A154="",E154=""),"",E154+ROW()/1000000)</f>
        <v/>
      </c>
    </row>
    <row r="155" customFormat="false" ht="15" hidden="false" customHeight="false" outlineLevel="0" collapsed="false">
      <c r="A155" s="12"/>
      <c r="B155" s="13"/>
      <c r="C155" s="13"/>
      <c r="D155" s="14"/>
      <c r="E155" s="15"/>
      <c r="F155" s="15"/>
      <c r="G155" s="15"/>
      <c r="H155" s="15"/>
      <c r="I155" s="15"/>
      <c r="J155" s="15"/>
      <c r="K155" s="16" t="str">
        <f aca="false">IF(A155="","",F155+G155+H155+I155)</f>
        <v/>
      </c>
      <c r="L155" s="17" t="str">
        <f aca="false">IF(OR(K155="",E155=0,E155=""),"",K155/E155)</f>
        <v/>
      </c>
      <c r="M155" s="18" t="str">
        <f aca="false">IF(OR(A155="",E155=""),"",E155+ROW()/1000000)</f>
        <v/>
      </c>
    </row>
    <row r="156" customFormat="false" ht="15" hidden="false" customHeight="false" outlineLevel="0" collapsed="false">
      <c r="A156" s="12"/>
      <c r="B156" s="13"/>
      <c r="C156" s="13"/>
      <c r="D156" s="14"/>
      <c r="E156" s="15"/>
      <c r="F156" s="15"/>
      <c r="G156" s="15"/>
      <c r="H156" s="15"/>
      <c r="I156" s="15"/>
      <c r="J156" s="15"/>
      <c r="K156" s="16" t="str">
        <f aca="false">IF(A156="","",F156+G156+H156+I156)</f>
        <v/>
      </c>
      <c r="L156" s="17" t="str">
        <f aca="false">IF(OR(K156="",E156=0,E156=""),"",K156/E156)</f>
        <v/>
      </c>
      <c r="M156" s="18" t="str">
        <f aca="false">IF(OR(A156="",E156=""),"",E156+ROW()/1000000)</f>
        <v/>
      </c>
    </row>
    <row r="157" customFormat="false" ht="15" hidden="false" customHeight="false" outlineLevel="0" collapsed="false">
      <c r="A157" s="12"/>
      <c r="B157" s="13"/>
      <c r="C157" s="13"/>
      <c r="D157" s="14"/>
      <c r="E157" s="15"/>
      <c r="F157" s="15"/>
      <c r="G157" s="15"/>
      <c r="H157" s="15"/>
      <c r="I157" s="15"/>
      <c r="J157" s="15"/>
      <c r="K157" s="16" t="str">
        <f aca="false">IF(A157="","",F157+G157+H157+I157)</f>
        <v/>
      </c>
      <c r="L157" s="17" t="str">
        <f aca="false">IF(OR(K157="",E157=0,E157=""),"",K157/E157)</f>
        <v/>
      </c>
      <c r="M157" s="18" t="str">
        <f aca="false">IF(OR(A157="",E157=""),"",E157+ROW()/1000000)</f>
        <v/>
      </c>
    </row>
    <row r="158" customFormat="false" ht="15" hidden="false" customHeight="false" outlineLevel="0" collapsed="false">
      <c r="A158" s="12"/>
      <c r="B158" s="13"/>
      <c r="C158" s="13"/>
      <c r="D158" s="14"/>
      <c r="E158" s="15"/>
      <c r="F158" s="15"/>
      <c r="G158" s="15"/>
      <c r="H158" s="15"/>
      <c r="I158" s="15"/>
      <c r="J158" s="15"/>
      <c r="K158" s="16" t="str">
        <f aca="false">IF(A158="","",F158+G158+H158+I158)</f>
        <v/>
      </c>
      <c r="L158" s="17" t="str">
        <f aca="false">IF(OR(K158="",E158=0,E158=""),"",K158/E158)</f>
        <v/>
      </c>
      <c r="M158" s="18" t="str">
        <f aca="false">IF(OR(A158="",E158=""),"",E158+ROW()/1000000)</f>
        <v/>
      </c>
    </row>
    <row r="159" customFormat="false" ht="15" hidden="false" customHeight="false" outlineLevel="0" collapsed="false">
      <c r="A159" s="12"/>
      <c r="B159" s="13"/>
      <c r="C159" s="13"/>
      <c r="D159" s="14"/>
      <c r="E159" s="15"/>
      <c r="F159" s="15"/>
      <c r="G159" s="15"/>
      <c r="H159" s="15"/>
      <c r="I159" s="15"/>
      <c r="J159" s="15"/>
      <c r="K159" s="16" t="str">
        <f aca="false">IF(A159="","",F159+G159+H159+I159)</f>
        <v/>
      </c>
      <c r="L159" s="17" t="str">
        <f aca="false">IF(OR(K159="",E159=0,E159=""),"",K159/E159)</f>
        <v/>
      </c>
      <c r="M159" s="18" t="str">
        <f aca="false">IF(OR(A159="",E159=""),"",E159+ROW()/1000000)</f>
        <v/>
      </c>
    </row>
    <row r="160" customFormat="false" ht="15" hidden="false" customHeight="false" outlineLevel="0" collapsed="false">
      <c r="A160" s="12"/>
      <c r="B160" s="13"/>
      <c r="C160" s="13"/>
      <c r="D160" s="14"/>
      <c r="E160" s="15"/>
      <c r="F160" s="15"/>
      <c r="G160" s="15"/>
      <c r="H160" s="15"/>
      <c r="I160" s="15"/>
      <c r="J160" s="15"/>
      <c r="K160" s="16" t="str">
        <f aca="false">IF(A160="","",F160+G160+H160+I160)</f>
        <v/>
      </c>
      <c r="L160" s="17" t="str">
        <f aca="false">IF(OR(K160="",E160=0,E160=""),"",K160/E160)</f>
        <v/>
      </c>
      <c r="M160" s="18" t="str">
        <f aca="false">IF(OR(A160="",E160=""),"",E160+ROW()/1000000)</f>
        <v/>
      </c>
    </row>
    <row r="161" customFormat="false" ht="15" hidden="false" customHeight="false" outlineLevel="0" collapsed="false">
      <c r="A161" s="12"/>
      <c r="B161" s="13"/>
      <c r="C161" s="13"/>
      <c r="D161" s="14"/>
      <c r="E161" s="15"/>
      <c r="F161" s="15"/>
      <c r="G161" s="15"/>
      <c r="H161" s="15"/>
      <c r="I161" s="15"/>
      <c r="J161" s="15"/>
      <c r="K161" s="16" t="str">
        <f aca="false">IF(A161="","",F161+G161+H161+I161)</f>
        <v/>
      </c>
      <c r="L161" s="17" t="str">
        <f aca="false">IF(OR(K161="",E161=0,E161=""),"",K161/E161)</f>
        <v/>
      </c>
      <c r="M161" s="18" t="str">
        <f aca="false">IF(OR(A161="",E161=""),"",E161+ROW()/1000000)</f>
        <v/>
      </c>
    </row>
    <row r="162" customFormat="false" ht="15" hidden="false" customHeight="false" outlineLevel="0" collapsed="false">
      <c r="A162" s="12"/>
      <c r="B162" s="13"/>
      <c r="C162" s="13"/>
      <c r="D162" s="14"/>
      <c r="E162" s="15"/>
      <c r="F162" s="15"/>
      <c r="G162" s="15"/>
      <c r="H162" s="15"/>
      <c r="I162" s="15"/>
      <c r="J162" s="15"/>
      <c r="K162" s="16" t="str">
        <f aca="false">IF(A162="","",F162+G162+H162+I162)</f>
        <v/>
      </c>
      <c r="L162" s="17" t="str">
        <f aca="false">IF(OR(K162="",E162=0,E162=""),"",K162/E162)</f>
        <v/>
      </c>
      <c r="M162" s="18" t="str">
        <f aca="false">IF(OR(A162="",E162=""),"",E162+ROW()/1000000)</f>
        <v/>
      </c>
    </row>
    <row r="163" customFormat="false" ht="15" hidden="false" customHeight="false" outlineLevel="0" collapsed="false">
      <c r="A163" s="12"/>
      <c r="B163" s="13"/>
      <c r="C163" s="13"/>
      <c r="D163" s="14"/>
      <c r="E163" s="15"/>
      <c r="F163" s="15"/>
      <c r="G163" s="15"/>
      <c r="H163" s="15"/>
      <c r="I163" s="15"/>
      <c r="J163" s="15"/>
      <c r="K163" s="16" t="str">
        <f aca="false">IF(A163="","",F163+G163+H163+I163)</f>
        <v/>
      </c>
      <c r="L163" s="17" t="str">
        <f aca="false">IF(OR(K163="",E163=0,E163=""),"",K163/E163)</f>
        <v/>
      </c>
      <c r="M163" s="18" t="str">
        <f aca="false">IF(OR(A163="",E163=""),"",E163+ROW()/1000000)</f>
        <v/>
      </c>
    </row>
    <row r="164" customFormat="false" ht="15" hidden="false" customHeight="false" outlineLevel="0" collapsed="false">
      <c r="A164" s="12"/>
      <c r="B164" s="13"/>
      <c r="C164" s="13"/>
      <c r="D164" s="14"/>
      <c r="E164" s="15"/>
      <c r="F164" s="15"/>
      <c r="G164" s="15"/>
      <c r="H164" s="15"/>
      <c r="I164" s="15"/>
      <c r="J164" s="15"/>
      <c r="K164" s="16" t="str">
        <f aca="false">IF(A164="","",F164+G164+H164+I164)</f>
        <v/>
      </c>
      <c r="L164" s="17" t="str">
        <f aca="false">IF(OR(K164="",E164=0,E164=""),"",K164/E164)</f>
        <v/>
      </c>
      <c r="M164" s="18" t="str">
        <f aca="false">IF(OR(A164="",E164=""),"",E164+ROW()/1000000)</f>
        <v/>
      </c>
    </row>
    <row r="165" customFormat="false" ht="15" hidden="false" customHeight="false" outlineLevel="0" collapsed="false">
      <c r="A165" s="12"/>
      <c r="B165" s="13"/>
      <c r="C165" s="13"/>
      <c r="D165" s="14"/>
      <c r="E165" s="15"/>
      <c r="F165" s="15"/>
      <c r="G165" s="15"/>
      <c r="H165" s="15"/>
      <c r="I165" s="15"/>
      <c r="J165" s="15"/>
      <c r="K165" s="16" t="str">
        <f aca="false">IF(A165="","",F165+G165+H165+I165)</f>
        <v/>
      </c>
      <c r="L165" s="17" t="str">
        <f aca="false">IF(OR(K165="",E165=0,E165=""),"",K165/E165)</f>
        <v/>
      </c>
      <c r="M165" s="18" t="str">
        <f aca="false">IF(OR(A165="",E165=""),"",E165+ROW()/1000000)</f>
        <v/>
      </c>
    </row>
    <row r="166" customFormat="false" ht="15" hidden="false" customHeight="false" outlineLevel="0" collapsed="false">
      <c r="A166" s="12"/>
      <c r="B166" s="13"/>
      <c r="C166" s="13"/>
      <c r="D166" s="14"/>
      <c r="E166" s="15"/>
      <c r="F166" s="15"/>
      <c r="G166" s="15"/>
      <c r="H166" s="15"/>
      <c r="I166" s="15"/>
      <c r="J166" s="15"/>
      <c r="K166" s="16" t="str">
        <f aca="false">IF(A166="","",F166+G166+H166+I166)</f>
        <v/>
      </c>
      <c r="L166" s="17" t="str">
        <f aca="false">IF(OR(K166="",E166=0,E166=""),"",K166/E166)</f>
        <v/>
      </c>
      <c r="M166" s="18" t="str">
        <f aca="false">IF(OR(A166="",E166=""),"",E166+ROW()/1000000)</f>
        <v/>
      </c>
    </row>
    <row r="167" customFormat="false" ht="15" hidden="false" customHeight="false" outlineLevel="0" collapsed="false">
      <c r="A167" s="12"/>
      <c r="B167" s="13"/>
      <c r="C167" s="13"/>
      <c r="D167" s="14"/>
      <c r="E167" s="15"/>
      <c r="F167" s="15"/>
      <c r="G167" s="15"/>
      <c r="H167" s="15"/>
      <c r="I167" s="15"/>
      <c r="J167" s="15"/>
      <c r="K167" s="16" t="str">
        <f aca="false">IF(A167="","",F167+G167+H167+I167)</f>
        <v/>
      </c>
      <c r="L167" s="17" t="str">
        <f aca="false">IF(OR(K167="",E167=0,E167=""),"",K167/E167)</f>
        <v/>
      </c>
      <c r="M167" s="18" t="str">
        <f aca="false">IF(OR(A167="",E167=""),"",E167+ROW()/1000000)</f>
        <v/>
      </c>
    </row>
    <row r="168" customFormat="false" ht="15" hidden="false" customHeight="false" outlineLevel="0" collapsed="false">
      <c r="A168" s="12"/>
      <c r="B168" s="13"/>
      <c r="C168" s="13"/>
      <c r="D168" s="14"/>
      <c r="E168" s="15"/>
      <c r="F168" s="15"/>
      <c r="G168" s="15"/>
      <c r="H168" s="15"/>
      <c r="I168" s="15"/>
      <c r="J168" s="15"/>
      <c r="K168" s="16" t="str">
        <f aca="false">IF(A168="","",F168+G168+H168+I168)</f>
        <v/>
      </c>
      <c r="L168" s="17" t="str">
        <f aca="false">IF(OR(K168="",E168=0,E168=""),"",K168/E168)</f>
        <v/>
      </c>
      <c r="M168" s="18" t="str">
        <f aca="false">IF(OR(A168="",E168=""),"",E168+ROW()/1000000)</f>
        <v/>
      </c>
    </row>
    <row r="169" customFormat="false" ht="15" hidden="false" customHeight="false" outlineLevel="0" collapsed="false">
      <c r="A169" s="12"/>
      <c r="B169" s="13"/>
      <c r="C169" s="13"/>
      <c r="D169" s="14"/>
      <c r="E169" s="15"/>
      <c r="F169" s="15"/>
      <c r="G169" s="15"/>
      <c r="H169" s="15"/>
      <c r="I169" s="15"/>
      <c r="J169" s="15"/>
      <c r="K169" s="16" t="str">
        <f aca="false">IF(A169="","",F169+G169+H169+I169)</f>
        <v/>
      </c>
      <c r="L169" s="17" t="str">
        <f aca="false">IF(OR(K169="",E169=0,E169=""),"",K169/E169)</f>
        <v/>
      </c>
      <c r="M169" s="18" t="str">
        <f aca="false">IF(OR(A169="",E169=""),"",E169+ROW()/1000000)</f>
        <v/>
      </c>
    </row>
    <row r="170" customFormat="false" ht="15" hidden="false" customHeight="false" outlineLevel="0" collapsed="false">
      <c r="A170" s="12"/>
      <c r="B170" s="13"/>
      <c r="C170" s="13"/>
      <c r="D170" s="14"/>
      <c r="E170" s="15"/>
      <c r="F170" s="15"/>
      <c r="G170" s="15"/>
      <c r="H170" s="15"/>
      <c r="I170" s="15"/>
      <c r="J170" s="15"/>
      <c r="K170" s="16" t="str">
        <f aca="false">IF(A170="","",F170+G170+H170+I170)</f>
        <v/>
      </c>
      <c r="L170" s="17" t="str">
        <f aca="false">IF(OR(K170="",E170=0,E170=""),"",K170/E170)</f>
        <v/>
      </c>
      <c r="M170" s="18" t="str">
        <f aca="false">IF(OR(A170="",E170=""),"",E170+ROW()/1000000)</f>
        <v/>
      </c>
    </row>
    <row r="171" customFormat="false" ht="15" hidden="false" customHeight="false" outlineLevel="0" collapsed="false">
      <c r="A171" s="12"/>
      <c r="B171" s="13"/>
      <c r="C171" s="13"/>
      <c r="D171" s="14"/>
      <c r="E171" s="15"/>
      <c r="F171" s="15"/>
      <c r="G171" s="15"/>
      <c r="H171" s="15"/>
      <c r="I171" s="15"/>
      <c r="J171" s="15"/>
      <c r="K171" s="16" t="str">
        <f aca="false">IF(A171="","",F171+G171+H171+I171)</f>
        <v/>
      </c>
      <c r="L171" s="17" t="str">
        <f aca="false">IF(OR(K171="",E171=0,E171=""),"",K171/E171)</f>
        <v/>
      </c>
      <c r="M171" s="18" t="str">
        <f aca="false">IF(OR(A171="",E171=""),"",E171+ROW()/1000000)</f>
        <v/>
      </c>
    </row>
    <row r="172" customFormat="false" ht="15" hidden="false" customHeight="false" outlineLevel="0" collapsed="false">
      <c r="A172" s="12"/>
      <c r="B172" s="13"/>
      <c r="C172" s="13"/>
      <c r="D172" s="14"/>
      <c r="E172" s="15"/>
      <c r="F172" s="15"/>
      <c r="G172" s="15"/>
      <c r="H172" s="15"/>
      <c r="I172" s="15"/>
      <c r="J172" s="15"/>
      <c r="K172" s="16" t="str">
        <f aca="false">IF(A172="","",F172+G172+H172+I172)</f>
        <v/>
      </c>
      <c r="L172" s="17" t="str">
        <f aca="false">IF(OR(K172="",E172=0,E172=""),"",K172/E172)</f>
        <v/>
      </c>
      <c r="M172" s="18" t="str">
        <f aca="false">IF(OR(A172="",E172=""),"",E172+ROW()/1000000)</f>
        <v/>
      </c>
    </row>
    <row r="173" customFormat="false" ht="15" hidden="false" customHeight="false" outlineLevel="0" collapsed="false">
      <c r="A173" s="12"/>
      <c r="B173" s="13"/>
      <c r="C173" s="13"/>
      <c r="D173" s="14"/>
      <c r="E173" s="15"/>
      <c r="F173" s="15"/>
      <c r="G173" s="15"/>
      <c r="H173" s="15"/>
      <c r="I173" s="15"/>
      <c r="J173" s="15"/>
      <c r="K173" s="16" t="str">
        <f aca="false">IF(A173="","",F173+G173+H173+I173)</f>
        <v/>
      </c>
      <c r="L173" s="17" t="str">
        <f aca="false">IF(OR(K173="",E173=0,E173=""),"",K173/E173)</f>
        <v/>
      </c>
      <c r="M173" s="18" t="str">
        <f aca="false">IF(OR(A173="",E173=""),"",E173+ROW()/1000000)</f>
        <v/>
      </c>
    </row>
    <row r="174" customFormat="false" ht="15" hidden="false" customHeight="false" outlineLevel="0" collapsed="false">
      <c r="A174" s="12"/>
      <c r="B174" s="13"/>
      <c r="C174" s="13"/>
      <c r="D174" s="14"/>
      <c r="E174" s="15"/>
      <c r="F174" s="15"/>
      <c r="G174" s="15"/>
      <c r="H174" s="15"/>
      <c r="I174" s="15"/>
      <c r="J174" s="15"/>
      <c r="K174" s="16" t="str">
        <f aca="false">IF(A174="","",F174+G174+H174+I174)</f>
        <v/>
      </c>
      <c r="L174" s="17" t="str">
        <f aca="false">IF(OR(K174="",E174=0,E174=""),"",K174/E174)</f>
        <v/>
      </c>
      <c r="M174" s="18" t="str">
        <f aca="false">IF(OR(A174="",E174=""),"",E174+ROW()/1000000)</f>
        <v/>
      </c>
    </row>
    <row r="175" customFormat="false" ht="15" hidden="false" customHeight="false" outlineLevel="0" collapsed="false">
      <c r="A175" s="12"/>
      <c r="B175" s="13"/>
      <c r="C175" s="13"/>
      <c r="D175" s="14"/>
      <c r="E175" s="15"/>
      <c r="F175" s="15"/>
      <c r="G175" s="15"/>
      <c r="H175" s="15"/>
      <c r="I175" s="15"/>
      <c r="J175" s="15"/>
      <c r="K175" s="16" t="str">
        <f aca="false">IF(A175="","",F175+G175+H175+I175)</f>
        <v/>
      </c>
      <c r="L175" s="17" t="str">
        <f aca="false">IF(OR(K175="",E175=0,E175=""),"",K175/E175)</f>
        <v/>
      </c>
      <c r="M175" s="18" t="str">
        <f aca="false">IF(OR(A175="",E175=""),"",E175+ROW()/1000000)</f>
        <v/>
      </c>
    </row>
    <row r="176" customFormat="false" ht="15" hidden="false" customHeight="false" outlineLevel="0" collapsed="false">
      <c r="A176" s="12"/>
      <c r="B176" s="13"/>
      <c r="C176" s="13"/>
      <c r="D176" s="14"/>
      <c r="E176" s="15"/>
      <c r="F176" s="15"/>
      <c r="G176" s="15"/>
      <c r="H176" s="15"/>
      <c r="I176" s="15"/>
      <c r="J176" s="15"/>
      <c r="K176" s="16" t="str">
        <f aca="false">IF(A176="","",F176+G176+H176+I176)</f>
        <v/>
      </c>
      <c r="L176" s="17" t="str">
        <f aca="false">IF(OR(K176="",E176=0,E176=""),"",K176/E176)</f>
        <v/>
      </c>
      <c r="M176" s="18" t="str">
        <f aca="false">IF(OR(A176="",E176=""),"",E176+ROW()/1000000)</f>
        <v/>
      </c>
    </row>
    <row r="177" customFormat="false" ht="15" hidden="false" customHeight="false" outlineLevel="0" collapsed="false">
      <c r="A177" s="12"/>
      <c r="B177" s="13"/>
      <c r="C177" s="13"/>
      <c r="D177" s="14"/>
      <c r="E177" s="15"/>
      <c r="F177" s="15"/>
      <c r="G177" s="15"/>
      <c r="H177" s="15"/>
      <c r="I177" s="15"/>
      <c r="J177" s="15"/>
      <c r="K177" s="16" t="str">
        <f aca="false">IF(A177="","",F177+G177+H177+I177)</f>
        <v/>
      </c>
      <c r="L177" s="17" t="str">
        <f aca="false">IF(OR(K177="",E177=0,E177=""),"",K177/E177)</f>
        <v/>
      </c>
      <c r="M177" s="18" t="str">
        <f aca="false">IF(OR(A177="",E177=""),"",E177+ROW()/1000000)</f>
        <v/>
      </c>
    </row>
    <row r="178" customFormat="false" ht="15" hidden="false" customHeight="false" outlineLevel="0" collapsed="false">
      <c r="A178" s="12"/>
      <c r="B178" s="13"/>
      <c r="C178" s="13"/>
      <c r="D178" s="14"/>
      <c r="E178" s="15"/>
      <c r="F178" s="15"/>
      <c r="G178" s="15"/>
      <c r="H178" s="15"/>
      <c r="I178" s="15"/>
      <c r="J178" s="15"/>
      <c r="K178" s="16" t="str">
        <f aca="false">IF(A178="","",F178+G178+H178+I178)</f>
        <v/>
      </c>
      <c r="L178" s="17" t="str">
        <f aca="false">IF(OR(K178="",E178=0,E178=""),"",K178/E178)</f>
        <v/>
      </c>
      <c r="M178" s="18" t="str">
        <f aca="false">IF(OR(A178="",E178=""),"",E178+ROW()/1000000)</f>
        <v/>
      </c>
    </row>
    <row r="179" customFormat="false" ht="15" hidden="false" customHeight="false" outlineLevel="0" collapsed="false">
      <c r="A179" s="12"/>
      <c r="B179" s="13"/>
      <c r="C179" s="13"/>
      <c r="D179" s="14"/>
      <c r="E179" s="15"/>
      <c r="F179" s="15"/>
      <c r="G179" s="15"/>
      <c r="H179" s="15"/>
      <c r="I179" s="15"/>
      <c r="J179" s="15"/>
      <c r="K179" s="16" t="str">
        <f aca="false">IF(A179="","",F179+G179+H179+I179)</f>
        <v/>
      </c>
      <c r="L179" s="17" t="str">
        <f aca="false">IF(OR(K179="",E179=0,E179=""),"",K179/E179)</f>
        <v/>
      </c>
      <c r="M179" s="18" t="str">
        <f aca="false">IF(OR(A179="",E179=""),"",E179+ROW()/1000000)</f>
        <v/>
      </c>
    </row>
    <row r="180" customFormat="false" ht="15" hidden="false" customHeight="false" outlineLevel="0" collapsed="false">
      <c r="A180" s="12"/>
      <c r="B180" s="13"/>
      <c r="C180" s="13"/>
      <c r="D180" s="14"/>
      <c r="E180" s="15"/>
      <c r="F180" s="15"/>
      <c r="G180" s="15"/>
      <c r="H180" s="15"/>
      <c r="I180" s="15"/>
      <c r="J180" s="15"/>
      <c r="K180" s="16" t="str">
        <f aca="false">IF(A180="","",F180+G180+H180+I180)</f>
        <v/>
      </c>
      <c r="L180" s="17" t="str">
        <f aca="false">IF(OR(K180="",E180=0,E180=""),"",K180/E180)</f>
        <v/>
      </c>
      <c r="M180" s="18" t="str">
        <f aca="false">IF(OR(A180="",E180=""),"",E180+ROW()/1000000)</f>
        <v/>
      </c>
    </row>
    <row r="181" customFormat="false" ht="15" hidden="false" customHeight="false" outlineLevel="0" collapsed="false">
      <c r="A181" s="12"/>
      <c r="B181" s="13"/>
      <c r="C181" s="13"/>
      <c r="D181" s="14"/>
      <c r="E181" s="15"/>
      <c r="F181" s="15"/>
      <c r="G181" s="15"/>
      <c r="H181" s="15"/>
      <c r="I181" s="15"/>
      <c r="J181" s="15"/>
      <c r="K181" s="16" t="str">
        <f aca="false">IF(A181="","",F181+G181+H181+I181)</f>
        <v/>
      </c>
      <c r="L181" s="17" t="str">
        <f aca="false">IF(OR(K181="",E181=0,E181=""),"",K181/E181)</f>
        <v/>
      </c>
      <c r="M181" s="18" t="str">
        <f aca="false">IF(OR(A181="",E181=""),"",E181+ROW()/1000000)</f>
        <v/>
      </c>
    </row>
    <row r="182" customFormat="false" ht="15" hidden="false" customHeight="false" outlineLevel="0" collapsed="false">
      <c r="A182" s="12"/>
      <c r="B182" s="13"/>
      <c r="C182" s="13"/>
      <c r="D182" s="14"/>
      <c r="E182" s="15"/>
      <c r="F182" s="15"/>
      <c r="G182" s="15"/>
      <c r="H182" s="15"/>
      <c r="I182" s="15"/>
      <c r="J182" s="15"/>
      <c r="K182" s="16" t="str">
        <f aca="false">IF(A182="","",F182+G182+H182+I182)</f>
        <v/>
      </c>
      <c r="L182" s="17" t="str">
        <f aca="false">IF(OR(K182="",E182=0,E182=""),"",K182/E182)</f>
        <v/>
      </c>
      <c r="M182" s="18" t="str">
        <f aca="false">IF(OR(A182="",E182=""),"",E182+ROW()/1000000)</f>
        <v/>
      </c>
    </row>
    <row r="183" customFormat="false" ht="15" hidden="false" customHeight="false" outlineLevel="0" collapsed="false">
      <c r="A183" s="12"/>
      <c r="B183" s="13"/>
      <c r="C183" s="13"/>
      <c r="D183" s="14"/>
      <c r="E183" s="15"/>
      <c r="F183" s="15"/>
      <c r="G183" s="15"/>
      <c r="H183" s="15"/>
      <c r="I183" s="15"/>
      <c r="J183" s="15"/>
      <c r="K183" s="16" t="str">
        <f aca="false">IF(A183="","",F183+G183+H183+I183)</f>
        <v/>
      </c>
      <c r="L183" s="17" t="str">
        <f aca="false">IF(OR(K183="",E183=0,E183=""),"",K183/E183)</f>
        <v/>
      </c>
      <c r="M183" s="18" t="str">
        <f aca="false">IF(OR(A183="",E183=""),"",E183+ROW()/1000000)</f>
        <v/>
      </c>
    </row>
    <row r="184" customFormat="false" ht="15" hidden="false" customHeight="false" outlineLevel="0" collapsed="false">
      <c r="A184" s="12"/>
      <c r="B184" s="13"/>
      <c r="C184" s="13"/>
      <c r="D184" s="14"/>
      <c r="E184" s="15"/>
      <c r="F184" s="15"/>
      <c r="G184" s="15"/>
      <c r="H184" s="15"/>
      <c r="I184" s="15"/>
      <c r="J184" s="15"/>
      <c r="K184" s="16" t="str">
        <f aca="false">IF(A184="","",F184+G184+H184+I184)</f>
        <v/>
      </c>
      <c r="L184" s="17" t="str">
        <f aca="false">IF(OR(K184="",E184=0,E184=""),"",K184/E184)</f>
        <v/>
      </c>
      <c r="M184" s="18" t="str">
        <f aca="false">IF(OR(A184="",E184=""),"",E184+ROW()/1000000)</f>
        <v/>
      </c>
    </row>
    <row r="185" customFormat="false" ht="15" hidden="false" customHeight="false" outlineLevel="0" collapsed="false">
      <c r="A185" s="12"/>
      <c r="B185" s="13"/>
      <c r="C185" s="13"/>
      <c r="D185" s="14"/>
      <c r="E185" s="15"/>
      <c r="F185" s="15"/>
      <c r="G185" s="15"/>
      <c r="H185" s="15"/>
      <c r="I185" s="15"/>
      <c r="J185" s="15"/>
      <c r="K185" s="16" t="str">
        <f aca="false">IF(A185="","",F185+G185+H185+I185)</f>
        <v/>
      </c>
      <c r="L185" s="17" t="str">
        <f aca="false">IF(OR(K185="",E185=0,E185=""),"",K185/E185)</f>
        <v/>
      </c>
      <c r="M185" s="18" t="str">
        <f aca="false">IF(OR(A185="",E185=""),"",E185+ROW()/1000000)</f>
        <v/>
      </c>
    </row>
    <row r="186" customFormat="false" ht="15" hidden="false" customHeight="false" outlineLevel="0" collapsed="false">
      <c r="A186" s="12"/>
      <c r="B186" s="13"/>
      <c r="C186" s="13"/>
      <c r="D186" s="14"/>
      <c r="E186" s="15"/>
      <c r="F186" s="15"/>
      <c r="G186" s="15"/>
      <c r="H186" s="15"/>
      <c r="I186" s="15"/>
      <c r="J186" s="15"/>
      <c r="K186" s="16" t="str">
        <f aca="false">IF(A186="","",F186+G186+H186+I186)</f>
        <v/>
      </c>
      <c r="L186" s="17" t="str">
        <f aca="false">IF(OR(K186="",E186=0,E186=""),"",K186/E186)</f>
        <v/>
      </c>
      <c r="M186" s="18" t="str">
        <f aca="false">IF(OR(A186="",E186=""),"",E186+ROW()/1000000)</f>
        <v/>
      </c>
    </row>
    <row r="187" customFormat="false" ht="15" hidden="false" customHeight="false" outlineLevel="0" collapsed="false">
      <c r="A187" s="12"/>
      <c r="B187" s="13"/>
      <c r="C187" s="13"/>
      <c r="D187" s="14"/>
      <c r="E187" s="15"/>
      <c r="F187" s="15"/>
      <c r="G187" s="15"/>
      <c r="H187" s="15"/>
      <c r="I187" s="15"/>
      <c r="J187" s="15"/>
      <c r="K187" s="16" t="str">
        <f aca="false">IF(A187="","",F187+G187+H187+I187)</f>
        <v/>
      </c>
      <c r="L187" s="17" t="str">
        <f aca="false">IF(OR(K187="",E187=0,E187=""),"",K187/E187)</f>
        <v/>
      </c>
      <c r="M187" s="18" t="str">
        <f aca="false">IF(OR(A187="",E187=""),"",E187+ROW()/1000000)</f>
        <v/>
      </c>
    </row>
    <row r="188" customFormat="false" ht="15" hidden="false" customHeight="false" outlineLevel="0" collapsed="false">
      <c r="A188" s="12"/>
      <c r="B188" s="13"/>
      <c r="C188" s="13"/>
      <c r="D188" s="14"/>
      <c r="E188" s="15"/>
      <c r="F188" s="15"/>
      <c r="G188" s="15"/>
      <c r="H188" s="15"/>
      <c r="I188" s="15"/>
      <c r="J188" s="15"/>
      <c r="K188" s="16" t="str">
        <f aca="false">IF(A188="","",F188+G188+H188+I188)</f>
        <v/>
      </c>
      <c r="L188" s="17" t="str">
        <f aca="false">IF(OR(K188="",E188=0,E188=""),"",K188/E188)</f>
        <v/>
      </c>
      <c r="M188" s="18" t="str">
        <f aca="false">IF(OR(A188="",E188=""),"",E188+ROW()/1000000)</f>
        <v/>
      </c>
    </row>
    <row r="189" customFormat="false" ht="15" hidden="false" customHeight="false" outlineLevel="0" collapsed="false">
      <c r="A189" s="12"/>
      <c r="B189" s="13"/>
      <c r="C189" s="13"/>
      <c r="D189" s="14"/>
      <c r="E189" s="15"/>
      <c r="F189" s="15"/>
      <c r="G189" s="15"/>
      <c r="H189" s="15"/>
      <c r="I189" s="15"/>
      <c r="J189" s="15"/>
      <c r="K189" s="16" t="str">
        <f aca="false">IF(A189="","",F189+G189+H189+I189)</f>
        <v/>
      </c>
      <c r="L189" s="17" t="str">
        <f aca="false">IF(OR(K189="",E189=0,E189=""),"",K189/E189)</f>
        <v/>
      </c>
      <c r="M189" s="18" t="str">
        <f aca="false">IF(OR(A189="",E189=""),"",E189+ROW()/1000000)</f>
        <v/>
      </c>
    </row>
    <row r="190" customFormat="false" ht="15" hidden="false" customHeight="false" outlineLevel="0" collapsed="false">
      <c r="A190" s="12"/>
      <c r="B190" s="13"/>
      <c r="C190" s="13"/>
      <c r="D190" s="14"/>
      <c r="E190" s="15"/>
      <c r="F190" s="15"/>
      <c r="G190" s="15"/>
      <c r="H190" s="15"/>
      <c r="I190" s="15"/>
      <c r="J190" s="15"/>
      <c r="K190" s="16" t="str">
        <f aca="false">IF(A190="","",F190+G190+H190+I190)</f>
        <v/>
      </c>
      <c r="L190" s="17" t="str">
        <f aca="false">IF(OR(K190="",E190=0,E190=""),"",K190/E190)</f>
        <v/>
      </c>
      <c r="M190" s="18" t="str">
        <f aca="false">IF(OR(A190="",E190=""),"",E190+ROW()/1000000)</f>
        <v/>
      </c>
    </row>
    <row r="191" customFormat="false" ht="15" hidden="false" customHeight="false" outlineLevel="0" collapsed="false">
      <c r="A191" s="12"/>
      <c r="B191" s="13"/>
      <c r="C191" s="13"/>
      <c r="D191" s="14"/>
      <c r="E191" s="15"/>
      <c r="F191" s="15"/>
      <c r="G191" s="15"/>
      <c r="H191" s="15"/>
      <c r="I191" s="15"/>
      <c r="J191" s="15"/>
      <c r="K191" s="16" t="str">
        <f aca="false">IF(A191="","",F191+G191+H191+I191)</f>
        <v/>
      </c>
      <c r="L191" s="17" t="str">
        <f aca="false">IF(OR(K191="",E191=0,E191=""),"",K191/E191)</f>
        <v/>
      </c>
      <c r="M191" s="18" t="str">
        <f aca="false">IF(OR(A191="",E191=""),"",E191+ROW()/1000000)</f>
        <v/>
      </c>
    </row>
    <row r="192" customFormat="false" ht="15" hidden="false" customHeight="false" outlineLevel="0" collapsed="false">
      <c r="A192" s="12"/>
      <c r="B192" s="13"/>
      <c r="C192" s="13"/>
      <c r="D192" s="14"/>
      <c r="E192" s="15"/>
      <c r="F192" s="15"/>
      <c r="G192" s="15"/>
      <c r="H192" s="15"/>
      <c r="I192" s="15"/>
      <c r="J192" s="15"/>
      <c r="K192" s="16" t="str">
        <f aca="false">IF(A192="","",F192+G192+H192+I192)</f>
        <v/>
      </c>
      <c r="L192" s="17" t="str">
        <f aca="false">IF(OR(K192="",E192=0,E192=""),"",K192/E192)</f>
        <v/>
      </c>
      <c r="M192" s="18" t="str">
        <f aca="false">IF(OR(A192="",E192=""),"",E192+ROW()/1000000)</f>
        <v/>
      </c>
    </row>
    <row r="193" customFormat="false" ht="15" hidden="false" customHeight="false" outlineLevel="0" collapsed="false">
      <c r="A193" s="12"/>
      <c r="B193" s="13"/>
      <c r="C193" s="13"/>
      <c r="D193" s="14"/>
      <c r="E193" s="15"/>
      <c r="F193" s="15"/>
      <c r="G193" s="15"/>
      <c r="H193" s="15"/>
      <c r="I193" s="15"/>
      <c r="J193" s="15"/>
      <c r="K193" s="16" t="str">
        <f aca="false">IF(A193="","",F193+G193+H193+I193)</f>
        <v/>
      </c>
      <c r="L193" s="17" t="str">
        <f aca="false">IF(OR(K193="",E193=0,E193=""),"",K193/E193)</f>
        <v/>
      </c>
      <c r="M193" s="18" t="str">
        <f aca="false">IF(OR(A193="",E193=""),"",E193+ROW()/1000000)</f>
        <v/>
      </c>
    </row>
    <row r="194" customFormat="false" ht="15" hidden="false" customHeight="false" outlineLevel="0" collapsed="false">
      <c r="A194" s="12"/>
      <c r="B194" s="13"/>
      <c r="C194" s="13"/>
      <c r="D194" s="14"/>
      <c r="E194" s="15"/>
      <c r="F194" s="15"/>
      <c r="G194" s="15"/>
      <c r="H194" s="15"/>
      <c r="I194" s="15"/>
      <c r="J194" s="15"/>
      <c r="K194" s="16" t="str">
        <f aca="false">IF(A194="","",F194+G194+H194+I194)</f>
        <v/>
      </c>
      <c r="L194" s="17" t="str">
        <f aca="false">IF(OR(K194="",E194=0,E194=""),"",K194/E194)</f>
        <v/>
      </c>
      <c r="M194" s="18" t="str">
        <f aca="false">IF(OR(A194="",E194=""),"",E194+ROW()/1000000)</f>
        <v/>
      </c>
    </row>
    <row r="195" customFormat="false" ht="15" hidden="false" customHeight="false" outlineLevel="0" collapsed="false">
      <c r="A195" s="12"/>
      <c r="B195" s="13"/>
      <c r="C195" s="13"/>
      <c r="D195" s="14"/>
      <c r="E195" s="15"/>
      <c r="F195" s="15"/>
      <c r="G195" s="15"/>
      <c r="H195" s="15"/>
      <c r="I195" s="15"/>
      <c r="J195" s="15"/>
      <c r="K195" s="16" t="str">
        <f aca="false">IF(A195="","",F195+G195+H195+I195)</f>
        <v/>
      </c>
      <c r="L195" s="17" t="str">
        <f aca="false">IF(OR(K195="",E195=0,E195=""),"",K195/E195)</f>
        <v/>
      </c>
      <c r="M195" s="18" t="str">
        <f aca="false">IF(OR(A195="",E195=""),"",E195+ROW()/1000000)</f>
        <v/>
      </c>
    </row>
    <row r="196" customFormat="false" ht="15" hidden="false" customHeight="false" outlineLevel="0" collapsed="false">
      <c r="A196" s="12"/>
      <c r="B196" s="13"/>
      <c r="C196" s="13"/>
      <c r="D196" s="14"/>
      <c r="E196" s="15"/>
      <c r="F196" s="15"/>
      <c r="G196" s="15"/>
      <c r="H196" s="15"/>
      <c r="I196" s="15"/>
      <c r="J196" s="15"/>
      <c r="K196" s="16" t="str">
        <f aca="false">IF(A196="","",F196+G196+H196+I196)</f>
        <v/>
      </c>
      <c r="L196" s="17" t="str">
        <f aca="false">IF(OR(K196="",E196=0,E196=""),"",K196/E196)</f>
        <v/>
      </c>
      <c r="M196" s="18" t="str">
        <f aca="false">IF(OR(A196="",E196=""),"",E196+ROW()/1000000)</f>
        <v/>
      </c>
    </row>
    <row r="197" customFormat="false" ht="15" hidden="false" customHeight="false" outlineLevel="0" collapsed="false">
      <c r="A197" s="12"/>
      <c r="B197" s="13"/>
      <c r="C197" s="13"/>
      <c r="D197" s="14"/>
      <c r="E197" s="15"/>
      <c r="F197" s="15"/>
      <c r="G197" s="15"/>
      <c r="H197" s="15"/>
      <c r="I197" s="15"/>
      <c r="J197" s="15"/>
      <c r="K197" s="16" t="str">
        <f aca="false">IF(A197="","",F197+G197+H197+I197)</f>
        <v/>
      </c>
      <c r="L197" s="17" t="str">
        <f aca="false">IF(OR(K197="",E197=0,E197=""),"",K197/E197)</f>
        <v/>
      </c>
      <c r="M197" s="18" t="str">
        <f aca="false">IF(OR(A197="",E197=""),"",E197+ROW()/1000000)</f>
        <v/>
      </c>
    </row>
    <row r="198" customFormat="false" ht="15" hidden="false" customHeight="false" outlineLevel="0" collapsed="false">
      <c r="A198" s="12"/>
      <c r="B198" s="13"/>
      <c r="C198" s="13"/>
      <c r="D198" s="14"/>
      <c r="E198" s="15"/>
      <c r="F198" s="15"/>
      <c r="G198" s="15"/>
      <c r="H198" s="15"/>
      <c r="I198" s="15"/>
      <c r="J198" s="15"/>
      <c r="K198" s="16" t="str">
        <f aca="false">IF(A198="","",F198+G198+H198+I198)</f>
        <v/>
      </c>
      <c r="L198" s="17" t="str">
        <f aca="false">IF(OR(K198="",E198=0,E198=""),"",K198/E198)</f>
        <v/>
      </c>
      <c r="M198" s="18" t="str">
        <f aca="false">IF(OR(A198="",E198=""),"",E198+ROW()/1000000)</f>
        <v/>
      </c>
    </row>
    <row r="199" customFormat="false" ht="15" hidden="false" customHeight="false" outlineLevel="0" collapsed="false">
      <c r="A199" s="12"/>
      <c r="B199" s="13"/>
      <c r="C199" s="13"/>
      <c r="D199" s="14"/>
      <c r="E199" s="15"/>
      <c r="F199" s="15"/>
      <c r="G199" s="15"/>
      <c r="H199" s="15"/>
      <c r="I199" s="15"/>
      <c r="J199" s="15"/>
      <c r="K199" s="16" t="str">
        <f aca="false">IF(A199="","",F199+G199+H199+I199)</f>
        <v/>
      </c>
      <c r="L199" s="17" t="str">
        <f aca="false">IF(OR(K199="",E199=0,E199=""),"",K199/E199)</f>
        <v/>
      </c>
      <c r="M199" s="18" t="str">
        <f aca="false">IF(OR(A199="",E199=""),"",E199+ROW()/1000000)</f>
        <v/>
      </c>
    </row>
    <row r="200" customFormat="false" ht="15" hidden="false" customHeight="false" outlineLevel="0" collapsed="false">
      <c r="A200" s="12"/>
      <c r="B200" s="13"/>
      <c r="C200" s="13"/>
      <c r="D200" s="14"/>
      <c r="E200" s="15"/>
      <c r="F200" s="15"/>
      <c r="G200" s="15"/>
      <c r="H200" s="15"/>
      <c r="I200" s="15"/>
      <c r="J200" s="15"/>
      <c r="K200" s="16" t="str">
        <f aca="false">IF(A200="","",F200+G200+H200+I200)</f>
        <v/>
      </c>
      <c r="L200" s="17" t="str">
        <f aca="false">IF(OR(K200="",E200=0,E200=""),"",K200/E200)</f>
        <v/>
      </c>
      <c r="M200" s="18" t="str">
        <f aca="false">IF(OR(A200="",E200=""),"",E200+ROW()/1000000)</f>
        <v/>
      </c>
    </row>
    <row r="201" customFormat="false" ht="15" hidden="false" customHeight="false" outlineLevel="0" collapsed="false">
      <c r="A201" s="12"/>
      <c r="B201" s="13"/>
      <c r="C201" s="13"/>
      <c r="D201" s="14"/>
      <c r="E201" s="15"/>
      <c r="F201" s="15"/>
      <c r="G201" s="15"/>
      <c r="H201" s="15"/>
      <c r="I201" s="15"/>
      <c r="J201" s="15"/>
      <c r="K201" s="16" t="str">
        <f aca="false">IF(A201="","",F201+G201+H201+I201)</f>
        <v/>
      </c>
      <c r="L201" s="17" t="str">
        <f aca="false">IF(OR(K201="",E201=0,E201=""),"",K201/E201)</f>
        <v/>
      </c>
      <c r="M201" s="18" t="str">
        <f aca="false">IF(OR(A201="",E201=""),"",E201+ROW()/1000000)</f>
        <v/>
      </c>
    </row>
    <row r="202" customFormat="false" ht="15" hidden="false" customHeight="false" outlineLevel="0" collapsed="false">
      <c r="A202" s="12"/>
      <c r="B202" s="13"/>
      <c r="C202" s="13"/>
      <c r="D202" s="14"/>
      <c r="E202" s="15"/>
      <c r="F202" s="15"/>
      <c r="G202" s="15"/>
      <c r="H202" s="15"/>
      <c r="I202" s="15"/>
      <c r="J202" s="15"/>
      <c r="K202" s="16" t="str">
        <f aca="false">IF(A202="","",F202+G202+H202+I202)</f>
        <v/>
      </c>
      <c r="L202" s="17" t="str">
        <f aca="false">IF(OR(K202="",E202=0,E202=""),"",K202/E202)</f>
        <v/>
      </c>
      <c r="M202" s="18" t="str">
        <f aca="false">IF(OR(A202="",E202=""),"",E202+ROW()/1000000)</f>
        <v/>
      </c>
    </row>
    <row r="203" customFormat="false" ht="15" hidden="false" customHeight="false" outlineLevel="0" collapsed="false">
      <c r="A203" s="12"/>
      <c r="B203" s="13"/>
      <c r="C203" s="13"/>
      <c r="D203" s="14"/>
      <c r="E203" s="15"/>
      <c r="F203" s="15"/>
      <c r="G203" s="15"/>
      <c r="H203" s="15"/>
      <c r="I203" s="15"/>
      <c r="J203" s="15"/>
      <c r="K203" s="16" t="str">
        <f aca="false">IF(A203="","",F203+G203+H203+I203)</f>
        <v/>
      </c>
      <c r="L203" s="17" t="str">
        <f aca="false">IF(OR(K203="",E203=0,E203=""),"",K203/E203)</f>
        <v/>
      </c>
      <c r="M203" s="18" t="str">
        <f aca="false">IF(OR(A203="",E203=""),"",E203+ROW()/1000000)</f>
        <v/>
      </c>
    </row>
    <row r="204" customFormat="false" ht="15" hidden="false" customHeight="false" outlineLevel="0" collapsed="false">
      <c r="A204" s="12"/>
      <c r="B204" s="13"/>
      <c r="C204" s="13"/>
      <c r="D204" s="14"/>
      <c r="E204" s="15"/>
      <c r="F204" s="15"/>
      <c r="G204" s="15"/>
      <c r="H204" s="15"/>
      <c r="I204" s="15"/>
      <c r="J204" s="15"/>
      <c r="K204" s="16" t="str">
        <f aca="false">IF(A204="","",F204+G204+H204+I204)</f>
        <v/>
      </c>
      <c r="L204" s="17" t="str">
        <f aca="false">IF(OR(K204="",E204=0,E204=""),"",K204/E204)</f>
        <v/>
      </c>
      <c r="M204" s="18" t="str">
        <f aca="false">IF(OR(A204="",E204=""),"",E204+ROW()/1000000)</f>
        <v/>
      </c>
    </row>
    <row r="205" customFormat="false" ht="15" hidden="false" customHeight="false" outlineLevel="0" collapsed="false">
      <c r="A205" s="12"/>
      <c r="B205" s="13"/>
      <c r="C205" s="13"/>
      <c r="D205" s="14"/>
      <c r="E205" s="15"/>
      <c r="F205" s="15"/>
      <c r="G205" s="15"/>
      <c r="H205" s="15"/>
      <c r="I205" s="15"/>
      <c r="J205" s="15"/>
      <c r="K205" s="16" t="str">
        <f aca="false">IF(A205="","",F205+G205+H205+I205)</f>
        <v/>
      </c>
      <c r="L205" s="17" t="str">
        <f aca="false">IF(OR(K205="",E205=0,E205=""),"",K205/E205)</f>
        <v/>
      </c>
      <c r="M205" s="18" t="str">
        <f aca="false">IF(OR(A205="",E205=""),"",E205+ROW()/1000000)</f>
        <v/>
      </c>
    </row>
    <row r="206" customFormat="false" ht="15" hidden="false" customHeight="false" outlineLevel="0" collapsed="false">
      <c r="A206" s="12"/>
      <c r="B206" s="13"/>
      <c r="C206" s="13"/>
      <c r="D206" s="14"/>
      <c r="E206" s="15"/>
      <c r="F206" s="15"/>
      <c r="G206" s="15"/>
      <c r="H206" s="15"/>
      <c r="I206" s="15"/>
      <c r="J206" s="15"/>
      <c r="K206" s="16" t="str">
        <f aca="false">IF(A206="","",F206+G206+H206+I206)</f>
        <v/>
      </c>
      <c r="L206" s="17" t="str">
        <f aca="false">IF(OR(K206="",E206=0,E206=""),"",K206/E206)</f>
        <v/>
      </c>
      <c r="M206" s="18" t="str">
        <f aca="false">IF(OR(A206="",E206=""),"",E206+ROW()/1000000)</f>
        <v/>
      </c>
    </row>
    <row r="207" customFormat="false" ht="15" hidden="false" customHeight="false" outlineLevel="0" collapsed="false">
      <c r="A207" s="12"/>
      <c r="B207" s="13"/>
      <c r="C207" s="13"/>
      <c r="D207" s="14"/>
      <c r="E207" s="15"/>
      <c r="F207" s="15"/>
      <c r="G207" s="15"/>
      <c r="H207" s="15"/>
      <c r="I207" s="15"/>
      <c r="J207" s="15"/>
      <c r="K207" s="16" t="str">
        <f aca="false">IF(A207="","",F207+G207+H207+I207)</f>
        <v/>
      </c>
      <c r="L207" s="17" t="str">
        <f aca="false">IF(OR(K207="",E207=0,E207=""),"",K207/E207)</f>
        <v/>
      </c>
      <c r="M207" s="18" t="str">
        <f aca="false">IF(OR(A207="",E207=""),"",E207+ROW()/1000000)</f>
        <v/>
      </c>
    </row>
    <row r="208" customFormat="false" ht="15" hidden="false" customHeight="false" outlineLevel="0" collapsed="false">
      <c r="A208" s="12"/>
      <c r="B208" s="13"/>
      <c r="C208" s="13"/>
      <c r="D208" s="14"/>
      <c r="E208" s="15"/>
      <c r="F208" s="15"/>
      <c r="G208" s="15"/>
      <c r="H208" s="15"/>
      <c r="I208" s="15"/>
      <c r="J208" s="15"/>
      <c r="K208" s="16" t="str">
        <f aca="false">IF(A208="","",F208+G208+H208+I208)</f>
        <v/>
      </c>
      <c r="L208" s="17" t="str">
        <f aca="false">IF(OR(K208="",E208=0,E208=""),"",K208/E208)</f>
        <v/>
      </c>
      <c r="M208" s="18" t="str">
        <f aca="false">IF(OR(A208="",E208=""),"",E208+ROW()/1000000)</f>
        <v/>
      </c>
    </row>
    <row r="209" customFormat="false" ht="15" hidden="false" customHeight="false" outlineLevel="0" collapsed="false">
      <c r="A209" s="12"/>
      <c r="B209" s="13"/>
      <c r="C209" s="13"/>
      <c r="D209" s="14"/>
      <c r="E209" s="15"/>
      <c r="F209" s="15"/>
      <c r="G209" s="15"/>
      <c r="H209" s="15"/>
      <c r="I209" s="15"/>
      <c r="J209" s="15"/>
      <c r="K209" s="16" t="str">
        <f aca="false">IF(A209="","",F209+G209+H209+I209)</f>
        <v/>
      </c>
      <c r="L209" s="17" t="str">
        <f aca="false">IF(OR(K209="",E209=0,E209=""),"",K209/E209)</f>
        <v/>
      </c>
      <c r="M209" s="18" t="str">
        <f aca="false">IF(OR(A209="",E209=""),"",E209+ROW()/1000000)</f>
        <v/>
      </c>
    </row>
    <row r="210" customFormat="false" ht="15" hidden="false" customHeight="false" outlineLevel="0" collapsed="false">
      <c r="A210" s="12"/>
      <c r="B210" s="13"/>
      <c r="C210" s="13"/>
      <c r="D210" s="14"/>
      <c r="E210" s="15"/>
      <c r="F210" s="15"/>
      <c r="G210" s="15"/>
      <c r="H210" s="15"/>
      <c r="I210" s="15"/>
      <c r="J210" s="15"/>
      <c r="K210" s="16" t="str">
        <f aca="false">IF(A210="","",F210+G210+H210+I210)</f>
        <v/>
      </c>
      <c r="L210" s="17" t="str">
        <f aca="false">IF(OR(K210="",E210=0,E210=""),"",K210/E210)</f>
        <v/>
      </c>
      <c r="M210" s="18" t="str">
        <f aca="false">IF(OR(A210="",E210=""),"",E210+ROW()/1000000)</f>
        <v/>
      </c>
    </row>
    <row r="211" customFormat="false" ht="15" hidden="false" customHeight="false" outlineLevel="0" collapsed="false">
      <c r="A211" s="12"/>
      <c r="B211" s="13"/>
      <c r="C211" s="13"/>
      <c r="D211" s="14"/>
      <c r="E211" s="15"/>
      <c r="F211" s="15"/>
      <c r="G211" s="15"/>
      <c r="H211" s="15"/>
      <c r="I211" s="15"/>
      <c r="J211" s="15"/>
      <c r="K211" s="16" t="str">
        <f aca="false">IF(A211="","",F211+G211+H211+I211)</f>
        <v/>
      </c>
      <c r="L211" s="17" t="str">
        <f aca="false">IF(OR(K211="",E211=0,E211=""),"",K211/E211)</f>
        <v/>
      </c>
      <c r="M211" s="18" t="str">
        <f aca="false">IF(OR(A211="",E211=""),"",E211+ROW()/1000000)</f>
        <v/>
      </c>
    </row>
    <row r="212" customFormat="false" ht="15" hidden="false" customHeight="false" outlineLevel="0" collapsed="false">
      <c r="A212" s="12"/>
      <c r="B212" s="13"/>
      <c r="C212" s="13"/>
      <c r="D212" s="14"/>
      <c r="E212" s="15"/>
      <c r="F212" s="15"/>
      <c r="G212" s="15"/>
      <c r="H212" s="15"/>
      <c r="I212" s="15"/>
      <c r="J212" s="15"/>
      <c r="K212" s="16" t="str">
        <f aca="false">IF(A212="","",F212+G212+H212+I212)</f>
        <v/>
      </c>
      <c r="L212" s="17" t="str">
        <f aca="false">IF(OR(K212="",E212=0,E212=""),"",K212/E212)</f>
        <v/>
      </c>
      <c r="M212" s="18" t="str">
        <f aca="false">IF(OR(A212="",E212=""),"",E212+ROW()/1000000)</f>
        <v/>
      </c>
    </row>
    <row r="213" customFormat="false" ht="15" hidden="false" customHeight="false" outlineLevel="0" collapsed="false">
      <c r="A213" s="12"/>
      <c r="B213" s="13"/>
      <c r="C213" s="13"/>
      <c r="D213" s="14"/>
      <c r="E213" s="15"/>
      <c r="F213" s="15"/>
      <c r="G213" s="15"/>
      <c r="H213" s="15"/>
      <c r="I213" s="15"/>
      <c r="J213" s="15"/>
      <c r="K213" s="16" t="str">
        <f aca="false">IF(A213="","",F213+G213+H213+I213)</f>
        <v/>
      </c>
      <c r="L213" s="17" t="str">
        <f aca="false">IF(OR(K213="",E213=0,E213=""),"",K213/E213)</f>
        <v/>
      </c>
      <c r="M213" s="18" t="str">
        <f aca="false">IF(OR(A213="",E213=""),"",E213+ROW()/1000000)</f>
        <v/>
      </c>
    </row>
    <row r="214" customFormat="false" ht="15" hidden="false" customHeight="false" outlineLevel="0" collapsed="false">
      <c r="A214" s="12"/>
      <c r="B214" s="13"/>
      <c r="C214" s="13"/>
      <c r="D214" s="14"/>
      <c r="E214" s="15"/>
      <c r="F214" s="15"/>
      <c r="G214" s="15"/>
      <c r="H214" s="15"/>
      <c r="I214" s="15"/>
      <c r="J214" s="15"/>
      <c r="K214" s="16" t="str">
        <f aca="false">IF(A214="","",F214+G214+H214+I214)</f>
        <v/>
      </c>
      <c r="L214" s="17" t="str">
        <f aca="false">IF(OR(K214="",E214=0,E214=""),"",K214/E214)</f>
        <v/>
      </c>
      <c r="M214" s="18" t="str">
        <f aca="false">IF(OR(A214="",E214=""),"",E214+ROW()/1000000)</f>
        <v/>
      </c>
    </row>
    <row r="215" customFormat="false" ht="15" hidden="false" customHeight="false" outlineLevel="0" collapsed="false">
      <c r="A215" s="12"/>
      <c r="B215" s="13"/>
      <c r="C215" s="13"/>
      <c r="D215" s="14"/>
      <c r="E215" s="15"/>
      <c r="F215" s="15"/>
      <c r="G215" s="15"/>
      <c r="H215" s="15"/>
      <c r="I215" s="15"/>
      <c r="J215" s="15"/>
      <c r="K215" s="16" t="str">
        <f aca="false">IF(A215="","",F215+G215+H215+I215)</f>
        <v/>
      </c>
      <c r="L215" s="17" t="str">
        <f aca="false">IF(OR(K215="",E215=0,E215=""),"",K215/E215)</f>
        <v/>
      </c>
      <c r="M215" s="18" t="str">
        <f aca="false">IF(OR(A215="",E215=""),"",E215+ROW()/1000000)</f>
        <v/>
      </c>
    </row>
    <row r="216" customFormat="false" ht="15" hidden="false" customHeight="false" outlineLevel="0" collapsed="false">
      <c r="A216" s="12"/>
      <c r="B216" s="13"/>
      <c r="C216" s="13"/>
      <c r="D216" s="14"/>
      <c r="E216" s="15"/>
      <c r="F216" s="15"/>
      <c r="G216" s="15"/>
      <c r="H216" s="15"/>
      <c r="I216" s="15"/>
      <c r="J216" s="15"/>
      <c r="K216" s="16" t="str">
        <f aca="false">IF(A216="","",F216+G216+H216+I216)</f>
        <v/>
      </c>
      <c r="L216" s="17" t="str">
        <f aca="false">IF(OR(K216="",E216=0,E216=""),"",K216/E216)</f>
        <v/>
      </c>
      <c r="M216" s="18" t="str">
        <f aca="false">IF(OR(A216="",E216=""),"",E216+ROW()/1000000)</f>
        <v/>
      </c>
    </row>
    <row r="217" customFormat="false" ht="15" hidden="false" customHeight="false" outlineLevel="0" collapsed="false">
      <c r="A217" s="12"/>
      <c r="B217" s="13"/>
      <c r="C217" s="13"/>
      <c r="D217" s="14"/>
      <c r="E217" s="15"/>
      <c r="F217" s="15"/>
      <c r="G217" s="15"/>
      <c r="H217" s="15"/>
      <c r="I217" s="15"/>
      <c r="J217" s="15"/>
      <c r="K217" s="16" t="str">
        <f aca="false">IF(A217="","",F217+G217+H217+I217)</f>
        <v/>
      </c>
      <c r="L217" s="17" t="str">
        <f aca="false">IF(OR(K217="",E217=0,E217=""),"",K217/E217)</f>
        <v/>
      </c>
      <c r="M217" s="18" t="str">
        <f aca="false">IF(OR(A217="",E217=""),"",E217+ROW()/1000000)</f>
        <v/>
      </c>
    </row>
    <row r="218" customFormat="false" ht="15" hidden="false" customHeight="false" outlineLevel="0" collapsed="false">
      <c r="A218" s="12"/>
      <c r="B218" s="13"/>
      <c r="C218" s="13"/>
      <c r="D218" s="14"/>
      <c r="E218" s="15"/>
      <c r="F218" s="15"/>
      <c r="G218" s="15"/>
      <c r="H218" s="15"/>
      <c r="I218" s="15"/>
      <c r="J218" s="15"/>
      <c r="K218" s="16" t="str">
        <f aca="false">IF(A218="","",F218+G218+H218+I218)</f>
        <v/>
      </c>
      <c r="L218" s="17" t="str">
        <f aca="false">IF(OR(K218="",E218=0,E218=""),"",K218/E218)</f>
        <v/>
      </c>
      <c r="M218" s="18" t="str">
        <f aca="false">IF(OR(A218="",E218=""),"",E218+ROW()/1000000)</f>
        <v/>
      </c>
    </row>
    <row r="219" customFormat="false" ht="15" hidden="false" customHeight="false" outlineLevel="0" collapsed="false">
      <c r="A219" s="12"/>
      <c r="B219" s="13"/>
      <c r="C219" s="13"/>
      <c r="D219" s="14"/>
      <c r="E219" s="15"/>
      <c r="F219" s="15"/>
      <c r="G219" s="15"/>
      <c r="H219" s="15"/>
      <c r="I219" s="15"/>
      <c r="J219" s="15"/>
      <c r="K219" s="16" t="str">
        <f aca="false">IF(A219="","",F219+G219+H219+I219)</f>
        <v/>
      </c>
      <c r="L219" s="17" t="str">
        <f aca="false">IF(OR(K219="",E219=0,E219=""),"",K219/E219)</f>
        <v/>
      </c>
      <c r="M219" s="18" t="str">
        <f aca="false">IF(OR(A219="",E219=""),"",E219+ROW()/1000000)</f>
        <v/>
      </c>
    </row>
    <row r="220" customFormat="false" ht="15" hidden="false" customHeight="false" outlineLevel="0" collapsed="false">
      <c r="A220" s="12"/>
      <c r="B220" s="13"/>
      <c r="C220" s="13"/>
      <c r="D220" s="14"/>
      <c r="E220" s="15"/>
      <c r="F220" s="15"/>
      <c r="G220" s="15"/>
      <c r="H220" s="15"/>
      <c r="I220" s="15"/>
      <c r="J220" s="15"/>
      <c r="K220" s="16" t="str">
        <f aca="false">IF(A220="","",F220+G220+H220+I220)</f>
        <v/>
      </c>
      <c r="L220" s="17" t="str">
        <f aca="false">IF(OR(K220="",E220=0,E220=""),"",K220/E220)</f>
        <v/>
      </c>
      <c r="M220" s="18" t="str">
        <f aca="false">IF(OR(A220="",E220=""),"",E220+ROW()/1000000)</f>
        <v/>
      </c>
    </row>
    <row r="221" customFormat="false" ht="15" hidden="false" customHeight="false" outlineLevel="0" collapsed="false">
      <c r="A221" s="12"/>
      <c r="B221" s="13"/>
      <c r="C221" s="13"/>
      <c r="D221" s="14"/>
      <c r="E221" s="15"/>
      <c r="F221" s="15"/>
      <c r="G221" s="15"/>
      <c r="H221" s="15"/>
      <c r="I221" s="15"/>
      <c r="J221" s="15"/>
      <c r="K221" s="16" t="str">
        <f aca="false">IF(A221="","",F221+G221+H221+I221)</f>
        <v/>
      </c>
      <c r="L221" s="17" t="str">
        <f aca="false">IF(OR(K221="",E221=0,E221=""),"",K221/E221)</f>
        <v/>
      </c>
      <c r="M221" s="18" t="str">
        <f aca="false">IF(OR(A221="",E221=""),"",E221+ROW()/1000000)</f>
        <v/>
      </c>
    </row>
    <row r="222" customFormat="false" ht="15" hidden="false" customHeight="false" outlineLevel="0" collapsed="false">
      <c r="A222" s="12"/>
      <c r="B222" s="13"/>
      <c r="C222" s="13"/>
      <c r="D222" s="14"/>
      <c r="E222" s="15"/>
      <c r="F222" s="15"/>
      <c r="G222" s="15"/>
      <c r="H222" s="15"/>
      <c r="I222" s="15"/>
      <c r="J222" s="15"/>
      <c r="K222" s="16" t="str">
        <f aca="false">IF(A222="","",F222+G222+H222+I222)</f>
        <v/>
      </c>
      <c r="L222" s="17" t="str">
        <f aca="false">IF(OR(K222="",E222=0,E222=""),"",K222/E222)</f>
        <v/>
      </c>
      <c r="M222" s="18" t="str">
        <f aca="false">IF(OR(A222="",E222=""),"",E222+ROW()/1000000)</f>
        <v/>
      </c>
    </row>
    <row r="223" customFormat="false" ht="15" hidden="false" customHeight="false" outlineLevel="0" collapsed="false">
      <c r="A223" s="12"/>
      <c r="B223" s="13"/>
      <c r="C223" s="13"/>
      <c r="D223" s="14"/>
      <c r="E223" s="15"/>
      <c r="F223" s="15"/>
      <c r="G223" s="15"/>
      <c r="H223" s="15"/>
      <c r="I223" s="15"/>
      <c r="J223" s="15"/>
      <c r="K223" s="16" t="str">
        <f aca="false">IF(A223="","",F223+G223+H223+I223)</f>
        <v/>
      </c>
      <c r="L223" s="17" t="str">
        <f aca="false">IF(OR(K223="",E223=0,E223=""),"",K223/E223)</f>
        <v/>
      </c>
      <c r="M223" s="18" t="str">
        <f aca="false">IF(OR(A223="",E223=""),"",E223+ROW()/1000000)</f>
        <v/>
      </c>
    </row>
    <row r="224" customFormat="false" ht="15" hidden="false" customHeight="false" outlineLevel="0" collapsed="false">
      <c r="A224" s="12"/>
      <c r="B224" s="13"/>
      <c r="C224" s="13"/>
      <c r="D224" s="14"/>
      <c r="E224" s="15"/>
      <c r="F224" s="15"/>
      <c r="G224" s="15"/>
      <c r="H224" s="15"/>
      <c r="I224" s="15"/>
      <c r="J224" s="15"/>
      <c r="K224" s="16" t="str">
        <f aca="false">IF(A224="","",F224+G224+H224+I224)</f>
        <v/>
      </c>
      <c r="L224" s="17" t="str">
        <f aca="false">IF(OR(K224="",E224=0,E224=""),"",K224/E224)</f>
        <v/>
      </c>
      <c r="M224" s="18" t="str">
        <f aca="false">IF(OR(A224="",E224=""),"",E224+ROW()/1000000)</f>
        <v/>
      </c>
    </row>
    <row r="225" customFormat="false" ht="15" hidden="false" customHeight="false" outlineLevel="0" collapsed="false">
      <c r="A225" s="12"/>
      <c r="B225" s="13"/>
      <c r="C225" s="13"/>
      <c r="D225" s="14"/>
      <c r="E225" s="15"/>
      <c r="F225" s="15"/>
      <c r="G225" s="15"/>
      <c r="H225" s="15"/>
      <c r="I225" s="15"/>
      <c r="J225" s="15"/>
      <c r="K225" s="16" t="str">
        <f aca="false">IF(A225="","",F225+G225+H225+I225)</f>
        <v/>
      </c>
      <c r="L225" s="17" t="str">
        <f aca="false">IF(OR(K225="",E225=0,E225=""),"",K225/E225)</f>
        <v/>
      </c>
      <c r="M225" s="18" t="str">
        <f aca="false">IF(OR(A225="",E225=""),"",E225+ROW()/1000000)</f>
        <v/>
      </c>
    </row>
    <row r="226" customFormat="false" ht="15" hidden="false" customHeight="false" outlineLevel="0" collapsed="false">
      <c r="A226" s="12"/>
      <c r="B226" s="13"/>
      <c r="C226" s="13"/>
      <c r="D226" s="14"/>
      <c r="E226" s="15"/>
      <c r="F226" s="15"/>
      <c r="G226" s="15"/>
      <c r="H226" s="15"/>
      <c r="I226" s="15"/>
      <c r="J226" s="15"/>
      <c r="K226" s="16" t="str">
        <f aca="false">IF(A226="","",F226+G226+H226+I226)</f>
        <v/>
      </c>
      <c r="L226" s="17" t="str">
        <f aca="false">IF(OR(K226="",E226=0,E226=""),"",K226/E226)</f>
        <v/>
      </c>
      <c r="M226" s="18" t="str">
        <f aca="false">IF(OR(A226="",E226=""),"",E226+ROW()/1000000)</f>
        <v/>
      </c>
    </row>
    <row r="227" customFormat="false" ht="15" hidden="false" customHeight="false" outlineLevel="0" collapsed="false">
      <c r="A227" s="12"/>
      <c r="B227" s="13"/>
      <c r="C227" s="13"/>
      <c r="D227" s="14"/>
      <c r="E227" s="15"/>
      <c r="F227" s="15"/>
      <c r="G227" s="15"/>
      <c r="H227" s="15"/>
      <c r="I227" s="15"/>
      <c r="J227" s="15"/>
      <c r="K227" s="16" t="str">
        <f aca="false">IF(A227="","",F227+G227+H227+I227)</f>
        <v/>
      </c>
      <c r="L227" s="17" t="str">
        <f aca="false">IF(OR(K227="",E227=0,E227=""),"",K227/E227)</f>
        <v/>
      </c>
      <c r="M227" s="18" t="str">
        <f aca="false">IF(OR(A227="",E227=""),"",E227+ROW()/1000000)</f>
        <v/>
      </c>
    </row>
    <row r="228" customFormat="false" ht="15" hidden="false" customHeight="false" outlineLevel="0" collapsed="false">
      <c r="A228" s="12"/>
      <c r="B228" s="13"/>
      <c r="C228" s="13"/>
      <c r="D228" s="14"/>
      <c r="E228" s="15"/>
      <c r="F228" s="15"/>
      <c r="G228" s="15"/>
      <c r="H228" s="15"/>
      <c r="I228" s="15"/>
      <c r="J228" s="15"/>
      <c r="K228" s="16" t="str">
        <f aca="false">IF(A228="","",F228+G228+H228+I228)</f>
        <v/>
      </c>
      <c r="L228" s="17" t="str">
        <f aca="false">IF(OR(K228="",E228=0,E228=""),"",K228/E228)</f>
        <v/>
      </c>
      <c r="M228" s="18" t="str">
        <f aca="false">IF(OR(A228="",E228=""),"",E228+ROW()/1000000)</f>
        <v/>
      </c>
    </row>
    <row r="229" customFormat="false" ht="15" hidden="false" customHeight="false" outlineLevel="0" collapsed="false">
      <c r="A229" s="12"/>
      <c r="B229" s="13"/>
      <c r="C229" s="13"/>
      <c r="D229" s="14"/>
      <c r="E229" s="15"/>
      <c r="F229" s="15"/>
      <c r="G229" s="15"/>
      <c r="H229" s="15"/>
      <c r="I229" s="15"/>
      <c r="J229" s="15"/>
      <c r="K229" s="16" t="str">
        <f aca="false">IF(A229="","",F229+G229+H229+I229)</f>
        <v/>
      </c>
      <c r="L229" s="17" t="str">
        <f aca="false">IF(OR(K229="",E229=0,E229=""),"",K229/E229)</f>
        <v/>
      </c>
      <c r="M229" s="18" t="str">
        <f aca="false">IF(OR(A229="",E229=""),"",E229+ROW()/1000000)</f>
        <v/>
      </c>
    </row>
    <row r="230" customFormat="false" ht="15" hidden="false" customHeight="false" outlineLevel="0" collapsed="false">
      <c r="A230" s="12"/>
      <c r="B230" s="13"/>
      <c r="C230" s="13"/>
      <c r="D230" s="14"/>
      <c r="E230" s="15"/>
      <c r="F230" s="15"/>
      <c r="G230" s="15"/>
      <c r="H230" s="15"/>
      <c r="I230" s="15"/>
      <c r="J230" s="15"/>
      <c r="K230" s="16" t="str">
        <f aca="false">IF(A230="","",F230+G230+H230+I230)</f>
        <v/>
      </c>
      <c r="L230" s="17" t="str">
        <f aca="false">IF(OR(K230="",E230=0,E230=""),"",K230/E230)</f>
        <v/>
      </c>
      <c r="M230" s="18" t="str">
        <f aca="false">IF(OR(A230="",E230=""),"",E230+ROW()/1000000)</f>
        <v/>
      </c>
    </row>
    <row r="231" customFormat="false" ht="15" hidden="false" customHeight="false" outlineLevel="0" collapsed="false">
      <c r="A231" s="12"/>
      <c r="B231" s="13"/>
      <c r="C231" s="13"/>
      <c r="D231" s="14"/>
      <c r="E231" s="15"/>
      <c r="F231" s="15"/>
      <c r="G231" s="15"/>
      <c r="H231" s="15"/>
      <c r="I231" s="15"/>
      <c r="J231" s="15"/>
      <c r="K231" s="16" t="str">
        <f aca="false">IF(A231="","",F231+G231+H231+I231)</f>
        <v/>
      </c>
      <c r="L231" s="17" t="str">
        <f aca="false">IF(OR(K231="",E231=0,E231=""),"",K231/E231)</f>
        <v/>
      </c>
      <c r="M231" s="18" t="str">
        <f aca="false">IF(OR(A231="",E231=""),"",E231+ROW()/1000000)</f>
        <v/>
      </c>
    </row>
    <row r="232" customFormat="false" ht="15" hidden="false" customHeight="false" outlineLevel="0" collapsed="false">
      <c r="A232" s="12"/>
      <c r="B232" s="13"/>
      <c r="C232" s="13"/>
      <c r="D232" s="14"/>
      <c r="E232" s="15"/>
      <c r="F232" s="15"/>
      <c r="G232" s="15"/>
      <c r="H232" s="15"/>
      <c r="I232" s="15"/>
      <c r="J232" s="15"/>
      <c r="K232" s="16" t="str">
        <f aca="false">IF(A232="","",F232+G232+H232+I232)</f>
        <v/>
      </c>
      <c r="L232" s="17" t="str">
        <f aca="false">IF(OR(K232="",E232=0,E232=""),"",K232/E232)</f>
        <v/>
      </c>
      <c r="M232" s="18" t="str">
        <f aca="false">IF(OR(A232="",E232=""),"",E232+ROW()/1000000)</f>
        <v/>
      </c>
    </row>
    <row r="233" customFormat="false" ht="15" hidden="false" customHeight="false" outlineLevel="0" collapsed="false">
      <c r="A233" s="12"/>
      <c r="B233" s="13"/>
      <c r="C233" s="13"/>
      <c r="D233" s="14"/>
      <c r="E233" s="15"/>
      <c r="F233" s="15"/>
      <c r="G233" s="15"/>
      <c r="H233" s="15"/>
      <c r="I233" s="15"/>
      <c r="J233" s="15"/>
      <c r="K233" s="16" t="str">
        <f aca="false">IF(A233="","",F233+G233+H233+I233)</f>
        <v/>
      </c>
      <c r="L233" s="17" t="str">
        <f aca="false">IF(OR(K233="",E233=0,E233=""),"",K233/E233)</f>
        <v/>
      </c>
      <c r="M233" s="18" t="str">
        <f aca="false">IF(OR(A233="",E233=""),"",E233+ROW()/1000000)</f>
        <v/>
      </c>
    </row>
    <row r="234" customFormat="false" ht="15" hidden="false" customHeight="false" outlineLevel="0" collapsed="false">
      <c r="A234" s="12"/>
      <c r="B234" s="13"/>
      <c r="C234" s="13"/>
      <c r="D234" s="14"/>
      <c r="E234" s="15"/>
      <c r="F234" s="15"/>
      <c r="G234" s="15"/>
      <c r="H234" s="15"/>
      <c r="I234" s="15"/>
      <c r="J234" s="15"/>
      <c r="K234" s="16" t="str">
        <f aca="false">IF(A234="","",F234+G234+H234+I234)</f>
        <v/>
      </c>
      <c r="L234" s="17" t="str">
        <f aca="false">IF(OR(K234="",E234=0,E234=""),"",K234/E234)</f>
        <v/>
      </c>
      <c r="M234" s="18" t="str">
        <f aca="false">IF(OR(A234="",E234=""),"",E234+ROW()/1000000)</f>
        <v/>
      </c>
    </row>
    <row r="235" customFormat="false" ht="15" hidden="false" customHeight="false" outlineLevel="0" collapsed="false">
      <c r="A235" s="12"/>
      <c r="B235" s="13"/>
      <c r="C235" s="13"/>
      <c r="D235" s="14"/>
      <c r="E235" s="15"/>
      <c r="F235" s="15"/>
      <c r="G235" s="15"/>
      <c r="H235" s="15"/>
      <c r="I235" s="15"/>
      <c r="J235" s="15"/>
      <c r="K235" s="16" t="str">
        <f aca="false">IF(A235="","",F235+G235+H235+I235)</f>
        <v/>
      </c>
      <c r="L235" s="17" t="str">
        <f aca="false">IF(OR(K235="",E235=0,E235=""),"",K235/E235)</f>
        <v/>
      </c>
      <c r="M235" s="18" t="str">
        <f aca="false">IF(OR(A235="",E235=""),"",E235+ROW()/1000000)</f>
        <v/>
      </c>
    </row>
    <row r="236" customFormat="false" ht="15" hidden="false" customHeight="false" outlineLevel="0" collapsed="false">
      <c r="A236" s="12"/>
      <c r="B236" s="13"/>
      <c r="C236" s="13"/>
      <c r="D236" s="14"/>
      <c r="E236" s="15"/>
      <c r="F236" s="15"/>
      <c r="G236" s="15"/>
      <c r="H236" s="15"/>
      <c r="I236" s="15"/>
      <c r="J236" s="15"/>
      <c r="K236" s="16" t="str">
        <f aca="false">IF(A236="","",F236+G236+H236+I236)</f>
        <v/>
      </c>
      <c r="L236" s="17" t="str">
        <f aca="false">IF(OR(K236="",E236=0,E236=""),"",K236/E236)</f>
        <v/>
      </c>
      <c r="M236" s="18" t="str">
        <f aca="false">IF(OR(A236="",E236=""),"",E236+ROW()/1000000)</f>
        <v/>
      </c>
    </row>
    <row r="237" customFormat="false" ht="15" hidden="false" customHeight="false" outlineLevel="0" collapsed="false">
      <c r="A237" s="12"/>
      <c r="B237" s="13"/>
      <c r="C237" s="13"/>
      <c r="D237" s="14"/>
      <c r="E237" s="15"/>
      <c r="F237" s="15"/>
      <c r="G237" s="15"/>
      <c r="H237" s="15"/>
      <c r="I237" s="15"/>
      <c r="J237" s="15"/>
      <c r="K237" s="16" t="str">
        <f aca="false">IF(A237="","",F237+G237+H237+I237)</f>
        <v/>
      </c>
      <c r="L237" s="17" t="str">
        <f aca="false">IF(OR(K237="",E237=0,E237=""),"",K237/E237)</f>
        <v/>
      </c>
      <c r="M237" s="18" t="str">
        <f aca="false">IF(OR(A237="",E237=""),"",E237+ROW()/1000000)</f>
        <v/>
      </c>
    </row>
    <row r="238" customFormat="false" ht="15" hidden="false" customHeight="false" outlineLevel="0" collapsed="false">
      <c r="A238" s="12"/>
      <c r="B238" s="13"/>
      <c r="C238" s="13"/>
      <c r="D238" s="14"/>
      <c r="E238" s="15"/>
      <c r="F238" s="15"/>
      <c r="G238" s="15"/>
      <c r="H238" s="15"/>
      <c r="I238" s="15"/>
      <c r="J238" s="15"/>
      <c r="K238" s="16" t="str">
        <f aca="false">IF(A238="","",F238+G238+H238+I238)</f>
        <v/>
      </c>
      <c r="L238" s="17" t="str">
        <f aca="false">IF(OR(K238="",E238=0,E238=""),"",K238/E238)</f>
        <v/>
      </c>
      <c r="M238" s="18" t="str">
        <f aca="false">IF(OR(A238="",E238=""),"",E238+ROW()/1000000)</f>
        <v/>
      </c>
    </row>
    <row r="239" customFormat="false" ht="15" hidden="false" customHeight="false" outlineLevel="0" collapsed="false">
      <c r="A239" s="12"/>
      <c r="B239" s="13"/>
      <c r="C239" s="13"/>
      <c r="D239" s="14"/>
      <c r="E239" s="15"/>
      <c r="F239" s="15"/>
      <c r="G239" s="15"/>
      <c r="H239" s="15"/>
      <c r="I239" s="15"/>
      <c r="J239" s="15"/>
      <c r="K239" s="16" t="str">
        <f aca="false">IF(A239="","",F239+G239+H239+I239)</f>
        <v/>
      </c>
      <c r="L239" s="17" t="str">
        <f aca="false">IF(OR(K239="",E239=0,E239=""),"",K239/E239)</f>
        <v/>
      </c>
      <c r="M239" s="18" t="str">
        <f aca="false">IF(OR(A239="",E239=""),"",E239+ROW()/1000000)</f>
        <v/>
      </c>
    </row>
    <row r="240" customFormat="false" ht="15" hidden="false" customHeight="false" outlineLevel="0" collapsed="false">
      <c r="A240" s="12"/>
      <c r="B240" s="13"/>
      <c r="C240" s="13"/>
      <c r="D240" s="14"/>
      <c r="E240" s="15"/>
      <c r="F240" s="15"/>
      <c r="G240" s="15"/>
      <c r="H240" s="15"/>
      <c r="I240" s="15"/>
      <c r="J240" s="15"/>
      <c r="K240" s="16" t="str">
        <f aca="false">IF(A240="","",F240+G240+H240+I240)</f>
        <v/>
      </c>
      <c r="L240" s="17" t="str">
        <f aca="false">IF(OR(K240="",E240=0,E240=""),"",K240/E240)</f>
        <v/>
      </c>
      <c r="M240" s="18" t="str">
        <f aca="false">IF(OR(A240="",E240=""),"",E240+ROW()/1000000)</f>
        <v/>
      </c>
    </row>
    <row r="241" customFormat="false" ht="15" hidden="false" customHeight="false" outlineLevel="0" collapsed="false">
      <c r="A241" s="12"/>
      <c r="B241" s="13"/>
      <c r="C241" s="13"/>
      <c r="D241" s="14"/>
      <c r="E241" s="15"/>
      <c r="F241" s="15"/>
      <c r="G241" s="15"/>
      <c r="H241" s="15"/>
      <c r="I241" s="15"/>
      <c r="J241" s="15"/>
      <c r="K241" s="16" t="str">
        <f aca="false">IF(A241="","",F241+G241+H241+I241)</f>
        <v/>
      </c>
      <c r="L241" s="17" t="str">
        <f aca="false">IF(OR(K241="",E241=0,E241=""),"",K241/E241)</f>
        <v/>
      </c>
      <c r="M241" s="18" t="str">
        <f aca="false">IF(OR(A241="",E241=""),"",E241+ROW()/1000000)</f>
        <v/>
      </c>
    </row>
    <row r="242" customFormat="false" ht="15" hidden="false" customHeight="false" outlineLevel="0" collapsed="false">
      <c r="A242" s="12"/>
      <c r="B242" s="13"/>
      <c r="C242" s="13"/>
      <c r="D242" s="14"/>
      <c r="E242" s="15"/>
      <c r="F242" s="15"/>
      <c r="G242" s="15"/>
      <c r="H242" s="15"/>
      <c r="I242" s="15"/>
      <c r="J242" s="15"/>
      <c r="K242" s="16" t="str">
        <f aca="false">IF(A242="","",F242+G242+H242+I242)</f>
        <v/>
      </c>
      <c r="L242" s="17" t="str">
        <f aca="false">IF(OR(K242="",E242=0,E242=""),"",K242/E242)</f>
        <v/>
      </c>
      <c r="M242" s="18" t="str">
        <f aca="false">IF(OR(A242="",E242=""),"",E242+ROW()/1000000)</f>
        <v/>
      </c>
    </row>
    <row r="243" customFormat="false" ht="15" hidden="false" customHeight="false" outlineLevel="0" collapsed="false">
      <c r="A243" s="12"/>
      <c r="B243" s="13"/>
      <c r="C243" s="13"/>
      <c r="D243" s="14"/>
      <c r="E243" s="15"/>
      <c r="F243" s="15"/>
      <c r="G243" s="15"/>
      <c r="H243" s="15"/>
      <c r="I243" s="15"/>
      <c r="J243" s="15"/>
      <c r="K243" s="16" t="str">
        <f aca="false">IF(A243="","",F243+G243+H243+I243)</f>
        <v/>
      </c>
      <c r="L243" s="17" t="str">
        <f aca="false">IF(OR(K243="",E243=0,E243=""),"",K243/E243)</f>
        <v/>
      </c>
      <c r="M243" s="18" t="str">
        <f aca="false">IF(OR(A243="",E243=""),"",E243+ROW()/1000000)</f>
        <v/>
      </c>
    </row>
    <row r="244" customFormat="false" ht="15" hidden="false" customHeight="false" outlineLevel="0" collapsed="false">
      <c r="A244" s="12"/>
      <c r="B244" s="13"/>
      <c r="C244" s="13"/>
      <c r="D244" s="14"/>
      <c r="E244" s="15"/>
      <c r="F244" s="15"/>
      <c r="G244" s="15"/>
      <c r="H244" s="15"/>
      <c r="I244" s="15"/>
      <c r="J244" s="15"/>
      <c r="K244" s="16" t="str">
        <f aca="false">IF(A244="","",F244+G244+H244+I244)</f>
        <v/>
      </c>
      <c r="L244" s="17" t="str">
        <f aca="false">IF(OR(K244="",E244=0,E244=""),"",K244/E244)</f>
        <v/>
      </c>
      <c r="M244" s="18" t="str">
        <f aca="false">IF(OR(A244="",E244=""),"",E244+ROW()/1000000)</f>
        <v/>
      </c>
    </row>
    <row r="245" customFormat="false" ht="15" hidden="false" customHeight="false" outlineLevel="0" collapsed="false">
      <c r="A245" s="12"/>
      <c r="B245" s="13"/>
      <c r="C245" s="13"/>
      <c r="D245" s="14"/>
      <c r="E245" s="15"/>
      <c r="F245" s="15"/>
      <c r="G245" s="15"/>
      <c r="H245" s="15"/>
      <c r="I245" s="15"/>
      <c r="J245" s="15"/>
      <c r="K245" s="16" t="str">
        <f aca="false">IF(A245="","",F245+G245+H245+I245)</f>
        <v/>
      </c>
      <c r="L245" s="17" t="str">
        <f aca="false">IF(OR(K245="",E245=0,E245=""),"",K245/E245)</f>
        <v/>
      </c>
      <c r="M245" s="18" t="str">
        <f aca="false">IF(OR(A245="",E245=""),"",E245+ROW()/1000000)</f>
        <v/>
      </c>
    </row>
    <row r="246" customFormat="false" ht="15" hidden="false" customHeight="false" outlineLevel="0" collapsed="false">
      <c r="A246" s="12"/>
      <c r="B246" s="13"/>
      <c r="C246" s="13"/>
      <c r="D246" s="14"/>
      <c r="E246" s="15"/>
      <c r="F246" s="15"/>
      <c r="G246" s="15"/>
      <c r="H246" s="15"/>
      <c r="I246" s="15"/>
      <c r="J246" s="15"/>
      <c r="K246" s="16" t="str">
        <f aca="false">IF(A246="","",F246+G246+H246+I246)</f>
        <v/>
      </c>
      <c r="L246" s="17" t="str">
        <f aca="false">IF(OR(K246="",E246=0,E246=""),"",K246/E246)</f>
        <v/>
      </c>
      <c r="M246" s="18" t="str">
        <f aca="false">IF(OR(A246="",E246=""),"",E246+ROW()/1000000)</f>
        <v/>
      </c>
    </row>
    <row r="247" customFormat="false" ht="15" hidden="false" customHeight="false" outlineLevel="0" collapsed="false">
      <c r="A247" s="12"/>
      <c r="B247" s="13"/>
      <c r="C247" s="13"/>
      <c r="D247" s="14"/>
      <c r="E247" s="15"/>
      <c r="F247" s="15"/>
      <c r="G247" s="15"/>
      <c r="H247" s="15"/>
      <c r="I247" s="15"/>
      <c r="J247" s="15"/>
      <c r="K247" s="16" t="str">
        <f aca="false">IF(A247="","",F247+G247+H247+I247)</f>
        <v/>
      </c>
      <c r="L247" s="17" t="str">
        <f aca="false">IF(OR(K247="",E247=0,E247=""),"",K247/E247)</f>
        <v/>
      </c>
      <c r="M247" s="18" t="str">
        <f aca="false">IF(OR(A247="",E247=""),"",E247+ROW()/1000000)</f>
        <v/>
      </c>
    </row>
    <row r="248" customFormat="false" ht="15" hidden="false" customHeight="false" outlineLevel="0" collapsed="false">
      <c r="A248" s="12"/>
      <c r="B248" s="13"/>
      <c r="C248" s="13"/>
      <c r="D248" s="14"/>
      <c r="E248" s="15"/>
      <c r="F248" s="15"/>
      <c r="G248" s="15"/>
      <c r="H248" s="15"/>
      <c r="I248" s="15"/>
      <c r="J248" s="15"/>
      <c r="K248" s="16" t="str">
        <f aca="false">IF(A248="","",F248+G248+H248+I248)</f>
        <v/>
      </c>
      <c r="L248" s="17" t="str">
        <f aca="false">IF(OR(K248="",E248=0,E248=""),"",K248/E248)</f>
        <v/>
      </c>
      <c r="M248" s="18" t="str">
        <f aca="false">IF(OR(A248="",E248=""),"",E248+ROW()/1000000)</f>
        <v/>
      </c>
    </row>
    <row r="249" customFormat="false" ht="15" hidden="false" customHeight="false" outlineLevel="0" collapsed="false">
      <c r="A249" s="12"/>
      <c r="B249" s="13"/>
      <c r="C249" s="13"/>
      <c r="D249" s="14"/>
      <c r="E249" s="15"/>
      <c r="F249" s="15"/>
      <c r="G249" s="15"/>
      <c r="H249" s="15"/>
      <c r="I249" s="15"/>
      <c r="J249" s="15"/>
      <c r="K249" s="16" t="str">
        <f aca="false">IF(A249="","",F249+G249+H249+I249)</f>
        <v/>
      </c>
      <c r="L249" s="17" t="str">
        <f aca="false">IF(OR(K249="",E249=0,E249=""),"",K249/E249)</f>
        <v/>
      </c>
      <c r="M249" s="18" t="str">
        <f aca="false">IF(OR(A249="",E249=""),"",E249+ROW()/1000000)</f>
        <v/>
      </c>
    </row>
    <row r="250" customFormat="false" ht="15" hidden="false" customHeight="false" outlineLevel="0" collapsed="false">
      <c r="A250" s="12"/>
      <c r="B250" s="13"/>
      <c r="C250" s="13"/>
      <c r="D250" s="14"/>
      <c r="E250" s="15"/>
      <c r="F250" s="15"/>
      <c r="G250" s="15"/>
      <c r="H250" s="15"/>
      <c r="I250" s="15"/>
      <c r="J250" s="15"/>
      <c r="K250" s="16" t="str">
        <f aca="false">IF(A250="","",F250+G250+H250+I250)</f>
        <v/>
      </c>
      <c r="L250" s="17" t="str">
        <f aca="false">IF(OR(K250="",E250=0,E250=""),"",K250/E250)</f>
        <v/>
      </c>
      <c r="M250" s="18" t="str">
        <f aca="false">IF(OR(A250="",E250=""),"",E250+ROW()/1000000)</f>
        <v/>
      </c>
    </row>
    <row r="251" customFormat="false" ht="15" hidden="false" customHeight="false" outlineLevel="0" collapsed="false">
      <c r="A251" s="12"/>
      <c r="B251" s="13"/>
      <c r="C251" s="13"/>
      <c r="D251" s="14"/>
      <c r="E251" s="15"/>
      <c r="F251" s="15"/>
      <c r="G251" s="15"/>
      <c r="H251" s="15"/>
      <c r="I251" s="15"/>
      <c r="J251" s="15"/>
      <c r="K251" s="16" t="str">
        <f aca="false">IF(A251="","",F251+G251+H251+I251)</f>
        <v/>
      </c>
      <c r="L251" s="17" t="str">
        <f aca="false">IF(OR(K251="",E251=0,E251=""),"",K251/E251)</f>
        <v/>
      </c>
      <c r="M251" s="18" t="str">
        <f aca="false">IF(OR(A251="",E251=""),"",E251+ROW()/1000000)</f>
        <v/>
      </c>
    </row>
    <row r="252" customFormat="false" ht="15" hidden="false" customHeight="false" outlineLevel="0" collapsed="false">
      <c r="A252" s="12"/>
      <c r="B252" s="13"/>
      <c r="C252" s="13"/>
      <c r="D252" s="14"/>
      <c r="E252" s="15"/>
      <c r="F252" s="15"/>
      <c r="G252" s="15"/>
      <c r="H252" s="15"/>
      <c r="I252" s="15"/>
      <c r="J252" s="15"/>
      <c r="K252" s="16" t="str">
        <f aca="false">IF(A252="","",F252+G252+H252+I252)</f>
        <v/>
      </c>
      <c r="L252" s="17" t="str">
        <f aca="false">IF(OR(K252="",E252=0,E252=""),"",K252/E252)</f>
        <v/>
      </c>
      <c r="M252" s="18" t="str">
        <f aca="false">IF(OR(A252="",E252=""),"",E252+ROW()/1000000)</f>
        <v/>
      </c>
    </row>
    <row r="253" customFormat="false" ht="15" hidden="false" customHeight="false" outlineLevel="0" collapsed="false">
      <c r="A253" s="12"/>
      <c r="B253" s="13"/>
      <c r="C253" s="13"/>
      <c r="D253" s="14"/>
      <c r="E253" s="15"/>
      <c r="F253" s="15"/>
      <c r="G253" s="15"/>
      <c r="H253" s="15"/>
      <c r="I253" s="15"/>
      <c r="J253" s="15"/>
      <c r="K253" s="16" t="str">
        <f aca="false">IF(A253="","",F253+G253+H253+I253)</f>
        <v/>
      </c>
      <c r="L253" s="17" t="str">
        <f aca="false">IF(OR(K253="",E253=0,E253=""),"",K253/E253)</f>
        <v/>
      </c>
      <c r="M253" s="18" t="str">
        <f aca="false">IF(OR(A253="",E253=""),"",E253+ROW()/1000000)</f>
        <v/>
      </c>
    </row>
    <row r="254" customFormat="false" ht="15" hidden="false" customHeight="false" outlineLevel="0" collapsed="false">
      <c r="A254" s="12"/>
      <c r="B254" s="13"/>
      <c r="C254" s="13"/>
      <c r="D254" s="14"/>
      <c r="E254" s="15"/>
      <c r="F254" s="15"/>
      <c r="G254" s="15"/>
      <c r="H254" s="15"/>
      <c r="I254" s="15"/>
      <c r="J254" s="15"/>
      <c r="K254" s="16" t="str">
        <f aca="false">IF(A254="","",F254+G254+H254+I254)</f>
        <v/>
      </c>
      <c r="L254" s="17" t="str">
        <f aca="false">IF(OR(K254="",E254=0,E254=""),"",K254/E254)</f>
        <v/>
      </c>
      <c r="M254" s="18" t="str">
        <f aca="false">IF(OR(A254="",E254=""),"",E254+ROW()/1000000)</f>
        <v/>
      </c>
    </row>
    <row r="255" customFormat="false" ht="15" hidden="false" customHeight="false" outlineLevel="0" collapsed="false">
      <c r="A255" s="12"/>
      <c r="B255" s="13"/>
      <c r="C255" s="13"/>
      <c r="D255" s="14"/>
      <c r="E255" s="15"/>
      <c r="F255" s="15"/>
      <c r="G255" s="15"/>
      <c r="H255" s="15"/>
      <c r="I255" s="15"/>
      <c r="J255" s="15"/>
      <c r="K255" s="16" t="str">
        <f aca="false">IF(A255="","",F255+G255+H255+I255)</f>
        <v/>
      </c>
      <c r="L255" s="17" t="str">
        <f aca="false">IF(OR(K255="",E255=0,E255=""),"",K255/E255)</f>
        <v/>
      </c>
      <c r="M255" s="18" t="str">
        <f aca="false">IF(OR(A255="",E255=""),"",E255+ROW()/1000000)</f>
        <v/>
      </c>
    </row>
    <row r="256" customFormat="false" ht="15" hidden="false" customHeight="false" outlineLevel="0" collapsed="false">
      <c r="A256" s="12"/>
      <c r="B256" s="13"/>
      <c r="C256" s="13"/>
      <c r="D256" s="14"/>
      <c r="E256" s="15"/>
      <c r="F256" s="15"/>
      <c r="G256" s="15"/>
      <c r="H256" s="15"/>
      <c r="I256" s="15"/>
      <c r="J256" s="15"/>
      <c r="K256" s="16" t="str">
        <f aca="false">IF(A256="","",F256+G256+H256+I256)</f>
        <v/>
      </c>
      <c r="L256" s="17" t="str">
        <f aca="false">IF(OR(K256="",E256=0,E256=""),"",K256/E256)</f>
        <v/>
      </c>
      <c r="M256" s="18" t="str">
        <f aca="false">IF(OR(A256="",E256=""),"",E256+ROW()/1000000)</f>
        <v/>
      </c>
    </row>
    <row r="257" customFormat="false" ht="15" hidden="false" customHeight="false" outlineLevel="0" collapsed="false">
      <c r="A257" s="12"/>
      <c r="B257" s="13"/>
      <c r="C257" s="13"/>
      <c r="D257" s="14"/>
      <c r="E257" s="15"/>
      <c r="F257" s="15"/>
      <c r="G257" s="15"/>
      <c r="H257" s="15"/>
      <c r="I257" s="15"/>
      <c r="J257" s="15"/>
      <c r="K257" s="16" t="str">
        <f aca="false">IF(A257="","",F257+G257+H257+I257)</f>
        <v/>
      </c>
      <c r="L257" s="17" t="str">
        <f aca="false">IF(OR(K257="",E257=0,E257=""),"",K257/E257)</f>
        <v/>
      </c>
      <c r="M257" s="18" t="str">
        <f aca="false">IF(OR(A257="",E257=""),"",E257+ROW()/1000000)</f>
        <v/>
      </c>
    </row>
    <row r="258" customFormat="false" ht="15" hidden="false" customHeight="false" outlineLevel="0" collapsed="false">
      <c r="A258" s="12"/>
      <c r="B258" s="13"/>
      <c r="C258" s="13"/>
      <c r="D258" s="14"/>
      <c r="E258" s="15"/>
      <c r="F258" s="15"/>
      <c r="G258" s="15"/>
      <c r="H258" s="15"/>
      <c r="I258" s="15"/>
      <c r="J258" s="15"/>
      <c r="K258" s="16" t="str">
        <f aca="false">IF(A258="","",F258+G258+H258+I258)</f>
        <v/>
      </c>
      <c r="L258" s="17" t="str">
        <f aca="false">IF(OR(K258="",E258=0,E258=""),"",K258/E258)</f>
        <v/>
      </c>
      <c r="M258" s="18" t="str">
        <f aca="false">IF(OR(A258="",E258=""),"",E258+ROW()/1000000)</f>
        <v/>
      </c>
    </row>
    <row r="259" customFormat="false" ht="15" hidden="false" customHeight="false" outlineLevel="0" collapsed="false">
      <c r="A259" s="12"/>
      <c r="B259" s="13"/>
      <c r="C259" s="13"/>
      <c r="D259" s="14"/>
      <c r="E259" s="15"/>
      <c r="F259" s="15"/>
      <c r="G259" s="15"/>
      <c r="H259" s="15"/>
      <c r="I259" s="15"/>
      <c r="J259" s="15"/>
      <c r="K259" s="16" t="str">
        <f aca="false">IF(A259="","",F259+G259+H259+I259)</f>
        <v/>
      </c>
      <c r="L259" s="17" t="str">
        <f aca="false">IF(OR(K259="",E259=0,E259=""),"",K259/E259)</f>
        <v/>
      </c>
      <c r="M259" s="18" t="str">
        <f aca="false">IF(OR(A259="",E259=""),"",E259+ROW()/1000000)</f>
        <v/>
      </c>
    </row>
    <row r="260" customFormat="false" ht="15" hidden="false" customHeight="false" outlineLevel="0" collapsed="false">
      <c r="A260" s="12"/>
      <c r="B260" s="13"/>
      <c r="C260" s="13"/>
      <c r="D260" s="14"/>
      <c r="E260" s="15"/>
      <c r="F260" s="15"/>
      <c r="G260" s="15"/>
      <c r="H260" s="15"/>
      <c r="I260" s="15"/>
      <c r="J260" s="15"/>
      <c r="K260" s="16" t="str">
        <f aca="false">IF(A260="","",F260+G260+H260+I260)</f>
        <v/>
      </c>
      <c r="L260" s="17" t="str">
        <f aca="false">IF(OR(K260="",E260=0,E260=""),"",K260/E260)</f>
        <v/>
      </c>
      <c r="M260" s="18" t="str">
        <f aca="false">IF(OR(A260="",E260=""),"",E260+ROW()/1000000)</f>
        <v/>
      </c>
    </row>
    <row r="261" customFormat="false" ht="15" hidden="false" customHeight="false" outlineLevel="0" collapsed="false">
      <c r="A261" s="12"/>
      <c r="B261" s="13"/>
      <c r="C261" s="13"/>
      <c r="D261" s="14"/>
      <c r="E261" s="15"/>
      <c r="F261" s="15"/>
      <c r="G261" s="15"/>
      <c r="H261" s="15"/>
      <c r="I261" s="15"/>
      <c r="J261" s="15"/>
      <c r="K261" s="16" t="str">
        <f aca="false">IF(A261="","",F261+G261+H261+I261)</f>
        <v/>
      </c>
      <c r="L261" s="17" t="str">
        <f aca="false">IF(OR(K261="",E261=0,E261=""),"",K261/E261)</f>
        <v/>
      </c>
      <c r="M261" s="18" t="str">
        <f aca="false">IF(OR(A261="",E261=""),"",E261+ROW()/1000000)</f>
        <v/>
      </c>
    </row>
    <row r="262" customFormat="false" ht="15" hidden="false" customHeight="false" outlineLevel="0" collapsed="false">
      <c r="A262" s="12"/>
      <c r="B262" s="13"/>
      <c r="C262" s="13"/>
      <c r="D262" s="14"/>
      <c r="E262" s="15"/>
      <c r="F262" s="15"/>
      <c r="G262" s="15"/>
      <c r="H262" s="15"/>
      <c r="I262" s="15"/>
      <c r="J262" s="15"/>
      <c r="K262" s="16" t="str">
        <f aca="false">IF(A262="","",F262+G262+H262+I262)</f>
        <v/>
      </c>
      <c r="L262" s="17" t="str">
        <f aca="false">IF(OR(K262="",E262=0,E262=""),"",K262/E262)</f>
        <v/>
      </c>
      <c r="M262" s="18" t="str">
        <f aca="false">IF(OR(A262="",E262=""),"",E262+ROW()/1000000)</f>
        <v/>
      </c>
    </row>
    <row r="263" customFormat="false" ht="15" hidden="false" customHeight="false" outlineLevel="0" collapsed="false">
      <c r="A263" s="12"/>
      <c r="B263" s="13"/>
      <c r="C263" s="13"/>
      <c r="D263" s="14"/>
      <c r="E263" s="15"/>
      <c r="F263" s="15"/>
      <c r="G263" s="15"/>
      <c r="H263" s="15"/>
      <c r="I263" s="15"/>
      <c r="J263" s="15"/>
      <c r="K263" s="16" t="str">
        <f aca="false">IF(A263="","",F263+G263+H263+I263)</f>
        <v/>
      </c>
      <c r="L263" s="17" t="str">
        <f aca="false">IF(OR(K263="",E263=0,E263=""),"",K263/E263)</f>
        <v/>
      </c>
      <c r="M263" s="18" t="str">
        <f aca="false">IF(OR(A263="",E263=""),"",E263+ROW()/1000000)</f>
        <v/>
      </c>
    </row>
    <row r="264" customFormat="false" ht="15" hidden="false" customHeight="false" outlineLevel="0" collapsed="false">
      <c r="A264" s="12"/>
      <c r="B264" s="13"/>
      <c r="C264" s="13"/>
      <c r="D264" s="14"/>
      <c r="E264" s="15"/>
      <c r="F264" s="15"/>
      <c r="G264" s="15"/>
      <c r="H264" s="15"/>
      <c r="I264" s="15"/>
      <c r="J264" s="15"/>
      <c r="K264" s="16" t="str">
        <f aca="false">IF(A264="","",F264+G264+H264+I264)</f>
        <v/>
      </c>
      <c r="L264" s="17" t="str">
        <f aca="false">IF(OR(K264="",E264=0,E264=""),"",K264/E264)</f>
        <v/>
      </c>
      <c r="M264" s="18" t="str">
        <f aca="false">IF(OR(A264="",E264=""),"",E264+ROW()/1000000)</f>
        <v/>
      </c>
    </row>
    <row r="265" customFormat="false" ht="15" hidden="false" customHeight="false" outlineLevel="0" collapsed="false">
      <c r="A265" s="12"/>
      <c r="B265" s="13"/>
      <c r="C265" s="13"/>
      <c r="D265" s="14"/>
      <c r="E265" s="15"/>
      <c r="F265" s="15"/>
      <c r="G265" s="15"/>
      <c r="H265" s="15"/>
      <c r="I265" s="15"/>
      <c r="J265" s="15"/>
      <c r="K265" s="16" t="str">
        <f aca="false">IF(A265="","",F265+G265+H265+I265)</f>
        <v/>
      </c>
      <c r="L265" s="17" t="str">
        <f aca="false">IF(OR(K265="",E265=0,E265=""),"",K265/E265)</f>
        <v/>
      </c>
      <c r="M265" s="18" t="str">
        <f aca="false">IF(OR(A265="",E265=""),"",E265+ROW()/1000000)</f>
        <v/>
      </c>
    </row>
    <row r="266" customFormat="false" ht="15" hidden="false" customHeight="false" outlineLevel="0" collapsed="false">
      <c r="A266" s="12"/>
      <c r="B266" s="13"/>
      <c r="C266" s="13"/>
      <c r="D266" s="14"/>
      <c r="E266" s="15"/>
      <c r="F266" s="15"/>
      <c r="G266" s="15"/>
      <c r="H266" s="15"/>
      <c r="I266" s="15"/>
      <c r="J266" s="15"/>
      <c r="K266" s="16" t="str">
        <f aca="false">IF(A266="","",F266+G266+H266+I266)</f>
        <v/>
      </c>
      <c r="L266" s="17" t="str">
        <f aca="false">IF(OR(K266="",E266=0,E266=""),"",K266/E266)</f>
        <v/>
      </c>
      <c r="M266" s="18" t="str">
        <f aca="false">IF(OR(A266="",E266=""),"",E266+ROW()/1000000)</f>
        <v/>
      </c>
    </row>
    <row r="267" customFormat="false" ht="15" hidden="false" customHeight="false" outlineLevel="0" collapsed="false">
      <c r="A267" s="12"/>
      <c r="B267" s="13"/>
      <c r="C267" s="13"/>
      <c r="D267" s="14"/>
      <c r="E267" s="15"/>
      <c r="F267" s="15"/>
      <c r="G267" s="15"/>
      <c r="H267" s="15"/>
      <c r="I267" s="15"/>
      <c r="J267" s="15"/>
      <c r="K267" s="16" t="str">
        <f aca="false">IF(A267="","",F267+G267+H267+I267)</f>
        <v/>
      </c>
      <c r="L267" s="17" t="str">
        <f aca="false">IF(OR(K267="",E267=0,E267=""),"",K267/E267)</f>
        <v/>
      </c>
      <c r="M267" s="18" t="str">
        <f aca="false">IF(OR(A267="",E267=""),"",E267+ROW()/1000000)</f>
        <v/>
      </c>
    </row>
    <row r="268" customFormat="false" ht="15" hidden="false" customHeight="false" outlineLevel="0" collapsed="false">
      <c r="A268" s="12"/>
      <c r="B268" s="13"/>
      <c r="C268" s="13"/>
      <c r="D268" s="14"/>
      <c r="E268" s="15"/>
      <c r="F268" s="15"/>
      <c r="G268" s="15"/>
      <c r="H268" s="15"/>
      <c r="I268" s="15"/>
      <c r="J268" s="15"/>
      <c r="K268" s="16" t="str">
        <f aca="false">IF(A268="","",F268+G268+H268+I268)</f>
        <v/>
      </c>
      <c r="L268" s="17" t="str">
        <f aca="false">IF(OR(K268="",E268=0,E268=""),"",K268/E268)</f>
        <v/>
      </c>
      <c r="M268" s="18" t="str">
        <f aca="false">IF(OR(A268="",E268=""),"",E268+ROW()/1000000)</f>
        <v/>
      </c>
    </row>
    <row r="269" customFormat="false" ht="15" hidden="false" customHeight="false" outlineLevel="0" collapsed="false">
      <c r="A269" s="12"/>
      <c r="B269" s="13"/>
      <c r="C269" s="13"/>
      <c r="D269" s="14"/>
      <c r="E269" s="15"/>
      <c r="F269" s="15"/>
      <c r="G269" s="15"/>
      <c r="H269" s="15"/>
      <c r="I269" s="15"/>
      <c r="J269" s="15"/>
      <c r="K269" s="16" t="str">
        <f aca="false">IF(A269="","",F269+G269+H269+I269)</f>
        <v/>
      </c>
      <c r="L269" s="17" t="str">
        <f aca="false">IF(OR(K269="",E269=0,E269=""),"",K269/E269)</f>
        <v/>
      </c>
      <c r="M269" s="18" t="str">
        <f aca="false">IF(OR(A269="",E269=""),"",E269+ROW()/1000000)</f>
        <v/>
      </c>
    </row>
    <row r="270" customFormat="false" ht="15" hidden="false" customHeight="false" outlineLevel="0" collapsed="false">
      <c r="A270" s="12"/>
      <c r="B270" s="13"/>
      <c r="C270" s="13"/>
      <c r="D270" s="14"/>
      <c r="E270" s="15"/>
      <c r="F270" s="15"/>
      <c r="G270" s="15"/>
      <c r="H270" s="15"/>
      <c r="I270" s="15"/>
      <c r="J270" s="15"/>
      <c r="K270" s="16" t="str">
        <f aca="false">IF(A270="","",F270+G270+H270+I270)</f>
        <v/>
      </c>
      <c r="L270" s="17" t="str">
        <f aca="false">IF(OR(K270="",E270=0,E270=""),"",K270/E270)</f>
        <v/>
      </c>
      <c r="M270" s="18" t="str">
        <f aca="false">IF(OR(A270="",E270=""),"",E270+ROW()/1000000)</f>
        <v/>
      </c>
    </row>
    <row r="271" customFormat="false" ht="15" hidden="false" customHeight="false" outlineLevel="0" collapsed="false">
      <c r="A271" s="12"/>
      <c r="B271" s="13"/>
      <c r="C271" s="13"/>
      <c r="D271" s="14"/>
      <c r="E271" s="15"/>
      <c r="F271" s="15"/>
      <c r="G271" s="15"/>
      <c r="H271" s="15"/>
      <c r="I271" s="15"/>
      <c r="J271" s="15"/>
      <c r="K271" s="16" t="str">
        <f aca="false">IF(A271="","",F271+G271+H271+I271)</f>
        <v/>
      </c>
      <c r="L271" s="17" t="str">
        <f aca="false">IF(OR(K271="",E271=0,E271=""),"",K271/E271)</f>
        <v/>
      </c>
      <c r="M271" s="18" t="str">
        <f aca="false">IF(OR(A271="",E271=""),"",E271+ROW()/1000000)</f>
        <v/>
      </c>
    </row>
    <row r="272" customFormat="false" ht="15" hidden="false" customHeight="false" outlineLevel="0" collapsed="false">
      <c r="A272" s="12"/>
      <c r="B272" s="13"/>
      <c r="C272" s="13"/>
      <c r="D272" s="14"/>
      <c r="E272" s="15"/>
      <c r="F272" s="15"/>
      <c r="G272" s="15"/>
      <c r="H272" s="15"/>
      <c r="I272" s="15"/>
      <c r="J272" s="15"/>
      <c r="K272" s="16" t="str">
        <f aca="false">IF(A272="","",F272+G272+H272+I272)</f>
        <v/>
      </c>
      <c r="L272" s="17" t="str">
        <f aca="false">IF(OR(K272="",E272=0,E272=""),"",K272/E272)</f>
        <v/>
      </c>
      <c r="M272" s="18" t="str">
        <f aca="false">IF(OR(A272="",E272=""),"",E272+ROW()/1000000)</f>
        <v/>
      </c>
    </row>
    <row r="273" customFormat="false" ht="15" hidden="false" customHeight="false" outlineLevel="0" collapsed="false">
      <c r="A273" s="12"/>
      <c r="B273" s="13"/>
      <c r="C273" s="13"/>
      <c r="D273" s="14"/>
      <c r="E273" s="15"/>
      <c r="F273" s="15"/>
      <c r="G273" s="15"/>
      <c r="H273" s="15"/>
      <c r="I273" s="15"/>
      <c r="J273" s="15"/>
      <c r="K273" s="16" t="str">
        <f aca="false">IF(A273="","",F273+G273+H273+I273)</f>
        <v/>
      </c>
      <c r="L273" s="17" t="str">
        <f aca="false">IF(OR(K273="",E273=0,E273=""),"",K273/E273)</f>
        <v/>
      </c>
      <c r="M273" s="18" t="str">
        <f aca="false">IF(OR(A273="",E273=""),"",E273+ROW()/1000000)</f>
        <v/>
      </c>
    </row>
    <row r="274" customFormat="false" ht="15" hidden="false" customHeight="false" outlineLevel="0" collapsed="false">
      <c r="A274" s="12"/>
      <c r="B274" s="13"/>
      <c r="C274" s="13"/>
      <c r="D274" s="14"/>
      <c r="E274" s="15"/>
      <c r="F274" s="15"/>
      <c r="G274" s="15"/>
      <c r="H274" s="15"/>
      <c r="I274" s="15"/>
      <c r="J274" s="15"/>
      <c r="K274" s="16" t="str">
        <f aca="false">IF(A274="","",F274+G274+H274+I274)</f>
        <v/>
      </c>
      <c r="L274" s="17" t="str">
        <f aca="false">IF(OR(K274="",E274=0,E274=""),"",K274/E274)</f>
        <v/>
      </c>
      <c r="M274" s="18" t="str">
        <f aca="false">IF(OR(A274="",E274=""),"",E274+ROW()/1000000)</f>
        <v/>
      </c>
    </row>
    <row r="275" customFormat="false" ht="15" hidden="false" customHeight="false" outlineLevel="0" collapsed="false">
      <c r="A275" s="12"/>
      <c r="B275" s="13"/>
      <c r="C275" s="13"/>
      <c r="D275" s="14"/>
      <c r="E275" s="15"/>
      <c r="F275" s="15"/>
      <c r="G275" s="15"/>
      <c r="H275" s="15"/>
      <c r="I275" s="15"/>
      <c r="J275" s="15"/>
      <c r="K275" s="16" t="str">
        <f aca="false">IF(A275="","",F275+G275+H275+I275)</f>
        <v/>
      </c>
      <c r="L275" s="17" t="str">
        <f aca="false">IF(OR(K275="",E275=0,E275=""),"",K275/E275)</f>
        <v/>
      </c>
      <c r="M275" s="18" t="str">
        <f aca="false">IF(OR(A275="",E275=""),"",E275+ROW()/1000000)</f>
        <v/>
      </c>
    </row>
    <row r="276" customFormat="false" ht="15" hidden="false" customHeight="false" outlineLevel="0" collapsed="false">
      <c r="A276" s="12"/>
      <c r="B276" s="13"/>
      <c r="C276" s="13"/>
      <c r="D276" s="14"/>
      <c r="E276" s="15"/>
      <c r="F276" s="15"/>
      <c r="G276" s="15"/>
      <c r="H276" s="15"/>
      <c r="I276" s="15"/>
      <c r="J276" s="15"/>
      <c r="K276" s="16" t="str">
        <f aca="false">IF(A276="","",F276+G276+H276+I276)</f>
        <v/>
      </c>
      <c r="L276" s="17" t="str">
        <f aca="false">IF(OR(K276="",E276=0,E276=""),"",K276/E276)</f>
        <v/>
      </c>
      <c r="M276" s="18" t="str">
        <f aca="false">IF(OR(A276="",E276=""),"",E276+ROW()/1000000)</f>
        <v/>
      </c>
    </row>
    <row r="277" customFormat="false" ht="15" hidden="false" customHeight="false" outlineLevel="0" collapsed="false">
      <c r="A277" s="12"/>
      <c r="B277" s="13"/>
      <c r="C277" s="13"/>
      <c r="D277" s="14"/>
      <c r="E277" s="15"/>
      <c r="F277" s="15"/>
      <c r="G277" s="15"/>
      <c r="H277" s="15"/>
      <c r="I277" s="15"/>
      <c r="J277" s="15"/>
      <c r="K277" s="16" t="str">
        <f aca="false">IF(A277="","",F277+G277+H277+I277)</f>
        <v/>
      </c>
      <c r="L277" s="17" t="str">
        <f aca="false">IF(OR(K277="",E277=0,E277=""),"",K277/E277)</f>
        <v/>
      </c>
      <c r="M277" s="18" t="str">
        <f aca="false">IF(OR(A277="",E277=""),"",E277+ROW()/1000000)</f>
        <v/>
      </c>
    </row>
    <row r="278" customFormat="false" ht="15" hidden="false" customHeight="false" outlineLevel="0" collapsed="false">
      <c r="A278" s="12"/>
      <c r="B278" s="13"/>
      <c r="C278" s="13"/>
      <c r="D278" s="14"/>
      <c r="E278" s="15"/>
      <c r="F278" s="15"/>
      <c r="G278" s="15"/>
      <c r="H278" s="15"/>
      <c r="I278" s="15"/>
      <c r="J278" s="15"/>
      <c r="K278" s="16" t="str">
        <f aca="false">IF(A278="","",F278+G278+H278+I278)</f>
        <v/>
      </c>
      <c r="L278" s="17" t="str">
        <f aca="false">IF(OR(K278="",E278=0,E278=""),"",K278/E278)</f>
        <v/>
      </c>
      <c r="M278" s="18" t="str">
        <f aca="false">IF(OR(A278="",E278=""),"",E278+ROW()/1000000)</f>
        <v/>
      </c>
    </row>
    <row r="279" customFormat="false" ht="15" hidden="false" customHeight="false" outlineLevel="0" collapsed="false">
      <c r="A279" s="12"/>
      <c r="B279" s="13"/>
      <c r="C279" s="13"/>
      <c r="D279" s="14"/>
      <c r="E279" s="15"/>
      <c r="F279" s="15"/>
      <c r="G279" s="15"/>
      <c r="H279" s="15"/>
      <c r="I279" s="15"/>
      <c r="J279" s="15"/>
      <c r="K279" s="16" t="str">
        <f aca="false">IF(A279="","",F279+G279+H279+I279)</f>
        <v/>
      </c>
      <c r="L279" s="17" t="str">
        <f aca="false">IF(OR(K279="",E279=0,E279=""),"",K279/E279)</f>
        <v/>
      </c>
      <c r="M279" s="18" t="str">
        <f aca="false">IF(OR(A279="",E279=""),"",E279+ROW()/1000000)</f>
        <v/>
      </c>
    </row>
    <row r="280" customFormat="false" ht="15" hidden="false" customHeight="false" outlineLevel="0" collapsed="false">
      <c r="A280" s="12"/>
      <c r="B280" s="13"/>
      <c r="C280" s="13"/>
      <c r="D280" s="14"/>
      <c r="E280" s="15"/>
      <c r="F280" s="15"/>
      <c r="G280" s="15"/>
      <c r="H280" s="15"/>
      <c r="I280" s="15"/>
      <c r="J280" s="15"/>
      <c r="K280" s="16" t="str">
        <f aca="false">IF(A280="","",F280+G280+H280+I280)</f>
        <v/>
      </c>
      <c r="L280" s="17" t="str">
        <f aca="false">IF(OR(K280="",E280=0,E280=""),"",K280/E280)</f>
        <v/>
      </c>
      <c r="M280" s="18" t="str">
        <f aca="false">IF(OR(A280="",E280=""),"",E280+ROW()/1000000)</f>
        <v/>
      </c>
    </row>
    <row r="281" customFormat="false" ht="15" hidden="false" customHeight="false" outlineLevel="0" collapsed="false">
      <c r="A281" s="12"/>
      <c r="B281" s="13"/>
      <c r="C281" s="13"/>
      <c r="D281" s="14"/>
      <c r="E281" s="15"/>
      <c r="F281" s="15"/>
      <c r="G281" s="15"/>
      <c r="H281" s="15"/>
      <c r="I281" s="15"/>
      <c r="J281" s="15"/>
      <c r="K281" s="16" t="str">
        <f aca="false">IF(A281="","",F281+G281+H281+I281)</f>
        <v/>
      </c>
      <c r="L281" s="17" t="str">
        <f aca="false">IF(OR(K281="",E281=0,E281=""),"",K281/E281)</f>
        <v/>
      </c>
      <c r="M281" s="18" t="str">
        <f aca="false">IF(OR(A281="",E281=""),"",E281+ROW()/1000000)</f>
        <v/>
      </c>
    </row>
    <row r="282" customFormat="false" ht="15" hidden="false" customHeight="false" outlineLevel="0" collapsed="false">
      <c r="A282" s="12"/>
      <c r="B282" s="13"/>
      <c r="C282" s="13"/>
      <c r="D282" s="14"/>
      <c r="E282" s="15"/>
      <c r="F282" s="15"/>
      <c r="G282" s="15"/>
      <c r="H282" s="15"/>
      <c r="I282" s="15"/>
      <c r="J282" s="15"/>
      <c r="K282" s="16" t="str">
        <f aca="false">IF(A282="","",F282+G282+H282+I282)</f>
        <v/>
      </c>
      <c r="L282" s="17" t="str">
        <f aca="false">IF(OR(K282="",E282=0,E282=""),"",K282/E282)</f>
        <v/>
      </c>
      <c r="M282" s="18" t="str">
        <f aca="false">IF(OR(A282="",E282=""),"",E282+ROW()/1000000)</f>
        <v/>
      </c>
    </row>
    <row r="283" customFormat="false" ht="15" hidden="false" customHeight="false" outlineLevel="0" collapsed="false">
      <c r="A283" s="12"/>
      <c r="B283" s="13"/>
      <c r="C283" s="13"/>
      <c r="D283" s="14"/>
      <c r="E283" s="15"/>
      <c r="F283" s="15"/>
      <c r="G283" s="15"/>
      <c r="H283" s="15"/>
      <c r="I283" s="15"/>
      <c r="J283" s="15"/>
      <c r="K283" s="16" t="str">
        <f aca="false">IF(A283="","",F283+G283+H283+I283)</f>
        <v/>
      </c>
      <c r="L283" s="17" t="str">
        <f aca="false">IF(OR(K283="",E283=0,E283=""),"",K283/E283)</f>
        <v/>
      </c>
      <c r="M283" s="18" t="str">
        <f aca="false">IF(OR(A283="",E283=""),"",E283+ROW()/1000000)</f>
        <v/>
      </c>
    </row>
    <row r="284" customFormat="false" ht="15" hidden="false" customHeight="false" outlineLevel="0" collapsed="false">
      <c r="A284" s="12"/>
      <c r="B284" s="13"/>
      <c r="C284" s="13"/>
      <c r="D284" s="14"/>
      <c r="E284" s="15"/>
      <c r="F284" s="15"/>
      <c r="G284" s="15"/>
      <c r="H284" s="15"/>
      <c r="I284" s="15"/>
      <c r="J284" s="15"/>
      <c r="K284" s="16" t="str">
        <f aca="false">IF(A284="","",F284+G284+H284+I284)</f>
        <v/>
      </c>
      <c r="L284" s="17" t="str">
        <f aca="false">IF(OR(K284="",E284=0,E284=""),"",K284/E284)</f>
        <v/>
      </c>
      <c r="M284" s="18" t="str">
        <f aca="false">IF(OR(A284="",E284=""),"",E284+ROW()/1000000)</f>
        <v/>
      </c>
    </row>
    <row r="285" customFormat="false" ht="15" hidden="false" customHeight="false" outlineLevel="0" collapsed="false">
      <c r="A285" s="12"/>
      <c r="B285" s="13"/>
      <c r="C285" s="13"/>
      <c r="D285" s="14"/>
      <c r="E285" s="15"/>
      <c r="F285" s="15"/>
      <c r="G285" s="15"/>
      <c r="H285" s="15"/>
      <c r="I285" s="15"/>
      <c r="J285" s="15"/>
      <c r="K285" s="16" t="str">
        <f aca="false">IF(A285="","",F285+G285+H285+I285)</f>
        <v/>
      </c>
      <c r="L285" s="17" t="str">
        <f aca="false">IF(OR(K285="",E285=0,E285=""),"",K285/E285)</f>
        <v/>
      </c>
      <c r="M285" s="18" t="str">
        <f aca="false">IF(OR(A285="",E285=""),"",E285+ROW()/1000000)</f>
        <v/>
      </c>
    </row>
    <row r="286" customFormat="false" ht="15" hidden="false" customHeight="false" outlineLevel="0" collapsed="false">
      <c r="A286" s="12"/>
      <c r="B286" s="13"/>
      <c r="C286" s="13"/>
      <c r="D286" s="14"/>
      <c r="E286" s="15"/>
      <c r="F286" s="15"/>
      <c r="G286" s="15"/>
      <c r="H286" s="15"/>
      <c r="I286" s="15"/>
      <c r="J286" s="15"/>
      <c r="K286" s="16" t="str">
        <f aca="false">IF(A286="","",F286+G286+H286+I286)</f>
        <v/>
      </c>
      <c r="L286" s="17" t="str">
        <f aca="false">IF(OR(K286="",E286=0,E286=""),"",K286/E286)</f>
        <v/>
      </c>
      <c r="M286" s="18" t="str">
        <f aca="false">IF(OR(A286="",E286=""),"",E286+ROW()/1000000)</f>
        <v/>
      </c>
    </row>
    <row r="287" customFormat="false" ht="15" hidden="false" customHeight="false" outlineLevel="0" collapsed="false">
      <c r="A287" s="12"/>
      <c r="B287" s="13"/>
      <c r="C287" s="13"/>
      <c r="D287" s="14"/>
      <c r="E287" s="15"/>
      <c r="F287" s="15"/>
      <c r="G287" s="15"/>
      <c r="H287" s="15"/>
      <c r="I287" s="15"/>
      <c r="J287" s="15"/>
      <c r="K287" s="16" t="str">
        <f aca="false">IF(A287="","",F287+G287+H287+I287)</f>
        <v/>
      </c>
      <c r="L287" s="17" t="str">
        <f aca="false">IF(OR(K287="",E287=0,E287=""),"",K287/E287)</f>
        <v/>
      </c>
      <c r="M287" s="18" t="str">
        <f aca="false">IF(OR(A287="",E287=""),"",E287+ROW()/1000000)</f>
        <v/>
      </c>
    </row>
    <row r="288" customFormat="false" ht="15" hidden="false" customHeight="false" outlineLevel="0" collapsed="false">
      <c r="A288" s="12"/>
      <c r="B288" s="13"/>
      <c r="C288" s="13"/>
      <c r="D288" s="14"/>
      <c r="E288" s="15"/>
      <c r="F288" s="15"/>
      <c r="G288" s="15"/>
      <c r="H288" s="15"/>
      <c r="I288" s="15"/>
      <c r="J288" s="15"/>
      <c r="K288" s="16" t="str">
        <f aca="false">IF(A288="","",F288+G288+H288+I288)</f>
        <v/>
      </c>
      <c r="L288" s="17" t="str">
        <f aca="false">IF(OR(K288="",E288=0,E288=""),"",K288/E288)</f>
        <v/>
      </c>
      <c r="M288" s="18" t="str">
        <f aca="false">IF(OR(A288="",E288=""),"",E288+ROW()/1000000)</f>
        <v/>
      </c>
    </row>
    <row r="289" customFormat="false" ht="15" hidden="false" customHeight="false" outlineLevel="0" collapsed="false">
      <c r="A289" s="12"/>
      <c r="B289" s="13"/>
      <c r="C289" s="13"/>
      <c r="D289" s="14"/>
      <c r="E289" s="15"/>
      <c r="F289" s="15"/>
      <c r="G289" s="15"/>
      <c r="H289" s="15"/>
      <c r="I289" s="15"/>
      <c r="J289" s="15"/>
      <c r="K289" s="16" t="str">
        <f aca="false">IF(A289="","",F289+G289+H289+I289)</f>
        <v/>
      </c>
      <c r="L289" s="17" t="str">
        <f aca="false">IF(OR(K289="",E289=0,E289=""),"",K289/E289)</f>
        <v/>
      </c>
      <c r="M289" s="18" t="str">
        <f aca="false">IF(OR(A289="",E289=""),"",E289+ROW()/1000000)</f>
        <v/>
      </c>
    </row>
    <row r="290" customFormat="false" ht="15" hidden="false" customHeight="false" outlineLevel="0" collapsed="false">
      <c r="A290" s="12"/>
      <c r="B290" s="13"/>
      <c r="C290" s="13"/>
      <c r="D290" s="14"/>
      <c r="E290" s="15"/>
      <c r="F290" s="15"/>
      <c r="G290" s="15"/>
      <c r="H290" s="15"/>
      <c r="I290" s="15"/>
      <c r="J290" s="15"/>
      <c r="K290" s="16" t="str">
        <f aca="false">IF(A290="","",F290+G290+H290+I290)</f>
        <v/>
      </c>
      <c r="L290" s="17" t="str">
        <f aca="false">IF(OR(K290="",E290=0,E290=""),"",K290/E290)</f>
        <v/>
      </c>
      <c r="M290" s="18" t="str">
        <f aca="false">IF(OR(A290="",E290=""),"",E290+ROW()/1000000)</f>
        <v/>
      </c>
    </row>
    <row r="291" customFormat="false" ht="15" hidden="false" customHeight="false" outlineLevel="0" collapsed="false">
      <c r="A291" s="12"/>
      <c r="B291" s="13"/>
      <c r="C291" s="13"/>
      <c r="D291" s="14"/>
      <c r="E291" s="15"/>
      <c r="F291" s="15"/>
      <c r="G291" s="15"/>
      <c r="H291" s="15"/>
      <c r="I291" s="15"/>
      <c r="J291" s="15"/>
      <c r="K291" s="16" t="str">
        <f aca="false">IF(A291="","",F291+G291+H291+I291)</f>
        <v/>
      </c>
      <c r="L291" s="17" t="str">
        <f aca="false">IF(OR(K291="",E291=0,E291=""),"",K291/E291)</f>
        <v/>
      </c>
      <c r="M291" s="18" t="str">
        <f aca="false">IF(OR(A291="",E291=""),"",E291+ROW()/1000000)</f>
        <v/>
      </c>
    </row>
    <row r="292" customFormat="false" ht="15" hidden="false" customHeight="false" outlineLevel="0" collapsed="false">
      <c r="A292" s="12"/>
      <c r="B292" s="13"/>
      <c r="C292" s="13"/>
      <c r="D292" s="14"/>
      <c r="E292" s="15"/>
      <c r="F292" s="15"/>
      <c r="G292" s="15"/>
      <c r="H292" s="15"/>
      <c r="I292" s="15"/>
      <c r="J292" s="15"/>
      <c r="K292" s="16" t="str">
        <f aca="false">IF(A292="","",F292+G292+H292+I292)</f>
        <v/>
      </c>
      <c r="L292" s="17" t="str">
        <f aca="false">IF(OR(K292="",E292=0,E292=""),"",K292/E292)</f>
        <v/>
      </c>
      <c r="M292" s="18" t="str">
        <f aca="false">IF(OR(A292="",E292=""),"",E292+ROW()/1000000)</f>
        <v/>
      </c>
    </row>
    <row r="293" customFormat="false" ht="15" hidden="false" customHeight="false" outlineLevel="0" collapsed="false">
      <c r="A293" s="12"/>
      <c r="B293" s="13"/>
      <c r="C293" s="13"/>
      <c r="D293" s="14"/>
      <c r="E293" s="15"/>
      <c r="F293" s="15"/>
      <c r="G293" s="15"/>
      <c r="H293" s="15"/>
      <c r="I293" s="15"/>
      <c r="J293" s="15"/>
      <c r="K293" s="16" t="str">
        <f aca="false">IF(A293="","",F293+G293+H293+I293)</f>
        <v/>
      </c>
      <c r="L293" s="17" t="str">
        <f aca="false">IF(OR(K293="",E293=0,E293=""),"",K293/E293)</f>
        <v/>
      </c>
      <c r="M293" s="18" t="str">
        <f aca="false">IF(OR(A293="",E293=""),"",E293+ROW()/1000000)</f>
        <v/>
      </c>
    </row>
    <row r="294" customFormat="false" ht="15" hidden="false" customHeight="false" outlineLevel="0" collapsed="false">
      <c r="A294" s="12"/>
      <c r="B294" s="13"/>
      <c r="C294" s="13"/>
      <c r="D294" s="14"/>
      <c r="E294" s="15"/>
      <c r="F294" s="15"/>
      <c r="G294" s="15"/>
      <c r="H294" s="15"/>
      <c r="I294" s="15"/>
      <c r="J294" s="15"/>
      <c r="K294" s="16" t="str">
        <f aca="false">IF(A294="","",F294+G294+H294+I294)</f>
        <v/>
      </c>
      <c r="L294" s="17" t="str">
        <f aca="false">IF(OR(K294="",E294=0,E294=""),"",K294/E294)</f>
        <v/>
      </c>
      <c r="M294" s="18" t="str">
        <f aca="false">IF(OR(A294="",E294=""),"",E294+ROW()/1000000)</f>
        <v/>
      </c>
    </row>
    <row r="295" customFormat="false" ht="15" hidden="false" customHeight="false" outlineLevel="0" collapsed="false">
      <c r="A295" s="12"/>
      <c r="B295" s="13"/>
      <c r="C295" s="13"/>
      <c r="D295" s="14"/>
      <c r="E295" s="15"/>
      <c r="F295" s="15"/>
      <c r="G295" s="15"/>
      <c r="H295" s="15"/>
      <c r="I295" s="15"/>
      <c r="J295" s="15"/>
      <c r="K295" s="16" t="str">
        <f aca="false">IF(A295="","",F295+G295+H295+I295)</f>
        <v/>
      </c>
      <c r="L295" s="17" t="str">
        <f aca="false">IF(OR(K295="",E295=0,E295=""),"",K295/E295)</f>
        <v/>
      </c>
      <c r="M295" s="18" t="str">
        <f aca="false">IF(OR(A295="",E295=""),"",E295+ROW()/1000000)</f>
        <v/>
      </c>
    </row>
    <row r="296" customFormat="false" ht="15" hidden="false" customHeight="false" outlineLevel="0" collapsed="false">
      <c r="A296" s="12"/>
      <c r="B296" s="13"/>
      <c r="C296" s="13"/>
      <c r="D296" s="14"/>
      <c r="E296" s="15"/>
      <c r="F296" s="15"/>
      <c r="G296" s="15"/>
      <c r="H296" s="15"/>
      <c r="I296" s="15"/>
      <c r="J296" s="15"/>
      <c r="K296" s="16" t="str">
        <f aca="false">IF(A296="","",F296+G296+H296+I296)</f>
        <v/>
      </c>
      <c r="L296" s="17" t="str">
        <f aca="false">IF(OR(K296="",E296=0,E296=""),"",K296/E296)</f>
        <v/>
      </c>
      <c r="M296" s="18" t="str">
        <f aca="false">IF(OR(A296="",E296=""),"",E296+ROW()/1000000)</f>
        <v/>
      </c>
    </row>
    <row r="297" customFormat="false" ht="15" hidden="false" customHeight="false" outlineLevel="0" collapsed="false">
      <c r="A297" s="12"/>
      <c r="B297" s="13"/>
      <c r="C297" s="13"/>
      <c r="D297" s="14"/>
      <c r="E297" s="15"/>
      <c r="F297" s="15"/>
      <c r="G297" s="15"/>
      <c r="H297" s="15"/>
      <c r="I297" s="15"/>
      <c r="J297" s="15"/>
      <c r="K297" s="16" t="str">
        <f aca="false">IF(A297="","",F297+G297+H297+I297)</f>
        <v/>
      </c>
      <c r="L297" s="17" t="str">
        <f aca="false">IF(OR(K297="",E297=0,E297=""),"",K297/E297)</f>
        <v/>
      </c>
      <c r="M297" s="18" t="str">
        <f aca="false">IF(OR(A297="",E297=""),"",E297+ROW()/1000000)</f>
        <v/>
      </c>
    </row>
    <row r="298" customFormat="false" ht="15" hidden="false" customHeight="false" outlineLevel="0" collapsed="false">
      <c r="A298" s="12"/>
      <c r="B298" s="13"/>
      <c r="C298" s="13"/>
      <c r="D298" s="14"/>
      <c r="E298" s="15"/>
      <c r="F298" s="15"/>
      <c r="G298" s="15"/>
      <c r="H298" s="15"/>
      <c r="I298" s="15"/>
      <c r="J298" s="15"/>
      <c r="K298" s="16" t="str">
        <f aca="false">IF(A298="","",F298+G298+H298+I298)</f>
        <v/>
      </c>
      <c r="L298" s="17" t="str">
        <f aca="false">IF(OR(K298="",E298=0,E298=""),"",K298/E298)</f>
        <v/>
      </c>
      <c r="M298" s="18" t="str">
        <f aca="false">IF(OR(A298="",E298=""),"",E298+ROW()/1000000)</f>
        <v/>
      </c>
    </row>
    <row r="299" customFormat="false" ht="15" hidden="false" customHeight="false" outlineLevel="0" collapsed="false">
      <c r="A299" s="12"/>
      <c r="B299" s="13"/>
      <c r="C299" s="13"/>
      <c r="D299" s="14"/>
      <c r="E299" s="15"/>
      <c r="F299" s="15"/>
      <c r="G299" s="15"/>
      <c r="H299" s="15"/>
      <c r="I299" s="15"/>
      <c r="J299" s="15"/>
      <c r="K299" s="16" t="str">
        <f aca="false">IF(A299="","",F299+G299+H299+I299)</f>
        <v/>
      </c>
      <c r="L299" s="17" t="str">
        <f aca="false">IF(OR(K299="",E299=0,E299=""),"",K299/E299)</f>
        <v/>
      </c>
      <c r="M299" s="18" t="str">
        <f aca="false">IF(OR(A299="",E299=""),"",E299+ROW()/1000000)</f>
        <v/>
      </c>
    </row>
    <row r="300" customFormat="false" ht="15" hidden="false" customHeight="false" outlineLevel="0" collapsed="false">
      <c r="A300" s="12"/>
      <c r="B300" s="13"/>
      <c r="C300" s="13"/>
      <c r="D300" s="14"/>
      <c r="E300" s="15"/>
      <c r="F300" s="15"/>
      <c r="G300" s="15"/>
      <c r="H300" s="15"/>
      <c r="I300" s="15"/>
      <c r="J300" s="15"/>
      <c r="K300" s="16" t="str">
        <f aca="false">IF(A300="","",F300+G300+H300+I300)</f>
        <v/>
      </c>
      <c r="L300" s="17" t="str">
        <f aca="false">IF(OR(K300="",E300=0,E300=""),"",K300/E300)</f>
        <v/>
      </c>
      <c r="M300" s="18" t="str">
        <f aca="false">IF(OR(A300="",E300=""),"",E300+ROW()/1000000)</f>
        <v/>
      </c>
    </row>
    <row r="301" customFormat="false" ht="15" hidden="false" customHeight="false" outlineLevel="0" collapsed="false">
      <c r="A301" s="12"/>
      <c r="B301" s="13"/>
      <c r="C301" s="13"/>
      <c r="D301" s="14"/>
      <c r="E301" s="15"/>
      <c r="F301" s="15"/>
      <c r="G301" s="15"/>
      <c r="H301" s="15"/>
      <c r="I301" s="15"/>
      <c r="J301" s="15"/>
      <c r="K301" s="16" t="str">
        <f aca="false">IF(A301="","",F301+G301+H301+I301)</f>
        <v/>
      </c>
      <c r="L301" s="17" t="str">
        <f aca="false">IF(OR(K301="",E301=0,E301=""),"",K301/E301)</f>
        <v/>
      </c>
      <c r="M301" s="18" t="str">
        <f aca="false">IF(OR(A301="",E301=""),"",E301+ROW()/1000000)</f>
        <v/>
      </c>
    </row>
    <row r="302" customFormat="false" ht="15" hidden="false" customHeight="false" outlineLevel="0" collapsed="false">
      <c r="A302" s="12"/>
      <c r="B302" s="13"/>
      <c r="C302" s="13"/>
      <c r="D302" s="14"/>
      <c r="E302" s="15"/>
      <c r="F302" s="15"/>
      <c r="G302" s="15"/>
      <c r="H302" s="15"/>
      <c r="I302" s="15"/>
      <c r="J302" s="15"/>
      <c r="K302" s="16" t="str">
        <f aca="false">IF(A302="","",F302+G302+H302+I302)</f>
        <v/>
      </c>
      <c r="L302" s="17" t="str">
        <f aca="false">IF(OR(K302="",E302=0,E302=""),"",K302/E302)</f>
        <v/>
      </c>
      <c r="M302" s="18" t="str">
        <f aca="false">IF(OR(A302="",E302=""),"",E302+ROW()/1000000)</f>
        <v/>
      </c>
    </row>
    <row r="303" customFormat="false" ht="15" hidden="false" customHeight="false" outlineLevel="0" collapsed="false">
      <c r="A303" s="12"/>
      <c r="B303" s="13"/>
      <c r="C303" s="13"/>
      <c r="D303" s="14"/>
      <c r="E303" s="15"/>
      <c r="F303" s="15"/>
      <c r="G303" s="15"/>
      <c r="H303" s="15"/>
      <c r="I303" s="15"/>
      <c r="J303" s="15"/>
      <c r="K303" s="16" t="str">
        <f aca="false">IF(A303="","",F303+G303+H303+I303)</f>
        <v/>
      </c>
      <c r="L303" s="17" t="str">
        <f aca="false">IF(OR(K303="",E303=0,E303=""),"",K303/E303)</f>
        <v/>
      </c>
      <c r="M303" s="18" t="str">
        <f aca="false">IF(OR(A303="",E303=""),"",E303+ROW()/1000000)</f>
        <v/>
      </c>
    </row>
    <row r="304" customFormat="false" ht="15" hidden="false" customHeight="false" outlineLevel="0" collapsed="false">
      <c r="A304" s="12"/>
      <c r="B304" s="13"/>
      <c r="C304" s="13"/>
      <c r="D304" s="14"/>
      <c r="E304" s="15"/>
      <c r="F304" s="15"/>
      <c r="G304" s="15"/>
      <c r="H304" s="15"/>
      <c r="I304" s="15"/>
      <c r="J304" s="15"/>
      <c r="K304" s="16" t="str">
        <f aca="false">IF(A304="","",F304+G304+H304+I304)</f>
        <v/>
      </c>
      <c r="L304" s="17" t="str">
        <f aca="false">IF(OR(K304="",E304=0,E304=""),"",K304/E304)</f>
        <v/>
      </c>
      <c r="M304" s="18" t="str">
        <f aca="false">IF(OR(A304="",E304=""),"",E304+ROW()/1000000)</f>
        <v/>
      </c>
    </row>
    <row r="305" customFormat="false" ht="15" hidden="false" customHeight="false" outlineLevel="0" collapsed="false">
      <c r="A305" s="12"/>
      <c r="B305" s="13"/>
      <c r="C305" s="13"/>
      <c r="D305" s="14"/>
      <c r="E305" s="15"/>
      <c r="F305" s="15"/>
      <c r="G305" s="15"/>
      <c r="H305" s="15"/>
      <c r="I305" s="15"/>
      <c r="J305" s="15"/>
      <c r="K305" s="16" t="str">
        <f aca="false">IF(A305="","",F305+G305+H305+I305)</f>
        <v/>
      </c>
      <c r="L305" s="17" t="str">
        <f aca="false">IF(OR(K305="",E305=0,E305=""),"",K305/E305)</f>
        <v/>
      </c>
      <c r="M305" s="18" t="str">
        <f aca="false">IF(OR(A305="",E305=""),"",E305+ROW()/1000000)</f>
        <v/>
      </c>
    </row>
    <row r="306" customFormat="false" ht="15" hidden="false" customHeight="false" outlineLevel="0" collapsed="false">
      <c r="A306" s="12"/>
      <c r="B306" s="13"/>
      <c r="C306" s="13"/>
      <c r="D306" s="14"/>
      <c r="E306" s="15"/>
      <c r="F306" s="15"/>
      <c r="G306" s="15"/>
      <c r="H306" s="15"/>
      <c r="I306" s="15"/>
      <c r="J306" s="15"/>
      <c r="K306" s="16" t="str">
        <f aca="false">IF(A306="","",F306+G306+H306+I306)</f>
        <v/>
      </c>
      <c r="L306" s="17" t="str">
        <f aca="false">IF(OR(K306="",E306=0,E306=""),"",K306/E306)</f>
        <v/>
      </c>
      <c r="M306" s="18" t="str">
        <f aca="false">IF(OR(A306="",E306=""),"",E306+ROW()/1000000)</f>
        <v/>
      </c>
    </row>
    <row r="307" customFormat="false" ht="15" hidden="false" customHeight="false" outlineLevel="0" collapsed="false">
      <c r="A307" s="12"/>
      <c r="B307" s="13"/>
      <c r="C307" s="13"/>
      <c r="D307" s="14"/>
      <c r="E307" s="15"/>
      <c r="F307" s="15"/>
      <c r="G307" s="15"/>
      <c r="H307" s="15"/>
      <c r="I307" s="15"/>
      <c r="J307" s="15"/>
      <c r="K307" s="16" t="str">
        <f aca="false">IF(A307="","",F307+G307+H307+I307)</f>
        <v/>
      </c>
      <c r="L307" s="17" t="str">
        <f aca="false">IF(OR(K307="",E307=0,E307=""),"",K307/E307)</f>
        <v/>
      </c>
      <c r="M307" s="18" t="str">
        <f aca="false">IF(OR(A307="",E307=""),"",E307+ROW()/1000000)</f>
        <v/>
      </c>
    </row>
    <row r="308" customFormat="false" ht="15" hidden="false" customHeight="false" outlineLevel="0" collapsed="false">
      <c r="A308" s="12"/>
      <c r="B308" s="13"/>
      <c r="C308" s="13"/>
      <c r="D308" s="14"/>
      <c r="E308" s="15"/>
      <c r="F308" s="15"/>
      <c r="G308" s="15"/>
      <c r="H308" s="15"/>
      <c r="I308" s="15"/>
      <c r="J308" s="15"/>
      <c r="K308" s="16" t="str">
        <f aca="false">IF(A308="","",F308+G308+H308+I308)</f>
        <v/>
      </c>
      <c r="L308" s="17" t="str">
        <f aca="false">IF(OR(K308="",E308=0,E308=""),"",K308/E308)</f>
        <v/>
      </c>
      <c r="M308" s="18" t="str">
        <f aca="false">IF(OR(A308="",E308=""),"",E308+ROW()/1000000)</f>
        <v/>
      </c>
    </row>
    <row r="309" customFormat="false" ht="15" hidden="false" customHeight="false" outlineLevel="0" collapsed="false">
      <c r="A309" s="12"/>
      <c r="B309" s="13"/>
      <c r="C309" s="13"/>
      <c r="D309" s="14"/>
      <c r="E309" s="15"/>
      <c r="F309" s="15"/>
      <c r="G309" s="15"/>
      <c r="H309" s="15"/>
      <c r="I309" s="15"/>
      <c r="J309" s="15"/>
      <c r="K309" s="16" t="str">
        <f aca="false">IF(A309="","",F309+G309+H309+I309)</f>
        <v/>
      </c>
      <c r="L309" s="17" t="str">
        <f aca="false">IF(OR(K309="",E309=0,E309=""),"",K309/E309)</f>
        <v/>
      </c>
      <c r="M309" s="18" t="str">
        <f aca="false">IF(OR(A309="",E309=""),"",E309+ROW()/1000000)</f>
        <v/>
      </c>
    </row>
    <row r="310" customFormat="false" ht="15" hidden="false" customHeight="false" outlineLevel="0" collapsed="false">
      <c r="A310" s="12"/>
      <c r="B310" s="13"/>
      <c r="C310" s="13"/>
      <c r="D310" s="14"/>
      <c r="E310" s="15"/>
      <c r="F310" s="15"/>
      <c r="G310" s="15"/>
      <c r="H310" s="15"/>
      <c r="I310" s="15"/>
      <c r="J310" s="15"/>
      <c r="K310" s="16" t="str">
        <f aca="false">IF(A310="","",F310+G310+H310+I310)</f>
        <v/>
      </c>
      <c r="L310" s="17" t="str">
        <f aca="false">IF(OR(K310="",E310=0,E310=""),"",K310/E310)</f>
        <v/>
      </c>
      <c r="M310" s="18" t="str">
        <f aca="false">IF(OR(A310="",E310=""),"",E310+ROW()/1000000)</f>
        <v/>
      </c>
    </row>
    <row r="311" customFormat="false" ht="15" hidden="false" customHeight="false" outlineLevel="0" collapsed="false">
      <c r="A311" s="12"/>
      <c r="B311" s="13"/>
      <c r="C311" s="13"/>
      <c r="D311" s="14"/>
      <c r="E311" s="15"/>
      <c r="F311" s="15"/>
      <c r="G311" s="15"/>
      <c r="H311" s="15"/>
      <c r="I311" s="15"/>
      <c r="J311" s="15"/>
      <c r="K311" s="16" t="str">
        <f aca="false">IF(A311="","",F311+G311+H311+I311)</f>
        <v/>
      </c>
      <c r="L311" s="17" t="str">
        <f aca="false">IF(OR(K311="",E311=0,E311=""),"",K311/E311)</f>
        <v/>
      </c>
      <c r="M311" s="18" t="str">
        <f aca="false">IF(OR(A311="",E311=""),"",E311+ROW()/1000000)</f>
        <v/>
      </c>
    </row>
    <row r="312" customFormat="false" ht="15" hidden="false" customHeight="false" outlineLevel="0" collapsed="false">
      <c r="A312" s="12"/>
      <c r="B312" s="13"/>
      <c r="C312" s="13"/>
      <c r="D312" s="14"/>
      <c r="E312" s="15"/>
      <c r="F312" s="15"/>
      <c r="G312" s="15"/>
      <c r="H312" s="15"/>
      <c r="I312" s="15"/>
      <c r="J312" s="15"/>
      <c r="K312" s="16" t="str">
        <f aca="false">IF(A312="","",F312+G312+H312+I312)</f>
        <v/>
      </c>
      <c r="L312" s="17" t="str">
        <f aca="false">IF(OR(K312="",E312=0,E312=""),"",K312/E312)</f>
        <v/>
      </c>
      <c r="M312" s="18" t="str">
        <f aca="false">IF(OR(A312="",E312=""),"",E312+ROW()/1000000)</f>
        <v/>
      </c>
    </row>
    <row r="313" customFormat="false" ht="15" hidden="false" customHeight="false" outlineLevel="0" collapsed="false">
      <c r="A313" s="12"/>
      <c r="B313" s="13"/>
      <c r="C313" s="13"/>
      <c r="D313" s="14"/>
      <c r="E313" s="15"/>
      <c r="F313" s="15"/>
      <c r="G313" s="15"/>
      <c r="H313" s="15"/>
      <c r="I313" s="15"/>
      <c r="J313" s="15"/>
      <c r="K313" s="16" t="str">
        <f aca="false">IF(A313="","",F313+G313+H313+I313)</f>
        <v/>
      </c>
      <c r="L313" s="17" t="str">
        <f aca="false">IF(OR(K313="",E313=0,E313=""),"",K313/E313)</f>
        <v/>
      </c>
      <c r="M313" s="18" t="str">
        <f aca="false">IF(OR(A313="",E313=""),"",E313+ROW()/1000000)</f>
        <v/>
      </c>
    </row>
    <row r="314" customFormat="false" ht="15" hidden="false" customHeight="false" outlineLevel="0" collapsed="false">
      <c r="A314" s="12"/>
      <c r="B314" s="13"/>
      <c r="C314" s="13"/>
      <c r="D314" s="14"/>
      <c r="E314" s="15"/>
      <c r="F314" s="15"/>
      <c r="G314" s="15"/>
      <c r="H314" s="15"/>
      <c r="I314" s="15"/>
      <c r="J314" s="15"/>
      <c r="K314" s="16" t="str">
        <f aca="false">IF(A314="","",F314+G314+H314+I314)</f>
        <v/>
      </c>
      <c r="L314" s="17" t="str">
        <f aca="false">IF(OR(K314="",E314=0,E314=""),"",K314/E314)</f>
        <v/>
      </c>
      <c r="M314" s="18" t="str">
        <f aca="false">IF(OR(A314="",E314=""),"",E314+ROW()/1000000)</f>
        <v/>
      </c>
    </row>
    <row r="315" customFormat="false" ht="15" hidden="false" customHeight="false" outlineLevel="0" collapsed="false">
      <c r="A315" s="12"/>
      <c r="B315" s="13"/>
      <c r="C315" s="13"/>
      <c r="D315" s="14"/>
      <c r="E315" s="15"/>
      <c r="F315" s="15"/>
      <c r="G315" s="15"/>
      <c r="H315" s="15"/>
      <c r="I315" s="15"/>
      <c r="J315" s="15"/>
      <c r="K315" s="16" t="str">
        <f aca="false">IF(A315="","",F315+G315+H315+I315)</f>
        <v/>
      </c>
      <c r="L315" s="17" t="str">
        <f aca="false">IF(OR(K315="",E315=0,E315=""),"",K315/E315)</f>
        <v/>
      </c>
      <c r="M315" s="18" t="str">
        <f aca="false">IF(OR(A315="",E315=""),"",E315+ROW()/1000000)</f>
        <v/>
      </c>
    </row>
    <row r="316" customFormat="false" ht="15" hidden="false" customHeight="false" outlineLevel="0" collapsed="false">
      <c r="A316" s="12"/>
      <c r="B316" s="13"/>
      <c r="C316" s="13"/>
      <c r="D316" s="14"/>
      <c r="E316" s="15"/>
      <c r="F316" s="15"/>
      <c r="G316" s="15"/>
      <c r="H316" s="15"/>
      <c r="I316" s="15"/>
      <c r="J316" s="15"/>
      <c r="K316" s="16" t="str">
        <f aca="false">IF(A316="","",F316+G316+H316+I316)</f>
        <v/>
      </c>
      <c r="L316" s="17" t="str">
        <f aca="false">IF(OR(K316="",E316=0,E316=""),"",K316/E316)</f>
        <v/>
      </c>
      <c r="M316" s="18" t="str">
        <f aca="false">IF(OR(A316="",E316=""),"",E316+ROW()/1000000)</f>
        <v/>
      </c>
    </row>
    <row r="317" customFormat="false" ht="15" hidden="false" customHeight="false" outlineLevel="0" collapsed="false">
      <c r="A317" s="12"/>
      <c r="B317" s="13"/>
      <c r="C317" s="13"/>
      <c r="D317" s="14"/>
      <c r="E317" s="15"/>
      <c r="F317" s="15"/>
      <c r="G317" s="15"/>
      <c r="H317" s="15"/>
      <c r="I317" s="15"/>
      <c r="J317" s="15"/>
      <c r="K317" s="16" t="str">
        <f aca="false">IF(A317="","",F317+G317+H317+I317)</f>
        <v/>
      </c>
      <c r="L317" s="17" t="str">
        <f aca="false">IF(OR(K317="",E317=0,E317=""),"",K317/E317)</f>
        <v/>
      </c>
      <c r="M317" s="18" t="str">
        <f aca="false">IF(OR(A317="",E317=""),"",E317+ROW()/1000000)</f>
        <v/>
      </c>
    </row>
    <row r="318" customFormat="false" ht="15" hidden="false" customHeight="false" outlineLevel="0" collapsed="false">
      <c r="A318" s="12"/>
      <c r="B318" s="13"/>
      <c r="C318" s="13"/>
      <c r="D318" s="14"/>
      <c r="E318" s="15"/>
      <c r="F318" s="15"/>
      <c r="G318" s="15"/>
      <c r="H318" s="15"/>
      <c r="I318" s="15"/>
      <c r="J318" s="15"/>
      <c r="K318" s="16" t="str">
        <f aca="false">IF(A318="","",F318+G318+H318+I318)</f>
        <v/>
      </c>
      <c r="L318" s="17" t="str">
        <f aca="false">IF(OR(K318="",E318=0,E318=""),"",K318/E318)</f>
        <v/>
      </c>
      <c r="M318" s="18" t="str">
        <f aca="false">IF(OR(A318="",E318=""),"",E318+ROW()/1000000)</f>
        <v/>
      </c>
    </row>
    <row r="319" customFormat="false" ht="15" hidden="false" customHeight="false" outlineLevel="0" collapsed="false">
      <c r="A319" s="12"/>
      <c r="B319" s="13"/>
      <c r="C319" s="13"/>
      <c r="D319" s="14"/>
      <c r="E319" s="15"/>
      <c r="F319" s="15"/>
      <c r="G319" s="15"/>
      <c r="H319" s="15"/>
      <c r="I319" s="15"/>
      <c r="J319" s="15"/>
      <c r="K319" s="16" t="str">
        <f aca="false">IF(A319="","",F319+G319+H319+I319)</f>
        <v/>
      </c>
      <c r="L319" s="17" t="str">
        <f aca="false">IF(OR(K319="",E319=0,E319=""),"",K319/E319)</f>
        <v/>
      </c>
      <c r="M319" s="18" t="str">
        <f aca="false">IF(OR(A319="",E319=""),"",E319+ROW()/1000000)</f>
        <v/>
      </c>
    </row>
    <row r="320" customFormat="false" ht="15" hidden="false" customHeight="false" outlineLevel="0" collapsed="false">
      <c r="A320" s="12"/>
      <c r="B320" s="13"/>
      <c r="C320" s="13"/>
      <c r="D320" s="14"/>
      <c r="E320" s="15"/>
      <c r="F320" s="15"/>
      <c r="G320" s="15"/>
      <c r="H320" s="15"/>
      <c r="I320" s="15"/>
      <c r="J320" s="15"/>
      <c r="K320" s="16" t="str">
        <f aca="false">IF(A320="","",F320+G320+H320+I320)</f>
        <v/>
      </c>
      <c r="L320" s="17" t="str">
        <f aca="false">IF(OR(K320="",E320=0,E320=""),"",K320/E320)</f>
        <v/>
      </c>
      <c r="M320" s="18" t="str">
        <f aca="false">IF(OR(A320="",E320=""),"",E320+ROW()/1000000)</f>
        <v/>
      </c>
    </row>
    <row r="321" customFormat="false" ht="15" hidden="false" customHeight="false" outlineLevel="0" collapsed="false">
      <c r="A321" s="12"/>
      <c r="B321" s="13"/>
      <c r="C321" s="13"/>
      <c r="D321" s="14"/>
      <c r="E321" s="15"/>
      <c r="F321" s="15"/>
      <c r="G321" s="15"/>
      <c r="H321" s="15"/>
      <c r="I321" s="15"/>
      <c r="J321" s="15"/>
      <c r="K321" s="16" t="str">
        <f aca="false">IF(A321="","",F321+G321+H321+I321)</f>
        <v/>
      </c>
      <c r="L321" s="17" t="str">
        <f aca="false">IF(OR(K321="",E321=0,E321=""),"",K321/E321)</f>
        <v/>
      </c>
      <c r="M321" s="18" t="str">
        <f aca="false">IF(OR(A321="",E321=""),"",E321+ROW()/1000000)</f>
        <v/>
      </c>
    </row>
    <row r="322" customFormat="false" ht="15" hidden="false" customHeight="false" outlineLevel="0" collapsed="false">
      <c r="A322" s="12"/>
      <c r="B322" s="13"/>
      <c r="C322" s="13"/>
      <c r="D322" s="14"/>
      <c r="E322" s="15"/>
      <c r="F322" s="15"/>
      <c r="G322" s="15"/>
      <c r="H322" s="15"/>
      <c r="I322" s="15"/>
      <c r="J322" s="15"/>
      <c r="K322" s="16" t="str">
        <f aca="false">IF(A322="","",F322+G322+H322+I322)</f>
        <v/>
      </c>
      <c r="L322" s="17" t="str">
        <f aca="false">IF(OR(K322="",E322=0,E322=""),"",K322/E322)</f>
        <v/>
      </c>
      <c r="M322" s="18" t="str">
        <f aca="false">IF(OR(A322="",E322=""),"",E322+ROW()/1000000)</f>
        <v/>
      </c>
    </row>
    <row r="323" customFormat="false" ht="15" hidden="false" customHeight="false" outlineLevel="0" collapsed="false">
      <c r="A323" s="12"/>
      <c r="B323" s="13"/>
      <c r="C323" s="13"/>
      <c r="D323" s="14"/>
      <c r="E323" s="15"/>
      <c r="F323" s="15"/>
      <c r="G323" s="15"/>
      <c r="H323" s="15"/>
      <c r="I323" s="15"/>
      <c r="J323" s="15"/>
      <c r="K323" s="16" t="str">
        <f aca="false">IF(A323="","",F323+G323+H323+I323)</f>
        <v/>
      </c>
      <c r="L323" s="17" t="str">
        <f aca="false">IF(OR(K323="",E323=0,E323=""),"",K323/E323)</f>
        <v/>
      </c>
      <c r="M323" s="18" t="str">
        <f aca="false">IF(OR(A323="",E323=""),"",E323+ROW()/1000000)</f>
        <v/>
      </c>
    </row>
    <row r="324" customFormat="false" ht="15" hidden="false" customHeight="false" outlineLevel="0" collapsed="false">
      <c r="A324" s="12"/>
      <c r="B324" s="13"/>
      <c r="C324" s="13"/>
      <c r="D324" s="14"/>
      <c r="E324" s="15"/>
      <c r="F324" s="15"/>
      <c r="G324" s="15"/>
      <c r="H324" s="15"/>
      <c r="I324" s="15"/>
      <c r="J324" s="15"/>
      <c r="K324" s="16" t="str">
        <f aca="false">IF(A324="","",F324+G324+H324+I324)</f>
        <v/>
      </c>
      <c r="L324" s="17" t="str">
        <f aca="false">IF(OR(K324="",E324=0,E324=""),"",K324/E324)</f>
        <v/>
      </c>
      <c r="M324" s="18" t="str">
        <f aca="false">IF(OR(A324="",E324=""),"",E324+ROW()/1000000)</f>
        <v/>
      </c>
    </row>
    <row r="325" customFormat="false" ht="15" hidden="false" customHeight="false" outlineLevel="0" collapsed="false">
      <c r="A325" s="12"/>
      <c r="B325" s="13"/>
      <c r="C325" s="13"/>
      <c r="D325" s="14"/>
      <c r="E325" s="15"/>
      <c r="F325" s="15"/>
      <c r="G325" s="15"/>
      <c r="H325" s="15"/>
      <c r="I325" s="15"/>
      <c r="J325" s="15"/>
      <c r="K325" s="16" t="str">
        <f aca="false">IF(A325="","",F325+G325+H325+I325)</f>
        <v/>
      </c>
      <c r="L325" s="17" t="str">
        <f aca="false">IF(OR(K325="",E325=0,E325=""),"",K325/E325)</f>
        <v/>
      </c>
      <c r="M325" s="18" t="str">
        <f aca="false">IF(OR(A325="",E325=""),"",E325+ROW()/1000000)</f>
        <v/>
      </c>
    </row>
    <row r="326" customFormat="false" ht="15" hidden="false" customHeight="false" outlineLevel="0" collapsed="false">
      <c r="A326" s="12"/>
      <c r="B326" s="13"/>
      <c r="C326" s="13"/>
      <c r="D326" s="14"/>
      <c r="E326" s="15"/>
      <c r="F326" s="15"/>
      <c r="G326" s="15"/>
      <c r="H326" s="15"/>
      <c r="I326" s="15"/>
      <c r="J326" s="15"/>
      <c r="K326" s="16" t="str">
        <f aca="false">IF(A326="","",F326+G326+H326+I326)</f>
        <v/>
      </c>
      <c r="L326" s="17" t="str">
        <f aca="false">IF(OR(K326="",E326=0,E326=""),"",K326/E326)</f>
        <v/>
      </c>
      <c r="M326" s="18" t="str">
        <f aca="false">IF(OR(A326="",E326=""),"",E326+ROW()/1000000)</f>
        <v/>
      </c>
    </row>
    <row r="327" customFormat="false" ht="15" hidden="false" customHeight="false" outlineLevel="0" collapsed="false">
      <c r="A327" s="12"/>
      <c r="B327" s="13"/>
      <c r="C327" s="13"/>
      <c r="D327" s="14"/>
      <c r="E327" s="15"/>
      <c r="F327" s="15"/>
      <c r="G327" s="15"/>
      <c r="H327" s="15"/>
      <c r="I327" s="15"/>
      <c r="J327" s="15"/>
      <c r="K327" s="16" t="str">
        <f aca="false">IF(A327="","",F327+G327+H327+I327)</f>
        <v/>
      </c>
      <c r="L327" s="17" t="str">
        <f aca="false">IF(OR(K327="",E327=0,E327=""),"",K327/E327)</f>
        <v/>
      </c>
      <c r="M327" s="18" t="str">
        <f aca="false">IF(OR(A327="",E327=""),"",E327+ROW()/1000000)</f>
        <v/>
      </c>
    </row>
    <row r="328" customFormat="false" ht="15" hidden="false" customHeight="false" outlineLevel="0" collapsed="false">
      <c r="A328" s="12"/>
      <c r="B328" s="13"/>
      <c r="C328" s="13"/>
      <c r="D328" s="14"/>
      <c r="E328" s="15"/>
      <c r="F328" s="15"/>
      <c r="G328" s="15"/>
      <c r="H328" s="15"/>
      <c r="I328" s="15"/>
      <c r="J328" s="15"/>
      <c r="K328" s="16" t="str">
        <f aca="false">IF(A328="","",F328+G328+H328+I328)</f>
        <v/>
      </c>
      <c r="L328" s="17" t="str">
        <f aca="false">IF(OR(K328="",E328=0,E328=""),"",K328/E328)</f>
        <v/>
      </c>
      <c r="M328" s="18" t="str">
        <f aca="false">IF(OR(A328="",E328=""),"",E328+ROW()/1000000)</f>
        <v/>
      </c>
    </row>
    <row r="329" customFormat="false" ht="15" hidden="false" customHeight="false" outlineLevel="0" collapsed="false">
      <c r="A329" s="12"/>
      <c r="B329" s="13"/>
      <c r="C329" s="13"/>
      <c r="D329" s="14"/>
      <c r="E329" s="15"/>
      <c r="F329" s="15"/>
      <c r="G329" s="15"/>
      <c r="H329" s="15"/>
      <c r="I329" s="15"/>
      <c r="J329" s="15"/>
      <c r="K329" s="16" t="str">
        <f aca="false">IF(A329="","",F329+G329+H329+I329)</f>
        <v/>
      </c>
      <c r="L329" s="17" t="str">
        <f aca="false">IF(OR(K329="",E329=0,E329=""),"",K329/E329)</f>
        <v/>
      </c>
      <c r="M329" s="18" t="str">
        <f aca="false">IF(OR(A329="",E329=""),"",E329+ROW()/1000000)</f>
        <v/>
      </c>
    </row>
    <row r="330" customFormat="false" ht="15" hidden="false" customHeight="false" outlineLevel="0" collapsed="false">
      <c r="A330" s="12"/>
      <c r="B330" s="13"/>
      <c r="C330" s="13"/>
      <c r="D330" s="14"/>
      <c r="E330" s="15"/>
      <c r="F330" s="15"/>
      <c r="G330" s="15"/>
      <c r="H330" s="15"/>
      <c r="I330" s="15"/>
      <c r="J330" s="15"/>
      <c r="K330" s="16" t="str">
        <f aca="false">IF(A330="","",F330+G330+H330+I330)</f>
        <v/>
      </c>
      <c r="L330" s="17" t="str">
        <f aca="false">IF(OR(K330="",E330=0,E330=""),"",K330/E330)</f>
        <v/>
      </c>
      <c r="M330" s="18" t="str">
        <f aca="false">IF(OR(A330="",E330=""),"",E330+ROW()/1000000)</f>
        <v/>
      </c>
    </row>
    <row r="331" customFormat="false" ht="15" hidden="false" customHeight="false" outlineLevel="0" collapsed="false">
      <c r="A331" s="12"/>
      <c r="B331" s="13"/>
      <c r="C331" s="13"/>
      <c r="D331" s="14"/>
      <c r="E331" s="15"/>
      <c r="F331" s="15"/>
      <c r="G331" s="15"/>
      <c r="H331" s="15"/>
      <c r="I331" s="15"/>
      <c r="J331" s="15"/>
      <c r="K331" s="16" t="str">
        <f aca="false">IF(A331="","",F331+G331+H331+I331)</f>
        <v/>
      </c>
      <c r="L331" s="17" t="str">
        <f aca="false">IF(OR(K331="",E331=0,E331=""),"",K331/E331)</f>
        <v/>
      </c>
      <c r="M331" s="18" t="str">
        <f aca="false">IF(OR(A331="",E331=""),"",E331+ROW()/1000000)</f>
        <v/>
      </c>
    </row>
    <row r="332" customFormat="false" ht="15" hidden="false" customHeight="false" outlineLevel="0" collapsed="false">
      <c r="A332" s="12"/>
      <c r="B332" s="13"/>
      <c r="C332" s="13"/>
      <c r="D332" s="14"/>
      <c r="E332" s="15"/>
      <c r="F332" s="15"/>
      <c r="G332" s="15"/>
      <c r="H332" s="15"/>
      <c r="I332" s="15"/>
      <c r="J332" s="15"/>
      <c r="K332" s="16" t="str">
        <f aca="false">IF(A332="","",F332+G332+H332+I332)</f>
        <v/>
      </c>
      <c r="L332" s="17" t="str">
        <f aca="false">IF(OR(K332="",E332=0,E332=""),"",K332/E332)</f>
        <v/>
      </c>
      <c r="M332" s="18" t="str">
        <f aca="false">IF(OR(A332="",E332=""),"",E332+ROW()/1000000)</f>
        <v/>
      </c>
    </row>
    <row r="333" customFormat="false" ht="15" hidden="false" customHeight="false" outlineLevel="0" collapsed="false">
      <c r="A333" s="12"/>
      <c r="B333" s="13"/>
      <c r="C333" s="13"/>
      <c r="D333" s="14"/>
      <c r="E333" s="15"/>
      <c r="F333" s="15"/>
      <c r="G333" s="15"/>
      <c r="H333" s="15"/>
      <c r="I333" s="15"/>
      <c r="J333" s="15"/>
      <c r="K333" s="16" t="str">
        <f aca="false">IF(A333="","",F333+G333+H333+I333)</f>
        <v/>
      </c>
      <c r="L333" s="17" t="str">
        <f aca="false">IF(OR(K333="",E333=0,E333=""),"",K333/E333)</f>
        <v/>
      </c>
      <c r="M333" s="18" t="str">
        <f aca="false">IF(OR(A333="",E333=""),"",E333+ROW()/1000000)</f>
        <v/>
      </c>
    </row>
    <row r="334" customFormat="false" ht="15" hidden="false" customHeight="false" outlineLevel="0" collapsed="false">
      <c r="A334" s="12"/>
      <c r="B334" s="13"/>
      <c r="C334" s="13"/>
      <c r="D334" s="14"/>
      <c r="E334" s="15"/>
      <c r="F334" s="15"/>
      <c r="G334" s="15"/>
      <c r="H334" s="15"/>
      <c r="I334" s="15"/>
      <c r="J334" s="15"/>
      <c r="K334" s="16" t="str">
        <f aca="false">IF(A334="","",F334+G334+H334+I334)</f>
        <v/>
      </c>
      <c r="L334" s="17" t="str">
        <f aca="false">IF(OR(K334="",E334=0,E334=""),"",K334/E334)</f>
        <v/>
      </c>
      <c r="M334" s="18" t="str">
        <f aca="false">IF(OR(A334="",E334=""),"",E334+ROW()/1000000)</f>
        <v/>
      </c>
    </row>
    <row r="335" customFormat="false" ht="15" hidden="false" customHeight="false" outlineLevel="0" collapsed="false">
      <c r="A335" s="12"/>
      <c r="B335" s="13"/>
      <c r="C335" s="13"/>
      <c r="D335" s="14"/>
      <c r="E335" s="15"/>
      <c r="F335" s="15"/>
      <c r="G335" s="15"/>
      <c r="H335" s="15"/>
      <c r="I335" s="15"/>
      <c r="J335" s="15"/>
      <c r="K335" s="16" t="str">
        <f aca="false">IF(A335="","",F335+G335+H335+I335)</f>
        <v/>
      </c>
      <c r="L335" s="17" t="str">
        <f aca="false">IF(OR(K335="",E335=0,E335=""),"",K335/E335)</f>
        <v/>
      </c>
      <c r="M335" s="18" t="str">
        <f aca="false">IF(OR(A335="",E335=""),"",E335+ROW()/1000000)</f>
        <v/>
      </c>
    </row>
    <row r="336" customFormat="false" ht="15" hidden="false" customHeight="false" outlineLevel="0" collapsed="false">
      <c r="A336" s="12"/>
      <c r="B336" s="13"/>
      <c r="C336" s="13"/>
      <c r="D336" s="14"/>
      <c r="E336" s="15"/>
      <c r="F336" s="15"/>
      <c r="G336" s="15"/>
      <c r="H336" s="15"/>
      <c r="I336" s="15"/>
      <c r="J336" s="15"/>
      <c r="K336" s="16" t="str">
        <f aca="false">IF(A336="","",F336+G336+H336+I336)</f>
        <v/>
      </c>
      <c r="L336" s="17" t="str">
        <f aca="false">IF(OR(K336="",E336=0,E336=""),"",K336/E336)</f>
        <v/>
      </c>
      <c r="M336" s="18" t="str">
        <f aca="false">IF(OR(A336="",E336=""),"",E336+ROW()/1000000)</f>
        <v/>
      </c>
    </row>
    <row r="337" customFormat="false" ht="15" hidden="false" customHeight="false" outlineLevel="0" collapsed="false">
      <c r="A337" s="12"/>
      <c r="B337" s="13"/>
      <c r="C337" s="13"/>
      <c r="D337" s="14"/>
      <c r="E337" s="15"/>
      <c r="F337" s="15"/>
      <c r="G337" s="15"/>
      <c r="H337" s="15"/>
      <c r="I337" s="15"/>
      <c r="J337" s="15"/>
      <c r="K337" s="16" t="str">
        <f aca="false">IF(A337="","",F337+G337+H337+I337)</f>
        <v/>
      </c>
      <c r="L337" s="17" t="str">
        <f aca="false">IF(OR(K337="",E337=0,E337=""),"",K337/E337)</f>
        <v/>
      </c>
      <c r="M337" s="18" t="str">
        <f aca="false">IF(OR(A337="",E337=""),"",E337+ROW()/1000000)</f>
        <v/>
      </c>
    </row>
    <row r="338" customFormat="false" ht="15" hidden="false" customHeight="false" outlineLevel="0" collapsed="false">
      <c r="A338" s="12"/>
      <c r="B338" s="13"/>
      <c r="C338" s="13"/>
      <c r="D338" s="14"/>
      <c r="E338" s="15"/>
      <c r="F338" s="15"/>
      <c r="G338" s="15"/>
      <c r="H338" s="15"/>
      <c r="I338" s="15"/>
      <c r="J338" s="15"/>
      <c r="K338" s="16" t="str">
        <f aca="false">IF(A338="","",F338+G338+H338+I338)</f>
        <v/>
      </c>
      <c r="L338" s="17" t="str">
        <f aca="false">IF(OR(K338="",E338=0,E338=""),"",K338/E338)</f>
        <v/>
      </c>
      <c r="M338" s="18" t="str">
        <f aca="false">IF(OR(A338="",E338=""),"",E338+ROW()/1000000)</f>
        <v/>
      </c>
    </row>
    <row r="339" customFormat="false" ht="15" hidden="false" customHeight="false" outlineLevel="0" collapsed="false">
      <c r="A339" s="12"/>
      <c r="B339" s="13"/>
      <c r="C339" s="13"/>
      <c r="D339" s="14"/>
      <c r="E339" s="15"/>
      <c r="F339" s="15"/>
      <c r="G339" s="15"/>
      <c r="H339" s="15"/>
      <c r="I339" s="15"/>
      <c r="J339" s="15"/>
      <c r="K339" s="16" t="str">
        <f aca="false">IF(A339="","",F339+G339+H339+I339)</f>
        <v/>
      </c>
      <c r="L339" s="17" t="str">
        <f aca="false">IF(OR(K339="",E339=0,E339=""),"",K339/E339)</f>
        <v/>
      </c>
      <c r="M339" s="18" t="str">
        <f aca="false">IF(OR(A339="",E339=""),"",E339+ROW()/1000000)</f>
        <v/>
      </c>
    </row>
    <row r="340" customFormat="false" ht="15" hidden="false" customHeight="false" outlineLevel="0" collapsed="false">
      <c r="A340" s="12"/>
      <c r="B340" s="13"/>
      <c r="C340" s="13"/>
      <c r="D340" s="14"/>
      <c r="E340" s="15"/>
      <c r="F340" s="15"/>
      <c r="G340" s="15"/>
      <c r="H340" s="15"/>
      <c r="I340" s="15"/>
      <c r="J340" s="15"/>
      <c r="K340" s="16" t="str">
        <f aca="false">IF(A340="","",F340+G340+H340+I340)</f>
        <v/>
      </c>
      <c r="L340" s="17" t="str">
        <f aca="false">IF(OR(K340="",E340=0,E340=""),"",K340/E340)</f>
        <v/>
      </c>
      <c r="M340" s="18" t="str">
        <f aca="false">IF(OR(A340="",E340=""),"",E340+ROW()/1000000)</f>
        <v/>
      </c>
    </row>
    <row r="341" customFormat="false" ht="15" hidden="false" customHeight="false" outlineLevel="0" collapsed="false">
      <c r="A341" s="12"/>
      <c r="B341" s="13"/>
      <c r="C341" s="13"/>
      <c r="D341" s="14"/>
      <c r="E341" s="15"/>
      <c r="F341" s="15"/>
      <c r="G341" s="15"/>
      <c r="H341" s="15"/>
      <c r="I341" s="15"/>
      <c r="J341" s="15"/>
      <c r="K341" s="16" t="str">
        <f aca="false">IF(A341="","",F341+G341+H341+I341)</f>
        <v/>
      </c>
      <c r="L341" s="17" t="str">
        <f aca="false">IF(OR(K341="",E341=0,E341=""),"",K341/E341)</f>
        <v/>
      </c>
      <c r="M341" s="18" t="str">
        <f aca="false">IF(OR(A341="",E341=""),"",E341+ROW()/1000000)</f>
        <v/>
      </c>
    </row>
    <row r="342" customFormat="false" ht="15" hidden="false" customHeight="false" outlineLevel="0" collapsed="false">
      <c r="A342" s="12"/>
      <c r="B342" s="13"/>
      <c r="C342" s="13"/>
      <c r="D342" s="14"/>
      <c r="E342" s="15"/>
      <c r="F342" s="15"/>
      <c r="G342" s="15"/>
      <c r="H342" s="15"/>
      <c r="I342" s="15"/>
      <c r="J342" s="15"/>
      <c r="K342" s="16" t="str">
        <f aca="false">IF(A342="","",F342+G342+H342+I342)</f>
        <v/>
      </c>
      <c r="L342" s="17" t="str">
        <f aca="false">IF(OR(K342="",E342=0,E342=""),"",K342/E342)</f>
        <v/>
      </c>
      <c r="M342" s="18" t="str">
        <f aca="false">IF(OR(A342="",E342=""),"",E342+ROW()/1000000)</f>
        <v/>
      </c>
    </row>
    <row r="343" customFormat="false" ht="15" hidden="false" customHeight="false" outlineLevel="0" collapsed="false">
      <c r="A343" s="12"/>
      <c r="B343" s="13"/>
      <c r="C343" s="13"/>
      <c r="D343" s="14"/>
      <c r="E343" s="15"/>
      <c r="F343" s="15"/>
      <c r="G343" s="15"/>
      <c r="H343" s="15"/>
      <c r="I343" s="15"/>
      <c r="J343" s="15"/>
      <c r="K343" s="16" t="str">
        <f aca="false">IF(A343="","",F343+G343+H343+I343)</f>
        <v/>
      </c>
      <c r="L343" s="17" t="str">
        <f aca="false">IF(OR(K343="",E343=0,E343=""),"",K343/E343)</f>
        <v/>
      </c>
      <c r="M343" s="18" t="str">
        <f aca="false">IF(OR(A343="",E343=""),"",E343+ROW()/1000000)</f>
        <v/>
      </c>
    </row>
    <row r="344" customFormat="false" ht="15" hidden="false" customHeight="false" outlineLevel="0" collapsed="false">
      <c r="A344" s="12"/>
      <c r="B344" s="13"/>
      <c r="C344" s="13"/>
      <c r="D344" s="14"/>
      <c r="E344" s="15"/>
      <c r="F344" s="15"/>
      <c r="G344" s="15"/>
      <c r="H344" s="15"/>
      <c r="I344" s="15"/>
      <c r="J344" s="15"/>
      <c r="K344" s="16" t="str">
        <f aca="false">IF(A344="","",F344+G344+H344+I344)</f>
        <v/>
      </c>
      <c r="L344" s="17" t="str">
        <f aca="false">IF(OR(K344="",E344=0,E344=""),"",K344/E344)</f>
        <v/>
      </c>
      <c r="M344" s="18" t="str">
        <f aca="false">IF(OR(A344="",E344=""),"",E344+ROW()/1000000)</f>
        <v/>
      </c>
    </row>
    <row r="345" customFormat="false" ht="15" hidden="false" customHeight="false" outlineLevel="0" collapsed="false">
      <c r="A345" s="12"/>
      <c r="B345" s="13"/>
      <c r="C345" s="13"/>
      <c r="D345" s="14"/>
      <c r="E345" s="15"/>
      <c r="F345" s="15"/>
      <c r="G345" s="15"/>
      <c r="H345" s="15"/>
      <c r="I345" s="15"/>
      <c r="J345" s="15"/>
      <c r="K345" s="16" t="str">
        <f aca="false">IF(A345="","",F345+G345+H345+I345)</f>
        <v/>
      </c>
      <c r="L345" s="17" t="str">
        <f aca="false">IF(OR(K345="",E345=0,E345=""),"",K345/E345)</f>
        <v/>
      </c>
      <c r="M345" s="18" t="str">
        <f aca="false">IF(OR(A345="",E345=""),"",E345+ROW()/1000000)</f>
        <v/>
      </c>
    </row>
    <row r="346" customFormat="false" ht="15" hidden="false" customHeight="false" outlineLevel="0" collapsed="false">
      <c r="A346" s="12"/>
      <c r="B346" s="13"/>
      <c r="C346" s="13"/>
      <c r="D346" s="14"/>
      <c r="E346" s="15"/>
      <c r="F346" s="15"/>
      <c r="G346" s="15"/>
      <c r="H346" s="15"/>
      <c r="I346" s="15"/>
      <c r="J346" s="15"/>
      <c r="K346" s="16" t="str">
        <f aca="false">IF(A346="","",F346+G346+H346+I346)</f>
        <v/>
      </c>
      <c r="L346" s="17" t="str">
        <f aca="false">IF(OR(K346="",E346=0,E346=""),"",K346/E346)</f>
        <v/>
      </c>
      <c r="M346" s="18" t="str">
        <f aca="false">IF(OR(A346="",E346=""),"",E346+ROW()/1000000)</f>
        <v/>
      </c>
    </row>
    <row r="347" customFormat="false" ht="15" hidden="false" customHeight="false" outlineLevel="0" collapsed="false">
      <c r="A347" s="12"/>
      <c r="B347" s="13"/>
      <c r="C347" s="13"/>
      <c r="D347" s="14"/>
      <c r="E347" s="15"/>
      <c r="F347" s="15"/>
      <c r="G347" s="15"/>
      <c r="H347" s="15"/>
      <c r="I347" s="15"/>
      <c r="J347" s="15"/>
      <c r="K347" s="16" t="str">
        <f aca="false">IF(A347="","",F347+G347+H347+I347)</f>
        <v/>
      </c>
      <c r="L347" s="17" t="str">
        <f aca="false">IF(OR(K347="",E347=0,E347=""),"",K347/E347)</f>
        <v/>
      </c>
      <c r="M347" s="18" t="str">
        <f aca="false">IF(OR(A347="",E347=""),"",E347+ROW()/1000000)</f>
        <v/>
      </c>
    </row>
    <row r="348" customFormat="false" ht="15" hidden="false" customHeight="false" outlineLevel="0" collapsed="false">
      <c r="A348" s="12"/>
      <c r="B348" s="13"/>
      <c r="C348" s="13"/>
      <c r="D348" s="14"/>
      <c r="E348" s="15"/>
      <c r="F348" s="15"/>
      <c r="G348" s="15"/>
      <c r="H348" s="15"/>
      <c r="I348" s="15"/>
      <c r="J348" s="15"/>
      <c r="K348" s="16" t="str">
        <f aca="false">IF(A348="","",F348+G348+H348+I348)</f>
        <v/>
      </c>
      <c r="L348" s="17" t="str">
        <f aca="false">IF(OR(K348="",E348=0,E348=""),"",K348/E348)</f>
        <v/>
      </c>
      <c r="M348" s="18" t="str">
        <f aca="false">IF(OR(A348="",E348=""),"",E348+ROW()/1000000)</f>
        <v/>
      </c>
    </row>
    <row r="349" customFormat="false" ht="15" hidden="false" customHeight="false" outlineLevel="0" collapsed="false">
      <c r="A349" s="12"/>
      <c r="B349" s="13"/>
      <c r="C349" s="13"/>
      <c r="D349" s="14"/>
      <c r="E349" s="15"/>
      <c r="F349" s="15"/>
      <c r="G349" s="15"/>
      <c r="H349" s="15"/>
      <c r="I349" s="15"/>
      <c r="J349" s="15"/>
      <c r="K349" s="16" t="str">
        <f aca="false">IF(A349="","",F349+G349+H349+I349)</f>
        <v/>
      </c>
      <c r="L349" s="17" t="str">
        <f aca="false">IF(OR(K349="",E349=0,E349=""),"",K349/E349)</f>
        <v/>
      </c>
      <c r="M349" s="18" t="str">
        <f aca="false">IF(OR(A349="",E349=""),"",E349+ROW()/1000000)</f>
        <v/>
      </c>
    </row>
    <row r="350" customFormat="false" ht="15" hidden="false" customHeight="false" outlineLevel="0" collapsed="false">
      <c r="A350" s="12"/>
      <c r="B350" s="13"/>
      <c r="C350" s="13"/>
      <c r="D350" s="14"/>
      <c r="E350" s="15"/>
      <c r="F350" s="15"/>
      <c r="G350" s="15"/>
      <c r="H350" s="15"/>
      <c r="I350" s="15"/>
      <c r="J350" s="15"/>
      <c r="K350" s="16" t="str">
        <f aca="false">IF(A350="","",F350+G350+H350+I350)</f>
        <v/>
      </c>
      <c r="L350" s="17" t="str">
        <f aca="false">IF(OR(K350="",E350=0,E350=""),"",K350/E350)</f>
        <v/>
      </c>
      <c r="M350" s="18" t="str">
        <f aca="false">IF(OR(A350="",E350=""),"",E350+ROW()/1000000)</f>
        <v/>
      </c>
    </row>
    <row r="351" customFormat="false" ht="15" hidden="false" customHeight="false" outlineLevel="0" collapsed="false">
      <c r="A351" s="12"/>
      <c r="B351" s="13"/>
      <c r="C351" s="13"/>
      <c r="D351" s="14"/>
      <c r="E351" s="15"/>
      <c r="F351" s="15"/>
      <c r="G351" s="15"/>
      <c r="H351" s="15"/>
      <c r="I351" s="15"/>
      <c r="J351" s="15"/>
      <c r="K351" s="16" t="str">
        <f aca="false">IF(A351="","",F351+G351+H351+I351)</f>
        <v/>
      </c>
      <c r="L351" s="17" t="str">
        <f aca="false">IF(OR(K351="",E351=0,E351=""),"",K351/E351)</f>
        <v/>
      </c>
      <c r="M351" s="18" t="str">
        <f aca="false">IF(OR(A351="",E351=""),"",E351+ROW()/1000000)</f>
        <v/>
      </c>
    </row>
    <row r="352" customFormat="false" ht="15" hidden="false" customHeight="false" outlineLevel="0" collapsed="false">
      <c r="A352" s="12"/>
      <c r="B352" s="13"/>
      <c r="C352" s="13"/>
      <c r="D352" s="14"/>
      <c r="E352" s="15"/>
      <c r="F352" s="15"/>
      <c r="G352" s="15"/>
      <c r="H352" s="15"/>
      <c r="I352" s="15"/>
      <c r="J352" s="15"/>
      <c r="K352" s="16" t="str">
        <f aca="false">IF(A352="","",F352+G352+H352+I352)</f>
        <v/>
      </c>
      <c r="L352" s="17" t="str">
        <f aca="false">IF(OR(K352="",E352=0,E352=""),"",K352/E352)</f>
        <v/>
      </c>
      <c r="M352" s="18" t="str">
        <f aca="false">IF(OR(A352="",E352=""),"",E352+ROW()/1000000)</f>
        <v/>
      </c>
    </row>
    <row r="353" customFormat="false" ht="15" hidden="false" customHeight="false" outlineLevel="0" collapsed="false">
      <c r="A353" s="12"/>
      <c r="B353" s="13"/>
      <c r="C353" s="13"/>
      <c r="D353" s="14"/>
      <c r="E353" s="15"/>
      <c r="F353" s="15"/>
      <c r="G353" s="15"/>
      <c r="H353" s="15"/>
      <c r="I353" s="15"/>
      <c r="J353" s="15"/>
      <c r="K353" s="16" t="str">
        <f aca="false">IF(A353="","",F353+G353+H353+I353)</f>
        <v/>
      </c>
      <c r="L353" s="17" t="str">
        <f aca="false">IF(OR(K353="",E353=0,E353=""),"",K353/E353)</f>
        <v/>
      </c>
      <c r="M353" s="18" t="str">
        <f aca="false">IF(OR(A353="",E353=""),"",E353+ROW()/1000000)</f>
        <v/>
      </c>
    </row>
    <row r="354" customFormat="false" ht="15" hidden="false" customHeight="false" outlineLevel="0" collapsed="false">
      <c r="A354" s="12"/>
      <c r="B354" s="13"/>
      <c r="C354" s="13"/>
      <c r="D354" s="14"/>
      <c r="E354" s="15"/>
      <c r="F354" s="15"/>
      <c r="G354" s="15"/>
      <c r="H354" s="15"/>
      <c r="I354" s="15"/>
      <c r="J354" s="15"/>
      <c r="K354" s="16" t="str">
        <f aca="false">IF(A354="","",F354+G354+H354+I354)</f>
        <v/>
      </c>
      <c r="L354" s="17" t="str">
        <f aca="false">IF(OR(K354="",E354=0,E354=""),"",K354/E354)</f>
        <v/>
      </c>
      <c r="M354" s="18" t="str">
        <f aca="false">IF(OR(A354="",E354=""),"",E354+ROW()/1000000)</f>
        <v/>
      </c>
    </row>
    <row r="355" customFormat="false" ht="15" hidden="false" customHeight="false" outlineLevel="0" collapsed="false">
      <c r="A355" s="12"/>
      <c r="B355" s="13"/>
      <c r="C355" s="13"/>
      <c r="D355" s="14"/>
      <c r="E355" s="15"/>
      <c r="F355" s="15"/>
      <c r="G355" s="15"/>
      <c r="H355" s="15"/>
      <c r="I355" s="15"/>
      <c r="J355" s="15"/>
      <c r="K355" s="16" t="str">
        <f aca="false">IF(A355="","",F355+G355+H355+I355)</f>
        <v/>
      </c>
      <c r="L355" s="17" t="str">
        <f aca="false">IF(OR(K355="",E355=0,E355=""),"",K355/E355)</f>
        <v/>
      </c>
      <c r="M355" s="18" t="str">
        <f aca="false">IF(OR(A355="",E355=""),"",E355+ROW()/1000000)</f>
        <v/>
      </c>
    </row>
    <row r="356" customFormat="false" ht="15" hidden="false" customHeight="false" outlineLevel="0" collapsed="false">
      <c r="A356" s="12"/>
      <c r="B356" s="13"/>
      <c r="C356" s="13"/>
      <c r="D356" s="14"/>
      <c r="E356" s="15"/>
      <c r="F356" s="15"/>
      <c r="G356" s="15"/>
      <c r="H356" s="15"/>
      <c r="I356" s="15"/>
      <c r="J356" s="15"/>
      <c r="K356" s="16" t="str">
        <f aca="false">IF(A356="","",F356+G356+H356+I356)</f>
        <v/>
      </c>
      <c r="L356" s="17" t="str">
        <f aca="false">IF(OR(K356="",E356=0,E356=""),"",K356/E356)</f>
        <v/>
      </c>
      <c r="M356" s="18" t="str">
        <f aca="false">IF(OR(A356="",E356=""),"",E356+ROW()/1000000)</f>
        <v/>
      </c>
    </row>
    <row r="357" customFormat="false" ht="15" hidden="false" customHeight="false" outlineLevel="0" collapsed="false">
      <c r="A357" s="12"/>
      <c r="B357" s="13"/>
      <c r="C357" s="13"/>
      <c r="D357" s="14"/>
      <c r="E357" s="15"/>
      <c r="F357" s="15"/>
      <c r="G357" s="15"/>
      <c r="H357" s="15"/>
      <c r="I357" s="15"/>
      <c r="J357" s="15"/>
      <c r="K357" s="16" t="str">
        <f aca="false">IF(A357="","",F357+G357+H357+I357)</f>
        <v/>
      </c>
      <c r="L357" s="17" t="str">
        <f aca="false">IF(OR(K357="",E357=0,E357=""),"",K357/E357)</f>
        <v/>
      </c>
      <c r="M357" s="18" t="str">
        <f aca="false">IF(OR(A357="",E357=""),"",E357+ROW()/1000000)</f>
        <v/>
      </c>
    </row>
    <row r="358" customFormat="false" ht="15" hidden="false" customHeight="false" outlineLevel="0" collapsed="false">
      <c r="A358" s="12"/>
      <c r="B358" s="13"/>
      <c r="C358" s="13"/>
      <c r="D358" s="14"/>
      <c r="E358" s="15"/>
      <c r="F358" s="15"/>
      <c r="G358" s="15"/>
      <c r="H358" s="15"/>
      <c r="I358" s="15"/>
      <c r="J358" s="15"/>
      <c r="K358" s="16" t="str">
        <f aca="false">IF(A358="","",F358+G358+H358+I358)</f>
        <v/>
      </c>
      <c r="L358" s="17" t="str">
        <f aca="false">IF(OR(K358="",E358=0,E358=""),"",K358/E358)</f>
        <v/>
      </c>
      <c r="M358" s="18" t="str">
        <f aca="false">IF(OR(A358="",E358=""),"",E358+ROW()/1000000)</f>
        <v/>
      </c>
    </row>
    <row r="359" customFormat="false" ht="15" hidden="false" customHeight="false" outlineLevel="0" collapsed="false">
      <c r="A359" s="12"/>
      <c r="B359" s="13"/>
      <c r="C359" s="13"/>
      <c r="D359" s="14"/>
      <c r="E359" s="15"/>
      <c r="F359" s="15"/>
      <c r="G359" s="15"/>
      <c r="H359" s="15"/>
      <c r="I359" s="15"/>
      <c r="J359" s="15"/>
      <c r="K359" s="16" t="str">
        <f aca="false">IF(A359="","",F359+G359+H359+I359)</f>
        <v/>
      </c>
      <c r="L359" s="17" t="str">
        <f aca="false">IF(OR(K359="",E359=0,E359=""),"",K359/E359)</f>
        <v/>
      </c>
      <c r="M359" s="18" t="str">
        <f aca="false">IF(OR(A359="",E359=""),"",E359+ROW()/1000000)</f>
        <v/>
      </c>
    </row>
    <row r="360" customFormat="false" ht="15" hidden="false" customHeight="false" outlineLevel="0" collapsed="false">
      <c r="A360" s="12"/>
      <c r="B360" s="13"/>
      <c r="C360" s="13"/>
      <c r="D360" s="14"/>
      <c r="E360" s="15"/>
      <c r="F360" s="15"/>
      <c r="G360" s="15"/>
      <c r="H360" s="15"/>
      <c r="I360" s="15"/>
      <c r="J360" s="15"/>
      <c r="K360" s="16" t="str">
        <f aca="false">IF(A360="","",F360+G360+H360+I360)</f>
        <v/>
      </c>
      <c r="L360" s="17" t="str">
        <f aca="false">IF(OR(K360="",E360=0,E360=""),"",K360/E360)</f>
        <v/>
      </c>
      <c r="M360" s="18" t="str">
        <f aca="false">IF(OR(A360="",E360=""),"",E360+ROW()/1000000)</f>
        <v/>
      </c>
    </row>
    <row r="361" customFormat="false" ht="15" hidden="false" customHeight="false" outlineLevel="0" collapsed="false">
      <c r="A361" s="12"/>
      <c r="B361" s="13"/>
      <c r="C361" s="13"/>
      <c r="D361" s="14"/>
      <c r="E361" s="15"/>
      <c r="F361" s="15"/>
      <c r="G361" s="15"/>
      <c r="H361" s="15"/>
      <c r="I361" s="15"/>
      <c r="J361" s="15"/>
      <c r="K361" s="16" t="str">
        <f aca="false">IF(A361="","",F361+G361+H361+I361)</f>
        <v/>
      </c>
      <c r="L361" s="17" t="str">
        <f aca="false">IF(OR(K361="",E361=0,E361=""),"",K361/E361)</f>
        <v/>
      </c>
      <c r="M361" s="18" t="str">
        <f aca="false">IF(OR(A361="",E361=""),"",E361+ROW()/1000000)</f>
        <v/>
      </c>
    </row>
    <row r="362" customFormat="false" ht="15" hidden="false" customHeight="false" outlineLevel="0" collapsed="false">
      <c r="A362" s="12"/>
      <c r="B362" s="13"/>
      <c r="C362" s="13"/>
      <c r="D362" s="14"/>
      <c r="E362" s="15"/>
      <c r="F362" s="15"/>
      <c r="G362" s="15"/>
      <c r="H362" s="15"/>
      <c r="I362" s="15"/>
      <c r="J362" s="15"/>
      <c r="K362" s="16" t="str">
        <f aca="false">IF(A362="","",F362+G362+H362+I362)</f>
        <v/>
      </c>
      <c r="L362" s="17" t="str">
        <f aca="false">IF(OR(K362="",E362=0,E362=""),"",K362/E362)</f>
        <v/>
      </c>
      <c r="M362" s="18" t="str">
        <f aca="false">IF(OR(A362="",E362=""),"",E362+ROW()/1000000)</f>
        <v/>
      </c>
    </row>
    <row r="363" customFormat="false" ht="15" hidden="false" customHeight="false" outlineLevel="0" collapsed="false">
      <c r="A363" s="12"/>
      <c r="B363" s="13"/>
      <c r="C363" s="13"/>
      <c r="D363" s="14"/>
      <c r="E363" s="15"/>
      <c r="F363" s="15"/>
      <c r="G363" s="15"/>
      <c r="H363" s="15"/>
      <c r="I363" s="15"/>
      <c r="J363" s="15"/>
      <c r="K363" s="16" t="str">
        <f aca="false">IF(A363="","",F363+G363+H363+I363)</f>
        <v/>
      </c>
      <c r="L363" s="17" t="str">
        <f aca="false">IF(OR(K363="",E363=0,E363=""),"",K363/E363)</f>
        <v/>
      </c>
      <c r="M363" s="18" t="str">
        <f aca="false">IF(OR(A363="",E363=""),"",E363+ROW()/1000000)</f>
        <v/>
      </c>
    </row>
    <row r="364" customFormat="false" ht="15" hidden="false" customHeight="false" outlineLevel="0" collapsed="false">
      <c r="A364" s="12"/>
      <c r="B364" s="13"/>
      <c r="C364" s="13"/>
      <c r="D364" s="14"/>
      <c r="E364" s="15"/>
      <c r="F364" s="15"/>
      <c r="G364" s="15"/>
      <c r="H364" s="15"/>
      <c r="I364" s="15"/>
      <c r="J364" s="15"/>
      <c r="K364" s="16" t="str">
        <f aca="false">IF(A364="","",F364+G364+H364+I364)</f>
        <v/>
      </c>
      <c r="L364" s="17" t="str">
        <f aca="false">IF(OR(K364="",E364=0,E364=""),"",K364/E364)</f>
        <v/>
      </c>
      <c r="M364" s="18" t="str">
        <f aca="false">IF(OR(A364="",E364=""),"",E364+ROW()/1000000)</f>
        <v/>
      </c>
    </row>
    <row r="365" customFormat="false" ht="15" hidden="false" customHeight="false" outlineLevel="0" collapsed="false">
      <c r="A365" s="12"/>
      <c r="B365" s="13"/>
      <c r="C365" s="13"/>
      <c r="D365" s="14"/>
      <c r="E365" s="15"/>
      <c r="F365" s="15"/>
      <c r="G365" s="15"/>
      <c r="H365" s="15"/>
      <c r="I365" s="15"/>
      <c r="J365" s="15"/>
      <c r="K365" s="16" t="str">
        <f aca="false">IF(A365="","",F365+G365+H365+I365)</f>
        <v/>
      </c>
      <c r="L365" s="17" t="str">
        <f aca="false">IF(OR(K365="",E365=0,E365=""),"",K365/E365)</f>
        <v/>
      </c>
      <c r="M365" s="18" t="str">
        <f aca="false">IF(OR(A365="",E365=""),"",E365+ROW()/1000000)</f>
        <v/>
      </c>
    </row>
    <row r="366" customFormat="false" ht="15" hidden="false" customHeight="false" outlineLevel="0" collapsed="false">
      <c r="A366" s="12"/>
      <c r="B366" s="13"/>
      <c r="C366" s="13"/>
      <c r="D366" s="14"/>
      <c r="E366" s="15"/>
      <c r="F366" s="15"/>
      <c r="G366" s="15"/>
      <c r="H366" s="15"/>
      <c r="I366" s="15"/>
      <c r="J366" s="15"/>
      <c r="K366" s="16" t="str">
        <f aca="false">IF(A366="","",F366+G366+H366+I366)</f>
        <v/>
      </c>
      <c r="L366" s="17" t="str">
        <f aca="false">IF(OR(K366="",E366=0,E366=""),"",K366/E366)</f>
        <v/>
      </c>
      <c r="M366" s="18" t="str">
        <f aca="false">IF(OR(A366="",E366=""),"",E366+ROW()/1000000)</f>
        <v/>
      </c>
    </row>
    <row r="367" customFormat="false" ht="15" hidden="false" customHeight="false" outlineLevel="0" collapsed="false">
      <c r="A367" s="12"/>
      <c r="B367" s="13"/>
      <c r="C367" s="13"/>
      <c r="D367" s="14"/>
      <c r="E367" s="15"/>
      <c r="F367" s="15"/>
      <c r="G367" s="15"/>
      <c r="H367" s="15"/>
      <c r="I367" s="15"/>
      <c r="J367" s="15"/>
      <c r="K367" s="16" t="str">
        <f aca="false">IF(A367="","",F367+G367+H367+I367)</f>
        <v/>
      </c>
      <c r="L367" s="17" t="str">
        <f aca="false">IF(OR(K367="",E367=0,E367=""),"",K367/E367)</f>
        <v/>
      </c>
      <c r="M367" s="18" t="str">
        <f aca="false">IF(OR(A367="",E367=""),"",E367+ROW()/1000000)</f>
        <v/>
      </c>
    </row>
    <row r="368" customFormat="false" ht="15" hidden="false" customHeight="false" outlineLevel="0" collapsed="false">
      <c r="A368" s="12"/>
      <c r="B368" s="13"/>
      <c r="C368" s="13"/>
      <c r="D368" s="14"/>
      <c r="E368" s="15"/>
      <c r="F368" s="15"/>
      <c r="G368" s="15"/>
      <c r="H368" s="15"/>
      <c r="I368" s="15"/>
      <c r="J368" s="15"/>
      <c r="K368" s="16" t="str">
        <f aca="false">IF(A368="","",F368+G368+H368+I368)</f>
        <v/>
      </c>
      <c r="L368" s="17" t="str">
        <f aca="false">IF(OR(K368="",E368=0,E368=""),"",K368/E368)</f>
        <v/>
      </c>
      <c r="M368" s="18" t="str">
        <f aca="false">IF(OR(A368="",E368=""),"",E368+ROW()/1000000)</f>
        <v/>
      </c>
    </row>
    <row r="369" customFormat="false" ht="15" hidden="false" customHeight="false" outlineLevel="0" collapsed="false">
      <c r="A369" s="12"/>
      <c r="B369" s="13"/>
      <c r="C369" s="13"/>
      <c r="D369" s="14"/>
      <c r="E369" s="15"/>
      <c r="F369" s="15"/>
      <c r="G369" s="15"/>
      <c r="H369" s="15"/>
      <c r="I369" s="15"/>
      <c r="J369" s="15"/>
      <c r="K369" s="16" t="str">
        <f aca="false">IF(A369="","",F369+G369+H369+I369)</f>
        <v/>
      </c>
      <c r="L369" s="17" t="str">
        <f aca="false">IF(OR(K369="",E369=0,E369=""),"",K369/E369)</f>
        <v/>
      </c>
      <c r="M369" s="18" t="str">
        <f aca="false">IF(OR(A369="",E369=""),"",E369+ROW()/1000000)</f>
        <v/>
      </c>
    </row>
    <row r="370" customFormat="false" ht="15" hidden="false" customHeight="false" outlineLevel="0" collapsed="false">
      <c r="A370" s="12"/>
      <c r="B370" s="13"/>
      <c r="C370" s="13"/>
      <c r="D370" s="14"/>
      <c r="E370" s="15"/>
      <c r="F370" s="15"/>
      <c r="G370" s="15"/>
      <c r="H370" s="15"/>
      <c r="I370" s="15"/>
      <c r="J370" s="15"/>
      <c r="K370" s="16" t="str">
        <f aca="false">IF(A370="","",F370+G370+H370+I370)</f>
        <v/>
      </c>
      <c r="L370" s="17" t="str">
        <f aca="false">IF(OR(K370="",E370=0,E370=""),"",K370/E370)</f>
        <v/>
      </c>
      <c r="M370" s="18" t="str">
        <f aca="false">IF(OR(A370="",E370=""),"",E370+ROW()/1000000)</f>
        <v/>
      </c>
    </row>
    <row r="371" customFormat="false" ht="15" hidden="false" customHeight="false" outlineLevel="0" collapsed="false">
      <c r="A371" s="12"/>
      <c r="B371" s="13"/>
      <c r="C371" s="13"/>
      <c r="D371" s="14"/>
      <c r="E371" s="15"/>
      <c r="F371" s="15"/>
      <c r="G371" s="15"/>
      <c r="H371" s="15"/>
      <c r="I371" s="15"/>
      <c r="J371" s="15"/>
      <c r="K371" s="16" t="str">
        <f aca="false">IF(A371="","",F371+G371+H371+I371)</f>
        <v/>
      </c>
      <c r="L371" s="17" t="str">
        <f aca="false">IF(OR(K371="",E371=0,E371=""),"",K371/E371)</f>
        <v/>
      </c>
      <c r="M371" s="18" t="str">
        <f aca="false">IF(OR(A371="",E371=""),"",E371+ROW()/1000000)</f>
        <v/>
      </c>
    </row>
    <row r="372" customFormat="false" ht="15" hidden="false" customHeight="false" outlineLevel="0" collapsed="false">
      <c r="A372" s="12"/>
      <c r="B372" s="13"/>
      <c r="C372" s="13"/>
      <c r="D372" s="14"/>
      <c r="E372" s="15"/>
      <c r="F372" s="15"/>
      <c r="G372" s="15"/>
      <c r="H372" s="15"/>
      <c r="I372" s="15"/>
      <c r="J372" s="15"/>
      <c r="K372" s="16" t="str">
        <f aca="false">IF(A372="","",F372+G372+H372+I372)</f>
        <v/>
      </c>
      <c r="L372" s="17" t="str">
        <f aca="false">IF(OR(K372="",E372=0,E372=""),"",K372/E372)</f>
        <v/>
      </c>
      <c r="M372" s="18" t="str">
        <f aca="false">IF(OR(A372="",E372=""),"",E372+ROW()/1000000)</f>
        <v/>
      </c>
    </row>
    <row r="373" customFormat="false" ht="15" hidden="false" customHeight="false" outlineLevel="0" collapsed="false">
      <c r="A373" s="12"/>
      <c r="B373" s="13"/>
      <c r="C373" s="13"/>
      <c r="D373" s="14"/>
      <c r="E373" s="15"/>
      <c r="F373" s="15"/>
      <c r="G373" s="15"/>
      <c r="H373" s="15"/>
      <c r="I373" s="15"/>
      <c r="J373" s="15"/>
      <c r="K373" s="16" t="str">
        <f aca="false">IF(A373="","",F373+G373+H373+I373)</f>
        <v/>
      </c>
      <c r="L373" s="17" t="str">
        <f aca="false">IF(OR(K373="",E373=0,E373=""),"",K373/E373)</f>
        <v/>
      </c>
      <c r="M373" s="18" t="str">
        <f aca="false">IF(OR(A373="",E373=""),"",E373+ROW()/1000000)</f>
        <v/>
      </c>
    </row>
    <row r="374" customFormat="false" ht="15" hidden="false" customHeight="false" outlineLevel="0" collapsed="false">
      <c r="A374" s="12"/>
      <c r="B374" s="13"/>
      <c r="C374" s="13"/>
      <c r="D374" s="14"/>
      <c r="E374" s="15"/>
      <c r="F374" s="15"/>
      <c r="G374" s="15"/>
      <c r="H374" s="15"/>
      <c r="I374" s="15"/>
      <c r="J374" s="15"/>
      <c r="K374" s="16" t="str">
        <f aca="false">IF(A374="","",F374+G374+H374+I374)</f>
        <v/>
      </c>
      <c r="L374" s="17" t="str">
        <f aca="false">IF(OR(K374="",E374=0,E374=""),"",K374/E374)</f>
        <v/>
      </c>
      <c r="M374" s="18" t="str">
        <f aca="false">IF(OR(A374="",E374=""),"",E374+ROW()/1000000)</f>
        <v/>
      </c>
    </row>
    <row r="375" customFormat="false" ht="15" hidden="false" customHeight="false" outlineLevel="0" collapsed="false">
      <c r="A375" s="12"/>
      <c r="B375" s="13"/>
      <c r="C375" s="13"/>
      <c r="D375" s="14"/>
      <c r="E375" s="15"/>
      <c r="F375" s="15"/>
      <c r="G375" s="15"/>
      <c r="H375" s="15"/>
      <c r="I375" s="15"/>
      <c r="J375" s="15"/>
      <c r="K375" s="16" t="str">
        <f aca="false">IF(A375="","",F375+G375+H375+I375)</f>
        <v/>
      </c>
      <c r="L375" s="17" t="str">
        <f aca="false">IF(OR(K375="",E375=0,E375=""),"",K375/E375)</f>
        <v/>
      </c>
      <c r="M375" s="18" t="str">
        <f aca="false">IF(OR(A375="",E375=""),"",E375+ROW()/1000000)</f>
        <v/>
      </c>
    </row>
    <row r="376" customFormat="false" ht="15" hidden="false" customHeight="false" outlineLevel="0" collapsed="false">
      <c r="A376" s="12"/>
      <c r="B376" s="13"/>
      <c r="C376" s="13"/>
      <c r="D376" s="14"/>
      <c r="E376" s="15"/>
      <c r="F376" s="15"/>
      <c r="G376" s="15"/>
      <c r="H376" s="15"/>
      <c r="I376" s="15"/>
      <c r="J376" s="15"/>
      <c r="K376" s="16" t="str">
        <f aca="false">IF(A376="","",F376+G376+H376+I376)</f>
        <v/>
      </c>
      <c r="L376" s="17" t="str">
        <f aca="false">IF(OR(K376="",E376=0,E376=""),"",K376/E376)</f>
        <v/>
      </c>
      <c r="M376" s="18" t="str">
        <f aca="false">IF(OR(A376="",E376=""),"",E376+ROW()/1000000)</f>
        <v/>
      </c>
    </row>
    <row r="377" customFormat="false" ht="15" hidden="false" customHeight="false" outlineLevel="0" collapsed="false">
      <c r="A377" s="12"/>
      <c r="B377" s="13"/>
      <c r="C377" s="13"/>
      <c r="D377" s="14"/>
      <c r="E377" s="15"/>
      <c r="F377" s="15"/>
      <c r="G377" s="15"/>
      <c r="H377" s="15"/>
      <c r="I377" s="15"/>
      <c r="J377" s="15"/>
      <c r="K377" s="16" t="str">
        <f aca="false">IF(A377="","",F377+G377+H377+I377)</f>
        <v/>
      </c>
      <c r="L377" s="17" t="str">
        <f aca="false">IF(OR(K377="",E377=0,E377=""),"",K377/E377)</f>
        <v/>
      </c>
      <c r="M377" s="18" t="str">
        <f aca="false">IF(OR(A377="",E377=""),"",E377+ROW()/1000000)</f>
        <v/>
      </c>
    </row>
    <row r="378" customFormat="false" ht="15" hidden="false" customHeight="false" outlineLevel="0" collapsed="false">
      <c r="A378" s="12"/>
      <c r="B378" s="13"/>
      <c r="C378" s="13"/>
      <c r="D378" s="14"/>
      <c r="E378" s="15"/>
      <c r="F378" s="15"/>
      <c r="G378" s="15"/>
      <c r="H378" s="15"/>
      <c r="I378" s="15"/>
      <c r="J378" s="15"/>
      <c r="K378" s="16" t="str">
        <f aca="false">IF(A378="","",F378+G378+H378+I378)</f>
        <v/>
      </c>
      <c r="L378" s="17" t="str">
        <f aca="false">IF(OR(K378="",E378=0,E378=""),"",K378/E378)</f>
        <v/>
      </c>
      <c r="M378" s="18" t="str">
        <f aca="false">IF(OR(A378="",E378=""),"",E378+ROW()/1000000)</f>
        <v/>
      </c>
    </row>
    <row r="379" customFormat="false" ht="15" hidden="false" customHeight="false" outlineLevel="0" collapsed="false">
      <c r="A379" s="12"/>
      <c r="B379" s="13"/>
      <c r="C379" s="13"/>
      <c r="D379" s="14"/>
      <c r="E379" s="15"/>
      <c r="F379" s="15"/>
      <c r="G379" s="15"/>
      <c r="H379" s="15"/>
      <c r="I379" s="15"/>
      <c r="J379" s="15"/>
      <c r="K379" s="16" t="str">
        <f aca="false">IF(A379="","",F379+G379+H379+I379)</f>
        <v/>
      </c>
      <c r="L379" s="17" t="str">
        <f aca="false">IF(OR(K379="",E379=0,E379=""),"",K379/E379)</f>
        <v/>
      </c>
      <c r="M379" s="18" t="str">
        <f aca="false">IF(OR(A379="",E379=""),"",E379+ROW()/1000000)</f>
        <v/>
      </c>
    </row>
    <row r="380" customFormat="false" ht="15" hidden="false" customHeight="false" outlineLevel="0" collapsed="false">
      <c r="A380" s="12"/>
      <c r="B380" s="13"/>
      <c r="C380" s="13"/>
      <c r="D380" s="14"/>
      <c r="E380" s="15"/>
      <c r="F380" s="15"/>
      <c r="G380" s="15"/>
      <c r="H380" s="15"/>
      <c r="I380" s="15"/>
      <c r="J380" s="15"/>
      <c r="K380" s="16" t="str">
        <f aca="false">IF(A380="","",F380+G380+H380+I380)</f>
        <v/>
      </c>
      <c r="L380" s="17" t="str">
        <f aca="false">IF(OR(K380="",E380=0,E380=""),"",K380/E380)</f>
        <v/>
      </c>
      <c r="M380" s="18" t="str">
        <f aca="false">IF(OR(A380="",E380=""),"",E380+ROW()/1000000)</f>
        <v/>
      </c>
    </row>
    <row r="381" customFormat="false" ht="15" hidden="false" customHeight="false" outlineLevel="0" collapsed="false">
      <c r="A381" s="12"/>
      <c r="B381" s="13"/>
      <c r="C381" s="13"/>
      <c r="D381" s="14"/>
      <c r="E381" s="15"/>
      <c r="F381" s="15"/>
      <c r="G381" s="15"/>
      <c r="H381" s="15"/>
      <c r="I381" s="15"/>
      <c r="J381" s="15"/>
      <c r="K381" s="16" t="str">
        <f aca="false">IF(A381="","",F381+G381+H381+I381)</f>
        <v/>
      </c>
      <c r="L381" s="17" t="str">
        <f aca="false">IF(OR(K381="",E381=0,E381=""),"",K381/E381)</f>
        <v/>
      </c>
      <c r="M381" s="18" t="str">
        <f aca="false">IF(OR(A381="",E381=""),"",E381+ROW()/1000000)</f>
        <v/>
      </c>
    </row>
    <row r="382" customFormat="false" ht="15" hidden="false" customHeight="false" outlineLevel="0" collapsed="false">
      <c r="A382" s="12"/>
      <c r="B382" s="13"/>
      <c r="C382" s="13"/>
      <c r="D382" s="14"/>
      <c r="E382" s="15"/>
      <c r="F382" s="15"/>
      <c r="G382" s="15"/>
      <c r="H382" s="15"/>
      <c r="I382" s="15"/>
      <c r="J382" s="15"/>
      <c r="K382" s="16" t="str">
        <f aca="false">IF(A382="","",F382+G382+H382+I382)</f>
        <v/>
      </c>
      <c r="L382" s="17" t="str">
        <f aca="false">IF(OR(K382="",E382=0,E382=""),"",K382/E382)</f>
        <v/>
      </c>
      <c r="M382" s="18" t="str">
        <f aca="false">IF(OR(A382="",E382=""),"",E382+ROW()/1000000)</f>
        <v/>
      </c>
    </row>
    <row r="383" customFormat="false" ht="15" hidden="false" customHeight="false" outlineLevel="0" collapsed="false">
      <c r="A383" s="12"/>
      <c r="B383" s="13"/>
      <c r="C383" s="13"/>
      <c r="D383" s="14"/>
      <c r="E383" s="15"/>
      <c r="F383" s="15"/>
      <c r="G383" s="15"/>
      <c r="H383" s="15"/>
      <c r="I383" s="15"/>
      <c r="J383" s="15"/>
      <c r="K383" s="16" t="str">
        <f aca="false">IF(A383="","",F383+G383+H383+I383)</f>
        <v/>
      </c>
      <c r="L383" s="17" t="str">
        <f aca="false">IF(OR(K383="",E383=0,E383=""),"",K383/E383)</f>
        <v/>
      </c>
      <c r="M383" s="18" t="str">
        <f aca="false">IF(OR(A383="",E383=""),"",E383+ROW()/1000000)</f>
        <v/>
      </c>
    </row>
    <row r="384" customFormat="false" ht="15" hidden="false" customHeight="false" outlineLevel="0" collapsed="false">
      <c r="A384" s="12"/>
      <c r="B384" s="13"/>
      <c r="C384" s="13"/>
      <c r="D384" s="14"/>
      <c r="E384" s="15"/>
      <c r="F384" s="15"/>
      <c r="G384" s="15"/>
      <c r="H384" s="15"/>
      <c r="I384" s="15"/>
      <c r="J384" s="15"/>
      <c r="K384" s="16" t="str">
        <f aca="false">IF(A384="","",F384+G384+H384+I384)</f>
        <v/>
      </c>
      <c r="L384" s="17" t="str">
        <f aca="false">IF(OR(K384="",E384=0,E384=""),"",K384/E384)</f>
        <v/>
      </c>
      <c r="M384" s="18" t="str">
        <f aca="false">IF(OR(A384="",E384=""),"",E384+ROW()/1000000)</f>
        <v/>
      </c>
    </row>
    <row r="385" customFormat="false" ht="15" hidden="false" customHeight="false" outlineLevel="0" collapsed="false">
      <c r="A385" s="12"/>
      <c r="B385" s="13"/>
      <c r="C385" s="13"/>
      <c r="D385" s="14"/>
      <c r="E385" s="15"/>
      <c r="F385" s="15"/>
      <c r="G385" s="15"/>
      <c r="H385" s="15"/>
      <c r="I385" s="15"/>
      <c r="J385" s="15"/>
      <c r="K385" s="16" t="str">
        <f aca="false">IF(A385="","",F385+G385+H385+I385)</f>
        <v/>
      </c>
      <c r="L385" s="17" t="str">
        <f aca="false">IF(OR(K385="",E385=0,E385=""),"",K385/E385)</f>
        <v/>
      </c>
      <c r="M385" s="18" t="str">
        <f aca="false">IF(OR(A385="",E385=""),"",E385+ROW()/1000000)</f>
        <v/>
      </c>
    </row>
    <row r="386" customFormat="false" ht="15" hidden="false" customHeight="false" outlineLevel="0" collapsed="false">
      <c r="A386" s="12"/>
      <c r="B386" s="13"/>
      <c r="C386" s="13"/>
      <c r="D386" s="14"/>
      <c r="E386" s="15"/>
      <c r="F386" s="15"/>
      <c r="G386" s="15"/>
      <c r="H386" s="15"/>
      <c r="I386" s="15"/>
      <c r="J386" s="15"/>
      <c r="K386" s="16" t="str">
        <f aca="false">IF(A386="","",F386+G386+H386+I386)</f>
        <v/>
      </c>
      <c r="L386" s="17" t="str">
        <f aca="false">IF(OR(K386="",E386=0,E386=""),"",K386/E386)</f>
        <v/>
      </c>
      <c r="M386" s="18" t="str">
        <f aca="false">IF(OR(A386="",E386=""),"",E386+ROW()/1000000)</f>
        <v/>
      </c>
    </row>
    <row r="387" customFormat="false" ht="15" hidden="false" customHeight="false" outlineLevel="0" collapsed="false">
      <c r="A387" s="12"/>
      <c r="B387" s="13"/>
      <c r="C387" s="13"/>
      <c r="D387" s="14"/>
      <c r="E387" s="15"/>
      <c r="F387" s="15"/>
      <c r="G387" s="15"/>
      <c r="H387" s="15"/>
      <c r="I387" s="15"/>
      <c r="J387" s="15"/>
      <c r="K387" s="16" t="str">
        <f aca="false">IF(A387="","",F387+G387+H387+I387)</f>
        <v/>
      </c>
      <c r="L387" s="17" t="str">
        <f aca="false">IF(OR(K387="",E387=0,E387=""),"",K387/E387)</f>
        <v/>
      </c>
      <c r="M387" s="18" t="str">
        <f aca="false">IF(OR(A387="",E387=""),"",E387+ROW()/1000000)</f>
        <v/>
      </c>
    </row>
    <row r="388" customFormat="false" ht="15" hidden="false" customHeight="false" outlineLevel="0" collapsed="false">
      <c r="A388" s="12"/>
      <c r="B388" s="13"/>
      <c r="C388" s="13"/>
      <c r="D388" s="14"/>
      <c r="E388" s="15"/>
      <c r="F388" s="15"/>
      <c r="G388" s="15"/>
      <c r="H388" s="15"/>
      <c r="I388" s="15"/>
      <c r="J388" s="15"/>
      <c r="K388" s="16" t="str">
        <f aca="false">IF(A388="","",F388+G388+H388+I388)</f>
        <v/>
      </c>
      <c r="L388" s="17" t="str">
        <f aca="false">IF(OR(K388="",E388=0,E388=""),"",K388/E388)</f>
        <v/>
      </c>
      <c r="M388" s="18" t="str">
        <f aca="false">IF(OR(A388="",E388=""),"",E388+ROW()/1000000)</f>
        <v/>
      </c>
    </row>
    <row r="389" customFormat="false" ht="15" hidden="false" customHeight="false" outlineLevel="0" collapsed="false">
      <c r="A389" s="12"/>
      <c r="B389" s="13"/>
      <c r="C389" s="13"/>
      <c r="D389" s="14"/>
      <c r="E389" s="15"/>
      <c r="F389" s="15"/>
      <c r="G389" s="15"/>
      <c r="H389" s="15"/>
      <c r="I389" s="15"/>
      <c r="J389" s="15"/>
      <c r="K389" s="16" t="str">
        <f aca="false">IF(A389="","",F389+G389+H389+I389)</f>
        <v/>
      </c>
      <c r="L389" s="17" t="str">
        <f aca="false">IF(OR(K389="",E389=0,E389=""),"",K389/E389)</f>
        <v/>
      </c>
      <c r="M389" s="18" t="str">
        <f aca="false">IF(OR(A389="",E389=""),"",E389+ROW()/1000000)</f>
        <v/>
      </c>
    </row>
    <row r="390" customFormat="false" ht="15" hidden="false" customHeight="false" outlineLevel="0" collapsed="false">
      <c r="A390" s="12"/>
      <c r="B390" s="13"/>
      <c r="C390" s="13"/>
      <c r="D390" s="14"/>
      <c r="E390" s="15"/>
      <c r="F390" s="15"/>
      <c r="G390" s="15"/>
      <c r="H390" s="15"/>
      <c r="I390" s="15"/>
      <c r="J390" s="15"/>
      <c r="K390" s="16" t="str">
        <f aca="false">IF(A390="","",F390+G390+H390+I390)</f>
        <v/>
      </c>
      <c r="L390" s="17" t="str">
        <f aca="false">IF(OR(K390="",E390=0,E390=""),"",K390/E390)</f>
        <v/>
      </c>
      <c r="M390" s="18" t="str">
        <f aca="false">IF(OR(A390="",E390=""),"",E390+ROW()/1000000)</f>
        <v/>
      </c>
    </row>
    <row r="391" customFormat="false" ht="15" hidden="false" customHeight="false" outlineLevel="0" collapsed="false">
      <c r="A391" s="12"/>
      <c r="B391" s="13"/>
      <c r="C391" s="13"/>
      <c r="D391" s="14"/>
      <c r="E391" s="15"/>
      <c r="F391" s="15"/>
      <c r="G391" s="15"/>
      <c r="H391" s="15"/>
      <c r="I391" s="15"/>
      <c r="J391" s="15"/>
      <c r="K391" s="16" t="str">
        <f aca="false">IF(A391="","",F391+G391+H391+I391)</f>
        <v/>
      </c>
      <c r="L391" s="17" t="str">
        <f aca="false">IF(OR(K391="",E391=0,E391=""),"",K391/E391)</f>
        <v/>
      </c>
      <c r="M391" s="18" t="str">
        <f aca="false">IF(OR(A391="",E391=""),"",E391+ROW()/1000000)</f>
        <v/>
      </c>
    </row>
    <row r="392" customFormat="false" ht="15" hidden="false" customHeight="false" outlineLevel="0" collapsed="false">
      <c r="A392" s="12"/>
      <c r="B392" s="13"/>
      <c r="C392" s="13"/>
      <c r="D392" s="14"/>
      <c r="E392" s="15"/>
      <c r="F392" s="15"/>
      <c r="G392" s="15"/>
      <c r="H392" s="15"/>
      <c r="I392" s="15"/>
      <c r="J392" s="15"/>
      <c r="K392" s="16" t="str">
        <f aca="false">IF(A392="","",F392+G392+H392+I392)</f>
        <v/>
      </c>
      <c r="L392" s="17" t="str">
        <f aca="false">IF(OR(K392="",E392=0,E392=""),"",K392/E392)</f>
        <v/>
      </c>
      <c r="M392" s="18" t="str">
        <f aca="false">IF(OR(A392="",E392=""),"",E392+ROW()/1000000)</f>
        <v/>
      </c>
    </row>
    <row r="393" customFormat="false" ht="15" hidden="false" customHeight="false" outlineLevel="0" collapsed="false">
      <c r="A393" s="12"/>
      <c r="B393" s="13"/>
      <c r="C393" s="13"/>
      <c r="D393" s="14"/>
      <c r="E393" s="15"/>
      <c r="F393" s="15"/>
      <c r="G393" s="15"/>
      <c r="H393" s="15"/>
      <c r="I393" s="15"/>
      <c r="J393" s="15"/>
      <c r="K393" s="16" t="str">
        <f aca="false">IF(A393="","",F393+G393+H393+I393)</f>
        <v/>
      </c>
      <c r="L393" s="17" t="str">
        <f aca="false">IF(OR(K393="",E393=0,E393=""),"",K393/E393)</f>
        <v/>
      </c>
      <c r="M393" s="18" t="str">
        <f aca="false">IF(OR(A393="",E393=""),"",E393+ROW()/1000000)</f>
        <v/>
      </c>
    </row>
    <row r="394" customFormat="false" ht="15" hidden="false" customHeight="false" outlineLevel="0" collapsed="false">
      <c r="A394" s="12"/>
      <c r="B394" s="13"/>
      <c r="C394" s="13"/>
      <c r="D394" s="14"/>
      <c r="E394" s="15"/>
      <c r="F394" s="15"/>
      <c r="G394" s="15"/>
      <c r="H394" s="15"/>
      <c r="I394" s="15"/>
      <c r="J394" s="15"/>
      <c r="K394" s="16" t="str">
        <f aca="false">IF(A394="","",F394+G394+H394+I394)</f>
        <v/>
      </c>
      <c r="L394" s="17" t="str">
        <f aca="false">IF(OR(K394="",E394=0,E394=""),"",K394/E394)</f>
        <v/>
      </c>
      <c r="M394" s="18" t="str">
        <f aca="false">IF(OR(A394="",E394=""),"",E394+ROW()/1000000)</f>
        <v/>
      </c>
    </row>
    <row r="395" customFormat="false" ht="15" hidden="false" customHeight="false" outlineLevel="0" collapsed="false">
      <c r="A395" s="12"/>
      <c r="B395" s="13"/>
      <c r="C395" s="13"/>
      <c r="D395" s="14"/>
      <c r="E395" s="15"/>
      <c r="F395" s="15"/>
      <c r="G395" s="15"/>
      <c r="H395" s="15"/>
      <c r="I395" s="15"/>
      <c r="J395" s="15"/>
      <c r="K395" s="16" t="str">
        <f aca="false">IF(A395="","",F395+G395+H395+I395)</f>
        <v/>
      </c>
      <c r="L395" s="17" t="str">
        <f aca="false">IF(OR(K395="",E395=0,E395=""),"",K395/E395)</f>
        <v/>
      </c>
      <c r="M395" s="18" t="str">
        <f aca="false">IF(OR(A395="",E395=""),"",E395+ROW()/1000000)</f>
        <v/>
      </c>
    </row>
    <row r="396" customFormat="false" ht="15" hidden="false" customHeight="false" outlineLevel="0" collapsed="false">
      <c r="A396" s="12"/>
      <c r="B396" s="13"/>
      <c r="C396" s="13"/>
      <c r="D396" s="14"/>
      <c r="E396" s="15"/>
      <c r="F396" s="15"/>
      <c r="G396" s="15"/>
      <c r="H396" s="15"/>
      <c r="I396" s="15"/>
      <c r="J396" s="15"/>
      <c r="K396" s="16" t="str">
        <f aca="false">IF(A396="","",F396+G396+H396+I396)</f>
        <v/>
      </c>
      <c r="L396" s="17" t="str">
        <f aca="false">IF(OR(K396="",E396=0,E396=""),"",K396/E396)</f>
        <v/>
      </c>
      <c r="M396" s="18" t="str">
        <f aca="false">IF(OR(A396="",E396=""),"",E396+ROW()/1000000)</f>
        <v/>
      </c>
    </row>
    <row r="397" customFormat="false" ht="15" hidden="false" customHeight="false" outlineLevel="0" collapsed="false">
      <c r="A397" s="12"/>
      <c r="B397" s="13"/>
      <c r="C397" s="13"/>
      <c r="D397" s="14"/>
      <c r="E397" s="15"/>
      <c r="F397" s="15"/>
      <c r="G397" s="15"/>
      <c r="H397" s="15"/>
      <c r="I397" s="15"/>
      <c r="J397" s="15"/>
      <c r="K397" s="16" t="str">
        <f aca="false">IF(A397="","",F397+G397+H397+I397)</f>
        <v/>
      </c>
      <c r="L397" s="17" t="str">
        <f aca="false">IF(OR(K397="",E397=0,E397=""),"",K397/E397)</f>
        <v/>
      </c>
      <c r="M397" s="18" t="str">
        <f aca="false">IF(OR(A397="",E397=""),"",E397+ROW()/1000000)</f>
        <v/>
      </c>
    </row>
    <row r="398" customFormat="false" ht="15" hidden="false" customHeight="false" outlineLevel="0" collapsed="false">
      <c r="A398" s="12"/>
      <c r="B398" s="13"/>
      <c r="C398" s="13"/>
      <c r="D398" s="14"/>
      <c r="E398" s="15"/>
      <c r="F398" s="15"/>
      <c r="G398" s="15"/>
      <c r="H398" s="15"/>
      <c r="I398" s="15"/>
      <c r="J398" s="15"/>
      <c r="K398" s="16" t="str">
        <f aca="false">IF(A398="","",F398+G398+H398+I398)</f>
        <v/>
      </c>
      <c r="L398" s="17" t="str">
        <f aca="false">IF(OR(K398="",E398=0,E398=""),"",K398/E398)</f>
        <v/>
      </c>
      <c r="M398" s="18" t="str">
        <f aca="false">IF(OR(A398="",E398=""),"",E398+ROW()/1000000)</f>
        <v/>
      </c>
    </row>
    <row r="399" customFormat="false" ht="15" hidden="false" customHeight="false" outlineLevel="0" collapsed="false">
      <c r="A399" s="12"/>
      <c r="B399" s="13"/>
      <c r="C399" s="13"/>
      <c r="D399" s="14"/>
      <c r="E399" s="15"/>
      <c r="F399" s="15"/>
      <c r="G399" s="15"/>
      <c r="H399" s="15"/>
      <c r="I399" s="15"/>
      <c r="J399" s="15"/>
      <c r="K399" s="16" t="str">
        <f aca="false">IF(A399="","",F399+G399+H399+I399)</f>
        <v/>
      </c>
      <c r="L399" s="17" t="str">
        <f aca="false">IF(OR(K399="",E399=0,E399=""),"",K399/E399)</f>
        <v/>
      </c>
      <c r="M399" s="18" t="str">
        <f aca="false">IF(OR(A399="",E399=""),"",E399+ROW()/1000000)</f>
        <v/>
      </c>
    </row>
    <row r="400" customFormat="false" ht="15" hidden="false" customHeight="false" outlineLevel="0" collapsed="false">
      <c r="A400" s="12"/>
      <c r="B400" s="13"/>
      <c r="C400" s="13"/>
      <c r="D400" s="14"/>
      <c r="E400" s="15"/>
      <c r="F400" s="15"/>
      <c r="G400" s="15"/>
      <c r="H400" s="15"/>
      <c r="I400" s="15"/>
      <c r="J400" s="15"/>
      <c r="K400" s="16" t="str">
        <f aca="false">IF(A400="","",F400+G400+H400+I400)</f>
        <v/>
      </c>
      <c r="L400" s="17" t="str">
        <f aca="false">IF(OR(K400="",E400=0,E400=""),"",K400/E400)</f>
        <v/>
      </c>
      <c r="M400" s="18" t="str">
        <f aca="false">IF(OR(A400="",E400=""),"",E400+ROW()/1000000)</f>
        <v/>
      </c>
    </row>
    <row r="401" customFormat="false" ht="15" hidden="false" customHeight="false" outlineLevel="0" collapsed="false">
      <c r="A401" s="12"/>
      <c r="B401" s="13"/>
      <c r="C401" s="13"/>
      <c r="D401" s="14"/>
      <c r="E401" s="15"/>
      <c r="F401" s="15"/>
      <c r="G401" s="15"/>
      <c r="H401" s="15"/>
      <c r="I401" s="15"/>
      <c r="J401" s="15"/>
      <c r="K401" s="16" t="str">
        <f aca="false">IF(A401="","",F401+G401+H401+I401)</f>
        <v/>
      </c>
      <c r="L401" s="17" t="str">
        <f aca="false">IF(OR(K401="",E401=0,E401=""),"",K401/E401)</f>
        <v/>
      </c>
      <c r="M401" s="18" t="str">
        <f aca="false">IF(OR(A401="",E401=""),"",E401+ROW()/1000000)</f>
        <v/>
      </c>
    </row>
    <row r="402" customFormat="false" ht="15" hidden="false" customHeight="false" outlineLevel="0" collapsed="false">
      <c r="A402" s="12"/>
      <c r="B402" s="13"/>
      <c r="C402" s="13"/>
      <c r="D402" s="14"/>
      <c r="E402" s="15"/>
      <c r="F402" s="15"/>
      <c r="G402" s="15"/>
      <c r="H402" s="15"/>
      <c r="I402" s="15"/>
      <c r="J402" s="15"/>
      <c r="K402" s="16" t="str">
        <f aca="false">IF(A402="","",F402+G402+H402+I402)</f>
        <v/>
      </c>
      <c r="L402" s="17" t="str">
        <f aca="false">IF(OR(K402="",E402=0,E402=""),"",K402/E402)</f>
        <v/>
      </c>
      <c r="M402" s="18" t="str">
        <f aca="false">IF(OR(A402="",E402=""),"",E402+ROW()/1000000)</f>
        <v/>
      </c>
    </row>
    <row r="403" customFormat="false" ht="15" hidden="false" customHeight="false" outlineLevel="0" collapsed="false">
      <c r="A403" s="12"/>
      <c r="B403" s="13"/>
      <c r="C403" s="13"/>
      <c r="D403" s="14"/>
      <c r="E403" s="15"/>
      <c r="F403" s="15"/>
      <c r="G403" s="15"/>
      <c r="H403" s="15"/>
      <c r="I403" s="15"/>
      <c r="J403" s="15"/>
      <c r="K403" s="16" t="str">
        <f aca="false">IF(A403="","",F403+G403+H403+I403)</f>
        <v/>
      </c>
      <c r="L403" s="17" t="str">
        <f aca="false">IF(OR(K403="",E403=0,E403=""),"",K403/E403)</f>
        <v/>
      </c>
      <c r="M403" s="18" t="str">
        <f aca="false">IF(OR(A403="",E403=""),"",E403+ROW()/1000000)</f>
        <v/>
      </c>
    </row>
    <row r="404" customFormat="false" ht="15" hidden="false" customHeight="false" outlineLevel="0" collapsed="false">
      <c r="A404" s="12"/>
      <c r="B404" s="13"/>
      <c r="C404" s="13"/>
      <c r="D404" s="14"/>
      <c r="E404" s="15"/>
      <c r="F404" s="15"/>
      <c r="G404" s="15"/>
      <c r="H404" s="15"/>
      <c r="I404" s="15"/>
      <c r="J404" s="15"/>
      <c r="K404" s="16" t="str">
        <f aca="false">IF(A404="","",F404+G404+H404+I404)</f>
        <v/>
      </c>
      <c r="L404" s="17" t="str">
        <f aca="false">IF(OR(K404="",E404=0,E404=""),"",K404/E404)</f>
        <v/>
      </c>
      <c r="M404" s="18" t="str">
        <f aca="false">IF(OR(A404="",E404=""),"",E404+ROW()/1000000)</f>
        <v/>
      </c>
    </row>
    <row r="405" customFormat="false" ht="15" hidden="false" customHeight="false" outlineLevel="0" collapsed="false">
      <c r="A405" s="12"/>
      <c r="B405" s="13"/>
      <c r="C405" s="13"/>
      <c r="D405" s="14"/>
      <c r="E405" s="15"/>
      <c r="F405" s="15"/>
      <c r="G405" s="15"/>
      <c r="H405" s="15"/>
      <c r="I405" s="15"/>
      <c r="J405" s="15"/>
      <c r="K405" s="16" t="str">
        <f aca="false">IF(A405="","",F405+G405+H405+I405)</f>
        <v/>
      </c>
      <c r="L405" s="17" t="str">
        <f aca="false">IF(OR(K405="",E405=0,E405=""),"",K405/E405)</f>
        <v/>
      </c>
      <c r="M405" s="18" t="str">
        <f aca="false">IF(OR(A405="",E405=""),"",E405+ROW()/1000000)</f>
        <v/>
      </c>
    </row>
    <row r="406" customFormat="false" ht="15" hidden="false" customHeight="false" outlineLevel="0" collapsed="false">
      <c r="A406" s="12"/>
      <c r="B406" s="13"/>
      <c r="C406" s="13"/>
      <c r="D406" s="14"/>
      <c r="E406" s="15"/>
      <c r="F406" s="15"/>
      <c r="G406" s="15"/>
      <c r="H406" s="15"/>
      <c r="I406" s="15"/>
      <c r="J406" s="15"/>
      <c r="K406" s="16" t="str">
        <f aca="false">IF(A406="","",F406+G406+H406+I406)</f>
        <v/>
      </c>
      <c r="L406" s="17" t="str">
        <f aca="false">IF(OR(K406="",E406=0,E406=""),"",K406/E406)</f>
        <v/>
      </c>
      <c r="M406" s="18" t="str">
        <f aca="false">IF(OR(A406="",E406=""),"",E406+ROW()/1000000)</f>
        <v/>
      </c>
    </row>
    <row r="407" customFormat="false" ht="15" hidden="false" customHeight="false" outlineLevel="0" collapsed="false">
      <c r="A407" s="12"/>
      <c r="B407" s="13"/>
      <c r="C407" s="13"/>
      <c r="D407" s="14"/>
      <c r="E407" s="15"/>
      <c r="F407" s="15"/>
      <c r="G407" s="15"/>
      <c r="H407" s="15"/>
      <c r="I407" s="15"/>
      <c r="J407" s="15"/>
      <c r="K407" s="16" t="str">
        <f aca="false">IF(A407="","",F407+G407+H407+I407)</f>
        <v/>
      </c>
      <c r="L407" s="17" t="str">
        <f aca="false">IF(OR(K407="",E407=0,E407=""),"",K407/E407)</f>
        <v/>
      </c>
      <c r="M407" s="18" t="str">
        <f aca="false">IF(OR(A407="",E407=""),"",E407+ROW()/1000000)</f>
        <v/>
      </c>
    </row>
    <row r="408" customFormat="false" ht="15" hidden="false" customHeight="false" outlineLevel="0" collapsed="false">
      <c r="A408" s="12"/>
      <c r="B408" s="13"/>
      <c r="C408" s="13"/>
      <c r="D408" s="14"/>
      <c r="E408" s="15"/>
      <c r="F408" s="15"/>
      <c r="G408" s="15"/>
      <c r="H408" s="15"/>
      <c r="I408" s="15"/>
      <c r="J408" s="15"/>
      <c r="K408" s="16" t="str">
        <f aca="false">IF(A408="","",F408+G408+H408+I408)</f>
        <v/>
      </c>
      <c r="L408" s="17" t="str">
        <f aca="false">IF(OR(K408="",E408=0,E408=""),"",K408/E408)</f>
        <v/>
      </c>
      <c r="M408" s="18" t="str">
        <f aca="false">IF(OR(A408="",E408=""),"",E408+ROW()/1000000)</f>
        <v/>
      </c>
    </row>
    <row r="409" customFormat="false" ht="15" hidden="false" customHeight="false" outlineLevel="0" collapsed="false">
      <c r="A409" s="12"/>
      <c r="B409" s="13"/>
      <c r="C409" s="13"/>
      <c r="D409" s="14"/>
      <c r="E409" s="15"/>
      <c r="F409" s="15"/>
      <c r="G409" s="15"/>
      <c r="H409" s="15"/>
      <c r="I409" s="15"/>
      <c r="J409" s="15"/>
      <c r="K409" s="16" t="str">
        <f aca="false">IF(A409="","",F409+G409+H409+I409)</f>
        <v/>
      </c>
      <c r="L409" s="17" t="str">
        <f aca="false">IF(OR(K409="",E409=0,E409=""),"",K409/E409)</f>
        <v/>
      </c>
      <c r="M409" s="18" t="str">
        <f aca="false">IF(OR(A409="",E409=""),"",E409+ROW()/1000000)</f>
        <v/>
      </c>
    </row>
    <row r="410" customFormat="false" ht="15" hidden="false" customHeight="false" outlineLevel="0" collapsed="false">
      <c r="A410" s="12"/>
      <c r="B410" s="13"/>
      <c r="C410" s="13"/>
      <c r="D410" s="14"/>
      <c r="E410" s="15"/>
      <c r="F410" s="15"/>
      <c r="G410" s="15"/>
      <c r="H410" s="15"/>
      <c r="I410" s="15"/>
      <c r="J410" s="15"/>
      <c r="K410" s="16" t="str">
        <f aca="false">IF(A410="","",F410+G410+H410+I410)</f>
        <v/>
      </c>
      <c r="L410" s="17" t="str">
        <f aca="false">IF(OR(K410="",E410=0,E410=""),"",K410/E410)</f>
        <v/>
      </c>
      <c r="M410" s="18" t="str">
        <f aca="false">IF(OR(A410="",E410=""),"",E410+ROW()/1000000)</f>
        <v/>
      </c>
    </row>
    <row r="411" customFormat="false" ht="15" hidden="false" customHeight="false" outlineLevel="0" collapsed="false">
      <c r="A411" s="12"/>
      <c r="B411" s="13"/>
      <c r="C411" s="13"/>
      <c r="D411" s="14"/>
      <c r="E411" s="15"/>
      <c r="F411" s="15"/>
      <c r="G411" s="15"/>
      <c r="H411" s="15"/>
      <c r="I411" s="15"/>
      <c r="J411" s="15"/>
      <c r="K411" s="16" t="str">
        <f aca="false">IF(A411="","",F411+G411+H411+I411)</f>
        <v/>
      </c>
      <c r="L411" s="17" t="str">
        <f aca="false">IF(OR(K411="",E411=0,E411=""),"",K411/E411)</f>
        <v/>
      </c>
      <c r="M411" s="18" t="str">
        <f aca="false">IF(OR(A411="",E411=""),"",E411+ROW()/1000000)</f>
        <v/>
      </c>
    </row>
    <row r="412" customFormat="false" ht="15" hidden="false" customHeight="false" outlineLevel="0" collapsed="false">
      <c r="A412" s="12"/>
      <c r="B412" s="13"/>
      <c r="C412" s="13"/>
      <c r="D412" s="14"/>
      <c r="E412" s="15"/>
      <c r="F412" s="15"/>
      <c r="G412" s="15"/>
      <c r="H412" s="15"/>
      <c r="I412" s="15"/>
      <c r="J412" s="15"/>
      <c r="K412" s="16" t="str">
        <f aca="false">IF(A412="","",F412+G412+H412+I412)</f>
        <v/>
      </c>
      <c r="L412" s="17" t="str">
        <f aca="false">IF(OR(K412="",E412=0,E412=""),"",K412/E412)</f>
        <v/>
      </c>
      <c r="M412" s="18" t="str">
        <f aca="false">IF(OR(A412="",E412=""),"",E412+ROW()/1000000)</f>
        <v/>
      </c>
    </row>
    <row r="413" customFormat="false" ht="15" hidden="false" customHeight="false" outlineLevel="0" collapsed="false">
      <c r="A413" s="12"/>
      <c r="B413" s="13"/>
      <c r="C413" s="13"/>
      <c r="D413" s="14"/>
      <c r="E413" s="15"/>
      <c r="F413" s="15"/>
      <c r="G413" s="15"/>
      <c r="H413" s="15"/>
      <c r="I413" s="15"/>
      <c r="J413" s="15"/>
      <c r="K413" s="16" t="str">
        <f aca="false">IF(A413="","",F413+G413+H413+I413)</f>
        <v/>
      </c>
      <c r="L413" s="17" t="str">
        <f aca="false">IF(OR(K413="",E413=0,E413=""),"",K413/E413)</f>
        <v/>
      </c>
      <c r="M413" s="18" t="str">
        <f aca="false">IF(OR(A413="",E413=""),"",E413+ROW()/1000000)</f>
        <v/>
      </c>
    </row>
    <row r="414" customFormat="false" ht="15" hidden="false" customHeight="false" outlineLevel="0" collapsed="false">
      <c r="A414" s="12"/>
      <c r="B414" s="13"/>
      <c r="C414" s="13"/>
      <c r="D414" s="14"/>
      <c r="E414" s="15"/>
      <c r="F414" s="15"/>
      <c r="G414" s="15"/>
      <c r="H414" s="15"/>
      <c r="I414" s="15"/>
      <c r="J414" s="15"/>
      <c r="K414" s="16" t="str">
        <f aca="false">IF(A414="","",F414+G414+H414+I414)</f>
        <v/>
      </c>
      <c r="L414" s="17" t="str">
        <f aca="false">IF(OR(K414="",E414=0,E414=""),"",K414/E414)</f>
        <v/>
      </c>
      <c r="M414" s="18" t="str">
        <f aca="false">IF(OR(A414="",E414=""),"",E414+ROW()/1000000)</f>
        <v/>
      </c>
    </row>
    <row r="415" customFormat="false" ht="15" hidden="false" customHeight="false" outlineLevel="0" collapsed="false">
      <c r="A415" s="12"/>
      <c r="B415" s="13"/>
      <c r="C415" s="13"/>
      <c r="D415" s="14"/>
      <c r="E415" s="15"/>
      <c r="F415" s="15"/>
      <c r="G415" s="15"/>
      <c r="H415" s="15"/>
      <c r="I415" s="15"/>
      <c r="J415" s="15"/>
      <c r="K415" s="16" t="str">
        <f aca="false">IF(A415="","",F415+G415+H415+I415)</f>
        <v/>
      </c>
      <c r="L415" s="17" t="str">
        <f aca="false">IF(OR(K415="",E415=0,E415=""),"",K415/E415)</f>
        <v/>
      </c>
      <c r="M415" s="18" t="str">
        <f aca="false">IF(OR(A415="",E415=""),"",E415+ROW()/1000000)</f>
        <v/>
      </c>
    </row>
    <row r="416" customFormat="false" ht="15" hidden="false" customHeight="false" outlineLevel="0" collapsed="false">
      <c r="A416" s="12"/>
      <c r="B416" s="13"/>
      <c r="C416" s="13"/>
      <c r="D416" s="14"/>
      <c r="E416" s="15"/>
      <c r="F416" s="15"/>
      <c r="G416" s="15"/>
      <c r="H416" s="15"/>
      <c r="I416" s="15"/>
      <c r="J416" s="15"/>
      <c r="K416" s="16" t="str">
        <f aca="false">IF(A416="","",F416+G416+H416+I416)</f>
        <v/>
      </c>
      <c r="L416" s="17" t="str">
        <f aca="false">IF(OR(K416="",E416=0,E416=""),"",K416/E416)</f>
        <v/>
      </c>
      <c r="M416" s="18" t="str">
        <f aca="false">IF(OR(A416="",E416=""),"",E416+ROW()/1000000)</f>
        <v/>
      </c>
    </row>
    <row r="417" customFormat="false" ht="15" hidden="false" customHeight="false" outlineLevel="0" collapsed="false">
      <c r="A417" s="12"/>
      <c r="B417" s="13"/>
      <c r="C417" s="13"/>
      <c r="D417" s="14"/>
      <c r="E417" s="15"/>
      <c r="F417" s="15"/>
      <c r="G417" s="15"/>
      <c r="H417" s="15"/>
      <c r="I417" s="15"/>
      <c r="J417" s="15"/>
      <c r="K417" s="16" t="str">
        <f aca="false">IF(A417="","",F417+G417+H417+I417)</f>
        <v/>
      </c>
      <c r="L417" s="17" t="str">
        <f aca="false">IF(OR(K417="",E417=0,E417=""),"",K417/E417)</f>
        <v/>
      </c>
      <c r="M417" s="18" t="str">
        <f aca="false">IF(OR(A417="",E417=""),"",E417+ROW()/1000000)</f>
        <v/>
      </c>
    </row>
    <row r="418" customFormat="false" ht="15" hidden="false" customHeight="false" outlineLevel="0" collapsed="false">
      <c r="A418" s="12"/>
      <c r="B418" s="13"/>
      <c r="C418" s="13"/>
      <c r="D418" s="14"/>
      <c r="E418" s="15"/>
      <c r="F418" s="15"/>
      <c r="G418" s="15"/>
      <c r="H418" s="15"/>
      <c r="I418" s="15"/>
      <c r="J418" s="15"/>
      <c r="K418" s="16" t="str">
        <f aca="false">IF(A418="","",F418+G418+H418+I418)</f>
        <v/>
      </c>
      <c r="L418" s="17" t="str">
        <f aca="false">IF(OR(K418="",E418=0,E418=""),"",K418/E418)</f>
        <v/>
      </c>
      <c r="M418" s="18" t="str">
        <f aca="false">IF(OR(A418="",E418=""),"",E418+ROW()/1000000)</f>
        <v/>
      </c>
    </row>
    <row r="419" customFormat="false" ht="15" hidden="false" customHeight="false" outlineLevel="0" collapsed="false">
      <c r="A419" s="12"/>
      <c r="B419" s="13"/>
      <c r="C419" s="13"/>
      <c r="D419" s="14"/>
      <c r="E419" s="15"/>
      <c r="F419" s="15"/>
      <c r="G419" s="15"/>
      <c r="H419" s="15"/>
      <c r="I419" s="15"/>
      <c r="J419" s="15"/>
      <c r="K419" s="16" t="str">
        <f aca="false">IF(A419="","",F419+G419+H419+I419)</f>
        <v/>
      </c>
      <c r="L419" s="17" t="str">
        <f aca="false">IF(OR(K419="",E419=0,E419=""),"",K419/E419)</f>
        <v/>
      </c>
      <c r="M419" s="18" t="str">
        <f aca="false">IF(OR(A419="",E419=""),"",E419+ROW()/1000000)</f>
        <v/>
      </c>
    </row>
    <row r="420" customFormat="false" ht="15" hidden="false" customHeight="false" outlineLevel="0" collapsed="false">
      <c r="A420" s="12"/>
      <c r="B420" s="13"/>
      <c r="C420" s="13"/>
      <c r="D420" s="14"/>
      <c r="E420" s="15"/>
      <c r="F420" s="15"/>
      <c r="G420" s="15"/>
      <c r="H420" s="15"/>
      <c r="I420" s="15"/>
      <c r="J420" s="15"/>
      <c r="K420" s="16" t="str">
        <f aca="false">IF(A420="","",F420+G420+H420+I420)</f>
        <v/>
      </c>
      <c r="L420" s="17" t="str">
        <f aca="false">IF(OR(K420="",E420=0,E420=""),"",K420/E420)</f>
        <v/>
      </c>
      <c r="M420" s="18" t="str">
        <f aca="false">IF(OR(A420="",E420=""),"",E420+ROW()/1000000)</f>
        <v/>
      </c>
    </row>
    <row r="421" customFormat="false" ht="15" hidden="false" customHeight="false" outlineLevel="0" collapsed="false">
      <c r="A421" s="12"/>
      <c r="B421" s="13"/>
      <c r="C421" s="13"/>
      <c r="D421" s="14"/>
      <c r="E421" s="15"/>
      <c r="F421" s="15"/>
      <c r="G421" s="15"/>
      <c r="H421" s="15"/>
      <c r="I421" s="15"/>
      <c r="J421" s="15"/>
      <c r="K421" s="16" t="str">
        <f aca="false">IF(A421="","",F421+G421+H421+I421)</f>
        <v/>
      </c>
      <c r="L421" s="17" t="str">
        <f aca="false">IF(OR(K421="",E421=0,E421=""),"",K421/E421)</f>
        <v/>
      </c>
      <c r="M421" s="18" t="str">
        <f aca="false">IF(OR(A421="",E421=""),"",E421+ROW()/1000000)</f>
        <v/>
      </c>
    </row>
    <row r="422" customFormat="false" ht="15" hidden="false" customHeight="false" outlineLevel="0" collapsed="false">
      <c r="A422" s="12"/>
      <c r="B422" s="13"/>
      <c r="C422" s="13"/>
      <c r="D422" s="14"/>
      <c r="E422" s="15"/>
      <c r="F422" s="15"/>
      <c r="G422" s="15"/>
      <c r="H422" s="15"/>
      <c r="I422" s="15"/>
      <c r="J422" s="15"/>
      <c r="K422" s="16" t="str">
        <f aca="false">IF(A422="","",F422+G422+H422+I422)</f>
        <v/>
      </c>
      <c r="L422" s="17" t="str">
        <f aca="false">IF(OR(K422="",E422=0,E422=""),"",K422/E422)</f>
        <v/>
      </c>
      <c r="M422" s="18" t="str">
        <f aca="false">IF(OR(A422="",E422=""),"",E422+ROW()/1000000)</f>
        <v/>
      </c>
    </row>
    <row r="423" customFormat="false" ht="15" hidden="false" customHeight="false" outlineLevel="0" collapsed="false">
      <c r="A423" s="12"/>
      <c r="B423" s="13"/>
      <c r="C423" s="13"/>
      <c r="D423" s="14"/>
      <c r="E423" s="15"/>
      <c r="F423" s="15"/>
      <c r="G423" s="15"/>
      <c r="H423" s="15"/>
      <c r="I423" s="15"/>
      <c r="J423" s="15"/>
      <c r="K423" s="16" t="str">
        <f aca="false">IF(A423="","",F423+G423+H423+I423)</f>
        <v/>
      </c>
      <c r="L423" s="17" t="str">
        <f aca="false">IF(OR(K423="",E423=0,E423=""),"",K423/E423)</f>
        <v/>
      </c>
      <c r="M423" s="18" t="str">
        <f aca="false">IF(OR(A423="",E423=""),"",E423+ROW()/1000000)</f>
        <v/>
      </c>
    </row>
    <row r="424" customFormat="false" ht="15" hidden="false" customHeight="false" outlineLevel="0" collapsed="false">
      <c r="A424" s="12"/>
      <c r="B424" s="13"/>
      <c r="C424" s="13"/>
      <c r="D424" s="14"/>
      <c r="E424" s="15"/>
      <c r="F424" s="15"/>
      <c r="G424" s="15"/>
      <c r="H424" s="15"/>
      <c r="I424" s="15"/>
      <c r="J424" s="15"/>
      <c r="K424" s="16" t="str">
        <f aca="false">IF(A424="","",F424+G424+H424+I424)</f>
        <v/>
      </c>
      <c r="L424" s="17" t="str">
        <f aca="false">IF(OR(K424="",E424=0,E424=""),"",K424/E424)</f>
        <v/>
      </c>
      <c r="M424" s="18" t="str">
        <f aca="false">IF(OR(A424="",E424=""),"",E424+ROW()/1000000)</f>
        <v/>
      </c>
    </row>
    <row r="425" customFormat="false" ht="15" hidden="false" customHeight="false" outlineLevel="0" collapsed="false">
      <c r="A425" s="12"/>
      <c r="B425" s="13"/>
      <c r="C425" s="13"/>
      <c r="D425" s="14"/>
      <c r="E425" s="15"/>
      <c r="F425" s="15"/>
      <c r="G425" s="15"/>
      <c r="H425" s="15"/>
      <c r="I425" s="15"/>
      <c r="J425" s="15"/>
      <c r="K425" s="16" t="str">
        <f aca="false">IF(A425="","",F425+G425+H425+I425)</f>
        <v/>
      </c>
      <c r="L425" s="17" t="str">
        <f aca="false">IF(OR(K425="",E425=0,E425=""),"",K425/E425)</f>
        <v/>
      </c>
      <c r="M425" s="18" t="str">
        <f aca="false">IF(OR(A425="",E425=""),"",E425+ROW()/1000000)</f>
        <v/>
      </c>
    </row>
    <row r="426" customFormat="false" ht="15" hidden="false" customHeight="false" outlineLevel="0" collapsed="false">
      <c r="A426" s="12"/>
      <c r="B426" s="13"/>
      <c r="C426" s="13"/>
      <c r="D426" s="14"/>
      <c r="E426" s="15"/>
      <c r="F426" s="15"/>
      <c r="G426" s="15"/>
      <c r="H426" s="15"/>
      <c r="I426" s="15"/>
      <c r="J426" s="15"/>
      <c r="K426" s="16" t="str">
        <f aca="false">IF(A426="","",F426+G426+H426+I426)</f>
        <v/>
      </c>
      <c r="L426" s="17" t="str">
        <f aca="false">IF(OR(K426="",E426=0,E426=""),"",K426/E426)</f>
        <v/>
      </c>
      <c r="M426" s="18" t="str">
        <f aca="false">IF(OR(A426="",E426=""),"",E426+ROW()/1000000)</f>
        <v/>
      </c>
    </row>
    <row r="427" customFormat="false" ht="15" hidden="false" customHeight="false" outlineLevel="0" collapsed="false">
      <c r="A427" s="12"/>
      <c r="B427" s="13"/>
      <c r="C427" s="13"/>
      <c r="D427" s="14"/>
      <c r="E427" s="15"/>
      <c r="F427" s="15"/>
      <c r="G427" s="15"/>
      <c r="H427" s="15"/>
      <c r="I427" s="15"/>
      <c r="J427" s="15"/>
      <c r="K427" s="16" t="str">
        <f aca="false">IF(A427="","",F427+G427+H427+I427)</f>
        <v/>
      </c>
      <c r="L427" s="17" t="str">
        <f aca="false">IF(OR(K427="",E427=0,E427=""),"",K427/E427)</f>
        <v/>
      </c>
      <c r="M427" s="18" t="str">
        <f aca="false">IF(OR(A427="",E427=""),"",E427+ROW()/1000000)</f>
        <v/>
      </c>
    </row>
    <row r="428" customFormat="false" ht="15" hidden="false" customHeight="false" outlineLevel="0" collapsed="false">
      <c r="A428" s="12"/>
      <c r="B428" s="13"/>
      <c r="C428" s="13"/>
      <c r="D428" s="14"/>
      <c r="E428" s="15"/>
      <c r="F428" s="15"/>
      <c r="G428" s="15"/>
      <c r="H428" s="15"/>
      <c r="I428" s="15"/>
      <c r="J428" s="15"/>
      <c r="K428" s="16" t="str">
        <f aca="false">IF(A428="","",F428+G428+H428+I428)</f>
        <v/>
      </c>
      <c r="L428" s="17" t="str">
        <f aca="false">IF(OR(K428="",E428=0,E428=""),"",K428/E428)</f>
        <v/>
      </c>
      <c r="M428" s="18" t="str">
        <f aca="false">IF(OR(A428="",E428=""),"",E428+ROW()/1000000)</f>
        <v/>
      </c>
    </row>
    <row r="429" customFormat="false" ht="15" hidden="false" customHeight="false" outlineLevel="0" collapsed="false">
      <c r="A429" s="12"/>
      <c r="B429" s="13"/>
      <c r="C429" s="13"/>
      <c r="D429" s="14"/>
      <c r="E429" s="15"/>
      <c r="F429" s="15"/>
      <c r="G429" s="15"/>
      <c r="H429" s="15"/>
      <c r="I429" s="15"/>
      <c r="J429" s="15"/>
      <c r="K429" s="16" t="str">
        <f aca="false">IF(A429="","",F429+G429+H429+I429)</f>
        <v/>
      </c>
      <c r="L429" s="17" t="str">
        <f aca="false">IF(OR(K429="",E429=0,E429=""),"",K429/E429)</f>
        <v/>
      </c>
      <c r="M429" s="18" t="str">
        <f aca="false">IF(OR(A429="",E429=""),"",E429+ROW()/1000000)</f>
        <v/>
      </c>
    </row>
    <row r="430" customFormat="false" ht="15" hidden="false" customHeight="false" outlineLevel="0" collapsed="false">
      <c r="A430" s="12"/>
      <c r="B430" s="13"/>
      <c r="C430" s="13"/>
      <c r="D430" s="14"/>
      <c r="E430" s="15"/>
      <c r="F430" s="15"/>
      <c r="G430" s="15"/>
      <c r="H430" s="15"/>
      <c r="I430" s="15"/>
      <c r="J430" s="15"/>
      <c r="K430" s="16" t="str">
        <f aca="false">IF(A430="","",F430+G430+H430+I430)</f>
        <v/>
      </c>
      <c r="L430" s="17" t="str">
        <f aca="false">IF(OR(K430="",E430=0,E430=""),"",K430/E430)</f>
        <v/>
      </c>
      <c r="M430" s="18" t="str">
        <f aca="false">IF(OR(A430="",E430=""),"",E430+ROW()/1000000)</f>
        <v/>
      </c>
    </row>
    <row r="431" customFormat="false" ht="15" hidden="false" customHeight="false" outlineLevel="0" collapsed="false">
      <c r="A431" s="12"/>
      <c r="B431" s="13"/>
      <c r="C431" s="13"/>
      <c r="D431" s="14"/>
      <c r="E431" s="15"/>
      <c r="F431" s="15"/>
      <c r="G431" s="15"/>
      <c r="H431" s="15"/>
      <c r="I431" s="15"/>
      <c r="J431" s="15"/>
      <c r="K431" s="16" t="str">
        <f aca="false">IF(A431="","",F431+G431+H431+I431)</f>
        <v/>
      </c>
      <c r="L431" s="17" t="str">
        <f aca="false">IF(OR(K431="",E431=0,E431=""),"",K431/E431)</f>
        <v/>
      </c>
      <c r="M431" s="18" t="str">
        <f aca="false">IF(OR(A431="",E431=""),"",E431+ROW()/1000000)</f>
        <v/>
      </c>
    </row>
    <row r="432" customFormat="false" ht="15" hidden="false" customHeight="false" outlineLevel="0" collapsed="false">
      <c r="A432" s="12"/>
      <c r="B432" s="13"/>
      <c r="C432" s="13"/>
      <c r="D432" s="14"/>
      <c r="E432" s="15"/>
      <c r="F432" s="15"/>
      <c r="G432" s="15"/>
      <c r="H432" s="15"/>
      <c r="I432" s="15"/>
      <c r="J432" s="15"/>
      <c r="K432" s="16" t="str">
        <f aca="false">IF(A432="","",F432+G432+H432+I432)</f>
        <v/>
      </c>
      <c r="L432" s="17" t="str">
        <f aca="false">IF(OR(K432="",E432=0,E432=""),"",K432/E432)</f>
        <v/>
      </c>
      <c r="M432" s="18" t="str">
        <f aca="false">IF(OR(A432="",E432=""),"",E432+ROW()/1000000)</f>
        <v/>
      </c>
    </row>
    <row r="433" customFormat="false" ht="15" hidden="false" customHeight="false" outlineLevel="0" collapsed="false">
      <c r="A433" s="12"/>
      <c r="B433" s="13"/>
      <c r="C433" s="13"/>
      <c r="D433" s="14"/>
      <c r="E433" s="15"/>
      <c r="F433" s="15"/>
      <c r="G433" s="15"/>
      <c r="H433" s="15"/>
      <c r="I433" s="15"/>
      <c r="J433" s="15"/>
      <c r="K433" s="16" t="str">
        <f aca="false">IF(A433="","",F433+G433+H433+I433)</f>
        <v/>
      </c>
      <c r="L433" s="17" t="str">
        <f aca="false">IF(OR(K433="",E433=0,E433=""),"",K433/E433)</f>
        <v/>
      </c>
      <c r="M433" s="18" t="str">
        <f aca="false">IF(OR(A433="",E433=""),"",E433+ROW()/1000000)</f>
        <v/>
      </c>
    </row>
    <row r="434" customFormat="false" ht="15" hidden="false" customHeight="false" outlineLevel="0" collapsed="false">
      <c r="A434" s="12"/>
      <c r="B434" s="13"/>
      <c r="C434" s="13"/>
      <c r="D434" s="14"/>
      <c r="E434" s="15"/>
      <c r="F434" s="15"/>
      <c r="G434" s="15"/>
      <c r="H434" s="15"/>
      <c r="I434" s="15"/>
      <c r="J434" s="15"/>
      <c r="K434" s="16" t="str">
        <f aca="false">IF(A434="","",F434+G434+H434+I434)</f>
        <v/>
      </c>
      <c r="L434" s="17" t="str">
        <f aca="false">IF(OR(K434="",E434=0,E434=""),"",K434/E434)</f>
        <v/>
      </c>
      <c r="M434" s="18" t="str">
        <f aca="false">IF(OR(A434="",E434=""),"",E434+ROW()/1000000)</f>
        <v/>
      </c>
    </row>
    <row r="435" customFormat="false" ht="15" hidden="false" customHeight="false" outlineLevel="0" collapsed="false">
      <c r="A435" s="12"/>
      <c r="B435" s="13"/>
      <c r="C435" s="13"/>
      <c r="D435" s="14"/>
      <c r="E435" s="15"/>
      <c r="F435" s="15"/>
      <c r="G435" s="15"/>
      <c r="H435" s="15"/>
      <c r="I435" s="15"/>
      <c r="J435" s="15"/>
      <c r="K435" s="16" t="str">
        <f aca="false">IF(A435="","",F435+G435+H435+I435)</f>
        <v/>
      </c>
      <c r="L435" s="17" t="str">
        <f aca="false">IF(OR(K435="",E435=0,E435=""),"",K435/E435)</f>
        <v/>
      </c>
      <c r="M435" s="18" t="str">
        <f aca="false">IF(OR(A435="",E435=""),"",E435+ROW()/1000000)</f>
        <v/>
      </c>
    </row>
    <row r="436" customFormat="false" ht="15" hidden="false" customHeight="false" outlineLevel="0" collapsed="false">
      <c r="A436" s="12"/>
      <c r="B436" s="13"/>
      <c r="C436" s="13"/>
      <c r="D436" s="14"/>
      <c r="E436" s="15"/>
      <c r="F436" s="15"/>
      <c r="G436" s="15"/>
      <c r="H436" s="15"/>
      <c r="I436" s="15"/>
      <c r="J436" s="15"/>
      <c r="K436" s="16" t="str">
        <f aca="false">IF(A436="","",F436+G436+H436+I436)</f>
        <v/>
      </c>
      <c r="L436" s="17" t="str">
        <f aca="false">IF(OR(K436="",E436=0,E436=""),"",K436/E436)</f>
        <v/>
      </c>
      <c r="M436" s="18" t="str">
        <f aca="false">IF(OR(A436="",E436=""),"",E436+ROW()/1000000)</f>
        <v/>
      </c>
    </row>
    <row r="437" customFormat="false" ht="15" hidden="false" customHeight="false" outlineLevel="0" collapsed="false">
      <c r="A437" s="12"/>
      <c r="B437" s="13"/>
      <c r="C437" s="13"/>
      <c r="D437" s="14"/>
      <c r="E437" s="15"/>
      <c r="F437" s="15"/>
      <c r="G437" s="15"/>
      <c r="H437" s="15"/>
      <c r="I437" s="15"/>
      <c r="J437" s="15"/>
      <c r="K437" s="16" t="str">
        <f aca="false">IF(A437="","",F437+G437+H437+I437)</f>
        <v/>
      </c>
      <c r="L437" s="17" t="str">
        <f aca="false">IF(OR(K437="",E437=0,E437=""),"",K437/E437)</f>
        <v/>
      </c>
      <c r="M437" s="18" t="str">
        <f aca="false">IF(OR(A437="",E437=""),"",E437+ROW()/1000000)</f>
        <v/>
      </c>
    </row>
    <row r="438" customFormat="false" ht="15" hidden="false" customHeight="false" outlineLevel="0" collapsed="false">
      <c r="A438" s="12"/>
      <c r="B438" s="13"/>
      <c r="C438" s="13"/>
      <c r="D438" s="14"/>
      <c r="E438" s="15"/>
      <c r="F438" s="15"/>
      <c r="G438" s="15"/>
      <c r="H438" s="15"/>
      <c r="I438" s="15"/>
      <c r="J438" s="15"/>
      <c r="K438" s="16" t="str">
        <f aca="false">IF(A438="","",F438+G438+H438+I438)</f>
        <v/>
      </c>
      <c r="L438" s="17" t="str">
        <f aca="false">IF(OR(K438="",E438=0,E438=""),"",K438/E438)</f>
        <v/>
      </c>
      <c r="M438" s="18" t="str">
        <f aca="false">IF(OR(A438="",E438=""),"",E438+ROW()/1000000)</f>
        <v/>
      </c>
    </row>
    <row r="439" customFormat="false" ht="15" hidden="false" customHeight="false" outlineLevel="0" collapsed="false">
      <c r="A439" s="12"/>
      <c r="B439" s="13"/>
      <c r="C439" s="13"/>
      <c r="D439" s="14"/>
      <c r="E439" s="15"/>
      <c r="F439" s="15"/>
      <c r="G439" s="15"/>
      <c r="H439" s="15"/>
      <c r="I439" s="15"/>
      <c r="J439" s="15"/>
      <c r="K439" s="16" t="str">
        <f aca="false">IF(A439="","",F439+G439+H439+I439)</f>
        <v/>
      </c>
      <c r="L439" s="17" t="str">
        <f aca="false">IF(OR(K439="",E439=0,E439=""),"",K439/E439)</f>
        <v/>
      </c>
      <c r="M439" s="18" t="str">
        <f aca="false">IF(OR(A439="",E439=""),"",E439+ROW()/1000000)</f>
        <v/>
      </c>
    </row>
    <row r="440" customFormat="false" ht="15" hidden="false" customHeight="false" outlineLevel="0" collapsed="false">
      <c r="A440" s="12"/>
      <c r="B440" s="13"/>
      <c r="C440" s="13"/>
      <c r="D440" s="14"/>
      <c r="E440" s="15"/>
      <c r="F440" s="15"/>
      <c r="G440" s="15"/>
      <c r="H440" s="15"/>
      <c r="I440" s="15"/>
      <c r="J440" s="15"/>
      <c r="K440" s="16" t="str">
        <f aca="false">IF(A440="","",F440+G440+H440+I440)</f>
        <v/>
      </c>
      <c r="L440" s="17" t="str">
        <f aca="false">IF(OR(K440="",E440=0,E440=""),"",K440/E440)</f>
        <v/>
      </c>
      <c r="M440" s="18" t="str">
        <f aca="false">IF(OR(A440="",E440=""),"",E440+ROW()/1000000)</f>
        <v/>
      </c>
    </row>
    <row r="441" customFormat="false" ht="15" hidden="false" customHeight="false" outlineLevel="0" collapsed="false">
      <c r="A441" s="12"/>
      <c r="B441" s="13"/>
      <c r="C441" s="13"/>
      <c r="D441" s="14"/>
      <c r="E441" s="15"/>
      <c r="F441" s="15"/>
      <c r="G441" s="15"/>
      <c r="H441" s="15"/>
      <c r="I441" s="15"/>
      <c r="J441" s="15"/>
      <c r="K441" s="16" t="str">
        <f aca="false">IF(A441="","",F441+G441+H441+I441)</f>
        <v/>
      </c>
      <c r="L441" s="17" t="str">
        <f aca="false">IF(OR(K441="",E441=0,E441=""),"",K441/E441)</f>
        <v/>
      </c>
      <c r="M441" s="18" t="str">
        <f aca="false">IF(OR(A441="",E441=""),"",E441+ROW()/1000000)</f>
        <v/>
      </c>
    </row>
    <row r="442" customFormat="false" ht="15" hidden="false" customHeight="false" outlineLevel="0" collapsed="false">
      <c r="A442" s="12"/>
      <c r="B442" s="13"/>
      <c r="C442" s="13"/>
      <c r="D442" s="14"/>
      <c r="E442" s="15"/>
      <c r="F442" s="15"/>
      <c r="G442" s="15"/>
      <c r="H442" s="15"/>
      <c r="I442" s="15"/>
      <c r="J442" s="15"/>
      <c r="K442" s="16" t="str">
        <f aca="false">IF(A442="","",F442+G442+H442+I442)</f>
        <v/>
      </c>
      <c r="L442" s="17" t="str">
        <f aca="false">IF(OR(K442="",E442=0,E442=""),"",K442/E442)</f>
        <v/>
      </c>
      <c r="M442" s="18" t="str">
        <f aca="false">IF(OR(A442="",E442=""),"",E442+ROW()/1000000)</f>
        <v/>
      </c>
    </row>
    <row r="443" customFormat="false" ht="15" hidden="false" customHeight="false" outlineLevel="0" collapsed="false">
      <c r="A443" s="12"/>
      <c r="B443" s="13"/>
      <c r="C443" s="13"/>
      <c r="D443" s="14"/>
      <c r="E443" s="15"/>
      <c r="F443" s="15"/>
      <c r="G443" s="15"/>
      <c r="H443" s="15"/>
      <c r="I443" s="15"/>
      <c r="J443" s="15"/>
      <c r="K443" s="16" t="str">
        <f aca="false">IF(A443="","",F443+G443+H443+I443)</f>
        <v/>
      </c>
      <c r="L443" s="17" t="str">
        <f aca="false">IF(OR(K443="",E443=0,E443=""),"",K443/E443)</f>
        <v/>
      </c>
      <c r="M443" s="18" t="str">
        <f aca="false">IF(OR(A443="",E443=""),"",E443+ROW()/1000000)</f>
        <v/>
      </c>
    </row>
    <row r="444" customFormat="false" ht="15" hidden="false" customHeight="false" outlineLevel="0" collapsed="false">
      <c r="A444" s="12"/>
      <c r="B444" s="13"/>
      <c r="C444" s="13"/>
      <c r="D444" s="14"/>
      <c r="E444" s="15"/>
      <c r="F444" s="15"/>
      <c r="G444" s="15"/>
      <c r="H444" s="15"/>
      <c r="I444" s="15"/>
      <c r="J444" s="15"/>
      <c r="K444" s="16" t="str">
        <f aca="false">IF(A444="","",F444+G444+H444+I444)</f>
        <v/>
      </c>
      <c r="L444" s="17" t="str">
        <f aca="false">IF(OR(K444="",E444=0,E444=""),"",K444/E444)</f>
        <v/>
      </c>
      <c r="M444" s="18" t="str">
        <f aca="false">IF(OR(A444="",E444=""),"",E444+ROW()/1000000)</f>
        <v/>
      </c>
    </row>
    <row r="445" customFormat="false" ht="15" hidden="false" customHeight="false" outlineLevel="0" collapsed="false">
      <c r="A445" s="12"/>
      <c r="B445" s="13"/>
      <c r="C445" s="13"/>
      <c r="D445" s="14"/>
      <c r="E445" s="15"/>
      <c r="F445" s="15"/>
      <c r="G445" s="15"/>
      <c r="H445" s="15"/>
      <c r="I445" s="15"/>
      <c r="J445" s="15"/>
      <c r="K445" s="16" t="str">
        <f aca="false">IF(A445="","",F445+G445+H445+I445)</f>
        <v/>
      </c>
      <c r="L445" s="17" t="str">
        <f aca="false">IF(OR(K445="",E445=0,E445=""),"",K445/E445)</f>
        <v/>
      </c>
      <c r="M445" s="18" t="str">
        <f aca="false">IF(OR(A445="",E445=""),"",E445+ROW()/1000000)</f>
        <v/>
      </c>
    </row>
    <row r="446" customFormat="false" ht="15" hidden="false" customHeight="false" outlineLevel="0" collapsed="false">
      <c r="A446" s="12"/>
      <c r="B446" s="13"/>
      <c r="C446" s="13"/>
      <c r="D446" s="14"/>
      <c r="E446" s="15"/>
      <c r="F446" s="15"/>
      <c r="G446" s="15"/>
      <c r="H446" s="15"/>
      <c r="I446" s="15"/>
      <c r="J446" s="15"/>
      <c r="K446" s="16" t="str">
        <f aca="false">IF(A446="","",F446+G446+H446+I446)</f>
        <v/>
      </c>
      <c r="L446" s="17" t="str">
        <f aca="false">IF(OR(K446="",E446=0,E446=""),"",K446/E446)</f>
        <v/>
      </c>
      <c r="M446" s="18" t="str">
        <f aca="false">IF(OR(A446="",E446=""),"",E446+ROW()/1000000)</f>
        <v/>
      </c>
    </row>
    <row r="447" customFormat="false" ht="15" hidden="false" customHeight="false" outlineLevel="0" collapsed="false">
      <c r="A447" s="12"/>
      <c r="B447" s="13"/>
      <c r="C447" s="13"/>
      <c r="D447" s="14"/>
      <c r="E447" s="15"/>
      <c r="F447" s="15"/>
      <c r="G447" s="15"/>
      <c r="H447" s="15"/>
      <c r="I447" s="15"/>
      <c r="J447" s="15"/>
      <c r="K447" s="16" t="str">
        <f aca="false">IF(A447="","",F447+G447+H447+I447)</f>
        <v/>
      </c>
      <c r="L447" s="17" t="str">
        <f aca="false">IF(OR(K447="",E447=0,E447=""),"",K447/E447)</f>
        <v/>
      </c>
      <c r="M447" s="18" t="str">
        <f aca="false">IF(OR(A447="",E447=""),"",E447+ROW()/1000000)</f>
        <v/>
      </c>
    </row>
    <row r="448" customFormat="false" ht="15" hidden="false" customHeight="false" outlineLevel="0" collapsed="false">
      <c r="A448" s="12"/>
      <c r="B448" s="13"/>
      <c r="C448" s="13"/>
      <c r="D448" s="14"/>
      <c r="E448" s="15"/>
      <c r="F448" s="15"/>
      <c r="G448" s="15"/>
      <c r="H448" s="15"/>
      <c r="I448" s="15"/>
      <c r="J448" s="15"/>
      <c r="K448" s="16" t="str">
        <f aca="false">IF(A448="","",F448+G448+H448+I448)</f>
        <v/>
      </c>
      <c r="L448" s="17" t="str">
        <f aca="false">IF(OR(K448="",E448=0,E448=""),"",K448/E448)</f>
        <v/>
      </c>
      <c r="M448" s="18" t="str">
        <f aca="false">IF(OR(A448="",E448=""),"",E448+ROW()/1000000)</f>
        <v/>
      </c>
    </row>
    <row r="449" customFormat="false" ht="15" hidden="false" customHeight="false" outlineLevel="0" collapsed="false">
      <c r="A449" s="12"/>
      <c r="B449" s="13"/>
      <c r="C449" s="13"/>
      <c r="D449" s="14"/>
      <c r="E449" s="15"/>
      <c r="F449" s="15"/>
      <c r="G449" s="15"/>
      <c r="H449" s="15"/>
      <c r="I449" s="15"/>
      <c r="J449" s="15"/>
      <c r="K449" s="16" t="str">
        <f aca="false">IF(A449="","",F449+G449+H449+I449)</f>
        <v/>
      </c>
      <c r="L449" s="17" t="str">
        <f aca="false">IF(OR(K449="",E449=0,E449=""),"",K449/E449)</f>
        <v/>
      </c>
      <c r="M449" s="18" t="str">
        <f aca="false">IF(OR(A449="",E449=""),"",E449+ROW()/1000000)</f>
        <v/>
      </c>
    </row>
    <row r="450" customFormat="false" ht="15" hidden="false" customHeight="false" outlineLevel="0" collapsed="false">
      <c r="A450" s="12"/>
      <c r="B450" s="13"/>
      <c r="C450" s="13"/>
      <c r="D450" s="14"/>
      <c r="E450" s="15"/>
      <c r="F450" s="15"/>
      <c r="G450" s="15"/>
      <c r="H450" s="15"/>
      <c r="I450" s="15"/>
      <c r="J450" s="15"/>
      <c r="K450" s="16" t="str">
        <f aca="false">IF(A450="","",F450+G450+H450+I450)</f>
        <v/>
      </c>
      <c r="L450" s="17" t="str">
        <f aca="false">IF(OR(K450="",E450=0,E450=""),"",K450/E450)</f>
        <v/>
      </c>
      <c r="M450" s="18" t="str">
        <f aca="false">IF(OR(A450="",E450=""),"",E450+ROW()/1000000)</f>
        <v/>
      </c>
    </row>
    <row r="451" customFormat="false" ht="15" hidden="false" customHeight="false" outlineLevel="0" collapsed="false">
      <c r="A451" s="12"/>
      <c r="B451" s="13"/>
      <c r="C451" s="13"/>
      <c r="D451" s="14"/>
      <c r="E451" s="15"/>
      <c r="F451" s="15"/>
      <c r="G451" s="15"/>
      <c r="H451" s="15"/>
      <c r="I451" s="15"/>
      <c r="J451" s="15"/>
      <c r="K451" s="16" t="str">
        <f aca="false">IF(A451="","",F451+G451+H451+I451)</f>
        <v/>
      </c>
      <c r="L451" s="17" t="str">
        <f aca="false">IF(OR(K451="",E451=0,E451=""),"",K451/E451)</f>
        <v/>
      </c>
      <c r="M451" s="18" t="str">
        <f aca="false">IF(OR(A451="",E451=""),"",E451+ROW()/1000000)</f>
        <v/>
      </c>
    </row>
    <row r="452" customFormat="false" ht="15" hidden="false" customHeight="false" outlineLevel="0" collapsed="false">
      <c r="A452" s="12"/>
      <c r="B452" s="13"/>
      <c r="C452" s="13"/>
      <c r="D452" s="14"/>
      <c r="E452" s="15"/>
      <c r="F452" s="15"/>
      <c r="G452" s="15"/>
      <c r="H452" s="15"/>
      <c r="I452" s="15"/>
      <c r="J452" s="15"/>
      <c r="K452" s="16" t="str">
        <f aca="false">IF(A452="","",F452+G452+H452+I452)</f>
        <v/>
      </c>
      <c r="L452" s="17" t="str">
        <f aca="false">IF(OR(K452="",E452=0,E452=""),"",K452/E452)</f>
        <v/>
      </c>
      <c r="M452" s="18" t="str">
        <f aca="false">IF(OR(A452="",E452=""),"",E452+ROW()/1000000)</f>
        <v/>
      </c>
    </row>
    <row r="453" customFormat="false" ht="15" hidden="false" customHeight="false" outlineLevel="0" collapsed="false">
      <c r="A453" s="12"/>
      <c r="B453" s="13"/>
      <c r="C453" s="13"/>
      <c r="D453" s="14"/>
      <c r="E453" s="15"/>
      <c r="F453" s="15"/>
      <c r="G453" s="15"/>
      <c r="H453" s="15"/>
      <c r="I453" s="15"/>
      <c r="J453" s="15"/>
      <c r="K453" s="16" t="str">
        <f aca="false">IF(A453="","",F453+G453+H453+I453)</f>
        <v/>
      </c>
      <c r="L453" s="17" t="str">
        <f aca="false">IF(OR(K453="",E453=0,E453=""),"",K453/E453)</f>
        <v/>
      </c>
      <c r="M453" s="18" t="str">
        <f aca="false">IF(OR(A453="",E453=""),"",E453+ROW()/1000000)</f>
        <v/>
      </c>
    </row>
    <row r="454" customFormat="false" ht="15" hidden="false" customHeight="false" outlineLevel="0" collapsed="false">
      <c r="A454" s="12"/>
      <c r="B454" s="13"/>
      <c r="C454" s="13"/>
      <c r="D454" s="14"/>
      <c r="E454" s="15"/>
      <c r="F454" s="15"/>
      <c r="G454" s="15"/>
      <c r="H454" s="15"/>
      <c r="I454" s="15"/>
      <c r="J454" s="15"/>
      <c r="K454" s="16" t="str">
        <f aca="false">IF(A454="","",F454+G454+H454+I454)</f>
        <v/>
      </c>
      <c r="L454" s="17" t="str">
        <f aca="false">IF(OR(K454="",E454=0,E454=""),"",K454/E454)</f>
        <v/>
      </c>
      <c r="M454" s="18" t="str">
        <f aca="false">IF(OR(A454="",E454=""),"",E454+ROW()/1000000)</f>
        <v/>
      </c>
    </row>
    <row r="455" customFormat="false" ht="15" hidden="false" customHeight="false" outlineLevel="0" collapsed="false">
      <c r="A455" s="12"/>
      <c r="B455" s="13"/>
      <c r="C455" s="13"/>
      <c r="D455" s="14"/>
      <c r="E455" s="15"/>
      <c r="F455" s="15"/>
      <c r="G455" s="15"/>
      <c r="H455" s="15"/>
      <c r="I455" s="15"/>
      <c r="J455" s="15"/>
      <c r="K455" s="16" t="str">
        <f aca="false">IF(A455="","",F455+G455+H455+I455)</f>
        <v/>
      </c>
      <c r="L455" s="17" t="str">
        <f aca="false">IF(OR(K455="",E455=0,E455=""),"",K455/E455)</f>
        <v/>
      </c>
      <c r="M455" s="18" t="str">
        <f aca="false">IF(OR(A455="",E455=""),"",E455+ROW()/1000000)</f>
        <v/>
      </c>
    </row>
    <row r="456" customFormat="false" ht="15" hidden="false" customHeight="false" outlineLevel="0" collapsed="false">
      <c r="A456" s="12"/>
      <c r="B456" s="13"/>
      <c r="C456" s="13"/>
      <c r="D456" s="14"/>
      <c r="E456" s="15"/>
      <c r="F456" s="15"/>
      <c r="G456" s="15"/>
      <c r="H456" s="15"/>
      <c r="I456" s="15"/>
      <c r="J456" s="15"/>
      <c r="K456" s="16" t="str">
        <f aca="false">IF(A456="","",F456+G456+H456+I456)</f>
        <v/>
      </c>
      <c r="L456" s="17" t="str">
        <f aca="false">IF(OR(K456="",E456=0,E456=""),"",K456/E456)</f>
        <v/>
      </c>
      <c r="M456" s="18" t="str">
        <f aca="false">IF(OR(A456="",E456=""),"",E456+ROW()/1000000)</f>
        <v/>
      </c>
    </row>
    <row r="457" customFormat="false" ht="15" hidden="false" customHeight="false" outlineLevel="0" collapsed="false">
      <c r="A457" s="12"/>
      <c r="B457" s="13"/>
      <c r="C457" s="13"/>
      <c r="D457" s="14"/>
      <c r="E457" s="15"/>
      <c r="F457" s="15"/>
      <c r="G457" s="15"/>
      <c r="H457" s="15"/>
      <c r="I457" s="15"/>
      <c r="J457" s="15"/>
      <c r="K457" s="16" t="str">
        <f aca="false">IF(A457="","",F457+G457+H457+I457)</f>
        <v/>
      </c>
      <c r="L457" s="17" t="str">
        <f aca="false">IF(OR(K457="",E457=0,E457=""),"",K457/E457)</f>
        <v/>
      </c>
      <c r="M457" s="18" t="str">
        <f aca="false">IF(OR(A457="",E457=""),"",E457+ROW()/1000000)</f>
        <v/>
      </c>
    </row>
    <row r="458" customFormat="false" ht="15" hidden="false" customHeight="false" outlineLevel="0" collapsed="false">
      <c r="A458" s="12"/>
      <c r="B458" s="13"/>
      <c r="C458" s="13"/>
      <c r="D458" s="14"/>
      <c r="E458" s="15"/>
      <c r="F458" s="15"/>
      <c r="G458" s="15"/>
      <c r="H458" s="15"/>
      <c r="I458" s="15"/>
      <c r="J458" s="15"/>
      <c r="K458" s="16" t="str">
        <f aca="false">IF(A458="","",F458+G458+H458+I458)</f>
        <v/>
      </c>
      <c r="L458" s="17" t="str">
        <f aca="false">IF(OR(K458="",E458=0,E458=""),"",K458/E458)</f>
        <v/>
      </c>
      <c r="M458" s="18" t="str">
        <f aca="false">IF(OR(A458="",E458=""),"",E458+ROW()/1000000)</f>
        <v/>
      </c>
    </row>
    <row r="459" customFormat="false" ht="15" hidden="false" customHeight="false" outlineLevel="0" collapsed="false">
      <c r="A459" s="12"/>
      <c r="B459" s="13"/>
      <c r="C459" s="13"/>
      <c r="D459" s="14"/>
      <c r="E459" s="15"/>
      <c r="F459" s="15"/>
      <c r="G459" s="15"/>
      <c r="H459" s="15"/>
      <c r="I459" s="15"/>
      <c r="J459" s="15"/>
      <c r="K459" s="16" t="str">
        <f aca="false">IF(A459="","",F459+G459+H459+I459)</f>
        <v/>
      </c>
      <c r="L459" s="17" t="str">
        <f aca="false">IF(OR(K459="",E459=0,E459=""),"",K459/E459)</f>
        <v/>
      </c>
      <c r="M459" s="18" t="str">
        <f aca="false">IF(OR(A459="",E459=""),"",E459+ROW()/1000000)</f>
        <v/>
      </c>
    </row>
    <row r="460" customFormat="false" ht="15" hidden="false" customHeight="false" outlineLevel="0" collapsed="false">
      <c r="A460" s="12"/>
      <c r="B460" s="13"/>
      <c r="C460" s="13"/>
      <c r="D460" s="14"/>
      <c r="E460" s="15"/>
      <c r="F460" s="15"/>
      <c r="G460" s="15"/>
      <c r="H460" s="15"/>
      <c r="I460" s="15"/>
      <c r="J460" s="15"/>
      <c r="K460" s="16" t="str">
        <f aca="false">IF(A460="","",F460+G460+H460+I460)</f>
        <v/>
      </c>
      <c r="L460" s="17" t="str">
        <f aca="false">IF(OR(K460="",E460=0,E460=""),"",K460/E460)</f>
        <v/>
      </c>
      <c r="M460" s="18" t="str">
        <f aca="false">IF(OR(A460="",E460=""),"",E460+ROW()/1000000)</f>
        <v/>
      </c>
    </row>
    <row r="461" customFormat="false" ht="15" hidden="false" customHeight="false" outlineLevel="0" collapsed="false">
      <c r="A461" s="12"/>
      <c r="B461" s="13"/>
      <c r="C461" s="13"/>
      <c r="D461" s="14"/>
      <c r="E461" s="15"/>
      <c r="F461" s="15"/>
      <c r="G461" s="15"/>
      <c r="H461" s="15"/>
      <c r="I461" s="15"/>
      <c r="J461" s="15"/>
      <c r="K461" s="16" t="str">
        <f aca="false">IF(A461="","",F461+G461+H461+I461)</f>
        <v/>
      </c>
      <c r="L461" s="17" t="str">
        <f aca="false">IF(OR(K461="",E461=0,E461=""),"",K461/E461)</f>
        <v/>
      </c>
      <c r="M461" s="18" t="str">
        <f aca="false">IF(OR(A461="",E461=""),"",E461+ROW()/1000000)</f>
        <v/>
      </c>
    </row>
    <row r="462" customFormat="false" ht="15" hidden="false" customHeight="false" outlineLevel="0" collapsed="false">
      <c r="A462" s="12"/>
      <c r="B462" s="13"/>
      <c r="C462" s="13"/>
      <c r="D462" s="14"/>
      <c r="E462" s="15"/>
      <c r="F462" s="15"/>
      <c r="G462" s="15"/>
      <c r="H462" s="15"/>
      <c r="I462" s="15"/>
      <c r="J462" s="15"/>
      <c r="K462" s="16" t="str">
        <f aca="false">IF(A462="","",F462+G462+H462+I462)</f>
        <v/>
      </c>
      <c r="L462" s="17" t="str">
        <f aca="false">IF(OR(K462="",E462=0,E462=""),"",K462/E462)</f>
        <v/>
      </c>
      <c r="M462" s="18" t="str">
        <f aca="false">IF(OR(A462="",E462=""),"",E462+ROW()/1000000)</f>
        <v/>
      </c>
    </row>
    <row r="463" customFormat="false" ht="15" hidden="false" customHeight="false" outlineLevel="0" collapsed="false">
      <c r="A463" s="12"/>
      <c r="B463" s="13"/>
      <c r="C463" s="13"/>
      <c r="D463" s="14"/>
      <c r="E463" s="15"/>
      <c r="F463" s="15"/>
      <c r="G463" s="15"/>
      <c r="H463" s="15"/>
      <c r="I463" s="15"/>
      <c r="J463" s="15"/>
      <c r="K463" s="16" t="str">
        <f aca="false">IF(A463="","",F463+G463+H463+I463)</f>
        <v/>
      </c>
      <c r="L463" s="17" t="str">
        <f aca="false">IF(OR(K463="",E463=0,E463=""),"",K463/E463)</f>
        <v/>
      </c>
      <c r="M463" s="18" t="str">
        <f aca="false">IF(OR(A463="",E463=""),"",E463+ROW()/1000000)</f>
        <v/>
      </c>
    </row>
    <row r="464" customFormat="false" ht="15" hidden="false" customHeight="false" outlineLevel="0" collapsed="false">
      <c r="A464" s="12"/>
      <c r="B464" s="13"/>
      <c r="C464" s="13"/>
      <c r="D464" s="14"/>
      <c r="E464" s="15"/>
      <c r="F464" s="15"/>
      <c r="G464" s="15"/>
      <c r="H464" s="15"/>
      <c r="I464" s="15"/>
      <c r="J464" s="15"/>
      <c r="K464" s="16" t="str">
        <f aca="false">IF(A464="","",F464+G464+H464+I464)</f>
        <v/>
      </c>
      <c r="L464" s="17" t="str">
        <f aca="false">IF(OR(K464="",E464=0,E464=""),"",K464/E464)</f>
        <v/>
      </c>
      <c r="M464" s="18" t="str">
        <f aca="false">IF(OR(A464="",E464=""),"",E464+ROW()/1000000)</f>
        <v/>
      </c>
    </row>
    <row r="465" customFormat="false" ht="15" hidden="false" customHeight="false" outlineLevel="0" collapsed="false">
      <c r="A465" s="12"/>
      <c r="B465" s="13"/>
      <c r="C465" s="13"/>
      <c r="D465" s="14"/>
      <c r="E465" s="15"/>
      <c r="F465" s="15"/>
      <c r="G465" s="15"/>
      <c r="H465" s="15"/>
      <c r="I465" s="15"/>
      <c r="J465" s="15"/>
      <c r="K465" s="16" t="str">
        <f aca="false">IF(A465="","",F465+G465+H465+I465)</f>
        <v/>
      </c>
      <c r="L465" s="17" t="str">
        <f aca="false">IF(OR(K465="",E465=0,E465=""),"",K465/E465)</f>
        <v/>
      </c>
      <c r="M465" s="18" t="str">
        <f aca="false">IF(OR(A465="",E465=""),"",E465+ROW()/1000000)</f>
        <v/>
      </c>
    </row>
    <row r="466" customFormat="false" ht="15" hidden="false" customHeight="false" outlineLevel="0" collapsed="false">
      <c r="A466" s="12"/>
      <c r="B466" s="13"/>
      <c r="C466" s="13"/>
      <c r="D466" s="14"/>
      <c r="E466" s="15"/>
      <c r="F466" s="15"/>
      <c r="G466" s="15"/>
      <c r="H466" s="15"/>
      <c r="I466" s="15"/>
      <c r="J466" s="15"/>
      <c r="K466" s="16" t="str">
        <f aca="false">IF(A466="","",F466+G466+H466+I466)</f>
        <v/>
      </c>
      <c r="L466" s="17" t="str">
        <f aca="false">IF(OR(K466="",E466=0,E466=""),"",K466/E466)</f>
        <v/>
      </c>
      <c r="M466" s="18" t="str">
        <f aca="false">IF(OR(A466="",E466=""),"",E466+ROW()/1000000)</f>
        <v/>
      </c>
    </row>
    <row r="467" customFormat="false" ht="15" hidden="false" customHeight="false" outlineLevel="0" collapsed="false">
      <c r="A467" s="12"/>
      <c r="B467" s="13"/>
      <c r="C467" s="13"/>
      <c r="D467" s="14"/>
      <c r="E467" s="15"/>
      <c r="F467" s="15"/>
      <c r="G467" s="15"/>
      <c r="H467" s="15"/>
      <c r="I467" s="15"/>
      <c r="J467" s="15"/>
      <c r="K467" s="16" t="str">
        <f aca="false">IF(A467="","",F467+G467+H467+I467)</f>
        <v/>
      </c>
      <c r="L467" s="17" t="str">
        <f aca="false">IF(OR(K467="",E467=0,E467=""),"",K467/E467)</f>
        <v/>
      </c>
      <c r="M467" s="18" t="str">
        <f aca="false">IF(OR(A467="",E467=""),"",E467+ROW()/1000000)</f>
        <v/>
      </c>
    </row>
    <row r="468" customFormat="false" ht="15" hidden="false" customHeight="false" outlineLevel="0" collapsed="false">
      <c r="A468" s="12"/>
      <c r="B468" s="13"/>
      <c r="C468" s="13"/>
      <c r="D468" s="14"/>
      <c r="E468" s="15"/>
      <c r="F468" s="15"/>
      <c r="G468" s="15"/>
      <c r="H468" s="15"/>
      <c r="I468" s="15"/>
      <c r="J468" s="15"/>
      <c r="K468" s="16" t="str">
        <f aca="false">IF(A468="","",F468+G468+H468+I468)</f>
        <v/>
      </c>
      <c r="L468" s="17" t="str">
        <f aca="false">IF(OR(K468="",E468=0,E468=""),"",K468/E468)</f>
        <v/>
      </c>
      <c r="M468" s="18" t="str">
        <f aca="false">IF(OR(A468="",E468=""),"",E468+ROW()/1000000)</f>
        <v/>
      </c>
    </row>
    <row r="469" customFormat="false" ht="15" hidden="false" customHeight="false" outlineLevel="0" collapsed="false">
      <c r="A469" s="12"/>
      <c r="B469" s="13"/>
      <c r="C469" s="13"/>
      <c r="D469" s="14"/>
      <c r="E469" s="15"/>
      <c r="F469" s="15"/>
      <c r="G469" s="15"/>
      <c r="H469" s="15"/>
      <c r="I469" s="15"/>
      <c r="J469" s="15"/>
      <c r="K469" s="16" t="str">
        <f aca="false">IF(A469="","",F469+G469+H469+I469)</f>
        <v/>
      </c>
      <c r="L469" s="17" t="str">
        <f aca="false">IF(OR(K469="",E469=0,E469=""),"",K469/E469)</f>
        <v/>
      </c>
      <c r="M469" s="18" t="str">
        <f aca="false">IF(OR(A469="",E469=""),"",E469+ROW()/1000000)</f>
        <v/>
      </c>
    </row>
    <row r="470" customFormat="false" ht="15" hidden="false" customHeight="false" outlineLevel="0" collapsed="false">
      <c r="A470" s="12"/>
      <c r="B470" s="13"/>
      <c r="C470" s="13"/>
      <c r="D470" s="14"/>
      <c r="E470" s="15"/>
      <c r="F470" s="15"/>
      <c r="G470" s="15"/>
      <c r="H470" s="15"/>
      <c r="I470" s="15"/>
      <c r="J470" s="15"/>
      <c r="K470" s="16" t="str">
        <f aca="false">IF(A470="","",F470+G470+H470+I470)</f>
        <v/>
      </c>
      <c r="L470" s="17" t="str">
        <f aca="false">IF(OR(K470="",E470=0,E470=""),"",K470/E470)</f>
        <v/>
      </c>
      <c r="M470" s="18" t="str">
        <f aca="false">IF(OR(A470="",E470=""),"",E470+ROW()/1000000)</f>
        <v/>
      </c>
    </row>
    <row r="471" customFormat="false" ht="15" hidden="false" customHeight="false" outlineLevel="0" collapsed="false">
      <c r="A471" s="12"/>
      <c r="B471" s="13"/>
      <c r="C471" s="13"/>
      <c r="D471" s="14"/>
      <c r="E471" s="15"/>
      <c r="F471" s="15"/>
      <c r="G471" s="15"/>
      <c r="H471" s="15"/>
      <c r="I471" s="15"/>
      <c r="J471" s="15"/>
      <c r="K471" s="16" t="str">
        <f aca="false">IF(A471="","",F471+G471+H471+I471)</f>
        <v/>
      </c>
      <c r="L471" s="17" t="str">
        <f aca="false">IF(OR(K471="",E471=0,E471=""),"",K471/E471)</f>
        <v/>
      </c>
      <c r="M471" s="18" t="str">
        <f aca="false">IF(OR(A471="",E471=""),"",E471+ROW()/1000000)</f>
        <v/>
      </c>
    </row>
    <row r="472" customFormat="false" ht="15" hidden="false" customHeight="false" outlineLevel="0" collapsed="false">
      <c r="A472" s="12"/>
      <c r="B472" s="13"/>
      <c r="C472" s="13"/>
      <c r="D472" s="14"/>
      <c r="E472" s="15"/>
      <c r="F472" s="15"/>
      <c r="G472" s="15"/>
      <c r="H472" s="15"/>
      <c r="I472" s="15"/>
      <c r="J472" s="15"/>
      <c r="K472" s="16" t="str">
        <f aca="false">IF(A472="","",F472+G472+H472+I472)</f>
        <v/>
      </c>
      <c r="L472" s="17" t="str">
        <f aca="false">IF(OR(K472="",E472=0,E472=""),"",K472/E472)</f>
        <v/>
      </c>
      <c r="M472" s="18" t="str">
        <f aca="false">IF(OR(A472="",E472=""),"",E472+ROW()/1000000)</f>
        <v/>
      </c>
    </row>
    <row r="473" customFormat="false" ht="15" hidden="false" customHeight="false" outlineLevel="0" collapsed="false">
      <c r="A473" s="12"/>
      <c r="B473" s="13"/>
      <c r="C473" s="13"/>
      <c r="D473" s="14"/>
      <c r="E473" s="15"/>
      <c r="F473" s="15"/>
      <c r="G473" s="15"/>
      <c r="H473" s="15"/>
      <c r="I473" s="15"/>
      <c r="J473" s="15"/>
      <c r="K473" s="16" t="str">
        <f aca="false">IF(A473="","",F473+G473+H473+I473)</f>
        <v/>
      </c>
      <c r="L473" s="17" t="str">
        <f aca="false">IF(OR(K473="",E473=0,E473=""),"",K473/E473)</f>
        <v/>
      </c>
      <c r="M473" s="18" t="str">
        <f aca="false">IF(OR(A473="",E473=""),"",E473+ROW()/1000000)</f>
        <v/>
      </c>
    </row>
    <row r="474" customFormat="false" ht="15" hidden="false" customHeight="false" outlineLevel="0" collapsed="false">
      <c r="A474" s="12"/>
      <c r="B474" s="13"/>
      <c r="C474" s="13"/>
      <c r="D474" s="14"/>
      <c r="E474" s="15"/>
      <c r="F474" s="15"/>
      <c r="G474" s="15"/>
      <c r="H474" s="15"/>
      <c r="I474" s="15"/>
      <c r="J474" s="15"/>
      <c r="K474" s="16" t="str">
        <f aca="false">IF(A474="","",F474+G474+H474+I474)</f>
        <v/>
      </c>
      <c r="L474" s="17" t="str">
        <f aca="false">IF(OR(K474="",E474=0,E474=""),"",K474/E474)</f>
        <v/>
      </c>
      <c r="M474" s="18" t="str">
        <f aca="false">IF(OR(A474="",E474=""),"",E474+ROW()/1000000)</f>
        <v/>
      </c>
    </row>
    <row r="475" customFormat="false" ht="15" hidden="false" customHeight="false" outlineLevel="0" collapsed="false">
      <c r="A475" s="12"/>
      <c r="B475" s="13"/>
      <c r="C475" s="13"/>
      <c r="D475" s="14"/>
      <c r="E475" s="15"/>
      <c r="F475" s="15"/>
      <c r="G475" s="15"/>
      <c r="H475" s="15"/>
      <c r="I475" s="15"/>
      <c r="J475" s="15"/>
      <c r="K475" s="16" t="str">
        <f aca="false">IF(A475="","",F475+G475+H475+I475)</f>
        <v/>
      </c>
      <c r="L475" s="17" t="str">
        <f aca="false">IF(OR(K475="",E475=0,E475=""),"",K475/E475)</f>
        <v/>
      </c>
      <c r="M475" s="18" t="str">
        <f aca="false">IF(OR(A475="",E475=""),"",E475+ROW()/1000000)</f>
        <v/>
      </c>
    </row>
    <row r="476" customFormat="false" ht="15" hidden="false" customHeight="false" outlineLevel="0" collapsed="false">
      <c r="A476" s="12"/>
      <c r="B476" s="13"/>
      <c r="C476" s="13"/>
      <c r="D476" s="14"/>
      <c r="E476" s="15"/>
      <c r="F476" s="15"/>
      <c r="G476" s="15"/>
      <c r="H476" s="15"/>
      <c r="I476" s="15"/>
      <c r="J476" s="15"/>
      <c r="K476" s="16" t="str">
        <f aca="false">IF(A476="","",F476+G476+H476+I476)</f>
        <v/>
      </c>
      <c r="L476" s="17" t="str">
        <f aca="false">IF(OR(K476="",E476=0,E476=""),"",K476/E476)</f>
        <v/>
      </c>
      <c r="M476" s="18" t="str">
        <f aca="false">IF(OR(A476="",E476=""),"",E476+ROW()/1000000)</f>
        <v/>
      </c>
    </row>
    <row r="477" customFormat="false" ht="15" hidden="false" customHeight="false" outlineLevel="0" collapsed="false">
      <c r="A477" s="12"/>
      <c r="B477" s="13"/>
      <c r="C477" s="13"/>
      <c r="D477" s="14"/>
      <c r="E477" s="15"/>
      <c r="F477" s="15"/>
      <c r="G477" s="15"/>
      <c r="H477" s="15"/>
      <c r="I477" s="15"/>
      <c r="J477" s="15"/>
      <c r="K477" s="16" t="str">
        <f aca="false">IF(A477="","",F477+G477+H477+I477)</f>
        <v/>
      </c>
      <c r="L477" s="17" t="str">
        <f aca="false">IF(OR(K477="",E477=0,E477=""),"",K477/E477)</f>
        <v/>
      </c>
      <c r="M477" s="18" t="str">
        <f aca="false">IF(OR(A477="",E477=""),"",E477+ROW()/1000000)</f>
        <v/>
      </c>
    </row>
    <row r="478" customFormat="false" ht="15" hidden="false" customHeight="false" outlineLevel="0" collapsed="false">
      <c r="A478" s="12"/>
      <c r="B478" s="13"/>
      <c r="C478" s="13"/>
      <c r="D478" s="14"/>
      <c r="E478" s="15"/>
      <c r="F478" s="15"/>
      <c r="G478" s="15"/>
      <c r="H478" s="15"/>
      <c r="I478" s="15"/>
      <c r="J478" s="15"/>
      <c r="K478" s="16" t="str">
        <f aca="false">IF(A478="","",F478+G478+H478+I478)</f>
        <v/>
      </c>
      <c r="L478" s="17" t="str">
        <f aca="false">IF(OR(K478="",E478=0,E478=""),"",K478/E478)</f>
        <v/>
      </c>
      <c r="M478" s="18" t="str">
        <f aca="false">IF(OR(A478="",E478=""),"",E478+ROW()/1000000)</f>
        <v/>
      </c>
    </row>
    <row r="479" customFormat="false" ht="15" hidden="false" customHeight="false" outlineLevel="0" collapsed="false">
      <c r="A479" s="12"/>
      <c r="B479" s="13"/>
      <c r="C479" s="13"/>
      <c r="D479" s="14"/>
      <c r="E479" s="15"/>
      <c r="F479" s="15"/>
      <c r="G479" s="15"/>
      <c r="H479" s="15"/>
      <c r="I479" s="15"/>
      <c r="J479" s="15"/>
      <c r="K479" s="16" t="str">
        <f aca="false">IF(A479="","",F479+G479+H479+I479)</f>
        <v/>
      </c>
      <c r="L479" s="17" t="str">
        <f aca="false">IF(OR(K479="",E479=0,E479=""),"",K479/E479)</f>
        <v/>
      </c>
      <c r="M479" s="18" t="str">
        <f aca="false">IF(OR(A479="",E479=""),"",E479+ROW()/1000000)</f>
        <v/>
      </c>
    </row>
    <row r="480" customFormat="false" ht="15" hidden="false" customHeight="false" outlineLevel="0" collapsed="false">
      <c r="A480" s="12"/>
      <c r="B480" s="13"/>
      <c r="C480" s="13"/>
      <c r="D480" s="14"/>
      <c r="E480" s="15"/>
      <c r="F480" s="15"/>
      <c r="G480" s="15"/>
      <c r="H480" s="15"/>
      <c r="I480" s="15"/>
      <c r="J480" s="15"/>
      <c r="K480" s="16" t="str">
        <f aca="false">IF(A480="","",F480+G480+H480+I480)</f>
        <v/>
      </c>
      <c r="L480" s="17" t="str">
        <f aca="false">IF(OR(K480="",E480=0,E480=""),"",K480/E480)</f>
        <v/>
      </c>
      <c r="M480" s="18" t="str">
        <f aca="false">IF(OR(A480="",E480=""),"",E480+ROW()/1000000)</f>
        <v/>
      </c>
    </row>
    <row r="481" customFormat="false" ht="15" hidden="false" customHeight="false" outlineLevel="0" collapsed="false">
      <c r="A481" s="12"/>
      <c r="B481" s="13"/>
      <c r="C481" s="13"/>
      <c r="D481" s="14"/>
      <c r="E481" s="15"/>
      <c r="F481" s="15"/>
      <c r="G481" s="15"/>
      <c r="H481" s="15"/>
      <c r="I481" s="15"/>
      <c r="J481" s="15"/>
      <c r="K481" s="16" t="str">
        <f aca="false">IF(A481="","",F481+G481+H481+I481)</f>
        <v/>
      </c>
      <c r="L481" s="17" t="str">
        <f aca="false">IF(OR(K481="",E481=0,E481=""),"",K481/E481)</f>
        <v/>
      </c>
      <c r="M481" s="18" t="str">
        <f aca="false">IF(OR(A481="",E481=""),"",E481+ROW()/1000000)</f>
        <v/>
      </c>
    </row>
    <row r="482" customFormat="false" ht="15" hidden="false" customHeight="false" outlineLevel="0" collapsed="false">
      <c r="A482" s="12"/>
      <c r="B482" s="13"/>
      <c r="C482" s="13"/>
      <c r="D482" s="14"/>
      <c r="E482" s="15"/>
      <c r="F482" s="15"/>
      <c r="G482" s="15"/>
      <c r="H482" s="15"/>
      <c r="I482" s="15"/>
      <c r="J482" s="15"/>
      <c r="K482" s="16" t="str">
        <f aca="false">IF(A482="","",F482+G482+H482+I482)</f>
        <v/>
      </c>
      <c r="L482" s="17" t="str">
        <f aca="false">IF(OR(K482="",E482=0,E482=""),"",K482/E482)</f>
        <v/>
      </c>
      <c r="M482" s="18" t="str">
        <f aca="false">IF(OR(A482="",E482=""),"",E482+ROW()/1000000)</f>
        <v/>
      </c>
    </row>
    <row r="483" customFormat="false" ht="15" hidden="false" customHeight="false" outlineLevel="0" collapsed="false">
      <c r="A483" s="12"/>
      <c r="B483" s="13"/>
      <c r="C483" s="13"/>
      <c r="D483" s="14"/>
      <c r="E483" s="15"/>
      <c r="F483" s="15"/>
      <c r="G483" s="15"/>
      <c r="H483" s="15"/>
      <c r="I483" s="15"/>
      <c r="J483" s="15"/>
      <c r="K483" s="16" t="str">
        <f aca="false">IF(A483="","",F483+G483+H483+I483)</f>
        <v/>
      </c>
      <c r="L483" s="17" t="str">
        <f aca="false">IF(OR(K483="",E483=0,E483=""),"",K483/E483)</f>
        <v/>
      </c>
      <c r="M483" s="18" t="str">
        <f aca="false">IF(OR(A483="",E483=""),"",E483+ROW()/1000000)</f>
        <v/>
      </c>
    </row>
    <row r="484" customFormat="false" ht="15" hidden="false" customHeight="false" outlineLevel="0" collapsed="false">
      <c r="A484" s="12"/>
      <c r="B484" s="13"/>
      <c r="C484" s="13"/>
      <c r="D484" s="14"/>
      <c r="E484" s="15"/>
      <c r="F484" s="15"/>
      <c r="G484" s="15"/>
      <c r="H484" s="15"/>
      <c r="I484" s="15"/>
      <c r="J484" s="15"/>
      <c r="K484" s="16" t="str">
        <f aca="false">IF(A484="","",F484+G484+H484+I484)</f>
        <v/>
      </c>
      <c r="L484" s="17" t="str">
        <f aca="false">IF(OR(K484="",E484=0,E484=""),"",K484/E484)</f>
        <v/>
      </c>
      <c r="M484" s="18" t="str">
        <f aca="false">IF(OR(A484="",E484=""),"",E484+ROW()/1000000)</f>
        <v/>
      </c>
    </row>
    <row r="485" customFormat="false" ht="15" hidden="false" customHeight="false" outlineLevel="0" collapsed="false">
      <c r="A485" s="12"/>
      <c r="B485" s="13"/>
      <c r="C485" s="13"/>
      <c r="D485" s="14"/>
      <c r="E485" s="15"/>
      <c r="F485" s="15"/>
      <c r="G485" s="15"/>
      <c r="H485" s="15"/>
      <c r="I485" s="15"/>
      <c r="J485" s="15"/>
      <c r="K485" s="16" t="str">
        <f aca="false">IF(A485="","",F485+G485+H485+I485)</f>
        <v/>
      </c>
      <c r="L485" s="17" t="str">
        <f aca="false">IF(OR(K485="",E485=0,E485=""),"",K485/E485)</f>
        <v/>
      </c>
      <c r="M485" s="18" t="str">
        <f aca="false">IF(OR(A485="",E485=""),"",E485+ROW()/1000000)</f>
        <v/>
      </c>
    </row>
    <row r="486" customFormat="false" ht="15" hidden="false" customHeight="false" outlineLevel="0" collapsed="false">
      <c r="A486" s="12"/>
      <c r="B486" s="13"/>
      <c r="C486" s="13"/>
      <c r="D486" s="14"/>
      <c r="E486" s="15"/>
      <c r="F486" s="15"/>
      <c r="G486" s="15"/>
      <c r="H486" s="15"/>
      <c r="I486" s="15"/>
      <c r="J486" s="15"/>
      <c r="K486" s="16" t="str">
        <f aca="false">IF(A486="","",F486+G486+H486+I486)</f>
        <v/>
      </c>
      <c r="L486" s="17" t="str">
        <f aca="false">IF(OR(K486="",E486=0,E486=""),"",K486/E486)</f>
        <v/>
      </c>
      <c r="M486" s="18" t="str">
        <f aca="false">IF(OR(A486="",E486=""),"",E486+ROW()/1000000)</f>
        <v/>
      </c>
    </row>
    <row r="487" customFormat="false" ht="15" hidden="false" customHeight="false" outlineLevel="0" collapsed="false">
      <c r="A487" s="12"/>
      <c r="B487" s="13"/>
      <c r="C487" s="13"/>
      <c r="D487" s="14"/>
      <c r="E487" s="15"/>
      <c r="F487" s="15"/>
      <c r="G487" s="15"/>
      <c r="H487" s="15"/>
      <c r="I487" s="15"/>
      <c r="J487" s="15"/>
      <c r="K487" s="16" t="str">
        <f aca="false">IF(A487="","",F487+G487+H487+I487)</f>
        <v/>
      </c>
      <c r="L487" s="17" t="str">
        <f aca="false">IF(OR(K487="",E487=0,E487=""),"",K487/E487)</f>
        <v/>
      </c>
      <c r="M487" s="18" t="str">
        <f aca="false">IF(OR(A487="",E487=""),"",E487+ROW()/1000000)</f>
        <v/>
      </c>
    </row>
    <row r="488" customFormat="false" ht="15" hidden="false" customHeight="false" outlineLevel="0" collapsed="false">
      <c r="A488" s="12"/>
      <c r="B488" s="13"/>
      <c r="C488" s="13"/>
      <c r="D488" s="14"/>
      <c r="E488" s="15"/>
      <c r="F488" s="15"/>
      <c r="G488" s="15"/>
      <c r="H488" s="15"/>
      <c r="I488" s="15"/>
      <c r="J488" s="15"/>
      <c r="K488" s="16" t="str">
        <f aca="false">IF(A488="","",F488+G488+H488+I488)</f>
        <v/>
      </c>
      <c r="L488" s="17" t="str">
        <f aca="false">IF(OR(K488="",E488=0,E488=""),"",K488/E488)</f>
        <v/>
      </c>
      <c r="M488" s="18" t="str">
        <f aca="false">IF(OR(A488="",E488=""),"",E488+ROW()/1000000)</f>
        <v/>
      </c>
    </row>
    <row r="489" customFormat="false" ht="15" hidden="false" customHeight="false" outlineLevel="0" collapsed="false">
      <c r="A489" s="12"/>
      <c r="B489" s="13"/>
      <c r="C489" s="13"/>
      <c r="D489" s="14"/>
      <c r="E489" s="15"/>
      <c r="F489" s="15"/>
      <c r="G489" s="15"/>
      <c r="H489" s="15"/>
      <c r="I489" s="15"/>
      <c r="J489" s="15"/>
      <c r="K489" s="16" t="str">
        <f aca="false">IF(A489="","",F489+G489+H489+I489)</f>
        <v/>
      </c>
      <c r="L489" s="17" t="str">
        <f aca="false">IF(OR(K489="",E489=0,E489=""),"",K489/E489)</f>
        <v/>
      </c>
      <c r="M489" s="18" t="str">
        <f aca="false">IF(OR(A489="",E489=""),"",E489+ROW()/1000000)</f>
        <v/>
      </c>
    </row>
    <row r="490" customFormat="false" ht="15" hidden="false" customHeight="false" outlineLevel="0" collapsed="false">
      <c r="A490" s="12"/>
      <c r="B490" s="13"/>
      <c r="C490" s="13"/>
      <c r="D490" s="14"/>
      <c r="E490" s="15"/>
      <c r="F490" s="15"/>
      <c r="G490" s="15"/>
      <c r="H490" s="15"/>
      <c r="I490" s="15"/>
      <c r="J490" s="15"/>
      <c r="K490" s="16" t="str">
        <f aca="false">IF(A490="","",F490+G490+H490+I490)</f>
        <v/>
      </c>
      <c r="L490" s="17" t="str">
        <f aca="false">IF(OR(K490="",E490=0,E490=""),"",K490/E490)</f>
        <v/>
      </c>
      <c r="M490" s="18" t="str">
        <f aca="false">IF(OR(A490="",E490=""),"",E490+ROW()/1000000)</f>
        <v/>
      </c>
    </row>
    <row r="491" customFormat="false" ht="15" hidden="false" customHeight="false" outlineLevel="0" collapsed="false">
      <c r="A491" s="12"/>
      <c r="B491" s="13"/>
      <c r="C491" s="13"/>
      <c r="D491" s="14"/>
      <c r="E491" s="15"/>
      <c r="F491" s="15"/>
      <c r="G491" s="15"/>
      <c r="H491" s="15"/>
      <c r="I491" s="15"/>
      <c r="J491" s="15"/>
      <c r="K491" s="16" t="str">
        <f aca="false">IF(A491="","",F491+G491+H491+I491)</f>
        <v/>
      </c>
      <c r="L491" s="17" t="str">
        <f aca="false">IF(OR(K491="",E491=0,E491=""),"",K491/E491)</f>
        <v/>
      </c>
      <c r="M491" s="18" t="str">
        <f aca="false">IF(OR(A491="",E491=""),"",E491+ROW()/1000000)</f>
        <v/>
      </c>
    </row>
    <row r="492" customFormat="false" ht="15" hidden="false" customHeight="false" outlineLevel="0" collapsed="false">
      <c r="A492" s="12"/>
      <c r="B492" s="13"/>
      <c r="C492" s="13"/>
      <c r="D492" s="14"/>
      <c r="E492" s="15"/>
      <c r="F492" s="15"/>
      <c r="G492" s="15"/>
      <c r="H492" s="15"/>
      <c r="I492" s="15"/>
      <c r="J492" s="15"/>
      <c r="K492" s="16" t="str">
        <f aca="false">IF(A492="","",F492+G492+H492+I492)</f>
        <v/>
      </c>
      <c r="L492" s="17" t="str">
        <f aca="false">IF(OR(K492="",E492=0,E492=""),"",K492/E492)</f>
        <v/>
      </c>
      <c r="M492" s="18" t="str">
        <f aca="false">IF(OR(A492="",E492=""),"",E492+ROW()/1000000)</f>
        <v/>
      </c>
    </row>
    <row r="493" customFormat="false" ht="15" hidden="false" customHeight="false" outlineLevel="0" collapsed="false">
      <c r="A493" s="12"/>
      <c r="B493" s="13"/>
      <c r="C493" s="13"/>
      <c r="D493" s="14"/>
      <c r="E493" s="15"/>
      <c r="F493" s="15"/>
      <c r="G493" s="15"/>
      <c r="H493" s="15"/>
      <c r="I493" s="15"/>
      <c r="J493" s="15"/>
      <c r="K493" s="16" t="str">
        <f aca="false">IF(A493="","",F493+G493+H493+I493)</f>
        <v/>
      </c>
      <c r="L493" s="17" t="str">
        <f aca="false">IF(OR(K493="",E493=0,E493=""),"",K493/E493)</f>
        <v/>
      </c>
      <c r="M493" s="18" t="str">
        <f aca="false">IF(OR(A493="",E493=""),"",E493+ROW()/1000000)</f>
        <v/>
      </c>
    </row>
    <row r="494" customFormat="false" ht="15" hidden="false" customHeight="false" outlineLevel="0" collapsed="false">
      <c r="A494" s="12"/>
      <c r="B494" s="13"/>
      <c r="C494" s="13"/>
      <c r="D494" s="14"/>
      <c r="E494" s="15"/>
      <c r="F494" s="15"/>
      <c r="G494" s="15"/>
      <c r="H494" s="15"/>
      <c r="I494" s="15"/>
      <c r="J494" s="15"/>
      <c r="K494" s="16" t="str">
        <f aca="false">IF(A494="","",F494+G494+H494+I494)</f>
        <v/>
      </c>
      <c r="L494" s="17" t="str">
        <f aca="false">IF(OR(K494="",E494=0,E494=""),"",K494/E494)</f>
        <v/>
      </c>
      <c r="M494" s="18" t="str">
        <f aca="false">IF(OR(A494="",E494=""),"",E494+ROW()/1000000)</f>
        <v/>
      </c>
    </row>
    <row r="495" customFormat="false" ht="15" hidden="false" customHeight="false" outlineLevel="0" collapsed="false">
      <c r="A495" s="12"/>
      <c r="B495" s="13"/>
      <c r="C495" s="13"/>
      <c r="D495" s="14"/>
      <c r="E495" s="15"/>
      <c r="F495" s="15"/>
      <c r="G495" s="15"/>
      <c r="H495" s="15"/>
      <c r="I495" s="15"/>
      <c r="J495" s="15"/>
      <c r="K495" s="16" t="str">
        <f aca="false">IF(A495="","",F495+G495+H495+I495)</f>
        <v/>
      </c>
      <c r="L495" s="17" t="str">
        <f aca="false">IF(OR(K495="",E495=0,E495=""),"",K495/E495)</f>
        <v/>
      </c>
      <c r="M495" s="18" t="str">
        <f aca="false">IF(OR(A495="",E495=""),"",E495+ROW()/1000000)</f>
        <v/>
      </c>
    </row>
    <row r="496" customFormat="false" ht="15" hidden="false" customHeight="false" outlineLevel="0" collapsed="false">
      <c r="A496" s="12"/>
      <c r="B496" s="13"/>
      <c r="C496" s="13"/>
      <c r="D496" s="14"/>
      <c r="E496" s="15"/>
      <c r="F496" s="15"/>
      <c r="G496" s="15"/>
      <c r="H496" s="15"/>
      <c r="I496" s="15"/>
      <c r="J496" s="15"/>
      <c r="K496" s="16" t="str">
        <f aca="false">IF(A496="","",F496+G496+H496+I496)</f>
        <v/>
      </c>
      <c r="L496" s="17" t="str">
        <f aca="false">IF(OR(K496="",E496=0,E496=""),"",K496/E496)</f>
        <v/>
      </c>
      <c r="M496" s="18" t="str">
        <f aca="false">IF(OR(A496="",E496=""),"",E496+ROW()/1000000)</f>
        <v/>
      </c>
    </row>
    <row r="497" customFormat="false" ht="15" hidden="false" customHeight="false" outlineLevel="0" collapsed="false">
      <c r="A497" s="12"/>
      <c r="B497" s="13"/>
      <c r="C497" s="13"/>
      <c r="D497" s="14"/>
      <c r="E497" s="15"/>
      <c r="F497" s="15"/>
      <c r="G497" s="15"/>
      <c r="H497" s="15"/>
      <c r="I497" s="15"/>
      <c r="J497" s="15"/>
      <c r="K497" s="16" t="str">
        <f aca="false">IF(A497="","",F497+G497+H497+I497)</f>
        <v/>
      </c>
      <c r="L497" s="17" t="str">
        <f aca="false">IF(OR(K497="",E497=0,E497=""),"",K497/E497)</f>
        <v/>
      </c>
      <c r="M497" s="18" t="str">
        <f aca="false">IF(OR(A497="",E497=""),"",E497+ROW()/1000000)</f>
        <v/>
      </c>
    </row>
    <row r="498" customFormat="false" ht="15" hidden="false" customHeight="false" outlineLevel="0" collapsed="false">
      <c r="A498" s="12"/>
      <c r="B498" s="13"/>
      <c r="C498" s="13"/>
      <c r="D498" s="14"/>
      <c r="E498" s="15"/>
      <c r="F498" s="15"/>
      <c r="G498" s="15"/>
      <c r="H498" s="15"/>
      <c r="I498" s="15"/>
      <c r="J498" s="15"/>
      <c r="K498" s="16" t="str">
        <f aca="false">IF(A498="","",F498+G498+H498+I498)</f>
        <v/>
      </c>
      <c r="L498" s="17" t="str">
        <f aca="false">IF(OR(K498="",E498=0,E498=""),"",K498/E498)</f>
        <v/>
      </c>
      <c r="M498" s="18" t="str">
        <f aca="false">IF(OR(A498="",E498=""),"",E498+ROW()/1000000)</f>
        <v/>
      </c>
    </row>
    <row r="499" customFormat="false" ht="15" hidden="false" customHeight="false" outlineLevel="0" collapsed="false">
      <c r="A499" s="12"/>
      <c r="B499" s="13"/>
      <c r="C499" s="13"/>
      <c r="D499" s="14"/>
      <c r="E499" s="15"/>
      <c r="F499" s="15"/>
      <c r="G499" s="15"/>
      <c r="H499" s="15"/>
      <c r="I499" s="15"/>
      <c r="J499" s="15"/>
      <c r="K499" s="16" t="str">
        <f aca="false">IF(A499="","",F499+G499+H499+I499)</f>
        <v/>
      </c>
      <c r="L499" s="17" t="str">
        <f aca="false">IF(OR(K499="",E499=0,E499=""),"",K499/E499)</f>
        <v/>
      </c>
      <c r="M499" s="18" t="str">
        <f aca="false">IF(OR(A499="",E499=""),"",E499+ROW()/1000000)</f>
        <v/>
      </c>
    </row>
    <row r="500" customFormat="false" ht="15" hidden="false" customHeight="false" outlineLevel="0" collapsed="false">
      <c r="A500" s="12"/>
      <c r="B500" s="13"/>
      <c r="C500" s="13"/>
      <c r="D500" s="14"/>
      <c r="E500" s="15"/>
      <c r="F500" s="15"/>
      <c r="G500" s="15"/>
      <c r="H500" s="15"/>
      <c r="I500" s="15"/>
      <c r="J500" s="15"/>
      <c r="K500" s="16" t="str">
        <f aca="false">IF(A500="","",F500+G500+H500+I500)</f>
        <v/>
      </c>
      <c r="L500" s="17" t="str">
        <f aca="false">IF(OR(K500="",E500=0,E500=""),"",K500/E500)</f>
        <v/>
      </c>
      <c r="M500" s="18" t="str">
        <f aca="false">IF(OR(A500="",E500=""),"",E500+ROW()/1000000)</f>
        <v/>
      </c>
    </row>
    <row r="501" customFormat="false" ht="15" hidden="false" customHeight="false" outlineLevel="0" collapsed="false">
      <c r="A501" s="12"/>
      <c r="B501" s="13"/>
      <c r="C501" s="13"/>
      <c r="D501" s="14"/>
      <c r="E501" s="15"/>
      <c r="F501" s="15"/>
      <c r="G501" s="15"/>
      <c r="H501" s="15"/>
      <c r="I501" s="15"/>
      <c r="J501" s="15"/>
      <c r="K501" s="16" t="str">
        <f aca="false">IF(A501="","",F501+G501+H501+I501)</f>
        <v/>
      </c>
      <c r="L501" s="17" t="str">
        <f aca="false">IF(OR(K501="",E501=0,E501=""),"",K501/E501)</f>
        <v/>
      </c>
      <c r="M501" s="18" t="str">
        <f aca="false">IF(OR(A501="",E501=""),"",E501+ROW()/1000000)</f>
        <v/>
      </c>
    </row>
    <row r="502" customFormat="false" ht="15" hidden="false" customHeight="false" outlineLevel="0" collapsed="false">
      <c r="A502" s="12"/>
      <c r="B502" s="13"/>
      <c r="C502" s="13"/>
      <c r="D502" s="14"/>
      <c r="E502" s="15"/>
      <c r="F502" s="15"/>
      <c r="G502" s="15"/>
      <c r="H502" s="15"/>
      <c r="I502" s="15"/>
      <c r="J502" s="15"/>
      <c r="K502" s="16" t="str">
        <f aca="false">IF(A502="","",F502+G502+H502+I502)</f>
        <v/>
      </c>
      <c r="L502" s="17" t="str">
        <f aca="false">IF(OR(K502="",E502=0,E502=""),"",K502/E502)</f>
        <v/>
      </c>
      <c r="M502" s="18" t="str">
        <f aca="false">IF(OR(A502="",E502=""),"",E502+ROW()/1000000)</f>
        <v/>
      </c>
    </row>
    <row r="503" customFormat="false" ht="15" hidden="false" customHeight="false" outlineLevel="0" collapsed="false">
      <c r="A503" s="12"/>
      <c r="B503" s="13"/>
      <c r="C503" s="13"/>
      <c r="D503" s="14"/>
      <c r="E503" s="15"/>
      <c r="F503" s="15"/>
      <c r="G503" s="15"/>
      <c r="H503" s="15"/>
      <c r="I503" s="15"/>
      <c r="J503" s="15"/>
      <c r="K503" s="16" t="str">
        <f aca="false">IF(A503="","",F503+G503+H503+I503)</f>
        <v/>
      </c>
      <c r="L503" s="17" t="str">
        <f aca="false">IF(OR(K503="",E503=0,E503=""),"",K503/E503)</f>
        <v/>
      </c>
      <c r="M503" s="18" t="str">
        <f aca="false">IF(OR(A503="",E503=""),"",E503+ROW()/1000000)</f>
        <v/>
      </c>
    </row>
    <row r="504" customFormat="false" ht="15" hidden="false" customHeight="false" outlineLevel="0" collapsed="false">
      <c r="A504" s="12"/>
      <c r="B504" s="13"/>
      <c r="C504" s="13"/>
      <c r="D504" s="14"/>
      <c r="E504" s="15"/>
      <c r="F504" s="15"/>
      <c r="G504" s="15"/>
      <c r="H504" s="15"/>
      <c r="I504" s="15"/>
      <c r="J504" s="15"/>
      <c r="K504" s="16" t="str">
        <f aca="false">IF(A504="","",F504+G504+H504+I504)</f>
        <v/>
      </c>
      <c r="L504" s="17" t="str">
        <f aca="false">IF(OR(K504="",E504=0,E504=""),"",K504/E504)</f>
        <v/>
      </c>
      <c r="M504" s="18" t="str">
        <f aca="false">IF(OR(A504="",E504=""),"",E504+ROW()/1000000)</f>
        <v/>
      </c>
    </row>
    <row r="505" customFormat="false" ht="15" hidden="false" customHeight="false" outlineLevel="0" collapsed="false">
      <c r="A505" s="12"/>
      <c r="B505" s="13"/>
      <c r="C505" s="13"/>
      <c r="D505" s="14"/>
      <c r="E505" s="15"/>
      <c r="F505" s="15"/>
      <c r="G505" s="15"/>
      <c r="H505" s="15"/>
      <c r="I505" s="15"/>
      <c r="J505" s="15"/>
      <c r="K505" s="16" t="str">
        <f aca="false">IF(A505="","",F505+G505+H505+I505)</f>
        <v/>
      </c>
      <c r="L505" s="17" t="str">
        <f aca="false">IF(OR(K505="",E505=0,E505=""),"",K505/E505)</f>
        <v/>
      </c>
      <c r="M505" s="18" t="str">
        <f aca="false">IF(OR(A505="",E505=""),"",E505+ROW()/1000000)</f>
        <v/>
      </c>
    </row>
    <row r="506" customFormat="false" ht="15" hidden="false" customHeight="false" outlineLevel="0" collapsed="false">
      <c r="A506" s="12"/>
      <c r="B506" s="13"/>
      <c r="C506" s="13"/>
      <c r="D506" s="14"/>
      <c r="E506" s="15"/>
      <c r="F506" s="15"/>
      <c r="G506" s="15"/>
      <c r="H506" s="15"/>
      <c r="I506" s="15"/>
      <c r="J506" s="15"/>
      <c r="K506" s="16" t="str">
        <f aca="false">IF(A506="","",F506+G506+H506+I506)</f>
        <v/>
      </c>
      <c r="L506" s="17" t="str">
        <f aca="false">IF(OR(K506="",E506=0,E506=""),"",K506/E506)</f>
        <v/>
      </c>
      <c r="M506" s="18" t="str">
        <f aca="false">IF(OR(A506="",E506=""),"",E506+ROW()/1000000)</f>
        <v/>
      </c>
    </row>
    <row r="507" customFormat="false" ht="15" hidden="false" customHeight="false" outlineLevel="0" collapsed="false">
      <c r="A507" s="12"/>
      <c r="B507" s="13"/>
      <c r="C507" s="13"/>
      <c r="D507" s="14"/>
      <c r="E507" s="15"/>
      <c r="F507" s="15"/>
      <c r="G507" s="15"/>
      <c r="H507" s="15"/>
      <c r="I507" s="15"/>
      <c r="J507" s="15"/>
      <c r="K507" s="16" t="str">
        <f aca="false">IF(A507="","",F507+G507+H507+I507)</f>
        <v/>
      </c>
      <c r="L507" s="17" t="str">
        <f aca="false">IF(OR(K507="",E507=0,E507=""),"",K507/E507)</f>
        <v/>
      </c>
      <c r="M507" s="18" t="str">
        <f aca="false">IF(OR(A507="",E507=""),"",E507+ROW()/1000000)</f>
        <v/>
      </c>
    </row>
    <row r="508" customFormat="false" ht="15" hidden="false" customHeight="false" outlineLevel="0" collapsed="false">
      <c r="A508" s="12"/>
      <c r="B508" s="13"/>
      <c r="C508" s="13"/>
      <c r="D508" s="14"/>
      <c r="E508" s="15"/>
      <c r="F508" s="15"/>
      <c r="G508" s="15"/>
      <c r="H508" s="15"/>
      <c r="I508" s="15"/>
      <c r="J508" s="15"/>
      <c r="K508" s="16" t="str">
        <f aca="false">IF(A508="","",F508+G508+H508+I508)</f>
        <v/>
      </c>
      <c r="L508" s="17" t="str">
        <f aca="false">IF(OR(K508="",E508=0,E508=""),"",K508/E508)</f>
        <v/>
      </c>
      <c r="M508" s="18" t="str">
        <f aca="false">IF(OR(A508="",E508=""),"",E508+ROW()/1000000)</f>
        <v/>
      </c>
    </row>
    <row r="509" customFormat="false" ht="15" hidden="false" customHeight="false" outlineLevel="0" collapsed="false">
      <c r="A509" s="12"/>
      <c r="B509" s="13"/>
      <c r="C509" s="13"/>
      <c r="D509" s="14"/>
      <c r="E509" s="15"/>
      <c r="F509" s="15"/>
      <c r="G509" s="15"/>
      <c r="H509" s="15"/>
      <c r="I509" s="15"/>
      <c r="J509" s="15"/>
      <c r="K509" s="16" t="str">
        <f aca="false">IF(A509="","",F509+G509+H509+I509)</f>
        <v/>
      </c>
      <c r="L509" s="17" t="str">
        <f aca="false">IF(OR(K509="",E509=0,E509=""),"",K509/E509)</f>
        <v/>
      </c>
      <c r="M509" s="18" t="str">
        <f aca="false">IF(OR(A509="",E509=""),"",E509+ROW()/1000000)</f>
        <v/>
      </c>
    </row>
    <row r="510" customFormat="false" ht="15" hidden="false" customHeight="false" outlineLevel="0" collapsed="false">
      <c r="A510" s="12"/>
      <c r="B510" s="13"/>
      <c r="C510" s="13"/>
      <c r="D510" s="14"/>
      <c r="E510" s="15"/>
      <c r="F510" s="15"/>
      <c r="G510" s="15"/>
      <c r="H510" s="15"/>
      <c r="I510" s="15"/>
      <c r="J510" s="15"/>
      <c r="K510" s="16" t="str">
        <f aca="false">IF(A510="","",F510+G510+H510+I510)</f>
        <v/>
      </c>
      <c r="L510" s="17" t="str">
        <f aca="false">IF(OR(K510="",E510=0,E510=""),"",K510/E510)</f>
        <v/>
      </c>
      <c r="M510" s="18" t="str">
        <f aca="false">IF(OR(A510="",E510=""),"",E510+ROW()/1000000)</f>
        <v/>
      </c>
    </row>
    <row r="511" customFormat="false" ht="15" hidden="false" customHeight="false" outlineLevel="0" collapsed="false">
      <c r="A511" s="12"/>
      <c r="B511" s="13"/>
      <c r="C511" s="13"/>
      <c r="D511" s="14"/>
      <c r="E511" s="15"/>
      <c r="F511" s="15"/>
      <c r="G511" s="15"/>
      <c r="H511" s="15"/>
      <c r="I511" s="15"/>
      <c r="J511" s="15"/>
      <c r="K511" s="16" t="str">
        <f aca="false">IF(A511="","",F511+G511+H511+I511)</f>
        <v/>
      </c>
      <c r="L511" s="17" t="str">
        <f aca="false">IF(OR(K511="",E511=0,E511=""),"",K511/E511)</f>
        <v/>
      </c>
      <c r="M511" s="18" t="str">
        <f aca="false">IF(OR(A511="",E511=""),"",E511+ROW()/1000000)</f>
        <v/>
      </c>
    </row>
    <row r="512" customFormat="false" ht="15" hidden="false" customHeight="false" outlineLevel="0" collapsed="false">
      <c r="A512" s="12"/>
      <c r="B512" s="13"/>
      <c r="C512" s="13"/>
      <c r="D512" s="14"/>
      <c r="E512" s="15"/>
      <c r="F512" s="15"/>
      <c r="G512" s="15"/>
      <c r="H512" s="15"/>
      <c r="I512" s="15"/>
      <c r="J512" s="15"/>
      <c r="K512" s="16" t="str">
        <f aca="false">IF(A512="","",F512+G512+H512+I512)</f>
        <v/>
      </c>
      <c r="L512" s="17" t="str">
        <f aca="false">IF(OR(K512="",E512=0,E512=""),"",K512/E512)</f>
        <v/>
      </c>
      <c r="M512" s="18" t="str">
        <f aca="false">IF(OR(A512="",E512=""),"",E512+ROW()/1000000)</f>
        <v/>
      </c>
    </row>
    <row r="513" customFormat="false" ht="15" hidden="false" customHeight="false" outlineLevel="0" collapsed="false">
      <c r="A513" s="12"/>
      <c r="B513" s="13"/>
      <c r="C513" s="13"/>
      <c r="D513" s="14"/>
      <c r="E513" s="15"/>
      <c r="F513" s="15"/>
      <c r="G513" s="15"/>
      <c r="H513" s="15"/>
      <c r="I513" s="15"/>
      <c r="J513" s="15"/>
      <c r="K513" s="16" t="str">
        <f aca="false">IF(A513="","",F513+G513+H513+I513)</f>
        <v/>
      </c>
      <c r="L513" s="17" t="str">
        <f aca="false">IF(OR(K513="",E513=0,E513=""),"",K513/E513)</f>
        <v/>
      </c>
      <c r="M513" s="18" t="str">
        <f aca="false">IF(OR(A513="",E513=""),"",E513+ROW()/1000000)</f>
        <v/>
      </c>
    </row>
    <row r="514" customFormat="false" ht="15" hidden="false" customHeight="false" outlineLevel="0" collapsed="false">
      <c r="A514" s="12"/>
      <c r="B514" s="13"/>
      <c r="C514" s="13"/>
      <c r="D514" s="14"/>
      <c r="E514" s="15"/>
      <c r="F514" s="15"/>
      <c r="G514" s="15"/>
      <c r="H514" s="15"/>
      <c r="I514" s="15"/>
      <c r="J514" s="15"/>
      <c r="K514" s="16" t="str">
        <f aca="false">IF(A514="","",F514+G514+H514+I514)</f>
        <v/>
      </c>
      <c r="L514" s="17" t="str">
        <f aca="false">IF(OR(K514="",E514=0,E514=""),"",K514/E514)</f>
        <v/>
      </c>
      <c r="M514" s="18" t="str">
        <f aca="false">IF(OR(A514="",E514=""),"",E514+ROW()/1000000)</f>
        <v/>
      </c>
    </row>
    <row r="515" customFormat="false" ht="15" hidden="false" customHeight="false" outlineLevel="0" collapsed="false">
      <c r="A515" s="12"/>
      <c r="B515" s="13"/>
      <c r="C515" s="13"/>
      <c r="D515" s="14"/>
      <c r="E515" s="15"/>
      <c r="F515" s="15"/>
      <c r="G515" s="15"/>
      <c r="H515" s="15"/>
      <c r="I515" s="15"/>
      <c r="J515" s="15"/>
      <c r="K515" s="16" t="str">
        <f aca="false">IF(A515="","",F515+G515+H515+I515)</f>
        <v/>
      </c>
      <c r="L515" s="17" t="str">
        <f aca="false">IF(OR(K515="",E515=0,E515=""),"",K515/E515)</f>
        <v/>
      </c>
      <c r="M515" s="18" t="str">
        <f aca="false">IF(OR(A515="",E515=""),"",E515+ROW()/1000000)</f>
        <v/>
      </c>
    </row>
    <row r="516" customFormat="false" ht="15" hidden="false" customHeight="false" outlineLevel="0" collapsed="false">
      <c r="A516" s="12"/>
      <c r="B516" s="13"/>
      <c r="C516" s="13"/>
      <c r="D516" s="14"/>
      <c r="E516" s="15"/>
      <c r="F516" s="15"/>
      <c r="G516" s="15"/>
      <c r="H516" s="15"/>
      <c r="I516" s="15"/>
      <c r="J516" s="15"/>
      <c r="K516" s="16" t="str">
        <f aca="false">IF(A516="","",F516+G516+H516+I516)</f>
        <v/>
      </c>
      <c r="L516" s="17" t="str">
        <f aca="false">IF(OR(K516="",E516=0,E516=""),"",K516/E516)</f>
        <v/>
      </c>
      <c r="M516" s="18" t="str">
        <f aca="false">IF(OR(A516="",E516=""),"",E516+ROW()/1000000)</f>
        <v/>
      </c>
    </row>
    <row r="517" customFormat="false" ht="15" hidden="false" customHeight="false" outlineLevel="0" collapsed="false">
      <c r="A517" s="12"/>
      <c r="B517" s="13"/>
      <c r="C517" s="13"/>
      <c r="D517" s="14"/>
      <c r="E517" s="15"/>
      <c r="F517" s="15"/>
      <c r="G517" s="15"/>
      <c r="H517" s="15"/>
      <c r="I517" s="15"/>
      <c r="J517" s="15"/>
      <c r="K517" s="16" t="str">
        <f aca="false">IF(A517="","",F517+G517+H517+I517)</f>
        <v/>
      </c>
      <c r="L517" s="17" t="str">
        <f aca="false">IF(OR(K517="",E517=0,E517=""),"",K517/E517)</f>
        <v/>
      </c>
      <c r="M517" s="18" t="str">
        <f aca="false">IF(OR(A517="",E517=""),"",E517+ROW()/1000000)</f>
        <v/>
      </c>
    </row>
    <row r="518" customFormat="false" ht="15" hidden="false" customHeight="false" outlineLevel="0" collapsed="false">
      <c r="A518" s="12"/>
      <c r="B518" s="13"/>
      <c r="C518" s="13"/>
      <c r="D518" s="14"/>
      <c r="E518" s="15"/>
      <c r="F518" s="15"/>
      <c r="G518" s="15"/>
      <c r="H518" s="15"/>
      <c r="I518" s="15"/>
      <c r="J518" s="15"/>
      <c r="K518" s="16" t="str">
        <f aca="false">IF(A518="","",F518+G518+H518+I518)</f>
        <v/>
      </c>
      <c r="L518" s="17" t="str">
        <f aca="false">IF(OR(K518="",E518=0,E518=""),"",K518/E518)</f>
        <v/>
      </c>
      <c r="M518" s="18" t="str">
        <f aca="false">IF(OR(A518="",E518=""),"",E518+ROW()/1000000)</f>
        <v/>
      </c>
    </row>
    <row r="519" customFormat="false" ht="15" hidden="false" customHeight="false" outlineLevel="0" collapsed="false">
      <c r="A519" s="12"/>
      <c r="B519" s="13"/>
      <c r="C519" s="13"/>
      <c r="D519" s="14"/>
      <c r="E519" s="15"/>
      <c r="F519" s="15"/>
      <c r="G519" s="15"/>
      <c r="H519" s="15"/>
      <c r="I519" s="15"/>
      <c r="J519" s="15"/>
      <c r="K519" s="16" t="str">
        <f aca="false">IF(A519="","",F519+G519+H519+I519)</f>
        <v/>
      </c>
      <c r="L519" s="17" t="str">
        <f aca="false">IF(OR(K519="",E519=0,E519=""),"",K519/E519)</f>
        <v/>
      </c>
      <c r="M519" s="18" t="str">
        <f aca="false">IF(OR(A519="",E519=""),"",E519+ROW()/1000000)</f>
        <v/>
      </c>
    </row>
    <row r="520" customFormat="false" ht="15" hidden="false" customHeight="false" outlineLevel="0" collapsed="false">
      <c r="A520" s="12"/>
      <c r="B520" s="13"/>
      <c r="C520" s="13"/>
      <c r="D520" s="14"/>
      <c r="E520" s="15"/>
      <c r="F520" s="15"/>
      <c r="G520" s="15"/>
      <c r="H520" s="15"/>
      <c r="I520" s="15"/>
      <c r="J520" s="15"/>
      <c r="K520" s="16" t="str">
        <f aca="false">IF(A520="","",F520+G520+H520+I520)</f>
        <v/>
      </c>
      <c r="L520" s="17" t="str">
        <f aca="false">IF(OR(K520="",E520=0,E520=""),"",K520/E520)</f>
        <v/>
      </c>
      <c r="M520" s="18" t="str">
        <f aca="false">IF(OR(A520="",E520=""),"",E520+ROW()/1000000)</f>
        <v/>
      </c>
    </row>
    <row r="521" customFormat="false" ht="15" hidden="false" customHeight="false" outlineLevel="0" collapsed="false">
      <c r="A521" s="12"/>
      <c r="B521" s="13"/>
      <c r="C521" s="13"/>
      <c r="D521" s="14"/>
      <c r="E521" s="15"/>
      <c r="F521" s="15"/>
      <c r="G521" s="15"/>
      <c r="H521" s="15"/>
      <c r="I521" s="15"/>
      <c r="J521" s="15"/>
      <c r="K521" s="16" t="str">
        <f aca="false">IF(A521="","",F521+G521+H521+I521)</f>
        <v/>
      </c>
      <c r="L521" s="17" t="str">
        <f aca="false">IF(OR(K521="",E521=0,E521=""),"",K521/E521)</f>
        <v/>
      </c>
      <c r="M521" s="18" t="str">
        <f aca="false">IF(OR(A521="",E521=""),"",E521+ROW()/1000000)</f>
        <v/>
      </c>
    </row>
    <row r="522" customFormat="false" ht="15" hidden="false" customHeight="false" outlineLevel="0" collapsed="false">
      <c r="A522" s="12"/>
      <c r="B522" s="13"/>
      <c r="C522" s="13"/>
      <c r="D522" s="14"/>
      <c r="E522" s="15"/>
      <c r="F522" s="15"/>
      <c r="G522" s="15"/>
      <c r="H522" s="15"/>
      <c r="I522" s="15"/>
      <c r="J522" s="15"/>
      <c r="K522" s="16" t="str">
        <f aca="false">IF(A522="","",F522+G522+H522+I522)</f>
        <v/>
      </c>
      <c r="L522" s="17" t="str">
        <f aca="false">IF(OR(K522="",E522=0,E522=""),"",K522/E522)</f>
        <v/>
      </c>
      <c r="M522" s="18" t="str">
        <f aca="false">IF(OR(A522="",E522=""),"",E522+ROW()/1000000)</f>
        <v/>
      </c>
    </row>
    <row r="523" customFormat="false" ht="15" hidden="false" customHeight="false" outlineLevel="0" collapsed="false">
      <c r="A523" s="12"/>
      <c r="B523" s="13"/>
      <c r="C523" s="13"/>
      <c r="D523" s="14"/>
      <c r="E523" s="15"/>
      <c r="F523" s="15"/>
      <c r="G523" s="15"/>
      <c r="H523" s="15"/>
      <c r="I523" s="15"/>
      <c r="J523" s="15"/>
      <c r="K523" s="16" t="str">
        <f aca="false">IF(A523="","",F523+G523+H523+I523)</f>
        <v/>
      </c>
      <c r="L523" s="17" t="str">
        <f aca="false">IF(OR(K523="",E523=0,E523=""),"",K523/E523)</f>
        <v/>
      </c>
      <c r="M523" s="18" t="str">
        <f aca="false">IF(OR(A523="",E523=""),"",E523+ROW()/1000000)</f>
        <v/>
      </c>
    </row>
    <row r="524" customFormat="false" ht="15" hidden="false" customHeight="false" outlineLevel="0" collapsed="false">
      <c r="A524" s="12"/>
      <c r="B524" s="13"/>
      <c r="C524" s="13"/>
      <c r="D524" s="14"/>
      <c r="E524" s="15"/>
      <c r="F524" s="15"/>
      <c r="G524" s="15"/>
      <c r="H524" s="15"/>
      <c r="I524" s="15"/>
      <c r="J524" s="15"/>
      <c r="K524" s="16" t="str">
        <f aca="false">IF(A524="","",F524+G524+H524+I524)</f>
        <v/>
      </c>
      <c r="L524" s="17" t="str">
        <f aca="false">IF(OR(K524="",E524=0,E524=""),"",K524/E524)</f>
        <v/>
      </c>
      <c r="M524" s="18" t="str">
        <f aca="false">IF(OR(A524="",E524=""),"",E524+ROW()/1000000)</f>
        <v/>
      </c>
    </row>
    <row r="525" customFormat="false" ht="15" hidden="false" customHeight="false" outlineLevel="0" collapsed="false">
      <c r="A525" s="12"/>
      <c r="B525" s="13"/>
      <c r="C525" s="13"/>
      <c r="D525" s="14"/>
      <c r="E525" s="15"/>
      <c r="F525" s="15"/>
      <c r="G525" s="15"/>
      <c r="H525" s="15"/>
      <c r="I525" s="15"/>
      <c r="J525" s="15"/>
      <c r="K525" s="16" t="str">
        <f aca="false">IF(A525="","",F525+G525+H525+I525)</f>
        <v/>
      </c>
      <c r="L525" s="17" t="str">
        <f aca="false">IF(OR(K525="",E525=0,E525=""),"",K525/E525)</f>
        <v/>
      </c>
      <c r="M525" s="18" t="str">
        <f aca="false">IF(OR(A525="",E525=""),"",E525+ROW()/1000000)</f>
        <v/>
      </c>
    </row>
    <row r="526" customFormat="false" ht="15" hidden="false" customHeight="false" outlineLevel="0" collapsed="false">
      <c r="A526" s="12"/>
      <c r="B526" s="13"/>
      <c r="C526" s="13"/>
      <c r="D526" s="14"/>
      <c r="E526" s="15"/>
      <c r="F526" s="15"/>
      <c r="G526" s="15"/>
      <c r="H526" s="15"/>
      <c r="I526" s="15"/>
      <c r="J526" s="15"/>
      <c r="K526" s="16" t="str">
        <f aca="false">IF(A526="","",F526+G526+H526+I526)</f>
        <v/>
      </c>
      <c r="L526" s="17" t="str">
        <f aca="false">IF(OR(K526="",E526=0,E526=""),"",K526/E526)</f>
        <v/>
      </c>
      <c r="M526" s="18" t="str">
        <f aca="false">IF(OR(A526="",E526=""),"",E526+ROW()/1000000)</f>
        <v/>
      </c>
    </row>
    <row r="527" customFormat="false" ht="15" hidden="false" customHeight="false" outlineLevel="0" collapsed="false">
      <c r="A527" s="12"/>
      <c r="B527" s="13"/>
      <c r="C527" s="13"/>
      <c r="D527" s="14"/>
      <c r="E527" s="15"/>
      <c r="F527" s="15"/>
      <c r="G527" s="15"/>
      <c r="H527" s="15"/>
      <c r="I527" s="15"/>
      <c r="J527" s="15"/>
      <c r="K527" s="16" t="str">
        <f aca="false">IF(A527="","",F527+G527+H527+I527)</f>
        <v/>
      </c>
      <c r="L527" s="17" t="str">
        <f aca="false">IF(OR(K527="",E527=0,E527=""),"",K527/E527)</f>
        <v/>
      </c>
      <c r="M527" s="18" t="str">
        <f aca="false">IF(OR(A527="",E527=""),"",E527+ROW()/1000000)</f>
        <v/>
      </c>
    </row>
    <row r="528" customFormat="false" ht="15" hidden="false" customHeight="false" outlineLevel="0" collapsed="false">
      <c r="A528" s="12"/>
      <c r="B528" s="13"/>
      <c r="C528" s="13"/>
      <c r="D528" s="14"/>
      <c r="E528" s="15"/>
      <c r="F528" s="15"/>
      <c r="G528" s="15"/>
      <c r="H528" s="15"/>
      <c r="I528" s="15"/>
      <c r="J528" s="15"/>
      <c r="K528" s="16" t="str">
        <f aca="false">IF(A528="","",F528+G528+H528+I528)</f>
        <v/>
      </c>
      <c r="L528" s="17" t="str">
        <f aca="false">IF(OR(K528="",E528=0,E528=""),"",K528/E528)</f>
        <v/>
      </c>
      <c r="M528" s="18" t="str">
        <f aca="false">IF(OR(A528="",E528=""),"",E528+ROW()/1000000)</f>
        <v/>
      </c>
    </row>
    <row r="529" customFormat="false" ht="15" hidden="false" customHeight="false" outlineLevel="0" collapsed="false">
      <c r="A529" s="12"/>
      <c r="B529" s="13"/>
      <c r="C529" s="13"/>
      <c r="D529" s="14"/>
      <c r="E529" s="15"/>
      <c r="F529" s="15"/>
      <c r="G529" s="15"/>
      <c r="H529" s="15"/>
      <c r="I529" s="15"/>
      <c r="J529" s="15"/>
      <c r="K529" s="16" t="str">
        <f aca="false">IF(A529="","",F529+G529+H529+I529)</f>
        <v/>
      </c>
      <c r="L529" s="17" t="str">
        <f aca="false">IF(OR(K529="",E529=0,E529=""),"",K529/E529)</f>
        <v/>
      </c>
      <c r="M529" s="18" t="str">
        <f aca="false">IF(OR(A529="",E529=""),"",E529+ROW()/1000000)</f>
        <v/>
      </c>
    </row>
    <row r="530" customFormat="false" ht="15" hidden="false" customHeight="false" outlineLevel="0" collapsed="false">
      <c r="A530" s="12"/>
      <c r="B530" s="13"/>
      <c r="C530" s="13"/>
      <c r="D530" s="14"/>
      <c r="E530" s="15"/>
      <c r="F530" s="15"/>
      <c r="G530" s="15"/>
      <c r="H530" s="15"/>
      <c r="I530" s="15"/>
      <c r="J530" s="15"/>
      <c r="K530" s="16" t="str">
        <f aca="false">IF(A530="","",F530+G530+H530+I530)</f>
        <v/>
      </c>
      <c r="L530" s="17" t="str">
        <f aca="false">IF(OR(K530="",E530=0,E530=""),"",K530/E530)</f>
        <v/>
      </c>
      <c r="M530" s="18" t="str">
        <f aca="false">IF(OR(A530="",E530=""),"",E530+ROW()/1000000)</f>
        <v/>
      </c>
    </row>
    <row r="531" customFormat="false" ht="15" hidden="false" customHeight="false" outlineLevel="0" collapsed="false">
      <c r="A531" s="12"/>
      <c r="B531" s="13"/>
      <c r="C531" s="13"/>
      <c r="D531" s="14"/>
      <c r="E531" s="15"/>
      <c r="F531" s="15"/>
      <c r="G531" s="15"/>
      <c r="H531" s="15"/>
      <c r="I531" s="15"/>
      <c r="J531" s="15"/>
      <c r="K531" s="16" t="str">
        <f aca="false">IF(A531="","",F531+G531+H531+I531)</f>
        <v/>
      </c>
      <c r="L531" s="17" t="str">
        <f aca="false">IF(OR(K531="",E531=0,E531=""),"",K531/E531)</f>
        <v/>
      </c>
      <c r="M531" s="18" t="str">
        <f aca="false">IF(OR(A531="",E531=""),"",E531+ROW()/1000000)</f>
        <v/>
      </c>
    </row>
    <row r="532" customFormat="false" ht="15" hidden="false" customHeight="false" outlineLevel="0" collapsed="false">
      <c r="A532" s="12"/>
      <c r="B532" s="13"/>
      <c r="C532" s="13"/>
      <c r="D532" s="14"/>
      <c r="E532" s="15"/>
      <c r="F532" s="15"/>
      <c r="G532" s="15"/>
      <c r="H532" s="15"/>
      <c r="I532" s="15"/>
      <c r="J532" s="15"/>
      <c r="K532" s="16" t="str">
        <f aca="false">IF(A532="","",F532+G532+H532+I532)</f>
        <v/>
      </c>
      <c r="L532" s="17" t="str">
        <f aca="false">IF(OR(K532="",E532=0,E532=""),"",K532/E532)</f>
        <v/>
      </c>
      <c r="M532" s="18" t="str">
        <f aca="false">IF(OR(A532="",E532=""),"",E532+ROW()/1000000)</f>
        <v/>
      </c>
    </row>
    <row r="533" customFormat="false" ht="15" hidden="false" customHeight="false" outlineLevel="0" collapsed="false">
      <c r="A533" s="12"/>
      <c r="B533" s="13"/>
      <c r="C533" s="13"/>
      <c r="D533" s="14"/>
      <c r="E533" s="15"/>
      <c r="F533" s="15"/>
      <c r="G533" s="15"/>
      <c r="H533" s="15"/>
      <c r="I533" s="15"/>
      <c r="J533" s="15"/>
      <c r="K533" s="16" t="str">
        <f aca="false">IF(A533="","",F533+G533+H533+I533)</f>
        <v/>
      </c>
      <c r="L533" s="17" t="str">
        <f aca="false">IF(OR(K533="",E533=0,E533=""),"",K533/E533)</f>
        <v/>
      </c>
      <c r="M533" s="18" t="str">
        <f aca="false">IF(OR(A533="",E533=""),"",E533+ROW()/1000000)</f>
        <v/>
      </c>
    </row>
    <row r="534" customFormat="false" ht="15" hidden="false" customHeight="false" outlineLevel="0" collapsed="false">
      <c r="A534" s="12"/>
      <c r="B534" s="13"/>
      <c r="C534" s="13"/>
      <c r="D534" s="14"/>
      <c r="E534" s="15"/>
      <c r="F534" s="15"/>
      <c r="G534" s="15"/>
      <c r="H534" s="15"/>
      <c r="I534" s="15"/>
      <c r="J534" s="15"/>
      <c r="K534" s="16" t="str">
        <f aca="false">IF(A534="","",F534+G534+H534+I534)</f>
        <v/>
      </c>
      <c r="L534" s="17" t="str">
        <f aca="false">IF(OR(K534="",E534=0,E534=""),"",K534/E534)</f>
        <v/>
      </c>
      <c r="M534" s="18" t="str">
        <f aca="false">IF(OR(A534="",E534=""),"",E534+ROW()/1000000)</f>
        <v/>
      </c>
    </row>
    <row r="535" customFormat="false" ht="15" hidden="false" customHeight="false" outlineLevel="0" collapsed="false">
      <c r="A535" s="12"/>
      <c r="B535" s="13"/>
      <c r="C535" s="13"/>
      <c r="D535" s="14"/>
      <c r="E535" s="15"/>
      <c r="F535" s="15"/>
      <c r="G535" s="15"/>
      <c r="H535" s="15"/>
      <c r="I535" s="15"/>
      <c r="J535" s="15"/>
      <c r="K535" s="16" t="str">
        <f aca="false">IF(A535="","",F535+G535+H535+I535)</f>
        <v/>
      </c>
      <c r="L535" s="17" t="str">
        <f aca="false">IF(OR(K535="",E535=0,E535=""),"",K535/E535)</f>
        <v/>
      </c>
      <c r="M535" s="18" t="str">
        <f aca="false">IF(OR(A535="",E535=""),"",E535+ROW()/1000000)</f>
        <v/>
      </c>
    </row>
    <row r="536" customFormat="false" ht="15" hidden="false" customHeight="false" outlineLevel="0" collapsed="false">
      <c r="A536" s="12"/>
      <c r="B536" s="13"/>
      <c r="C536" s="13"/>
      <c r="D536" s="14"/>
      <c r="E536" s="15"/>
      <c r="F536" s="15"/>
      <c r="G536" s="15"/>
      <c r="H536" s="15"/>
      <c r="I536" s="15"/>
      <c r="J536" s="15"/>
      <c r="K536" s="16" t="str">
        <f aca="false">IF(A536="","",F536+G536+H536+I536)</f>
        <v/>
      </c>
      <c r="L536" s="17" t="str">
        <f aca="false">IF(OR(K536="",E536=0,E536=""),"",K536/E536)</f>
        <v/>
      </c>
      <c r="M536" s="18" t="str">
        <f aca="false">IF(OR(A536="",E536=""),"",E536+ROW()/1000000)</f>
        <v/>
      </c>
    </row>
    <row r="537" customFormat="false" ht="15" hidden="false" customHeight="false" outlineLevel="0" collapsed="false">
      <c r="A537" s="12"/>
      <c r="B537" s="13"/>
      <c r="C537" s="13"/>
      <c r="D537" s="14"/>
      <c r="E537" s="15"/>
      <c r="F537" s="15"/>
      <c r="G537" s="15"/>
      <c r="H537" s="15"/>
      <c r="I537" s="15"/>
      <c r="J537" s="15"/>
      <c r="K537" s="16" t="str">
        <f aca="false">IF(A537="","",F537+G537+H537+I537)</f>
        <v/>
      </c>
      <c r="L537" s="17" t="str">
        <f aca="false">IF(OR(K537="",E537=0,E537=""),"",K537/E537)</f>
        <v/>
      </c>
      <c r="M537" s="18" t="str">
        <f aca="false">IF(OR(A537="",E537=""),"",E537+ROW()/1000000)</f>
        <v/>
      </c>
    </row>
    <row r="538" customFormat="false" ht="15" hidden="false" customHeight="false" outlineLevel="0" collapsed="false">
      <c r="A538" s="12"/>
      <c r="B538" s="13"/>
      <c r="C538" s="13"/>
      <c r="D538" s="14"/>
      <c r="E538" s="15"/>
      <c r="F538" s="15"/>
      <c r="G538" s="15"/>
      <c r="H538" s="15"/>
      <c r="I538" s="15"/>
      <c r="J538" s="15"/>
      <c r="K538" s="16" t="str">
        <f aca="false">IF(A538="","",F538+G538+H538+I538)</f>
        <v/>
      </c>
      <c r="L538" s="17" t="str">
        <f aca="false">IF(OR(K538="",E538=0,E538=""),"",K538/E538)</f>
        <v/>
      </c>
      <c r="M538" s="18" t="str">
        <f aca="false">IF(OR(A538="",E538=""),"",E538+ROW()/1000000)</f>
        <v/>
      </c>
    </row>
    <row r="539" customFormat="false" ht="15" hidden="false" customHeight="false" outlineLevel="0" collapsed="false">
      <c r="A539" s="12"/>
      <c r="B539" s="13"/>
      <c r="C539" s="13"/>
      <c r="D539" s="14"/>
      <c r="E539" s="15"/>
      <c r="F539" s="15"/>
      <c r="G539" s="15"/>
      <c r="H539" s="15"/>
      <c r="I539" s="15"/>
      <c r="J539" s="15"/>
      <c r="K539" s="16" t="str">
        <f aca="false">IF(A539="","",F539+G539+H539+I539)</f>
        <v/>
      </c>
      <c r="L539" s="17" t="str">
        <f aca="false">IF(OR(K539="",E539=0,E539=""),"",K539/E539)</f>
        <v/>
      </c>
      <c r="M539" s="18" t="str">
        <f aca="false">IF(OR(A539="",E539=""),"",E539+ROW()/1000000)</f>
        <v/>
      </c>
    </row>
    <row r="540" customFormat="false" ht="15" hidden="false" customHeight="false" outlineLevel="0" collapsed="false">
      <c r="A540" s="12"/>
      <c r="B540" s="13"/>
      <c r="C540" s="13"/>
      <c r="D540" s="14"/>
      <c r="E540" s="15"/>
      <c r="F540" s="15"/>
      <c r="G540" s="15"/>
      <c r="H540" s="15"/>
      <c r="I540" s="15"/>
      <c r="J540" s="15"/>
      <c r="K540" s="16" t="str">
        <f aca="false">IF(A540="","",F540+G540+H540+I540)</f>
        <v/>
      </c>
      <c r="L540" s="17" t="str">
        <f aca="false">IF(OR(K540="",E540=0,E540=""),"",K540/E540)</f>
        <v/>
      </c>
      <c r="M540" s="18" t="str">
        <f aca="false">IF(OR(A540="",E540=""),"",E540+ROW()/1000000)</f>
        <v/>
      </c>
    </row>
    <row r="541" customFormat="false" ht="15" hidden="false" customHeight="false" outlineLevel="0" collapsed="false">
      <c r="A541" s="12"/>
      <c r="B541" s="13"/>
      <c r="C541" s="13"/>
      <c r="D541" s="14"/>
      <c r="E541" s="15"/>
      <c r="F541" s="15"/>
      <c r="G541" s="15"/>
      <c r="H541" s="15"/>
      <c r="I541" s="15"/>
      <c r="J541" s="15"/>
      <c r="K541" s="16" t="str">
        <f aca="false">IF(A541="","",F541+G541+H541+I541)</f>
        <v/>
      </c>
      <c r="L541" s="17" t="str">
        <f aca="false">IF(OR(K541="",E541=0,E541=""),"",K541/E541)</f>
        <v/>
      </c>
      <c r="M541" s="18" t="str">
        <f aca="false">IF(OR(A541="",E541=""),"",E541+ROW()/1000000)</f>
        <v/>
      </c>
    </row>
    <row r="542" customFormat="false" ht="15" hidden="false" customHeight="false" outlineLevel="0" collapsed="false">
      <c r="A542" s="12"/>
      <c r="B542" s="13"/>
      <c r="C542" s="13"/>
      <c r="D542" s="14"/>
      <c r="E542" s="15"/>
      <c r="F542" s="15"/>
      <c r="G542" s="15"/>
      <c r="H542" s="15"/>
      <c r="I542" s="15"/>
      <c r="J542" s="15"/>
      <c r="K542" s="16" t="str">
        <f aca="false">IF(A542="","",F542+G542+H542+I542)</f>
        <v/>
      </c>
      <c r="L542" s="17" t="str">
        <f aca="false">IF(OR(K542="",E542=0,E542=""),"",K542/E542)</f>
        <v/>
      </c>
      <c r="M542" s="18" t="str">
        <f aca="false">IF(OR(A542="",E542=""),"",E542+ROW()/1000000)</f>
        <v/>
      </c>
    </row>
    <row r="543" customFormat="false" ht="15" hidden="false" customHeight="false" outlineLevel="0" collapsed="false">
      <c r="A543" s="12"/>
      <c r="B543" s="13"/>
      <c r="C543" s="13"/>
      <c r="D543" s="14"/>
      <c r="E543" s="15"/>
      <c r="F543" s="15"/>
      <c r="G543" s="15"/>
      <c r="H543" s="15"/>
      <c r="I543" s="15"/>
      <c r="J543" s="15"/>
      <c r="K543" s="16" t="str">
        <f aca="false">IF(A543="","",F543+G543+H543+I543)</f>
        <v/>
      </c>
      <c r="L543" s="17" t="str">
        <f aca="false">IF(OR(K543="",E543=0,E543=""),"",K543/E543)</f>
        <v/>
      </c>
      <c r="M543" s="18" t="str">
        <f aca="false">IF(OR(A543="",E543=""),"",E543+ROW()/1000000)</f>
        <v/>
      </c>
    </row>
    <row r="544" customFormat="false" ht="15" hidden="false" customHeight="false" outlineLevel="0" collapsed="false">
      <c r="A544" s="12"/>
      <c r="B544" s="13"/>
      <c r="C544" s="13"/>
      <c r="D544" s="14"/>
      <c r="E544" s="15"/>
      <c r="F544" s="15"/>
      <c r="G544" s="15"/>
      <c r="H544" s="15"/>
      <c r="I544" s="15"/>
      <c r="J544" s="15"/>
      <c r="K544" s="16" t="str">
        <f aca="false">IF(A544="","",F544+G544+H544+I544)</f>
        <v/>
      </c>
      <c r="L544" s="17" t="str">
        <f aca="false">IF(OR(K544="",E544=0,E544=""),"",K544/E544)</f>
        <v/>
      </c>
      <c r="M544" s="18" t="str">
        <f aca="false">IF(OR(A544="",E544=""),"",E544+ROW()/1000000)</f>
        <v/>
      </c>
    </row>
    <row r="545" customFormat="false" ht="15" hidden="false" customHeight="false" outlineLevel="0" collapsed="false">
      <c r="A545" s="12"/>
      <c r="B545" s="13"/>
      <c r="C545" s="13"/>
      <c r="D545" s="14"/>
      <c r="E545" s="15"/>
      <c r="F545" s="15"/>
      <c r="G545" s="15"/>
      <c r="H545" s="15"/>
      <c r="I545" s="15"/>
      <c r="J545" s="15"/>
      <c r="K545" s="16" t="str">
        <f aca="false">IF(A545="","",F545+G545+H545+I545)</f>
        <v/>
      </c>
      <c r="L545" s="17" t="str">
        <f aca="false">IF(OR(K545="",E545=0,E545=""),"",K545/E545)</f>
        <v/>
      </c>
      <c r="M545" s="18" t="str">
        <f aca="false">IF(OR(A545="",E545=""),"",E545+ROW()/1000000)</f>
        <v/>
      </c>
    </row>
    <row r="546" customFormat="false" ht="15" hidden="false" customHeight="false" outlineLevel="0" collapsed="false">
      <c r="A546" s="12"/>
      <c r="B546" s="13"/>
      <c r="C546" s="13"/>
      <c r="D546" s="14"/>
      <c r="E546" s="15"/>
      <c r="F546" s="15"/>
      <c r="G546" s="15"/>
      <c r="H546" s="15"/>
      <c r="I546" s="15"/>
      <c r="J546" s="15"/>
      <c r="K546" s="16" t="str">
        <f aca="false">IF(A546="","",F546+G546+H546+I546)</f>
        <v/>
      </c>
      <c r="L546" s="17" t="str">
        <f aca="false">IF(OR(K546="",E546=0,E546=""),"",K546/E546)</f>
        <v/>
      </c>
      <c r="M546" s="18" t="str">
        <f aca="false">IF(OR(A546="",E546=""),"",E546+ROW()/1000000)</f>
        <v/>
      </c>
    </row>
    <row r="547" customFormat="false" ht="15" hidden="false" customHeight="false" outlineLevel="0" collapsed="false">
      <c r="A547" s="12"/>
      <c r="B547" s="13"/>
      <c r="C547" s="13"/>
      <c r="D547" s="14"/>
      <c r="E547" s="15"/>
      <c r="F547" s="15"/>
      <c r="G547" s="15"/>
      <c r="H547" s="15"/>
      <c r="I547" s="15"/>
      <c r="J547" s="15"/>
      <c r="K547" s="16" t="str">
        <f aca="false">IF(A547="","",F547+G547+H547+I547)</f>
        <v/>
      </c>
      <c r="L547" s="17" t="str">
        <f aca="false">IF(OR(K547="",E547=0,E547=""),"",K547/E547)</f>
        <v/>
      </c>
      <c r="M547" s="18" t="str">
        <f aca="false">IF(OR(A547="",E547=""),"",E547+ROW()/1000000)</f>
        <v/>
      </c>
    </row>
    <row r="548" customFormat="false" ht="15" hidden="false" customHeight="false" outlineLevel="0" collapsed="false">
      <c r="A548" s="12"/>
      <c r="B548" s="13"/>
      <c r="C548" s="13"/>
      <c r="D548" s="14"/>
      <c r="E548" s="15"/>
      <c r="F548" s="15"/>
      <c r="G548" s="15"/>
      <c r="H548" s="15"/>
      <c r="I548" s="15"/>
      <c r="J548" s="15"/>
      <c r="K548" s="16" t="str">
        <f aca="false">IF(A548="","",F548+G548+H548+I548)</f>
        <v/>
      </c>
      <c r="L548" s="17" t="str">
        <f aca="false">IF(OR(K548="",E548=0,E548=""),"",K548/E548)</f>
        <v/>
      </c>
      <c r="M548" s="18" t="str">
        <f aca="false">IF(OR(A548="",E548=""),"",E548+ROW()/1000000)</f>
        <v/>
      </c>
    </row>
    <row r="549" customFormat="false" ht="15" hidden="false" customHeight="false" outlineLevel="0" collapsed="false">
      <c r="A549" s="12"/>
      <c r="B549" s="13"/>
      <c r="C549" s="13"/>
      <c r="D549" s="14"/>
      <c r="E549" s="15"/>
      <c r="F549" s="15"/>
      <c r="G549" s="15"/>
      <c r="H549" s="15"/>
      <c r="I549" s="15"/>
      <c r="J549" s="15"/>
      <c r="K549" s="16" t="str">
        <f aca="false">IF(A549="","",F549+G549+H549+I549)</f>
        <v/>
      </c>
      <c r="L549" s="17" t="str">
        <f aca="false">IF(OR(K549="",E549=0,E549=""),"",K549/E549)</f>
        <v/>
      </c>
      <c r="M549" s="18" t="str">
        <f aca="false">IF(OR(A549="",E549=""),"",E549+ROW()/1000000)</f>
        <v/>
      </c>
    </row>
    <row r="550" customFormat="false" ht="15" hidden="false" customHeight="false" outlineLevel="0" collapsed="false">
      <c r="A550" s="12"/>
      <c r="B550" s="13"/>
      <c r="C550" s="13"/>
      <c r="D550" s="14"/>
      <c r="E550" s="15"/>
      <c r="F550" s="15"/>
      <c r="G550" s="15"/>
      <c r="H550" s="15"/>
      <c r="I550" s="15"/>
      <c r="J550" s="15"/>
      <c r="K550" s="16" t="str">
        <f aca="false">IF(A550="","",F550+G550+H550+I550)</f>
        <v/>
      </c>
      <c r="L550" s="17" t="str">
        <f aca="false">IF(OR(K550="",E550=0,E550=""),"",K550/E550)</f>
        <v/>
      </c>
      <c r="M550" s="18" t="str">
        <f aca="false">IF(OR(A550="",E550=""),"",E550+ROW()/1000000)</f>
        <v/>
      </c>
    </row>
    <row r="551" customFormat="false" ht="15" hidden="false" customHeight="false" outlineLevel="0" collapsed="false">
      <c r="A551" s="12"/>
      <c r="B551" s="13"/>
      <c r="C551" s="13"/>
      <c r="D551" s="14"/>
      <c r="E551" s="15"/>
      <c r="F551" s="15"/>
      <c r="G551" s="15"/>
      <c r="H551" s="15"/>
      <c r="I551" s="15"/>
      <c r="J551" s="15"/>
      <c r="K551" s="16" t="str">
        <f aca="false">IF(A551="","",F551+G551+H551+I551)</f>
        <v/>
      </c>
      <c r="L551" s="17" t="str">
        <f aca="false">IF(OR(K551="",E551=0,E551=""),"",K551/E551)</f>
        <v/>
      </c>
      <c r="M551" s="18" t="str">
        <f aca="false">IF(OR(A551="",E551=""),"",E551+ROW()/1000000)</f>
        <v/>
      </c>
    </row>
    <row r="552" customFormat="false" ht="15" hidden="false" customHeight="false" outlineLevel="0" collapsed="false">
      <c r="A552" s="12"/>
      <c r="B552" s="13"/>
      <c r="C552" s="13"/>
      <c r="D552" s="14"/>
      <c r="E552" s="15"/>
      <c r="F552" s="15"/>
      <c r="G552" s="15"/>
      <c r="H552" s="15"/>
      <c r="I552" s="15"/>
      <c r="J552" s="15"/>
      <c r="K552" s="16" t="str">
        <f aca="false">IF(A552="","",F552+G552+H552+I552)</f>
        <v/>
      </c>
      <c r="L552" s="17" t="str">
        <f aca="false">IF(OR(K552="",E552=0,E552=""),"",K552/E552)</f>
        <v/>
      </c>
      <c r="M552" s="18" t="str">
        <f aca="false">IF(OR(A552="",E552=""),"",E552+ROW()/1000000)</f>
        <v/>
      </c>
    </row>
    <row r="553" customFormat="false" ht="15" hidden="false" customHeight="false" outlineLevel="0" collapsed="false">
      <c r="A553" s="12"/>
      <c r="B553" s="13"/>
      <c r="C553" s="13"/>
      <c r="D553" s="14"/>
      <c r="E553" s="15"/>
      <c r="F553" s="15"/>
      <c r="G553" s="15"/>
      <c r="H553" s="15"/>
      <c r="I553" s="15"/>
      <c r="J553" s="15"/>
      <c r="K553" s="16" t="str">
        <f aca="false">IF(A553="","",F553+G553+H553+I553)</f>
        <v/>
      </c>
      <c r="L553" s="17" t="str">
        <f aca="false">IF(OR(K553="",E553=0,E553=""),"",K553/E553)</f>
        <v/>
      </c>
      <c r="M553" s="18" t="str">
        <f aca="false">IF(OR(A553="",E553=""),"",E553+ROW()/1000000)</f>
        <v/>
      </c>
    </row>
    <row r="554" customFormat="false" ht="15" hidden="false" customHeight="false" outlineLevel="0" collapsed="false">
      <c r="A554" s="12"/>
      <c r="B554" s="13"/>
      <c r="C554" s="13"/>
      <c r="D554" s="14"/>
      <c r="E554" s="15"/>
      <c r="F554" s="15"/>
      <c r="G554" s="15"/>
      <c r="H554" s="15"/>
      <c r="I554" s="15"/>
      <c r="J554" s="15"/>
      <c r="K554" s="16" t="str">
        <f aca="false">IF(A554="","",F554+G554+H554+I554)</f>
        <v/>
      </c>
      <c r="L554" s="17" t="str">
        <f aca="false">IF(OR(K554="",E554=0,E554=""),"",K554/E554)</f>
        <v/>
      </c>
      <c r="M554" s="18" t="str">
        <f aca="false">IF(OR(A554="",E554=""),"",E554+ROW()/1000000)</f>
        <v/>
      </c>
    </row>
    <row r="555" customFormat="false" ht="15" hidden="false" customHeight="false" outlineLevel="0" collapsed="false">
      <c r="A555" s="12"/>
      <c r="B555" s="13"/>
      <c r="C555" s="13"/>
      <c r="D555" s="14"/>
      <c r="E555" s="15"/>
      <c r="F555" s="15"/>
      <c r="G555" s="15"/>
      <c r="H555" s="15"/>
      <c r="I555" s="15"/>
      <c r="J555" s="15"/>
      <c r="K555" s="16" t="str">
        <f aca="false">IF(A555="","",F555+G555+H555+I555)</f>
        <v/>
      </c>
      <c r="L555" s="17" t="str">
        <f aca="false">IF(OR(K555="",E555=0,E555=""),"",K555/E555)</f>
        <v/>
      </c>
      <c r="M555" s="18" t="str">
        <f aca="false">IF(OR(A555="",E555=""),"",E555+ROW()/1000000)</f>
        <v/>
      </c>
    </row>
    <row r="556" customFormat="false" ht="15" hidden="false" customHeight="false" outlineLevel="0" collapsed="false">
      <c r="A556" s="12"/>
      <c r="B556" s="13"/>
      <c r="C556" s="13"/>
      <c r="D556" s="14"/>
      <c r="E556" s="15"/>
      <c r="F556" s="15"/>
      <c r="G556" s="15"/>
      <c r="H556" s="15"/>
      <c r="I556" s="15"/>
      <c r="J556" s="15"/>
      <c r="K556" s="16" t="str">
        <f aca="false">IF(A556="","",F556+G556+H556+I556)</f>
        <v/>
      </c>
      <c r="L556" s="17" t="str">
        <f aca="false">IF(OR(K556="",E556=0,E556=""),"",K556/E556)</f>
        <v/>
      </c>
      <c r="M556" s="18" t="str">
        <f aca="false">IF(OR(A556="",E556=""),"",E556+ROW()/1000000)</f>
        <v/>
      </c>
    </row>
    <row r="557" customFormat="false" ht="15" hidden="false" customHeight="false" outlineLevel="0" collapsed="false">
      <c r="A557" s="12"/>
      <c r="B557" s="13"/>
      <c r="C557" s="13"/>
      <c r="D557" s="14"/>
      <c r="E557" s="15"/>
      <c r="F557" s="15"/>
      <c r="G557" s="15"/>
      <c r="H557" s="15"/>
      <c r="I557" s="15"/>
      <c r="J557" s="15"/>
      <c r="K557" s="16" t="str">
        <f aca="false">IF(A557="","",F557+G557+H557+I557)</f>
        <v/>
      </c>
      <c r="L557" s="17" t="str">
        <f aca="false">IF(OR(K557="",E557=0,E557=""),"",K557/E557)</f>
        <v/>
      </c>
      <c r="M557" s="18" t="str">
        <f aca="false">IF(OR(A557="",E557=""),"",E557+ROW()/1000000)</f>
        <v/>
      </c>
    </row>
    <row r="558" customFormat="false" ht="15" hidden="false" customHeight="false" outlineLevel="0" collapsed="false">
      <c r="A558" s="12"/>
      <c r="B558" s="13"/>
      <c r="C558" s="13"/>
      <c r="D558" s="14"/>
      <c r="E558" s="15"/>
      <c r="F558" s="15"/>
      <c r="G558" s="15"/>
      <c r="H558" s="15"/>
      <c r="I558" s="15"/>
      <c r="J558" s="15"/>
      <c r="K558" s="16" t="str">
        <f aca="false">IF(A558="","",F558+G558+H558+I558)</f>
        <v/>
      </c>
      <c r="L558" s="17" t="str">
        <f aca="false">IF(OR(K558="",E558=0,E558=""),"",K558/E558)</f>
        <v/>
      </c>
      <c r="M558" s="18" t="str">
        <f aca="false">IF(OR(A558="",E558=""),"",E558+ROW()/1000000)</f>
        <v/>
      </c>
    </row>
    <row r="559" customFormat="false" ht="15" hidden="false" customHeight="false" outlineLevel="0" collapsed="false">
      <c r="A559" s="12"/>
      <c r="B559" s="13"/>
      <c r="C559" s="13"/>
      <c r="D559" s="14"/>
      <c r="E559" s="15"/>
      <c r="F559" s="15"/>
      <c r="G559" s="15"/>
      <c r="H559" s="15"/>
      <c r="I559" s="15"/>
      <c r="J559" s="15"/>
      <c r="K559" s="16" t="str">
        <f aca="false">IF(A559="","",F559+G559+H559+I559)</f>
        <v/>
      </c>
      <c r="L559" s="17" t="str">
        <f aca="false">IF(OR(K559="",E559=0,E559=""),"",K559/E559)</f>
        <v/>
      </c>
      <c r="M559" s="18" t="str">
        <f aca="false">IF(OR(A559="",E559=""),"",E559+ROW()/1000000)</f>
        <v/>
      </c>
    </row>
    <row r="560" customFormat="false" ht="15" hidden="false" customHeight="false" outlineLevel="0" collapsed="false">
      <c r="A560" s="12"/>
      <c r="B560" s="13"/>
      <c r="C560" s="13"/>
      <c r="D560" s="14"/>
      <c r="E560" s="15"/>
      <c r="F560" s="15"/>
      <c r="G560" s="15"/>
      <c r="H560" s="15"/>
      <c r="I560" s="15"/>
      <c r="J560" s="15"/>
      <c r="K560" s="16" t="str">
        <f aca="false">IF(A560="","",F560+G560+H560+I560)</f>
        <v/>
      </c>
      <c r="L560" s="17" t="str">
        <f aca="false">IF(OR(K560="",E560=0,E560=""),"",K560/E560)</f>
        <v/>
      </c>
      <c r="M560" s="18" t="str">
        <f aca="false">IF(OR(A560="",E560=""),"",E560+ROW()/1000000)</f>
        <v/>
      </c>
    </row>
    <row r="561" customFormat="false" ht="15" hidden="false" customHeight="false" outlineLevel="0" collapsed="false">
      <c r="A561" s="12"/>
      <c r="B561" s="13"/>
      <c r="C561" s="13"/>
      <c r="D561" s="14"/>
      <c r="E561" s="15"/>
      <c r="F561" s="15"/>
      <c r="G561" s="15"/>
      <c r="H561" s="15"/>
      <c r="I561" s="15"/>
      <c r="J561" s="15"/>
      <c r="K561" s="16" t="str">
        <f aca="false">IF(A561="","",F561+G561+H561+I561)</f>
        <v/>
      </c>
      <c r="L561" s="17" t="str">
        <f aca="false">IF(OR(K561="",E561=0,E561=""),"",K561/E561)</f>
        <v/>
      </c>
      <c r="M561" s="18" t="str">
        <f aca="false">IF(OR(A561="",E561=""),"",E561+ROW()/1000000)</f>
        <v/>
      </c>
    </row>
    <row r="562" customFormat="false" ht="15" hidden="false" customHeight="false" outlineLevel="0" collapsed="false">
      <c r="A562" s="12"/>
      <c r="B562" s="13"/>
      <c r="C562" s="13"/>
      <c r="D562" s="14"/>
      <c r="E562" s="15"/>
      <c r="F562" s="15"/>
      <c r="G562" s="15"/>
      <c r="H562" s="15"/>
      <c r="I562" s="15"/>
      <c r="J562" s="15"/>
      <c r="K562" s="16" t="str">
        <f aca="false">IF(A562="","",F562+G562+H562+I562)</f>
        <v/>
      </c>
      <c r="L562" s="17" t="str">
        <f aca="false">IF(OR(K562="",E562=0,E562=""),"",K562/E562)</f>
        <v/>
      </c>
      <c r="M562" s="18" t="str">
        <f aca="false">IF(OR(A562="",E562=""),"",E562+ROW()/1000000)</f>
        <v/>
      </c>
    </row>
    <row r="563" customFormat="false" ht="15" hidden="false" customHeight="false" outlineLevel="0" collapsed="false">
      <c r="A563" s="12"/>
      <c r="B563" s="13"/>
      <c r="C563" s="13"/>
      <c r="D563" s="14"/>
      <c r="E563" s="15"/>
      <c r="F563" s="15"/>
      <c r="G563" s="15"/>
      <c r="H563" s="15"/>
      <c r="I563" s="15"/>
      <c r="J563" s="15"/>
      <c r="K563" s="16" t="str">
        <f aca="false">IF(A563="","",F563+G563+H563+I563)</f>
        <v/>
      </c>
      <c r="L563" s="17" t="str">
        <f aca="false">IF(OR(K563="",E563=0,E563=""),"",K563/E563)</f>
        <v/>
      </c>
      <c r="M563" s="18" t="str">
        <f aca="false">IF(OR(A563="",E563=""),"",E563+ROW()/1000000)</f>
        <v/>
      </c>
    </row>
    <row r="564" customFormat="false" ht="15" hidden="false" customHeight="false" outlineLevel="0" collapsed="false">
      <c r="A564" s="12"/>
      <c r="B564" s="13"/>
      <c r="C564" s="13"/>
      <c r="D564" s="14"/>
      <c r="E564" s="15"/>
      <c r="F564" s="15"/>
      <c r="G564" s="15"/>
      <c r="H564" s="15"/>
      <c r="I564" s="15"/>
      <c r="J564" s="15"/>
      <c r="K564" s="16" t="str">
        <f aca="false">IF(A564="","",F564+G564+H564+I564)</f>
        <v/>
      </c>
      <c r="L564" s="17" t="str">
        <f aca="false">IF(OR(K564="",E564=0,E564=""),"",K564/E564)</f>
        <v/>
      </c>
      <c r="M564" s="18" t="str">
        <f aca="false">IF(OR(A564="",E564=""),"",E564+ROW()/1000000)</f>
        <v/>
      </c>
    </row>
    <row r="565" customFormat="false" ht="15" hidden="false" customHeight="false" outlineLevel="0" collapsed="false">
      <c r="A565" s="12"/>
      <c r="B565" s="13"/>
      <c r="C565" s="13"/>
      <c r="D565" s="14"/>
      <c r="E565" s="15"/>
      <c r="F565" s="15"/>
      <c r="G565" s="15"/>
      <c r="H565" s="15"/>
      <c r="I565" s="15"/>
      <c r="J565" s="15"/>
      <c r="K565" s="16" t="str">
        <f aca="false">IF(A565="","",F565+G565+H565+I565)</f>
        <v/>
      </c>
      <c r="L565" s="17" t="str">
        <f aca="false">IF(OR(K565="",E565=0,E565=""),"",K565/E565)</f>
        <v/>
      </c>
      <c r="M565" s="18" t="str">
        <f aca="false">IF(OR(A565="",E565=""),"",E565+ROW()/1000000)</f>
        <v/>
      </c>
    </row>
    <row r="566" customFormat="false" ht="15" hidden="false" customHeight="false" outlineLevel="0" collapsed="false">
      <c r="A566" s="12"/>
      <c r="B566" s="13"/>
      <c r="C566" s="13"/>
      <c r="D566" s="14"/>
      <c r="E566" s="15"/>
      <c r="F566" s="15"/>
      <c r="G566" s="15"/>
      <c r="H566" s="15"/>
      <c r="I566" s="15"/>
      <c r="J566" s="15"/>
      <c r="K566" s="16" t="str">
        <f aca="false">IF(A566="","",F566+G566+H566+I566)</f>
        <v/>
      </c>
      <c r="L566" s="17" t="str">
        <f aca="false">IF(OR(K566="",E566=0,E566=""),"",K566/E566)</f>
        <v/>
      </c>
      <c r="M566" s="18" t="str">
        <f aca="false">IF(OR(A566="",E566=""),"",E566+ROW()/1000000)</f>
        <v/>
      </c>
    </row>
    <row r="567" customFormat="false" ht="15" hidden="false" customHeight="false" outlineLevel="0" collapsed="false">
      <c r="A567" s="12"/>
      <c r="B567" s="13"/>
      <c r="C567" s="13"/>
      <c r="D567" s="14"/>
      <c r="E567" s="15"/>
      <c r="F567" s="15"/>
      <c r="G567" s="15"/>
      <c r="H567" s="15"/>
      <c r="I567" s="15"/>
      <c r="J567" s="15"/>
      <c r="K567" s="16" t="str">
        <f aca="false">IF(A567="","",F567+G567+H567+I567)</f>
        <v/>
      </c>
      <c r="L567" s="17" t="str">
        <f aca="false">IF(OR(K567="",E567=0,E567=""),"",K567/E567)</f>
        <v/>
      </c>
      <c r="M567" s="18" t="str">
        <f aca="false">IF(OR(A567="",E567=""),"",E567+ROW()/1000000)</f>
        <v/>
      </c>
    </row>
    <row r="568" customFormat="false" ht="15" hidden="false" customHeight="false" outlineLevel="0" collapsed="false">
      <c r="A568" s="12"/>
      <c r="B568" s="13"/>
      <c r="C568" s="13"/>
      <c r="D568" s="14"/>
      <c r="E568" s="15"/>
      <c r="F568" s="15"/>
      <c r="G568" s="15"/>
      <c r="H568" s="15"/>
      <c r="I568" s="15"/>
      <c r="J568" s="15"/>
      <c r="K568" s="16" t="str">
        <f aca="false">IF(A568="","",F568+G568+H568+I568)</f>
        <v/>
      </c>
      <c r="L568" s="17" t="str">
        <f aca="false">IF(OR(K568="",E568=0,E568=""),"",K568/E568)</f>
        <v/>
      </c>
      <c r="M568" s="18" t="str">
        <f aca="false">IF(OR(A568="",E568=""),"",E568+ROW()/1000000)</f>
        <v/>
      </c>
    </row>
    <row r="569" customFormat="false" ht="15" hidden="false" customHeight="false" outlineLevel="0" collapsed="false">
      <c r="A569" s="12"/>
      <c r="B569" s="13"/>
      <c r="C569" s="13"/>
      <c r="D569" s="14"/>
      <c r="E569" s="15"/>
      <c r="F569" s="15"/>
      <c r="G569" s="15"/>
      <c r="H569" s="15"/>
      <c r="I569" s="15"/>
      <c r="J569" s="15"/>
      <c r="K569" s="16" t="str">
        <f aca="false">IF(A569="","",F569+G569+H569+I569)</f>
        <v/>
      </c>
      <c r="L569" s="17" t="str">
        <f aca="false">IF(OR(K569="",E569=0,E569=""),"",K569/E569)</f>
        <v/>
      </c>
      <c r="M569" s="18" t="str">
        <f aca="false">IF(OR(A569="",E569=""),"",E569+ROW()/1000000)</f>
        <v/>
      </c>
    </row>
    <row r="570" customFormat="false" ht="15" hidden="false" customHeight="false" outlineLevel="0" collapsed="false">
      <c r="A570" s="12"/>
      <c r="B570" s="13"/>
      <c r="C570" s="13"/>
      <c r="D570" s="14"/>
      <c r="E570" s="15"/>
      <c r="F570" s="15"/>
      <c r="G570" s="15"/>
      <c r="H570" s="15"/>
      <c r="I570" s="15"/>
      <c r="J570" s="15"/>
      <c r="K570" s="16" t="str">
        <f aca="false">IF(A570="","",F570+G570+H570+I570)</f>
        <v/>
      </c>
      <c r="L570" s="17" t="str">
        <f aca="false">IF(OR(K570="",E570=0,E570=""),"",K570/E570)</f>
        <v/>
      </c>
      <c r="M570" s="18" t="str">
        <f aca="false">IF(OR(A570="",E570=""),"",E570+ROW()/1000000)</f>
        <v/>
      </c>
    </row>
    <row r="571" customFormat="false" ht="15" hidden="false" customHeight="false" outlineLevel="0" collapsed="false">
      <c r="A571" s="12"/>
      <c r="B571" s="13"/>
      <c r="C571" s="13"/>
      <c r="D571" s="14"/>
      <c r="E571" s="15"/>
      <c r="F571" s="15"/>
      <c r="G571" s="15"/>
      <c r="H571" s="15"/>
      <c r="I571" s="15"/>
      <c r="J571" s="15"/>
      <c r="K571" s="16" t="str">
        <f aca="false">IF(A571="","",F571+G571+H571+I571)</f>
        <v/>
      </c>
      <c r="L571" s="17" t="str">
        <f aca="false">IF(OR(K571="",E571=0,E571=""),"",K571/E571)</f>
        <v/>
      </c>
      <c r="M571" s="18" t="str">
        <f aca="false">IF(OR(A571="",E571=""),"",E571+ROW()/1000000)</f>
        <v/>
      </c>
    </row>
    <row r="572" customFormat="false" ht="15" hidden="false" customHeight="false" outlineLevel="0" collapsed="false">
      <c r="A572" s="12"/>
      <c r="B572" s="13"/>
      <c r="C572" s="13"/>
      <c r="D572" s="14"/>
      <c r="E572" s="15"/>
      <c r="F572" s="15"/>
      <c r="G572" s="15"/>
      <c r="H572" s="15"/>
      <c r="I572" s="15"/>
      <c r="J572" s="15"/>
      <c r="K572" s="16" t="str">
        <f aca="false">IF(A572="","",F572+G572+H572+I572)</f>
        <v/>
      </c>
      <c r="L572" s="17" t="str">
        <f aca="false">IF(OR(K572="",E572=0,E572=""),"",K572/E572)</f>
        <v/>
      </c>
      <c r="M572" s="18" t="str">
        <f aca="false">IF(OR(A572="",E572=""),"",E572+ROW()/1000000)</f>
        <v/>
      </c>
    </row>
    <row r="573" customFormat="false" ht="15" hidden="false" customHeight="false" outlineLevel="0" collapsed="false">
      <c r="A573" s="12"/>
      <c r="B573" s="13"/>
      <c r="C573" s="13"/>
      <c r="D573" s="14"/>
      <c r="E573" s="15"/>
      <c r="F573" s="15"/>
      <c r="G573" s="15"/>
      <c r="H573" s="15"/>
      <c r="I573" s="15"/>
      <c r="J573" s="15"/>
      <c r="K573" s="16" t="str">
        <f aca="false">IF(A573="","",F573+G573+H573+I573)</f>
        <v/>
      </c>
      <c r="L573" s="17" t="str">
        <f aca="false">IF(OR(K573="",E573=0,E573=""),"",K573/E573)</f>
        <v/>
      </c>
      <c r="M573" s="18" t="str">
        <f aca="false">IF(OR(A573="",E573=""),"",E573+ROW()/1000000)</f>
        <v/>
      </c>
    </row>
    <row r="574" customFormat="false" ht="15" hidden="false" customHeight="false" outlineLevel="0" collapsed="false">
      <c r="A574" s="12"/>
      <c r="B574" s="13"/>
      <c r="C574" s="13"/>
      <c r="D574" s="14"/>
      <c r="E574" s="15"/>
      <c r="F574" s="15"/>
      <c r="G574" s="15"/>
      <c r="H574" s="15"/>
      <c r="I574" s="15"/>
      <c r="J574" s="15"/>
      <c r="K574" s="16" t="str">
        <f aca="false">IF(A574="","",F574+G574+H574+I574)</f>
        <v/>
      </c>
      <c r="L574" s="17" t="str">
        <f aca="false">IF(OR(K574="",E574=0,E574=""),"",K574/E574)</f>
        <v/>
      </c>
      <c r="M574" s="18" t="str">
        <f aca="false">IF(OR(A574="",E574=""),"",E574+ROW()/1000000)</f>
        <v/>
      </c>
    </row>
    <row r="575" customFormat="false" ht="15" hidden="false" customHeight="false" outlineLevel="0" collapsed="false">
      <c r="A575" s="12"/>
      <c r="B575" s="13"/>
      <c r="C575" s="13"/>
      <c r="D575" s="14"/>
      <c r="E575" s="15"/>
      <c r="F575" s="15"/>
      <c r="G575" s="15"/>
      <c r="H575" s="15"/>
      <c r="I575" s="15"/>
      <c r="J575" s="15"/>
      <c r="K575" s="16" t="str">
        <f aca="false">IF(A575="","",F575+G575+H575+I575)</f>
        <v/>
      </c>
      <c r="L575" s="17" t="str">
        <f aca="false">IF(OR(K575="",E575=0,E575=""),"",K575/E575)</f>
        <v/>
      </c>
      <c r="M575" s="18" t="str">
        <f aca="false">IF(OR(A575="",E575=""),"",E575+ROW()/1000000)</f>
        <v/>
      </c>
    </row>
    <row r="576" customFormat="false" ht="15" hidden="false" customHeight="false" outlineLevel="0" collapsed="false">
      <c r="A576" s="12"/>
      <c r="B576" s="13"/>
      <c r="C576" s="13"/>
      <c r="D576" s="14"/>
      <c r="E576" s="15"/>
      <c r="F576" s="15"/>
      <c r="G576" s="15"/>
      <c r="H576" s="15"/>
      <c r="I576" s="15"/>
      <c r="J576" s="15"/>
      <c r="K576" s="16" t="str">
        <f aca="false">IF(A576="","",F576+G576+H576+I576)</f>
        <v/>
      </c>
      <c r="L576" s="17" t="str">
        <f aca="false">IF(OR(K576="",E576=0,E576=""),"",K576/E576)</f>
        <v/>
      </c>
      <c r="M576" s="18" t="str">
        <f aca="false">IF(OR(A576="",E576=""),"",E576+ROW()/1000000)</f>
        <v/>
      </c>
    </row>
    <row r="577" customFormat="false" ht="15" hidden="false" customHeight="false" outlineLevel="0" collapsed="false">
      <c r="A577" s="12"/>
      <c r="B577" s="13"/>
      <c r="C577" s="13"/>
      <c r="D577" s="14"/>
      <c r="E577" s="15"/>
      <c r="F577" s="15"/>
      <c r="G577" s="15"/>
      <c r="H577" s="15"/>
      <c r="I577" s="15"/>
      <c r="J577" s="15"/>
      <c r="K577" s="16" t="str">
        <f aca="false">IF(A577="","",F577+G577+H577+I577)</f>
        <v/>
      </c>
      <c r="L577" s="17" t="str">
        <f aca="false">IF(OR(K577="",E577=0,E577=""),"",K577/E577)</f>
        <v/>
      </c>
      <c r="M577" s="18" t="str">
        <f aca="false">IF(OR(A577="",E577=""),"",E577+ROW()/1000000)</f>
        <v/>
      </c>
    </row>
    <row r="578" customFormat="false" ht="15" hidden="false" customHeight="false" outlineLevel="0" collapsed="false">
      <c r="A578" s="12"/>
      <c r="B578" s="13"/>
      <c r="C578" s="13"/>
      <c r="D578" s="14"/>
      <c r="E578" s="15"/>
      <c r="F578" s="15"/>
      <c r="G578" s="15"/>
      <c r="H578" s="15"/>
      <c r="I578" s="15"/>
      <c r="J578" s="15"/>
      <c r="K578" s="16" t="str">
        <f aca="false">IF(A578="","",F578+G578+H578+I578)</f>
        <v/>
      </c>
      <c r="L578" s="17" t="str">
        <f aca="false">IF(OR(K578="",E578=0,E578=""),"",K578/E578)</f>
        <v/>
      </c>
      <c r="M578" s="18" t="str">
        <f aca="false">IF(OR(A578="",E578=""),"",E578+ROW()/1000000)</f>
        <v/>
      </c>
    </row>
    <row r="579" customFormat="false" ht="15" hidden="false" customHeight="false" outlineLevel="0" collapsed="false">
      <c r="A579" s="12"/>
      <c r="B579" s="13"/>
      <c r="C579" s="13"/>
      <c r="D579" s="14"/>
      <c r="E579" s="15"/>
      <c r="F579" s="15"/>
      <c r="G579" s="15"/>
      <c r="H579" s="15"/>
      <c r="I579" s="15"/>
      <c r="J579" s="15"/>
      <c r="K579" s="16" t="str">
        <f aca="false">IF(A579="","",F579+G579+H579+I579)</f>
        <v/>
      </c>
      <c r="L579" s="17" t="str">
        <f aca="false">IF(OR(K579="",E579=0,E579=""),"",K579/E579)</f>
        <v/>
      </c>
      <c r="M579" s="18" t="str">
        <f aca="false">IF(OR(A579="",E579=""),"",E579+ROW()/1000000)</f>
        <v/>
      </c>
    </row>
    <row r="580" customFormat="false" ht="15" hidden="false" customHeight="false" outlineLevel="0" collapsed="false">
      <c r="A580" s="12"/>
      <c r="B580" s="13"/>
      <c r="C580" s="13"/>
      <c r="D580" s="14"/>
      <c r="E580" s="15"/>
      <c r="F580" s="15"/>
      <c r="G580" s="15"/>
      <c r="H580" s="15"/>
      <c r="I580" s="15"/>
      <c r="J580" s="15"/>
      <c r="K580" s="16" t="str">
        <f aca="false">IF(A580="","",F580+G580+H580+I580)</f>
        <v/>
      </c>
      <c r="L580" s="17" t="str">
        <f aca="false">IF(OR(K580="",E580=0,E580=""),"",K580/E580)</f>
        <v/>
      </c>
      <c r="M580" s="18" t="str">
        <f aca="false">IF(OR(A580="",E580=""),"",E580+ROW()/1000000)</f>
        <v/>
      </c>
    </row>
    <row r="581" customFormat="false" ht="15" hidden="false" customHeight="false" outlineLevel="0" collapsed="false">
      <c r="A581" s="12"/>
      <c r="B581" s="13"/>
      <c r="C581" s="13"/>
      <c r="D581" s="14"/>
      <c r="E581" s="15"/>
      <c r="F581" s="15"/>
      <c r="G581" s="15"/>
      <c r="H581" s="15"/>
      <c r="I581" s="15"/>
      <c r="J581" s="15"/>
      <c r="K581" s="16" t="str">
        <f aca="false">IF(A581="","",F581+G581+H581+I581)</f>
        <v/>
      </c>
      <c r="L581" s="17" t="str">
        <f aca="false">IF(OR(K581="",E581=0,E581=""),"",K581/E581)</f>
        <v/>
      </c>
      <c r="M581" s="18" t="str">
        <f aca="false">IF(OR(A581="",E581=""),"",E581+ROW()/1000000)</f>
        <v/>
      </c>
    </row>
    <row r="582" customFormat="false" ht="15" hidden="false" customHeight="false" outlineLevel="0" collapsed="false">
      <c r="A582" s="12"/>
      <c r="B582" s="13"/>
      <c r="C582" s="13"/>
      <c r="D582" s="14"/>
      <c r="E582" s="15"/>
      <c r="F582" s="15"/>
      <c r="G582" s="15"/>
      <c r="H582" s="15"/>
      <c r="I582" s="15"/>
      <c r="J582" s="15"/>
      <c r="K582" s="16" t="str">
        <f aca="false">IF(A582="","",F582+G582+H582+I582)</f>
        <v/>
      </c>
      <c r="L582" s="17" t="str">
        <f aca="false">IF(OR(K582="",E582=0,E582=""),"",K582/E582)</f>
        <v/>
      </c>
      <c r="M582" s="18" t="str">
        <f aca="false">IF(OR(A582="",E582=""),"",E582+ROW()/1000000)</f>
        <v/>
      </c>
    </row>
    <row r="583" customFormat="false" ht="15" hidden="false" customHeight="false" outlineLevel="0" collapsed="false">
      <c r="A583" s="12"/>
      <c r="B583" s="13"/>
      <c r="C583" s="13"/>
      <c r="D583" s="14"/>
      <c r="E583" s="15"/>
      <c r="F583" s="15"/>
      <c r="G583" s="15"/>
      <c r="H583" s="15"/>
      <c r="I583" s="15"/>
      <c r="J583" s="15"/>
      <c r="K583" s="16" t="str">
        <f aca="false">IF(A583="","",F583+G583+H583+I583)</f>
        <v/>
      </c>
      <c r="L583" s="17" t="str">
        <f aca="false">IF(OR(K583="",E583=0,E583=""),"",K583/E583)</f>
        <v/>
      </c>
      <c r="M583" s="18" t="str">
        <f aca="false">IF(OR(A583="",E583=""),"",E583+ROW()/1000000)</f>
        <v/>
      </c>
    </row>
    <row r="584" customFormat="false" ht="15" hidden="false" customHeight="false" outlineLevel="0" collapsed="false">
      <c r="A584" s="12"/>
      <c r="B584" s="13"/>
      <c r="C584" s="13"/>
      <c r="D584" s="14"/>
      <c r="E584" s="15"/>
      <c r="F584" s="15"/>
      <c r="G584" s="15"/>
      <c r="H584" s="15"/>
      <c r="I584" s="15"/>
      <c r="J584" s="15"/>
      <c r="K584" s="16" t="str">
        <f aca="false">IF(A584="","",F584+G584+H584+I584)</f>
        <v/>
      </c>
      <c r="L584" s="17" t="str">
        <f aca="false">IF(OR(K584="",E584=0,E584=""),"",K584/E584)</f>
        <v/>
      </c>
      <c r="M584" s="18" t="str">
        <f aca="false">IF(OR(A584="",E584=""),"",E584+ROW()/1000000)</f>
        <v/>
      </c>
    </row>
    <row r="585" customFormat="false" ht="15" hidden="false" customHeight="false" outlineLevel="0" collapsed="false">
      <c r="A585" s="12"/>
      <c r="B585" s="13"/>
      <c r="C585" s="13"/>
      <c r="D585" s="14"/>
      <c r="E585" s="15"/>
      <c r="F585" s="15"/>
      <c r="G585" s="15"/>
      <c r="H585" s="15"/>
      <c r="I585" s="15"/>
      <c r="J585" s="15"/>
      <c r="K585" s="16" t="str">
        <f aca="false">IF(A585="","",F585+G585+H585+I585)</f>
        <v/>
      </c>
      <c r="L585" s="17" t="str">
        <f aca="false">IF(OR(K585="",E585=0,E585=""),"",K585/E585)</f>
        <v/>
      </c>
      <c r="M585" s="18" t="str">
        <f aca="false">IF(OR(A585="",E585=""),"",E585+ROW()/1000000)</f>
        <v/>
      </c>
    </row>
    <row r="586" customFormat="false" ht="15" hidden="false" customHeight="false" outlineLevel="0" collapsed="false">
      <c r="A586" s="12"/>
      <c r="B586" s="13"/>
      <c r="C586" s="13"/>
      <c r="D586" s="14"/>
      <c r="E586" s="15"/>
      <c r="F586" s="15"/>
      <c r="G586" s="15"/>
      <c r="H586" s="15"/>
      <c r="I586" s="15"/>
      <c r="J586" s="15"/>
      <c r="K586" s="16" t="str">
        <f aca="false">IF(A586="","",F586+G586+H586+I586)</f>
        <v/>
      </c>
      <c r="L586" s="17" t="str">
        <f aca="false">IF(OR(K586="",E586=0,E586=""),"",K586/E586)</f>
        <v/>
      </c>
      <c r="M586" s="18" t="str">
        <f aca="false">IF(OR(A586="",E586=""),"",E586+ROW()/1000000)</f>
        <v/>
      </c>
    </row>
    <row r="587" customFormat="false" ht="15" hidden="false" customHeight="false" outlineLevel="0" collapsed="false">
      <c r="A587" s="12"/>
      <c r="B587" s="13"/>
      <c r="C587" s="13"/>
      <c r="D587" s="14"/>
      <c r="E587" s="15"/>
      <c r="F587" s="15"/>
      <c r="G587" s="15"/>
      <c r="H587" s="15"/>
      <c r="I587" s="15"/>
      <c r="J587" s="15"/>
      <c r="K587" s="16" t="str">
        <f aca="false">IF(A587="","",F587+G587+H587+I587)</f>
        <v/>
      </c>
      <c r="L587" s="17" t="str">
        <f aca="false">IF(OR(K587="",E587=0,E587=""),"",K587/E587)</f>
        <v/>
      </c>
      <c r="M587" s="18" t="str">
        <f aca="false">IF(OR(A587="",E587=""),"",E587+ROW()/1000000)</f>
        <v/>
      </c>
    </row>
    <row r="588" customFormat="false" ht="15" hidden="false" customHeight="false" outlineLevel="0" collapsed="false">
      <c r="A588" s="12"/>
      <c r="B588" s="13"/>
      <c r="C588" s="13"/>
      <c r="D588" s="14"/>
      <c r="E588" s="15"/>
      <c r="F588" s="15"/>
      <c r="G588" s="15"/>
      <c r="H588" s="15"/>
      <c r="I588" s="15"/>
      <c r="J588" s="15"/>
      <c r="K588" s="16" t="str">
        <f aca="false">IF(A588="","",F588+G588+H588+I588)</f>
        <v/>
      </c>
      <c r="L588" s="17" t="str">
        <f aca="false">IF(OR(K588="",E588=0,E588=""),"",K588/E588)</f>
        <v/>
      </c>
      <c r="M588" s="18" t="str">
        <f aca="false">IF(OR(A588="",E588=""),"",E588+ROW()/1000000)</f>
        <v/>
      </c>
    </row>
    <row r="589" customFormat="false" ht="15" hidden="false" customHeight="false" outlineLevel="0" collapsed="false">
      <c r="A589" s="12"/>
      <c r="B589" s="13"/>
      <c r="C589" s="13"/>
      <c r="D589" s="14"/>
      <c r="E589" s="15"/>
      <c r="F589" s="15"/>
      <c r="G589" s="15"/>
      <c r="H589" s="15"/>
      <c r="I589" s="15"/>
      <c r="J589" s="15"/>
      <c r="K589" s="16" t="str">
        <f aca="false">IF(A589="","",F589+G589+H589+I589)</f>
        <v/>
      </c>
      <c r="L589" s="17" t="str">
        <f aca="false">IF(OR(K589="",E589=0,E589=""),"",K589/E589)</f>
        <v/>
      </c>
      <c r="M589" s="18" t="str">
        <f aca="false">IF(OR(A589="",E589=""),"",E589+ROW()/1000000)</f>
        <v/>
      </c>
    </row>
    <row r="590" customFormat="false" ht="15" hidden="false" customHeight="false" outlineLevel="0" collapsed="false">
      <c r="A590" s="12"/>
      <c r="B590" s="13"/>
      <c r="C590" s="13"/>
      <c r="D590" s="14"/>
      <c r="E590" s="15"/>
      <c r="F590" s="15"/>
      <c r="G590" s="15"/>
      <c r="H590" s="15"/>
      <c r="I590" s="15"/>
      <c r="J590" s="15"/>
      <c r="K590" s="16" t="str">
        <f aca="false">IF(A590="","",F590+G590+H590+I590)</f>
        <v/>
      </c>
      <c r="L590" s="17" t="str">
        <f aca="false">IF(OR(K590="",E590=0,E590=""),"",K590/E590)</f>
        <v/>
      </c>
      <c r="M590" s="18" t="str">
        <f aca="false">IF(OR(A590="",E590=""),"",E590+ROW()/1000000)</f>
        <v/>
      </c>
    </row>
    <row r="591" customFormat="false" ht="15" hidden="false" customHeight="false" outlineLevel="0" collapsed="false">
      <c r="A591" s="12"/>
      <c r="B591" s="13"/>
      <c r="C591" s="13"/>
      <c r="D591" s="14"/>
      <c r="E591" s="15"/>
      <c r="F591" s="15"/>
      <c r="G591" s="15"/>
      <c r="H591" s="15"/>
      <c r="I591" s="15"/>
      <c r="J591" s="15"/>
      <c r="K591" s="16" t="str">
        <f aca="false">IF(A591="","",F591+G591+H591+I591)</f>
        <v/>
      </c>
      <c r="L591" s="17" t="str">
        <f aca="false">IF(OR(K591="",E591=0,E591=""),"",K591/E591)</f>
        <v/>
      </c>
      <c r="M591" s="18" t="str">
        <f aca="false">IF(OR(A591="",E591=""),"",E591+ROW()/1000000)</f>
        <v/>
      </c>
    </row>
    <row r="592" customFormat="false" ht="15" hidden="false" customHeight="false" outlineLevel="0" collapsed="false">
      <c r="A592" s="12"/>
      <c r="B592" s="13"/>
      <c r="C592" s="13"/>
      <c r="D592" s="14"/>
      <c r="E592" s="15"/>
      <c r="F592" s="15"/>
      <c r="G592" s="15"/>
      <c r="H592" s="15"/>
      <c r="I592" s="15"/>
      <c r="J592" s="15"/>
      <c r="K592" s="16" t="str">
        <f aca="false">IF(A592="","",F592+G592+H592+I592)</f>
        <v/>
      </c>
      <c r="L592" s="17" t="str">
        <f aca="false">IF(OR(K592="",E592=0,E592=""),"",K592/E592)</f>
        <v/>
      </c>
      <c r="M592" s="18" t="str">
        <f aca="false">IF(OR(A592="",E592=""),"",E592+ROW()/1000000)</f>
        <v/>
      </c>
    </row>
    <row r="593" customFormat="false" ht="15" hidden="false" customHeight="false" outlineLevel="0" collapsed="false">
      <c r="A593" s="12"/>
      <c r="B593" s="13"/>
      <c r="C593" s="13"/>
      <c r="D593" s="14"/>
      <c r="E593" s="15"/>
      <c r="F593" s="15"/>
      <c r="G593" s="15"/>
      <c r="H593" s="15"/>
      <c r="I593" s="15"/>
      <c r="J593" s="15"/>
      <c r="K593" s="16" t="str">
        <f aca="false">IF(A593="","",F593+G593+H593+I593)</f>
        <v/>
      </c>
      <c r="L593" s="17" t="str">
        <f aca="false">IF(OR(K593="",E593=0,E593=""),"",K593/E593)</f>
        <v/>
      </c>
      <c r="M593" s="18" t="str">
        <f aca="false">IF(OR(A593="",E593=""),"",E593+ROW()/1000000)</f>
        <v/>
      </c>
    </row>
    <row r="594" customFormat="false" ht="15" hidden="false" customHeight="false" outlineLevel="0" collapsed="false">
      <c r="A594" s="12"/>
      <c r="B594" s="13"/>
      <c r="C594" s="13"/>
      <c r="D594" s="14"/>
      <c r="E594" s="15"/>
      <c r="F594" s="15"/>
      <c r="G594" s="15"/>
      <c r="H594" s="15"/>
      <c r="I594" s="15"/>
      <c r="J594" s="15"/>
      <c r="K594" s="16" t="str">
        <f aca="false">IF(A594="","",F594+G594+H594+I594)</f>
        <v/>
      </c>
      <c r="L594" s="17" t="str">
        <f aca="false">IF(OR(K594="",E594=0,E594=""),"",K594/E594)</f>
        <v/>
      </c>
      <c r="M594" s="18" t="str">
        <f aca="false">IF(OR(A594="",E594=""),"",E594+ROW()/1000000)</f>
        <v/>
      </c>
    </row>
    <row r="595" customFormat="false" ht="15" hidden="false" customHeight="false" outlineLevel="0" collapsed="false">
      <c r="A595" s="12"/>
      <c r="B595" s="13"/>
      <c r="C595" s="13"/>
      <c r="D595" s="14"/>
      <c r="E595" s="15"/>
      <c r="F595" s="15"/>
      <c r="G595" s="15"/>
      <c r="H595" s="15"/>
      <c r="I595" s="15"/>
      <c r="J595" s="15"/>
      <c r="K595" s="16" t="str">
        <f aca="false">IF(A595="","",F595+G595+H595+I595)</f>
        <v/>
      </c>
      <c r="L595" s="17" t="str">
        <f aca="false">IF(OR(K595="",E595=0,E595=""),"",K595/E595)</f>
        <v/>
      </c>
      <c r="M595" s="18" t="str">
        <f aca="false">IF(OR(A595="",E595=""),"",E595+ROW()/1000000)</f>
        <v/>
      </c>
    </row>
    <row r="596" customFormat="false" ht="15" hidden="false" customHeight="false" outlineLevel="0" collapsed="false">
      <c r="A596" s="12"/>
      <c r="B596" s="13"/>
      <c r="C596" s="13"/>
      <c r="D596" s="14"/>
      <c r="E596" s="15"/>
      <c r="F596" s="15"/>
      <c r="G596" s="15"/>
      <c r="H596" s="15"/>
      <c r="I596" s="15"/>
      <c r="J596" s="15"/>
      <c r="K596" s="16" t="str">
        <f aca="false">IF(A596="","",F596+G596+H596+I596)</f>
        <v/>
      </c>
      <c r="L596" s="17" t="str">
        <f aca="false">IF(OR(K596="",E596=0,E596=""),"",K596/E596)</f>
        <v/>
      </c>
      <c r="M596" s="18" t="str">
        <f aca="false">IF(OR(A596="",E596=""),"",E596+ROW()/1000000)</f>
        <v/>
      </c>
    </row>
    <row r="597" customFormat="false" ht="15" hidden="false" customHeight="false" outlineLevel="0" collapsed="false">
      <c r="A597" s="12"/>
      <c r="B597" s="13"/>
      <c r="C597" s="13"/>
      <c r="D597" s="14"/>
      <c r="E597" s="15"/>
      <c r="F597" s="15"/>
      <c r="G597" s="15"/>
      <c r="H597" s="15"/>
      <c r="I597" s="15"/>
      <c r="J597" s="15"/>
      <c r="K597" s="16" t="str">
        <f aca="false">IF(A597="","",F597+G597+H597+I597)</f>
        <v/>
      </c>
      <c r="L597" s="17" t="str">
        <f aca="false">IF(OR(K597="",E597=0,E597=""),"",K597/E597)</f>
        <v/>
      </c>
      <c r="M597" s="18" t="str">
        <f aca="false">IF(OR(A597="",E597=""),"",E597+ROW()/1000000)</f>
        <v/>
      </c>
    </row>
    <row r="598" customFormat="false" ht="15" hidden="false" customHeight="false" outlineLevel="0" collapsed="false">
      <c r="A598" s="12"/>
      <c r="B598" s="13"/>
      <c r="C598" s="13"/>
      <c r="D598" s="14"/>
      <c r="E598" s="15"/>
      <c r="F598" s="15"/>
      <c r="G598" s="15"/>
      <c r="H598" s="15"/>
      <c r="I598" s="15"/>
      <c r="J598" s="15"/>
      <c r="K598" s="16" t="str">
        <f aca="false">IF(A598="","",F598+G598+H598+I598)</f>
        <v/>
      </c>
      <c r="L598" s="17" t="str">
        <f aca="false">IF(OR(K598="",E598=0,E598=""),"",K598/E598)</f>
        <v/>
      </c>
      <c r="M598" s="18" t="str">
        <f aca="false">IF(OR(A598="",E598=""),"",E598+ROW()/1000000)</f>
        <v/>
      </c>
    </row>
    <row r="599" customFormat="false" ht="15" hidden="false" customHeight="false" outlineLevel="0" collapsed="false">
      <c r="A599" s="12"/>
      <c r="B599" s="13"/>
      <c r="C599" s="13"/>
      <c r="D599" s="14"/>
      <c r="E599" s="15"/>
      <c r="F599" s="15"/>
      <c r="G599" s="15"/>
      <c r="H599" s="15"/>
      <c r="I599" s="15"/>
      <c r="J599" s="15"/>
      <c r="K599" s="16" t="str">
        <f aca="false">IF(A599="","",F599+G599+H599+I599)</f>
        <v/>
      </c>
      <c r="L599" s="17" t="str">
        <f aca="false">IF(OR(K599="",E599=0,E599=""),"",K599/E599)</f>
        <v/>
      </c>
      <c r="M599" s="18" t="str">
        <f aca="false">IF(OR(A599="",E599=""),"",E599+ROW()/1000000)</f>
        <v/>
      </c>
    </row>
    <row r="600" customFormat="false" ht="15" hidden="false" customHeight="false" outlineLevel="0" collapsed="false">
      <c r="A600" s="12"/>
      <c r="B600" s="13"/>
      <c r="C600" s="13"/>
      <c r="D600" s="14"/>
      <c r="E600" s="15"/>
      <c r="F600" s="15"/>
      <c r="G600" s="15"/>
      <c r="H600" s="15"/>
      <c r="I600" s="15"/>
      <c r="J600" s="15"/>
      <c r="K600" s="16" t="str">
        <f aca="false">IF(A600="","",F600+G600+H600+I600)</f>
        <v/>
      </c>
      <c r="L600" s="17" t="str">
        <f aca="false">IF(OR(K600="",E600=0,E600=""),"",K600/E600)</f>
        <v/>
      </c>
      <c r="M600" s="18" t="str">
        <f aca="false">IF(OR(A600="",E600=""),"",E600+ROW()/1000000)</f>
        <v/>
      </c>
    </row>
    <row r="601" customFormat="false" ht="15" hidden="false" customHeight="false" outlineLevel="0" collapsed="false">
      <c r="A601" s="12"/>
      <c r="B601" s="13"/>
      <c r="C601" s="13"/>
      <c r="D601" s="14"/>
      <c r="E601" s="15"/>
      <c r="F601" s="15"/>
      <c r="G601" s="15"/>
      <c r="H601" s="15"/>
      <c r="I601" s="15"/>
      <c r="J601" s="15"/>
      <c r="K601" s="16" t="str">
        <f aca="false">IF(A601="","",F601+G601+H601+I601)</f>
        <v/>
      </c>
      <c r="L601" s="17" t="str">
        <f aca="false">IF(OR(K601="",E601=0,E601=""),"",K601/E601)</f>
        <v/>
      </c>
      <c r="M601" s="18" t="str">
        <f aca="false">IF(OR(A601="",E601=""),"",E601+ROW()/1000000)</f>
        <v/>
      </c>
    </row>
    <row r="602" customFormat="false" ht="15" hidden="false" customHeight="false" outlineLevel="0" collapsed="false">
      <c r="A602" s="12"/>
      <c r="B602" s="13"/>
      <c r="C602" s="13"/>
      <c r="D602" s="14"/>
      <c r="E602" s="15"/>
      <c r="F602" s="15"/>
      <c r="G602" s="15"/>
      <c r="H602" s="15"/>
      <c r="I602" s="15"/>
      <c r="J602" s="15"/>
      <c r="K602" s="16" t="str">
        <f aca="false">IF(A602="","",F602+G602+H602+I602)</f>
        <v/>
      </c>
      <c r="L602" s="17" t="str">
        <f aca="false">IF(OR(K602="",E602=0,E602=""),"",K602/E602)</f>
        <v/>
      </c>
      <c r="M602" s="18" t="str">
        <f aca="false">IF(OR(A602="",E602=""),"",E602+ROW()/1000000)</f>
        <v/>
      </c>
    </row>
    <row r="603" customFormat="false" ht="15" hidden="false" customHeight="false" outlineLevel="0" collapsed="false">
      <c r="A603" s="12"/>
      <c r="B603" s="13"/>
      <c r="C603" s="13"/>
      <c r="D603" s="14"/>
      <c r="E603" s="15"/>
      <c r="F603" s="15"/>
      <c r="G603" s="15"/>
      <c r="H603" s="15"/>
      <c r="I603" s="15"/>
      <c r="J603" s="15"/>
      <c r="K603" s="16" t="str">
        <f aca="false">IF(A603="","",F603+G603+H603+I603)</f>
        <v/>
      </c>
      <c r="L603" s="17" t="str">
        <f aca="false">IF(OR(K603="",E603=0,E603=""),"",K603/E603)</f>
        <v/>
      </c>
      <c r="M603" s="18" t="str">
        <f aca="false">IF(OR(A603="",E603=""),"",E603+ROW()/1000000)</f>
        <v/>
      </c>
    </row>
    <row r="604" customFormat="false" ht="15" hidden="false" customHeight="false" outlineLevel="0" collapsed="false">
      <c r="A604" s="12"/>
      <c r="B604" s="13"/>
      <c r="C604" s="13"/>
      <c r="D604" s="14"/>
      <c r="E604" s="15"/>
      <c r="F604" s="15"/>
      <c r="G604" s="15"/>
      <c r="H604" s="15"/>
      <c r="I604" s="15"/>
      <c r="J604" s="15"/>
      <c r="K604" s="16" t="str">
        <f aca="false">IF(A604="","",F604+G604+H604+I604)</f>
        <v/>
      </c>
      <c r="L604" s="17" t="str">
        <f aca="false">IF(OR(K604="",E604=0,E604=""),"",K604/E604)</f>
        <v/>
      </c>
      <c r="M604" s="18" t="str">
        <f aca="false">IF(OR(A604="",E604=""),"",E604+ROW()/1000000)</f>
        <v/>
      </c>
    </row>
    <row r="605" customFormat="false" ht="15" hidden="false" customHeight="false" outlineLevel="0" collapsed="false">
      <c r="A605" s="12"/>
      <c r="B605" s="13"/>
      <c r="C605" s="13"/>
      <c r="D605" s="14"/>
      <c r="E605" s="15"/>
      <c r="F605" s="15"/>
      <c r="G605" s="15"/>
      <c r="H605" s="15"/>
      <c r="I605" s="15"/>
      <c r="J605" s="15"/>
      <c r="K605" s="16" t="str">
        <f aca="false">IF(A605="","",F605+G605+H605+I605)</f>
        <v/>
      </c>
      <c r="L605" s="17" t="str">
        <f aca="false">IF(OR(K605="",E605=0,E605=""),"",K605/E605)</f>
        <v/>
      </c>
      <c r="M605" s="18" t="str">
        <f aca="false">IF(OR(A605="",E605=""),"",E605+ROW()/1000000)</f>
        <v/>
      </c>
    </row>
    <row r="606" customFormat="false" ht="15" hidden="false" customHeight="false" outlineLevel="0" collapsed="false">
      <c r="A606" s="12"/>
      <c r="B606" s="13"/>
      <c r="C606" s="13"/>
      <c r="D606" s="14"/>
      <c r="E606" s="15"/>
      <c r="F606" s="15"/>
      <c r="G606" s="15"/>
      <c r="H606" s="15"/>
      <c r="I606" s="15"/>
      <c r="J606" s="15"/>
      <c r="K606" s="16" t="str">
        <f aca="false">IF(A606="","",F606+G606+H606+I606)</f>
        <v/>
      </c>
      <c r="L606" s="17" t="str">
        <f aca="false">IF(OR(K606="",E606=0,E606=""),"",K606/E606)</f>
        <v/>
      </c>
      <c r="M606" s="18" t="str">
        <f aca="false">IF(OR(A606="",E606=""),"",E606+ROW()/1000000)</f>
        <v/>
      </c>
    </row>
    <row r="607" customFormat="false" ht="15" hidden="false" customHeight="false" outlineLevel="0" collapsed="false">
      <c r="A607" s="12"/>
      <c r="B607" s="13"/>
      <c r="C607" s="13"/>
      <c r="D607" s="14"/>
      <c r="E607" s="15"/>
      <c r="F607" s="15"/>
      <c r="G607" s="15"/>
      <c r="H607" s="15"/>
      <c r="I607" s="15"/>
      <c r="J607" s="15"/>
      <c r="K607" s="16" t="str">
        <f aca="false">IF(A607="","",F607+G607+H607+I607)</f>
        <v/>
      </c>
      <c r="L607" s="17" t="str">
        <f aca="false">IF(OR(K607="",E607=0,E607=""),"",K607/E607)</f>
        <v/>
      </c>
      <c r="M607" s="18" t="str">
        <f aca="false">IF(OR(A607="",E607=""),"",E607+ROW()/1000000)</f>
        <v/>
      </c>
    </row>
    <row r="608" customFormat="false" ht="15" hidden="false" customHeight="false" outlineLevel="0" collapsed="false">
      <c r="A608" s="12"/>
      <c r="B608" s="13"/>
      <c r="C608" s="13"/>
      <c r="D608" s="14"/>
      <c r="E608" s="15"/>
      <c r="F608" s="15"/>
      <c r="G608" s="15"/>
      <c r="H608" s="15"/>
      <c r="I608" s="15"/>
      <c r="J608" s="15"/>
      <c r="K608" s="16" t="str">
        <f aca="false">IF(A608="","",F608+G608+H608+I608)</f>
        <v/>
      </c>
      <c r="L608" s="17" t="str">
        <f aca="false">IF(OR(K608="",E608=0,E608=""),"",K608/E608)</f>
        <v/>
      </c>
      <c r="M608" s="18" t="str">
        <f aca="false">IF(OR(A608="",E608=""),"",E608+ROW()/1000000)</f>
        <v/>
      </c>
    </row>
    <row r="609" customFormat="false" ht="15" hidden="false" customHeight="false" outlineLevel="0" collapsed="false">
      <c r="A609" s="12"/>
      <c r="B609" s="13"/>
      <c r="C609" s="13"/>
      <c r="D609" s="14"/>
      <c r="E609" s="15"/>
      <c r="F609" s="15"/>
      <c r="G609" s="15"/>
      <c r="H609" s="15"/>
      <c r="I609" s="15"/>
      <c r="J609" s="15"/>
      <c r="K609" s="16" t="str">
        <f aca="false">IF(A609="","",F609+G609+H609+I609)</f>
        <v/>
      </c>
      <c r="L609" s="17" t="str">
        <f aca="false">IF(OR(K609="",E609=0,E609=""),"",K609/E609)</f>
        <v/>
      </c>
      <c r="M609" s="18" t="str">
        <f aca="false">IF(OR(A609="",E609=""),"",E609+ROW()/1000000)</f>
        <v/>
      </c>
    </row>
    <row r="610" customFormat="false" ht="15" hidden="false" customHeight="false" outlineLevel="0" collapsed="false">
      <c r="A610" s="12"/>
      <c r="B610" s="13"/>
      <c r="C610" s="13"/>
      <c r="D610" s="14"/>
      <c r="E610" s="15"/>
      <c r="F610" s="15"/>
      <c r="G610" s="15"/>
      <c r="H610" s="15"/>
      <c r="I610" s="15"/>
      <c r="J610" s="15"/>
      <c r="K610" s="16" t="str">
        <f aca="false">IF(A610="","",F610+G610+H610+I610)</f>
        <v/>
      </c>
      <c r="L610" s="17" t="str">
        <f aca="false">IF(OR(K610="",E610=0,E610=""),"",K610/E610)</f>
        <v/>
      </c>
      <c r="M610" s="18" t="str">
        <f aca="false">IF(OR(A610="",E610=""),"",E610+ROW()/1000000)</f>
        <v/>
      </c>
    </row>
    <row r="611" customFormat="false" ht="15" hidden="false" customHeight="false" outlineLevel="0" collapsed="false">
      <c r="A611" s="12"/>
      <c r="B611" s="13"/>
      <c r="C611" s="13"/>
      <c r="D611" s="14"/>
      <c r="E611" s="15"/>
      <c r="F611" s="15"/>
      <c r="G611" s="15"/>
      <c r="H611" s="15"/>
      <c r="I611" s="15"/>
      <c r="J611" s="15"/>
      <c r="K611" s="16" t="str">
        <f aca="false">IF(A611="","",F611+G611+H611+I611)</f>
        <v/>
      </c>
      <c r="L611" s="17" t="str">
        <f aca="false">IF(OR(K611="",E611=0,E611=""),"",K611/E611)</f>
        <v/>
      </c>
      <c r="M611" s="18" t="str">
        <f aca="false">IF(OR(A611="",E611=""),"",E611+ROW()/1000000)</f>
        <v/>
      </c>
    </row>
    <row r="612" customFormat="false" ht="15" hidden="false" customHeight="false" outlineLevel="0" collapsed="false">
      <c r="A612" s="12"/>
      <c r="B612" s="13"/>
      <c r="C612" s="13"/>
      <c r="D612" s="14"/>
      <c r="E612" s="15"/>
      <c r="F612" s="15"/>
      <c r="G612" s="15"/>
      <c r="H612" s="15"/>
      <c r="I612" s="15"/>
      <c r="J612" s="15"/>
      <c r="K612" s="16" t="str">
        <f aca="false">IF(A612="","",F612+G612+H612+I612)</f>
        <v/>
      </c>
      <c r="L612" s="17" t="str">
        <f aca="false">IF(OR(K612="",E612=0,E612=""),"",K612/E612)</f>
        <v/>
      </c>
      <c r="M612" s="18" t="str">
        <f aca="false">IF(OR(A612="",E612=""),"",E612+ROW()/1000000)</f>
        <v/>
      </c>
    </row>
    <row r="613" customFormat="false" ht="15" hidden="false" customHeight="false" outlineLevel="0" collapsed="false">
      <c r="A613" s="12"/>
      <c r="B613" s="13"/>
      <c r="C613" s="13"/>
      <c r="D613" s="14"/>
      <c r="E613" s="15"/>
      <c r="F613" s="15"/>
      <c r="G613" s="15"/>
      <c r="H613" s="15"/>
      <c r="I613" s="15"/>
      <c r="J613" s="15"/>
      <c r="K613" s="16" t="str">
        <f aca="false">IF(A613="","",F613+G613+H613+I613)</f>
        <v/>
      </c>
      <c r="L613" s="17" t="str">
        <f aca="false">IF(OR(K613="",E613=0,E613=""),"",K613/E613)</f>
        <v/>
      </c>
      <c r="M613" s="18" t="str">
        <f aca="false">IF(OR(A613="",E613=""),"",E613+ROW()/1000000)</f>
        <v/>
      </c>
    </row>
    <row r="614" customFormat="false" ht="15" hidden="false" customHeight="false" outlineLevel="0" collapsed="false">
      <c r="A614" s="12"/>
      <c r="B614" s="13"/>
      <c r="C614" s="13"/>
      <c r="D614" s="14"/>
      <c r="E614" s="15"/>
      <c r="F614" s="15"/>
      <c r="G614" s="15"/>
      <c r="H614" s="15"/>
      <c r="I614" s="15"/>
      <c r="J614" s="15"/>
      <c r="K614" s="16" t="str">
        <f aca="false">IF(A614="","",F614+G614+H614+I614)</f>
        <v/>
      </c>
      <c r="L614" s="17" t="str">
        <f aca="false">IF(OR(K614="",E614=0,E614=""),"",K614/E614)</f>
        <v/>
      </c>
      <c r="M614" s="18" t="str">
        <f aca="false">IF(OR(A614="",E614=""),"",E614+ROW()/1000000)</f>
        <v/>
      </c>
    </row>
    <row r="615" customFormat="false" ht="15" hidden="false" customHeight="false" outlineLevel="0" collapsed="false">
      <c r="A615" s="12"/>
      <c r="B615" s="13"/>
      <c r="C615" s="13"/>
      <c r="D615" s="14"/>
      <c r="E615" s="15"/>
      <c r="F615" s="15"/>
      <c r="G615" s="15"/>
      <c r="H615" s="15"/>
      <c r="I615" s="15"/>
      <c r="J615" s="15"/>
      <c r="K615" s="16" t="str">
        <f aca="false">IF(A615="","",F615+G615+H615+I615)</f>
        <v/>
      </c>
      <c r="L615" s="17" t="str">
        <f aca="false">IF(OR(K615="",E615=0,E615=""),"",K615/E615)</f>
        <v/>
      </c>
      <c r="M615" s="18" t="str">
        <f aca="false">IF(OR(A615="",E615=""),"",E615+ROW()/1000000)</f>
        <v/>
      </c>
    </row>
    <row r="616" customFormat="false" ht="15" hidden="false" customHeight="false" outlineLevel="0" collapsed="false">
      <c r="A616" s="12"/>
      <c r="B616" s="13"/>
      <c r="C616" s="13"/>
      <c r="D616" s="14"/>
      <c r="E616" s="15"/>
      <c r="F616" s="15"/>
      <c r="G616" s="15"/>
      <c r="H616" s="15"/>
      <c r="I616" s="15"/>
      <c r="J616" s="15"/>
      <c r="K616" s="16" t="str">
        <f aca="false">IF(A616="","",F616+G616+H616+I616)</f>
        <v/>
      </c>
      <c r="L616" s="17" t="str">
        <f aca="false">IF(OR(K616="",E616=0,E616=""),"",K616/E616)</f>
        <v/>
      </c>
      <c r="M616" s="18" t="str">
        <f aca="false">IF(OR(A616="",E616=""),"",E616+ROW()/1000000)</f>
        <v/>
      </c>
    </row>
    <row r="617" customFormat="false" ht="15" hidden="false" customHeight="false" outlineLevel="0" collapsed="false">
      <c r="A617" s="12"/>
      <c r="B617" s="13"/>
      <c r="C617" s="13"/>
      <c r="D617" s="14"/>
      <c r="E617" s="15"/>
      <c r="F617" s="15"/>
      <c r="G617" s="15"/>
      <c r="H617" s="15"/>
      <c r="I617" s="15"/>
      <c r="J617" s="15"/>
      <c r="K617" s="16" t="str">
        <f aca="false">IF(A617="","",F617+G617+H617+I617)</f>
        <v/>
      </c>
      <c r="L617" s="17" t="str">
        <f aca="false">IF(OR(K617="",E617=0,E617=""),"",K617/E617)</f>
        <v/>
      </c>
      <c r="M617" s="18" t="str">
        <f aca="false">IF(OR(A617="",E617=""),"",E617+ROW()/1000000)</f>
        <v/>
      </c>
    </row>
    <row r="618" customFormat="false" ht="15" hidden="false" customHeight="false" outlineLevel="0" collapsed="false">
      <c r="A618" s="12"/>
      <c r="B618" s="13"/>
      <c r="C618" s="13"/>
      <c r="D618" s="14"/>
      <c r="E618" s="15"/>
      <c r="F618" s="15"/>
      <c r="G618" s="15"/>
      <c r="H618" s="15"/>
      <c r="I618" s="15"/>
      <c r="J618" s="15"/>
      <c r="K618" s="16" t="str">
        <f aca="false">IF(A618="","",F618+G618+H618+I618)</f>
        <v/>
      </c>
      <c r="L618" s="17" t="str">
        <f aca="false">IF(OR(K618="",E618=0,E618=""),"",K618/E618)</f>
        <v/>
      </c>
      <c r="M618" s="18" t="str">
        <f aca="false">IF(OR(A618="",E618=""),"",E618+ROW()/1000000)</f>
        <v/>
      </c>
    </row>
    <row r="619" customFormat="false" ht="15" hidden="false" customHeight="false" outlineLevel="0" collapsed="false">
      <c r="A619" s="12"/>
      <c r="B619" s="13"/>
      <c r="C619" s="13"/>
      <c r="D619" s="14"/>
      <c r="E619" s="15"/>
      <c r="F619" s="15"/>
      <c r="G619" s="15"/>
      <c r="H619" s="15"/>
      <c r="I619" s="15"/>
      <c r="J619" s="15"/>
      <c r="K619" s="16" t="str">
        <f aca="false">IF(A619="","",F619+G619+H619+I619)</f>
        <v/>
      </c>
      <c r="L619" s="17" t="str">
        <f aca="false">IF(OR(K619="",E619=0,E619=""),"",K619/E619)</f>
        <v/>
      </c>
      <c r="M619" s="18" t="str">
        <f aca="false">IF(OR(A619="",E619=""),"",E619+ROW()/1000000)</f>
        <v/>
      </c>
    </row>
    <row r="620" customFormat="false" ht="15" hidden="false" customHeight="false" outlineLevel="0" collapsed="false">
      <c r="A620" s="12"/>
      <c r="B620" s="13"/>
      <c r="C620" s="13"/>
      <c r="D620" s="14"/>
      <c r="E620" s="15"/>
      <c r="F620" s="15"/>
      <c r="G620" s="15"/>
      <c r="H620" s="15"/>
      <c r="I620" s="15"/>
      <c r="J620" s="15"/>
      <c r="K620" s="16" t="str">
        <f aca="false">IF(A620="","",F620+G620+H620+I620)</f>
        <v/>
      </c>
      <c r="L620" s="17" t="str">
        <f aca="false">IF(OR(K620="",E620=0,E620=""),"",K620/E620)</f>
        <v/>
      </c>
      <c r="M620" s="18" t="str">
        <f aca="false">IF(OR(A620="",E620=""),"",E620+ROW()/1000000)</f>
        <v/>
      </c>
    </row>
    <row r="621" customFormat="false" ht="15" hidden="false" customHeight="false" outlineLevel="0" collapsed="false">
      <c r="A621" s="12"/>
      <c r="B621" s="13"/>
      <c r="C621" s="13"/>
      <c r="D621" s="14"/>
      <c r="E621" s="15"/>
      <c r="F621" s="15"/>
      <c r="G621" s="15"/>
      <c r="H621" s="15"/>
      <c r="I621" s="15"/>
      <c r="J621" s="15"/>
      <c r="K621" s="16" t="str">
        <f aca="false">IF(A621="","",F621+G621+H621+I621)</f>
        <v/>
      </c>
      <c r="L621" s="17" t="str">
        <f aca="false">IF(OR(K621="",E621=0,E621=""),"",K621/E621)</f>
        <v/>
      </c>
      <c r="M621" s="18" t="str">
        <f aca="false">IF(OR(A621="",E621=""),"",E621+ROW()/1000000)</f>
        <v/>
      </c>
    </row>
    <row r="622" customFormat="false" ht="15" hidden="false" customHeight="false" outlineLevel="0" collapsed="false">
      <c r="A622" s="12"/>
      <c r="B622" s="13"/>
      <c r="C622" s="13"/>
      <c r="D622" s="14"/>
      <c r="E622" s="15"/>
      <c r="F622" s="15"/>
      <c r="G622" s="15"/>
      <c r="H622" s="15"/>
      <c r="I622" s="15"/>
      <c r="J622" s="15"/>
      <c r="K622" s="16" t="str">
        <f aca="false">IF(A622="","",F622+G622+H622+I622)</f>
        <v/>
      </c>
      <c r="L622" s="17" t="str">
        <f aca="false">IF(OR(K622="",E622=0,E622=""),"",K622/E622)</f>
        <v/>
      </c>
      <c r="M622" s="18" t="str">
        <f aca="false">IF(OR(A622="",E622=""),"",E622+ROW()/1000000)</f>
        <v/>
      </c>
    </row>
    <row r="623" customFormat="false" ht="15" hidden="false" customHeight="false" outlineLevel="0" collapsed="false">
      <c r="A623" s="12"/>
      <c r="B623" s="13"/>
      <c r="C623" s="13"/>
      <c r="D623" s="14"/>
      <c r="E623" s="15"/>
      <c r="F623" s="15"/>
      <c r="G623" s="15"/>
      <c r="H623" s="15"/>
      <c r="I623" s="15"/>
      <c r="J623" s="15"/>
      <c r="K623" s="16" t="str">
        <f aca="false">IF(A623="","",F623+G623+H623+I623)</f>
        <v/>
      </c>
      <c r="L623" s="17" t="str">
        <f aca="false">IF(OR(K623="",E623=0,E623=""),"",K623/E623)</f>
        <v/>
      </c>
      <c r="M623" s="18" t="str">
        <f aca="false">IF(OR(A623="",E623=""),"",E623+ROW()/1000000)</f>
        <v/>
      </c>
    </row>
    <row r="624" customFormat="false" ht="15" hidden="false" customHeight="false" outlineLevel="0" collapsed="false">
      <c r="A624" s="12"/>
      <c r="B624" s="13"/>
      <c r="C624" s="13"/>
      <c r="D624" s="14"/>
      <c r="E624" s="15"/>
      <c r="F624" s="15"/>
      <c r="G624" s="15"/>
      <c r="H624" s="15"/>
      <c r="I624" s="15"/>
      <c r="J624" s="15"/>
      <c r="K624" s="16" t="str">
        <f aca="false">IF(A624="","",F624+G624+H624+I624)</f>
        <v/>
      </c>
      <c r="L624" s="17" t="str">
        <f aca="false">IF(OR(K624="",E624=0,E624=""),"",K624/E624)</f>
        <v/>
      </c>
      <c r="M624" s="18" t="str">
        <f aca="false">IF(OR(A624="",E624=""),"",E624+ROW()/1000000)</f>
        <v/>
      </c>
    </row>
    <row r="625" customFormat="false" ht="15" hidden="false" customHeight="false" outlineLevel="0" collapsed="false">
      <c r="A625" s="12"/>
      <c r="B625" s="13"/>
      <c r="C625" s="13"/>
      <c r="D625" s="14"/>
      <c r="E625" s="15"/>
      <c r="F625" s="15"/>
      <c r="G625" s="15"/>
      <c r="H625" s="15"/>
      <c r="I625" s="15"/>
      <c r="J625" s="15"/>
      <c r="K625" s="16" t="str">
        <f aca="false">IF(A625="","",F625+G625+H625+I625)</f>
        <v/>
      </c>
      <c r="L625" s="17" t="str">
        <f aca="false">IF(OR(K625="",E625=0,E625=""),"",K625/E625)</f>
        <v/>
      </c>
      <c r="M625" s="18" t="str">
        <f aca="false">IF(OR(A625="",E625=""),"",E625+ROW()/1000000)</f>
        <v/>
      </c>
    </row>
    <row r="626" customFormat="false" ht="15" hidden="false" customHeight="false" outlineLevel="0" collapsed="false">
      <c r="A626" s="12"/>
      <c r="B626" s="13"/>
      <c r="C626" s="13"/>
      <c r="D626" s="14"/>
      <c r="E626" s="15"/>
      <c r="F626" s="15"/>
      <c r="G626" s="15"/>
      <c r="H626" s="15"/>
      <c r="I626" s="15"/>
      <c r="J626" s="15"/>
      <c r="K626" s="16" t="str">
        <f aca="false">IF(A626="","",F626+G626+H626+I626)</f>
        <v/>
      </c>
      <c r="L626" s="17" t="str">
        <f aca="false">IF(OR(K626="",E626=0,E626=""),"",K626/E626)</f>
        <v/>
      </c>
      <c r="M626" s="18" t="str">
        <f aca="false">IF(OR(A626="",E626=""),"",E626+ROW()/1000000)</f>
        <v/>
      </c>
    </row>
    <row r="627" customFormat="false" ht="15" hidden="false" customHeight="false" outlineLevel="0" collapsed="false">
      <c r="A627" s="12"/>
      <c r="B627" s="13"/>
      <c r="C627" s="13"/>
      <c r="D627" s="14"/>
      <c r="E627" s="15"/>
      <c r="F627" s="15"/>
      <c r="G627" s="15"/>
      <c r="H627" s="15"/>
      <c r="I627" s="15"/>
      <c r="J627" s="15"/>
      <c r="K627" s="16" t="str">
        <f aca="false">IF(A627="","",F627+G627+H627+I627)</f>
        <v/>
      </c>
      <c r="L627" s="17" t="str">
        <f aca="false">IF(OR(K627="",E627=0,E627=""),"",K627/E627)</f>
        <v/>
      </c>
      <c r="M627" s="18" t="str">
        <f aca="false">IF(OR(A627="",E627=""),"",E627+ROW()/1000000)</f>
        <v/>
      </c>
    </row>
    <row r="628" customFormat="false" ht="15" hidden="false" customHeight="false" outlineLevel="0" collapsed="false">
      <c r="A628" s="12"/>
      <c r="B628" s="13"/>
      <c r="C628" s="13"/>
      <c r="D628" s="14"/>
      <c r="E628" s="15"/>
      <c r="F628" s="15"/>
      <c r="G628" s="15"/>
      <c r="H628" s="15"/>
      <c r="I628" s="15"/>
      <c r="J628" s="15"/>
      <c r="K628" s="16" t="str">
        <f aca="false">IF(A628="","",F628+G628+H628+I628)</f>
        <v/>
      </c>
      <c r="L628" s="17" t="str">
        <f aca="false">IF(OR(K628="",E628=0,E628=""),"",K628/E628)</f>
        <v/>
      </c>
      <c r="M628" s="18" t="str">
        <f aca="false">IF(OR(A628="",E628=""),"",E628+ROW()/1000000)</f>
        <v/>
      </c>
    </row>
    <row r="629" customFormat="false" ht="15" hidden="false" customHeight="false" outlineLevel="0" collapsed="false">
      <c r="A629" s="12"/>
      <c r="B629" s="13"/>
      <c r="C629" s="13"/>
      <c r="D629" s="14"/>
      <c r="E629" s="15"/>
      <c r="F629" s="15"/>
      <c r="G629" s="15"/>
      <c r="H629" s="15"/>
      <c r="I629" s="15"/>
      <c r="J629" s="15"/>
      <c r="K629" s="16" t="str">
        <f aca="false">IF(A629="","",F629+G629+H629+I629)</f>
        <v/>
      </c>
      <c r="L629" s="17" t="str">
        <f aca="false">IF(OR(K629="",E629=0,E629=""),"",K629/E629)</f>
        <v/>
      </c>
      <c r="M629" s="18" t="str">
        <f aca="false">IF(OR(A629="",E629=""),"",E629+ROW()/1000000)</f>
        <v/>
      </c>
    </row>
    <row r="630" customFormat="false" ht="15" hidden="false" customHeight="false" outlineLevel="0" collapsed="false">
      <c r="A630" s="12"/>
      <c r="B630" s="13"/>
      <c r="C630" s="13"/>
      <c r="D630" s="14"/>
      <c r="E630" s="15"/>
      <c r="F630" s="15"/>
      <c r="G630" s="15"/>
      <c r="H630" s="15"/>
      <c r="I630" s="15"/>
      <c r="J630" s="15"/>
      <c r="K630" s="16" t="str">
        <f aca="false">IF(A630="","",F630+G630+H630+I630)</f>
        <v/>
      </c>
      <c r="L630" s="17" t="str">
        <f aca="false">IF(OR(K630="",E630=0,E630=""),"",K630/E630)</f>
        <v/>
      </c>
      <c r="M630" s="18" t="str">
        <f aca="false">IF(OR(A630="",E630=""),"",E630+ROW()/1000000)</f>
        <v/>
      </c>
    </row>
    <row r="631" customFormat="false" ht="15" hidden="false" customHeight="false" outlineLevel="0" collapsed="false">
      <c r="A631" s="12"/>
      <c r="B631" s="13"/>
      <c r="C631" s="13"/>
      <c r="D631" s="14"/>
      <c r="E631" s="15"/>
      <c r="F631" s="15"/>
      <c r="G631" s="15"/>
      <c r="H631" s="15"/>
      <c r="I631" s="15"/>
      <c r="J631" s="15"/>
      <c r="K631" s="16" t="str">
        <f aca="false">IF(A631="","",F631+G631+H631+I631)</f>
        <v/>
      </c>
      <c r="L631" s="17" t="str">
        <f aca="false">IF(OR(K631="",E631=0,E631=""),"",K631/E631)</f>
        <v/>
      </c>
      <c r="M631" s="18" t="str">
        <f aca="false">IF(OR(A631="",E631=""),"",E631+ROW()/1000000)</f>
        <v/>
      </c>
    </row>
    <row r="632" customFormat="false" ht="15" hidden="false" customHeight="false" outlineLevel="0" collapsed="false">
      <c r="A632" s="12"/>
      <c r="B632" s="13"/>
      <c r="C632" s="13"/>
      <c r="D632" s="14"/>
      <c r="E632" s="15"/>
      <c r="F632" s="15"/>
      <c r="G632" s="15"/>
      <c r="H632" s="15"/>
      <c r="I632" s="15"/>
      <c r="J632" s="15"/>
      <c r="K632" s="16" t="str">
        <f aca="false">IF(A632="","",F632+G632+H632+I632)</f>
        <v/>
      </c>
      <c r="L632" s="17" t="str">
        <f aca="false">IF(OR(K632="",E632=0,E632=""),"",K632/E632)</f>
        <v/>
      </c>
      <c r="M632" s="18" t="str">
        <f aca="false">IF(OR(A632="",E632=""),"",E632+ROW()/1000000)</f>
        <v/>
      </c>
    </row>
    <row r="633" customFormat="false" ht="15" hidden="false" customHeight="false" outlineLevel="0" collapsed="false">
      <c r="A633" s="12"/>
      <c r="B633" s="13"/>
      <c r="C633" s="13"/>
      <c r="D633" s="14"/>
      <c r="E633" s="15"/>
      <c r="F633" s="15"/>
      <c r="G633" s="15"/>
      <c r="H633" s="15"/>
      <c r="I633" s="15"/>
      <c r="J633" s="15"/>
      <c r="K633" s="16" t="str">
        <f aca="false">IF(A633="","",F633+G633+H633+I633)</f>
        <v/>
      </c>
      <c r="L633" s="17" t="str">
        <f aca="false">IF(OR(K633="",E633=0,E633=""),"",K633/E633)</f>
        <v/>
      </c>
      <c r="M633" s="18" t="str">
        <f aca="false">IF(OR(A633="",E633=""),"",E633+ROW()/1000000)</f>
        <v/>
      </c>
    </row>
    <row r="634" customFormat="false" ht="15" hidden="false" customHeight="false" outlineLevel="0" collapsed="false">
      <c r="A634" s="12"/>
      <c r="B634" s="13"/>
      <c r="C634" s="13"/>
      <c r="D634" s="14"/>
      <c r="E634" s="15"/>
      <c r="F634" s="15"/>
      <c r="G634" s="15"/>
      <c r="H634" s="15"/>
      <c r="I634" s="15"/>
      <c r="J634" s="15"/>
      <c r="K634" s="16" t="str">
        <f aca="false">IF(A634="","",F634+G634+H634+I634)</f>
        <v/>
      </c>
      <c r="L634" s="17" t="str">
        <f aca="false">IF(OR(K634="",E634=0,E634=""),"",K634/E634)</f>
        <v/>
      </c>
      <c r="M634" s="18" t="str">
        <f aca="false">IF(OR(A634="",E634=""),"",E634+ROW()/1000000)</f>
        <v/>
      </c>
    </row>
    <row r="635" customFormat="false" ht="15" hidden="false" customHeight="false" outlineLevel="0" collapsed="false">
      <c r="A635" s="12"/>
      <c r="B635" s="13"/>
      <c r="C635" s="13"/>
      <c r="D635" s="14"/>
      <c r="E635" s="15"/>
      <c r="F635" s="15"/>
      <c r="G635" s="15"/>
      <c r="H635" s="15"/>
      <c r="I635" s="15"/>
      <c r="J635" s="15"/>
      <c r="K635" s="16" t="str">
        <f aca="false">IF(A635="","",F635+G635+H635+I635)</f>
        <v/>
      </c>
      <c r="L635" s="17" t="str">
        <f aca="false">IF(OR(K635="",E635=0,E635=""),"",K635/E635)</f>
        <v/>
      </c>
      <c r="M635" s="18" t="str">
        <f aca="false">IF(OR(A635="",E635=""),"",E635+ROW()/1000000)</f>
        <v/>
      </c>
    </row>
    <row r="636" customFormat="false" ht="15" hidden="false" customHeight="false" outlineLevel="0" collapsed="false">
      <c r="A636" s="12"/>
      <c r="B636" s="13"/>
      <c r="C636" s="13"/>
      <c r="D636" s="14"/>
      <c r="E636" s="15"/>
      <c r="F636" s="15"/>
      <c r="G636" s="15"/>
      <c r="H636" s="15"/>
      <c r="I636" s="15"/>
      <c r="J636" s="15"/>
      <c r="K636" s="16" t="str">
        <f aca="false">IF(A636="","",F636+G636+H636+I636)</f>
        <v/>
      </c>
      <c r="L636" s="17" t="str">
        <f aca="false">IF(OR(K636="",E636=0,E636=""),"",K636/E636)</f>
        <v/>
      </c>
      <c r="M636" s="18" t="str">
        <f aca="false">IF(OR(A636="",E636=""),"",E636+ROW()/1000000)</f>
        <v/>
      </c>
    </row>
    <row r="637" customFormat="false" ht="15" hidden="false" customHeight="false" outlineLevel="0" collapsed="false">
      <c r="A637" s="12"/>
      <c r="B637" s="13"/>
      <c r="C637" s="13"/>
      <c r="D637" s="14"/>
      <c r="E637" s="15"/>
      <c r="F637" s="15"/>
      <c r="G637" s="15"/>
      <c r="H637" s="15"/>
      <c r="I637" s="15"/>
      <c r="J637" s="15"/>
      <c r="K637" s="16" t="str">
        <f aca="false">IF(A637="","",F637+G637+H637+I637)</f>
        <v/>
      </c>
      <c r="L637" s="17" t="str">
        <f aca="false">IF(OR(K637="",E637=0,E637=""),"",K637/E637)</f>
        <v/>
      </c>
      <c r="M637" s="18" t="str">
        <f aca="false">IF(OR(A637="",E637=""),"",E637+ROW()/1000000)</f>
        <v/>
      </c>
    </row>
    <row r="638" customFormat="false" ht="15" hidden="false" customHeight="false" outlineLevel="0" collapsed="false">
      <c r="A638" s="12"/>
      <c r="B638" s="13"/>
      <c r="C638" s="13"/>
      <c r="D638" s="14"/>
      <c r="E638" s="15"/>
      <c r="F638" s="15"/>
      <c r="G638" s="15"/>
      <c r="H638" s="15"/>
      <c r="I638" s="15"/>
      <c r="J638" s="15"/>
      <c r="K638" s="16" t="str">
        <f aca="false">IF(A638="","",F638+G638+H638+I638)</f>
        <v/>
      </c>
      <c r="L638" s="17" t="str">
        <f aca="false">IF(OR(K638="",E638=0,E638=""),"",K638/E638)</f>
        <v/>
      </c>
      <c r="M638" s="18" t="str">
        <f aca="false">IF(OR(A638="",E638=""),"",E638+ROW()/1000000)</f>
        <v/>
      </c>
    </row>
    <row r="639" customFormat="false" ht="15" hidden="false" customHeight="false" outlineLevel="0" collapsed="false">
      <c r="A639" s="12"/>
      <c r="B639" s="13"/>
      <c r="C639" s="13"/>
      <c r="D639" s="14"/>
      <c r="E639" s="15"/>
      <c r="F639" s="15"/>
      <c r="G639" s="15"/>
      <c r="H639" s="15"/>
      <c r="I639" s="15"/>
      <c r="J639" s="15"/>
      <c r="K639" s="16" t="str">
        <f aca="false">IF(A639="","",F639+G639+H639+I639)</f>
        <v/>
      </c>
      <c r="L639" s="17" t="str">
        <f aca="false">IF(OR(K639="",E639=0,E639=""),"",K639/E639)</f>
        <v/>
      </c>
      <c r="M639" s="18" t="str">
        <f aca="false">IF(OR(A639="",E639=""),"",E639+ROW()/1000000)</f>
        <v/>
      </c>
    </row>
    <row r="640" customFormat="false" ht="15" hidden="false" customHeight="false" outlineLevel="0" collapsed="false">
      <c r="A640" s="12"/>
      <c r="B640" s="13"/>
      <c r="C640" s="13"/>
      <c r="D640" s="14"/>
      <c r="E640" s="15"/>
      <c r="F640" s="15"/>
      <c r="G640" s="15"/>
      <c r="H640" s="15"/>
      <c r="I640" s="15"/>
      <c r="J640" s="15"/>
      <c r="K640" s="16" t="str">
        <f aca="false">IF(A640="","",F640+G640+H640+I640)</f>
        <v/>
      </c>
      <c r="L640" s="17" t="str">
        <f aca="false">IF(OR(K640="",E640=0,E640=""),"",K640/E640)</f>
        <v/>
      </c>
      <c r="M640" s="18" t="str">
        <f aca="false">IF(OR(A640="",E640=""),"",E640+ROW()/1000000)</f>
        <v/>
      </c>
    </row>
    <row r="641" customFormat="false" ht="15" hidden="false" customHeight="false" outlineLevel="0" collapsed="false">
      <c r="A641" s="12"/>
      <c r="B641" s="13"/>
      <c r="C641" s="13"/>
      <c r="D641" s="14"/>
      <c r="E641" s="15"/>
      <c r="F641" s="15"/>
      <c r="G641" s="15"/>
      <c r="H641" s="15"/>
      <c r="I641" s="15"/>
      <c r="J641" s="15"/>
      <c r="K641" s="16" t="str">
        <f aca="false">IF(A641="","",F641+G641+H641+I641)</f>
        <v/>
      </c>
      <c r="L641" s="17" t="str">
        <f aca="false">IF(OR(K641="",E641=0,E641=""),"",K641/E641)</f>
        <v/>
      </c>
      <c r="M641" s="18" t="str">
        <f aca="false">IF(OR(A641="",E641=""),"",E641+ROW()/1000000)</f>
        <v/>
      </c>
    </row>
    <row r="642" customFormat="false" ht="15" hidden="false" customHeight="false" outlineLevel="0" collapsed="false">
      <c r="A642" s="12"/>
      <c r="B642" s="13"/>
      <c r="C642" s="13"/>
      <c r="D642" s="14"/>
      <c r="E642" s="15"/>
      <c r="F642" s="15"/>
      <c r="G642" s="15"/>
      <c r="H642" s="15"/>
      <c r="I642" s="15"/>
      <c r="J642" s="15"/>
      <c r="K642" s="16" t="str">
        <f aca="false">IF(A642="","",F642+G642+H642+I642)</f>
        <v/>
      </c>
      <c r="L642" s="17" t="str">
        <f aca="false">IF(OR(K642="",E642=0,E642=""),"",K642/E642)</f>
        <v/>
      </c>
      <c r="M642" s="18" t="str">
        <f aca="false">IF(OR(A642="",E642=""),"",E642+ROW()/1000000)</f>
        <v/>
      </c>
    </row>
    <row r="643" customFormat="false" ht="15" hidden="false" customHeight="false" outlineLevel="0" collapsed="false">
      <c r="A643" s="12"/>
      <c r="B643" s="13"/>
      <c r="C643" s="13"/>
      <c r="D643" s="14"/>
      <c r="E643" s="15"/>
      <c r="F643" s="15"/>
      <c r="G643" s="15"/>
      <c r="H643" s="15"/>
      <c r="I643" s="15"/>
      <c r="J643" s="15"/>
      <c r="K643" s="16" t="str">
        <f aca="false">IF(A643="","",F643+G643+H643+I643)</f>
        <v/>
      </c>
      <c r="L643" s="17" t="str">
        <f aca="false">IF(OR(K643="",E643=0,E643=""),"",K643/E643)</f>
        <v/>
      </c>
      <c r="M643" s="18" t="str">
        <f aca="false">IF(OR(A643="",E643=""),"",E643+ROW()/1000000)</f>
        <v/>
      </c>
    </row>
    <row r="644" customFormat="false" ht="15" hidden="false" customHeight="false" outlineLevel="0" collapsed="false">
      <c r="A644" s="12"/>
      <c r="B644" s="13"/>
      <c r="C644" s="13"/>
      <c r="D644" s="14"/>
      <c r="E644" s="15"/>
      <c r="F644" s="15"/>
      <c r="G644" s="15"/>
      <c r="H644" s="15"/>
      <c r="I644" s="15"/>
      <c r="J644" s="15"/>
      <c r="K644" s="16" t="str">
        <f aca="false">IF(A644="","",F644+G644+H644+I644)</f>
        <v/>
      </c>
      <c r="L644" s="17" t="str">
        <f aca="false">IF(OR(K644="",E644=0,E644=""),"",K644/E644)</f>
        <v/>
      </c>
      <c r="M644" s="18" t="str">
        <f aca="false">IF(OR(A644="",E644=""),"",E644+ROW()/1000000)</f>
        <v/>
      </c>
    </row>
    <row r="645" customFormat="false" ht="15" hidden="false" customHeight="false" outlineLevel="0" collapsed="false">
      <c r="A645" s="12"/>
      <c r="B645" s="13"/>
      <c r="C645" s="13"/>
      <c r="D645" s="14"/>
      <c r="E645" s="15"/>
      <c r="F645" s="15"/>
      <c r="G645" s="15"/>
      <c r="H645" s="15"/>
      <c r="I645" s="15"/>
      <c r="J645" s="15"/>
      <c r="K645" s="16" t="str">
        <f aca="false">IF(A645="","",F645+G645+H645+I645)</f>
        <v/>
      </c>
      <c r="L645" s="17" t="str">
        <f aca="false">IF(OR(K645="",E645=0,E645=""),"",K645/E645)</f>
        <v/>
      </c>
      <c r="M645" s="18" t="str">
        <f aca="false">IF(OR(A645="",E645=""),"",E645+ROW()/1000000)</f>
        <v/>
      </c>
    </row>
    <row r="646" customFormat="false" ht="15" hidden="false" customHeight="false" outlineLevel="0" collapsed="false">
      <c r="A646" s="12"/>
      <c r="B646" s="13"/>
      <c r="C646" s="13"/>
      <c r="D646" s="14"/>
      <c r="E646" s="15"/>
      <c r="F646" s="15"/>
      <c r="G646" s="15"/>
      <c r="H646" s="15"/>
      <c r="I646" s="15"/>
      <c r="J646" s="15"/>
      <c r="K646" s="16" t="str">
        <f aca="false">IF(A646="","",F646+G646+H646+I646)</f>
        <v/>
      </c>
      <c r="L646" s="17" t="str">
        <f aca="false">IF(OR(K646="",E646=0,E646=""),"",K646/E646)</f>
        <v/>
      </c>
      <c r="M646" s="18" t="str">
        <f aca="false">IF(OR(A646="",E646=""),"",E646+ROW()/1000000)</f>
        <v/>
      </c>
    </row>
    <row r="647" customFormat="false" ht="15" hidden="false" customHeight="false" outlineLevel="0" collapsed="false">
      <c r="A647" s="12"/>
      <c r="B647" s="13"/>
      <c r="C647" s="13"/>
      <c r="D647" s="14"/>
      <c r="E647" s="15"/>
      <c r="F647" s="15"/>
      <c r="G647" s="15"/>
      <c r="H647" s="15"/>
      <c r="I647" s="15"/>
      <c r="J647" s="15"/>
      <c r="K647" s="16" t="str">
        <f aca="false">IF(A647="","",F647+G647+H647+I647)</f>
        <v/>
      </c>
      <c r="L647" s="17" t="str">
        <f aca="false">IF(OR(K647="",E647=0,E647=""),"",K647/E647)</f>
        <v/>
      </c>
      <c r="M647" s="18" t="str">
        <f aca="false">IF(OR(A647="",E647=""),"",E647+ROW()/1000000)</f>
        <v/>
      </c>
    </row>
    <row r="648" customFormat="false" ht="15" hidden="false" customHeight="false" outlineLevel="0" collapsed="false">
      <c r="A648" s="12"/>
      <c r="B648" s="13"/>
      <c r="C648" s="13"/>
      <c r="D648" s="14"/>
      <c r="E648" s="15"/>
      <c r="F648" s="15"/>
      <c r="G648" s="15"/>
      <c r="H648" s="15"/>
      <c r="I648" s="15"/>
      <c r="J648" s="15"/>
      <c r="K648" s="16" t="str">
        <f aca="false">IF(A648="","",F648+G648+H648+I648)</f>
        <v/>
      </c>
      <c r="L648" s="17" t="str">
        <f aca="false">IF(OR(K648="",E648=0,E648=""),"",K648/E648)</f>
        <v/>
      </c>
      <c r="M648" s="18" t="str">
        <f aca="false">IF(OR(A648="",E648=""),"",E648+ROW()/1000000)</f>
        <v/>
      </c>
    </row>
    <row r="649" customFormat="false" ht="15" hidden="false" customHeight="false" outlineLevel="0" collapsed="false">
      <c r="A649" s="12"/>
      <c r="B649" s="13"/>
      <c r="C649" s="13"/>
      <c r="D649" s="14"/>
      <c r="E649" s="15"/>
      <c r="F649" s="15"/>
      <c r="G649" s="15"/>
      <c r="H649" s="15"/>
      <c r="I649" s="15"/>
      <c r="J649" s="15"/>
      <c r="K649" s="16" t="str">
        <f aca="false">IF(A649="","",F649+G649+H649+I649)</f>
        <v/>
      </c>
      <c r="L649" s="17" t="str">
        <f aca="false">IF(OR(K649="",E649=0,E649=""),"",K649/E649)</f>
        <v/>
      </c>
      <c r="M649" s="18" t="str">
        <f aca="false">IF(OR(A649="",E649=""),"",E649+ROW()/1000000)</f>
        <v/>
      </c>
    </row>
    <row r="650" customFormat="false" ht="15" hidden="false" customHeight="false" outlineLevel="0" collapsed="false">
      <c r="A650" s="12"/>
      <c r="B650" s="13"/>
      <c r="C650" s="13"/>
      <c r="D650" s="14"/>
      <c r="E650" s="15"/>
      <c r="F650" s="15"/>
      <c r="G650" s="15"/>
      <c r="H650" s="15"/>
      <c r="I650" s="15"/>
      <c r="J650" s="15"/>
      <c r="K650" s="16" t="str">
        <f aca="false">IF(A650="","",F650+G650+H650+I650)</f>
        <v/>
      </c>
      <c r="L650" s="17" t="str">
        <f aca="false">IF(OR(K650="",E650=0,E650=""),"",K650/E650)</f>
        <v/>
      </c>
      <c r="M650" s="18" t="str">
        <f aca="false">IF(OR(A650="",E650=""),"",E650+ROW()/1000000)</f>
        <v/>
      </c>
    </row>
    <row r="651" customFormat="false" ht="15" hidden="false" customHeight="false" outlineLevel="0" collapsed="false">
      <c r="A651" s="12"/>
      <c r="B651" s="13"/>
      <c r="C651" s="13"/>
      <c r="D651" s="14"/>
      <c r="E651" s="15"/>
      <c r="F651" s="15"/>
      <c r="G651" s="15"/>
      <c r="H651" s="15"/>
      <c r="I651" s="15"/>
      <c r="J651" s="15"/>
      <c r="K651" s="16" t="str">
        <f aca="false">IF(A651="","",F651+G651+H651+I651)</f>
        <v/>
      </c>
      <c r="L651" s="17" t="str">
        <f aca="false">IF(OR(K651="",E651=0,E651=""),"",K651/E651)</f>
        <v/>
      </c>
      <c r="M651" s="18" t="str">
        <f aca="false">IF(OR(A651="",E651=""),"",E651+ROW()/1000000)</f>
        <v/>
      </c>
    </row>
    <row r="652" customFormat="false" ht="15" hidden="false" customHeight="false" outlineLevel="0" collapsed="false">
      <c r="A652" s="12"/>
      <c r="B652" s="13"/>
      <c r="C652" s="13"/>
      <c r="D652" s="14"/>
      <c r="E652" s="15"/>
      <c r="F652" s="15"/>
      <c r="G652" s="15"/>
      <c r="H652" s="15"/>
      <c r="I652" s="15"/>
      <c r="J652" s="15"/>
      <c r="K652" s="16" t="str">
        <f aca="false">IF(A652="","",F652+G652+H652+I652)</f>
        <v/>
      </c>
      <c r="L652" s="17" t="str">
        <f aca="false">IF(OR(K652="",E652=0,E652=""),"",K652/E652)</f>
        <v/>
      </c>
      <c r="M652" s="18" t="str">
        <f aca="false">IF(OR(A652="",E652=""),"",E652+ROW()/1000000)</f>
        <v/>
      </c>
    </row>
    <row r="653" customFormat="false" ht="15" hidden="false" customHeight="false" outlineLevel="0" collapsed="false">
      <c r="A653" s="12"/>
      <c r="B653" s="13"/>
      <c r="C653" s="13"/>
      <c r="D653" s="14"/>
      <c r="E653" s="15"/>
      <c r="F653" s="15"/>
      <c r="G653" s="15"/>
      <c r="H653" s="15"/>
      <c r="I653" s="15"/>
      <c r="J653" s="15"/>
      <c r="K653" s="16" t="str">
        <f aca="false">IF(A653="","",F653+G653+H653+I653)</f>
        <v/>
      </c>
      <c r="L653" s="17" t="str">
        <f aca="false">IF(OR(K653="",E653=0,E653=""),"",K653/E653)</f>
        <v/>
      </c>
      <c r="M653" s="18" t="str">
        <f aca="false">IF(OR(A653="",E653=""),"",E653+ROW()/1000000)</f>
        <v/>
      </c>
    </row>
    <row r="654" customFormat="false" ht="15" hidden="false" customHeight="false" outlineLevel="0" collapsed="false">
      <c r="A654" s="12"/>
      <c r="B654" s="13"/>
      <c r="C654" s="13"/>
      <c r="D654" s="14"/>
      <c r="E654" s="15"/>
      <c r="F654" s="15"/>
      <c r="G654" s="15"/>
      <c r="H654" s="15"/>
      <c r="I654" s="15"/>
      <c r="J654" s="15"/>
      <c r="K654" s="16" t="str">
        <f aca="false">IF(A654="","",F654+G654+H654+I654)</f>
        <v/>
      </c>
      <c r="L654" s="17" t="str">
        <f aca="false">IF(OR(K654="",E654=0,E654=""),"",K654/E654)</f>
        <v/>
      </c>
      <c r="M654" s="18" t="str">
        <f aca="false">IF(OR(A654="",E654=""),"",E654+ROW()/1000000)</f>
        <v/>
      </c>
    </row>
    <row r="655" customFormat="false" ht="15" hidden="false" customHeight="false" outlineLevel="0" collapsed="false">
      <c r="A655" s="12"/>
      <c r="B655" s="13"/>
      <c r="C655" s="13"/>
      <c r="D655" s="14"/>
      <c r="E655" s="15"/>
      <c r="F655" s="15"/>
      <c r="G655" s="15"/>
      <c r="H655" s="15"/>
      <c r="I655" s="15"/>
      <c r="J655" s="15"/>
      <c r="K655" s="16" t="str">
        <f aca="false">IF(A655="","",F655+G655+H655+I655)</f>
        <v/>
      </c>
      <c r="L655" s="17" t="str">
        <f aca="false">IF(OR(K655="",E655=0,E655=""),"",K655/E655)</f>
        <v/>
      </c>
      <c r="M655" s="18" t="str">
        <f aca="false">IF(OR(A655="",E655=""),"",E655+ROW()/1000000)</f>
        <v/>
      </c>
    </row>
    <row r="656" customFormat="false" ht="15" hidden="false" customHeight="false" outlineLevel="0" collapsed="false">
      <c r="A656" s="12"/>
      <c r="B656" s="13"/>
      <c r="C656" s="13"/>
      <c r="D656" s="14"/>
      <c r="E656" s="15"/>
      <c r="F656" s="15"/>
      <c r="G656" s="15"/>
      <c r="H656" s="15"/>
      <c r="I656" s="15"/>
      <c r="J656" s="15"/>
      <c r="K656" s="16" t="str">
        <f aca="false">IF(A656="","",F656+G656+H656+I656)</f>
        <v/>
      </c>
      <c r="L656" s="17" t="str">
        <f aca="false">IF(OR(K656="",E656=0,E656=""),"",K656/E656)</f>
        <v/>
      </c>
      <c r="M656" s="18" t="str">
        <f aca="false">IF(OR(A656="",E656=""),"",E656+ROW()/1000000)</f>
        <v/>
      </c>
    </row>
    <row r="657" customFormat="false" ht="15" hidden="false" customHeight="false" outlineLevel="0" collapsed="false">
      <c r="A657" s="12"/>
      <c r="B657" s="13"/>
      <c r="C657" s="13"/>
      <c r="D657" s="14"/>
      <c r="E657" s="15"/>
      <c r="F657" s="15"/>
      <c r="G657" s="15"/>
      <c r="H657" s="15"/>
      <c r="I657" s="15"/>
      <c r="J657" s="15"/>
      <c r="K657" s="16" t="str">
        <f aca="false">IF(A657="","",F657+G657+H657+I657)</f>
        <v/>
      </c>
      <c r="L657" s="17" t="str">
        <f aca="false">IF(OR(K657="",E657=0,E657=""),"",K657/E657)</f>
        <v/>
      </c>
      <c r="M657" s="18" t="str">
        <f aca="false">IF(OR(A657="",E657=""),"",E657+ROW()/1000000)</f>
        <v/>
      </c>
    </row>
    <row r="658" customFormat="false" ht="15" hidden="false" customHeight="false" outlineLevel="0" collapsed="false">
      <c r="A658" s="12"/>
      <c r="B658" s="13"/>
      <c r="C658" s="13"/>
      <c r="D658" s="14"/>
      <c r="E658" s="15"/>
      <c r="F658" s="15"/>
      <c r="G658" s="15"/>
      <c r="H658" s="15"/>
      <c r="I658" s="15"/>
      <c r="J658" s="15"/>
      <c r="K658" s="16" t="str">
        <f aca="false">IF(A658="","",F658+G658+H658+I658)</f>
        <v/>
      </c>
      <c r="L658" s="17" t="str">
        <f aca="false">IF(OR(K658="",E658=0,E658=""),"",K658/E658)</f>
        <v/>
      </c>
      <c r="M658" s="18" t="str">
        <f aca="false">IF(OR(A658="",E658=""),"",E658+ROW()/1000000)</f>
        <v/>
      </c>
    </row>
    <row r="659" customFormat="false" ht="15" hidden="false" customHeight="false" outlineLevel="0" collapsed="false">
      <c r="A659" s="12"/>
      <c r="B659" s="13"/>
      <c r="C659" s="13"/>
      <c r="D659" s="14"/>
      <c r="E659" s="15"/>
      <c r="F659" s="15"/>
      <c r="G659" s="15"/>
      <c r="H659" s="15"/>
      <c r="I659" s="15"/>
      <c r="J659" s="15"/>
      <c r="K659" s="16" t="str">
        <f aca="false">IF(A659="","",F659+G659+H659+I659)</f>
        <v/>
      </c>
      <c r="L659" s="17" t="str">
        <f aca="false">IF(OR(K659="",E659=0,E659=""),"",K659/E659)</f>
        <v/>
      </c>
      <c r="M659" s="18" t="str">
        <f aca="false">IF(OR(A659="",E659=""),"",E659+ROW()/1000000)</f>
        <v/>
      </c>
    </row>
    <row r="660" customFormat="false" ht="15" hidden="false" customHeight="false" outlineLevel="0" collapsed="false">
      <c r="A660" s="12"/>
      <c r="B660" s="13"/>
      <c r="C660" s="13"/>
      <c r="D660" s="14"/>
      <c r="E660" s="15"/>
      <c r="F660" s="15"/>
      <c r="G660" s="15"/>
      <c r="H660" s="15"/>
      <c r="I660" s="15"/>
      <c r="J660" s="15"/>
      <c r="K660" s="16" t="str">
        <f aca="false">IF(A660="","",F660+G660+H660+I660)</f>
        <v/>
      </c>
      <c r="L660" s="17" t="str">
        <f aca="false">IF(OR(K660="",E660=0,E660=""),"",K660/E660)</f>
        <v/>
      </c>
      <c r="M660" s="18" t="str">
        <f aca="false">IF(OR(A660="",E660=""),"",E660+ROW()/1000000)</f>
        <v/>
      </c>
    </row>
    <row r="661" customFormat="false" ht="15" hidden="false" customHeight="false" outlineLevel="0" collapsed="false">
      <c r="A661" s="12"/>
      <c r="B661" s="13"/>
      <c r="C661" s="13"/>
      <c r="D661" s="14"/>
      <c r="E661" s="15"/>
      <c r="F661" s="15"/>
      <c r="G661" s="15"/>
      <c r="H661" s="15"/>
      <c r="I661" s="15"/>
      <c r="J661" s="15"/>
      <c r="K661" s="16" t="str">
        <f aca="false">IF(A661="","",F661+G661+H661+I661)</f>
        <v/>
      </c>
      <c r="L661" s="17" t="str">
        <f aca="false">IF(OR(K661="",E661=0,E661=""),"",K661/E661)</f>
        <v/>
      </c>
      <c r="M661" s="18" t="str">
        <f aca="false">IF(OR(A661="",E661=""),"",E661+ROW()/1000000)</f>
        <v/>
      </c>
    </row>
    <row r="662" customFormat="false" ht="15" hidden="false" customHeight="false" outlineLevel="0" collapsed="false">
      <c r="A662" s="12"/>
      <c r="B662" s="13"/>
      <c r="C662" s="13"/>
      <c r="D662" s="14"/>
      <c r="E662" s="15"/>
      <c r="F662" s="15"/>
      <c r="G662" s="15"/>
      <c r="H662" s="15"/>
      <c r="I662" s="15"/>
      <c r="J662" s="15"/>
      <c r="K662" s="16" t="str">
        <f aca="false">IF(A662="","",F662+G662+H662+I662)</f>
        <v/>
      </c>
      <c r="L662" s="17" t="str">
        <f aca="false">IF(OR(K662="",E662=0,E662=""),"",K662/E662)</f>
        <v/>
      </c>
      <c r="M662" s="18" t="str">
        <f aca="false">IF(OR(A662="",E662=""),"",E662+ROW()/1000000)</f>
        <v/>
      </c>
    </row>
    <row r="663" customFormat="false" ht="15" hidden="false" customHeight="false" outlineLevel="0" collapsed="false">
      <c r="A663" s="12"/>
      <c r="B663" s="13"/>
      <c r="C663" s="13"/>
      <c r="D663" s="14"/>
      <c r="E663" s="15"/>
      <c r="F663" s="15"/>
      <c r="G663" s="15"/>
      <c r="H663" s="15"/>
      <c r="I663" s="15"/>
      <c r="J663" s="15"/>
      <c r="K663" s="16" t="str">
        <f aca="false">IF(A663="","",F663+G663+H663+I663)</f>
        <v/>
      </c>
      <c r="L663" s="17" t="str">
        <f aca="false">IF(OR(K663="",E663=0,E663=""),"",K663/E663)</f>
        <v/>
      </c>
      <c r="M663" s="18" t="str">
        <f aca="false">IF(OR(A663="",E663=""),"",E663+ROW()/1000000)</f>
        <v/>
      </c>
    </row>
    <row r="664" customFormat="false" ht="15" hidden="false" customHeight="false" outlineLevel="0" collapsed="false">
      <c r="A664" s="12"/>
      <c r="B664" s="13"/>
      <c r="C664" s="13"/>
      <c r="D664" s="14"/>
      <c r="E664" s="15"/>
      <c r="F664" s="15"/>
      <c r="G664" s="15"/>
      <c r="H664" s="15"/>
      <c r="I664" s="15"/>
      <c r="J664" s="15"/>
      <c r="K664" s="16" t="str">
        <f aca="false">IF(A664="","",F664+G664+H664+I664)</f>
        <v/>
      </c>
      <c r="L664" s="17" t="str">
        <f aca="false">IF(OR(K664="",E664=0,E664=""),"",K664/E664)</f>
        <v/>
      </c>
      <c r="M664" s="18" t="str">
        <f aca="false">IF(OR(A664="",E664=""),"",E664+ROW()/1000000)</f>
        <v/>
      </c>
    </row>
    <row r="665" customFormat="false" ht="15" hidden="false" customHeight="false" outlineLevel="0" collapsed="false">
      <c r="A665" s="12"/>
      <c r="B665" s="13"/>
      <c r="C665" s="13"/>
      <c r="D665" s="14"/>
      <c r="E665" s="15"/>
      <c r="F665" s="15"/>
      <c r="G665" s="15"/>
      <c r="H665" s="15"/>
      <c r="I665" s="15"/>
      <c r="J665" s="15"/>
      <c r="K665" s="16" t="str">
        <f aca="false">IF(A665="","",F665+G665+H665+I665)</f>
        <v/>
      </c>
      <c r="L665" s="17" t="str">
        <f aca="false">IF(OR(K665="",E665=0,E665=""),"",K665/E665)</f>
        <v/>
      </c>
      <c r="M665" s="18" t="str">
        <f aca="false">IF(OR(A665="",E665=""),"",E665+ROW()/1000000)</f>
        <v/>
      </c>
    </row>
    <row r="666" customFormat="false" ht="15" hidden="false" customHeight="false" outlineLevel="0" collapsed="false">
      <c r="A666" s="12"/>
      <c r="B666" s="13"/>
      <c r="C666" s="13"/>
      <c r="D666" s="14"/>
      <c r="E666" s="15"/>
      <c r="F666" s="15"/>
      <c r="G666" s="15"/>
      <c r="H666" s="15"/>
      <c r="I666" s="15"/>
      <c r="J666" s="15"/>
      <c r="K666" s="16" t="str">
        <f aca="false">IF(A666="","",F666+G666+H666+I666)</f>
        <v/>
      </c>
      <c r="L666" s="17" t="str">
        <f aca="false">IF(OR(K666="",E666=0,E666=""),"",K666/E666)</f>
        <v/>
      </c>
      <c r="M666" s="18" t="str">
        <f aca="false">IF(OR(A666="",E666=""),"",E666+ROW()/1000000)</f>
        <v/>
      </c>
    </row>
    <row r="667" customFormat="false" ht="15" hidden="false" customHeight="false" outlineLevel="0" collapsed="false">
      <c r="A667" s="12"/>
      <c r="B667" s="13"/>
      <c r="C667" s="13"/>
      <c r="D667" s="14"/>
      <c r="E667" s="15"/>
      <c r="F667" s="15"/>
      <c r="G667" s="15"/>
      <c r="H667" s="15"/>
      <c r="I667" s="15"/>
      <c r="J667" s="15"/>
      <c r="K667" s="16" t="str">
        <f aca="false">IF(A667="","",F667+G667+H667+I667)</f>
        <v/>
      </c>
      <c r="L667" s="17" t="str">
        <f aca="false">IF(OR(K667="",E667=0,E667=""),"",K667/E667)</f>
        <v/>
      </c>
      <c r="M667" s="18" t="str">
        <f aca="false">IF(OR(A667="",E667=""),"",E667+ROW()/1000000)</f>
        <v/>
      </c>
    </row>
    <row r="668" customFormat="false" ht="15" hidden="false" customHeight="false" outlineLevel="0" collapsed="false">
      <c r="A668" s="12"/>
      <c r="B668" s="13"/>
      <c r="C668" s="13"/>
      <c r="D668" s="14"/>
      <c r="E668" s="15"/>
      <c r="F668" s="15"/>
      <c r="G668" s="15"/>
      <c r="H668" s="15"/>
      <c r="I668" s="15"/>
      <c r="J668" s="15"/>
      <c r="K668" s="16" t="str">
        <f aca="false">IF(A668="","",F668+G668+H668+I668)</f>
        <v/>
      </c>
      <c r="L668" s="17" t="str">
        <f aca="false">IF(OR(K668="",E668=0,E668=""),"",K668/E668)</f>
        <v/>
      </c>
      <c r="M668" s="18" t="str">
        <f aca="false">IF(OR(A668="",E668=""),"",E668+ROW()/1000000)</f>
        <v/>
      </c>
    </row>
    <row r="669" customFormat="false" ht="15" hidden="false" customHeight="false" outlineLevel="0" collapsed="false">
      <c r="A669" s="12"/>
      <c r="B669" s="13"/>
      <c r="C669" s="13"/>
      <c r="D669" s="14"/>
      <c r="E669" s="15"/>
      <c r="F669" s="15"/>
      <c r="G669" s="15"/>
      <c r="H669" s="15"/>
      <c r="I669" s="15"/>
      <c r="J669" s="15"/>
      <c r="K669" s="16" t="str">
        <f aca="false">IF(A669="","",F669+G669+H669+I669)</f>
        <v/>
      </c>
      <c r="L669" s="17" t="str">
        <f aca="false">IF(OR(K669="",E669=0,E669=""),"",K669/E669)</f>
        <v/>
      </c>
      <c r="M669" s="18" t="str">
        <f aca="false">IF(OR(A669="",E669=""),"",E669+ROW()/1000000)</f>
        <v/>
      </c>
    </row>
    <row r="670" customFormat="false" ht="15" hidden="false" customHeight="false" outlineLevel="0" collapsed="false">
      <c r="A670" s="12"/>
      <c r="B670" s="13"/>
      <c r="C670" s="13"/>
      <c r="D670" s="14"/>
      <c r="E670" s="15"/>
      <c r="F670" s="15"/>
      <c r="G670" s="15"/>
      <c r="H670" s="15"/>
      <c r="I670" s="15"/>
      <c r="J670" s="15"/>
      <c r="K670" s="16" t="str">
        <f aca="false">IF(A670="","",F670+G670+H670+I670)</f>
        <v/>
      </c>
      <c r="L670" s="17" t="str">
        <f aca="false">IF(OR(K670="",E670=0,E670=""),"",K670/E670)</f>
        <v/>
      </c>
      <c r="M670" s="18" t="str">
        <f aca="false">IF(OR(A670="",E670=""),"",E670+ROW()/1000000)</f>
        <v/>
      </c>
    </row>
    <row r="671" customFormat="false" ht="15" hidden="false" customHeight="false" outlineLevel="0" collapsed="false">
      <c r="A671" s="12"/>
      <c r="B671" s="13"/>
      <c r="C671" s="13"/>
      <c r="D671" s="14"/>
      <c r="E671" s="15"/>
      <c r="F671" s="15"/>
      <c r="G671" s="15"/>
      <c r="H671" s="15"/>
      <c r="I671" s="15"/>
      <c r="J671" s="15"/>
      <c r="K671" s="16" t="str">
        <f aca="false">IF(A671="","",F671+G671+H671+I671)</f>
        <v/>
      </c>
      <c r="L671" s="17" t="str">
        <f aca="false">IF(OR(K671="",E671=0,E671=""),"",K671/E671)</f>
        <v/>
      </c>
      <c r="M671" s="18" t="str">
        <f aca="false">IF(OR(A671="",E671=""),"",E671+ROW()/1000000)</f>
        <v/>
      </c>
    </row>
    <row r="672" customFormat="false" ht="15" hidden="false" customHeight="false" outlineLevel="0" collapsed="false">
      <c r="A672" s="12"/>
      <c r="B672" s="13"/>
      <c r="C672" s="13"/>
      <c r="D672" s="14"/>
      <c r="E672" s="15"/>
      <c r="F672" s="15"/>
      <c r="G672" s="15"/>
      <c r="H672" s="15"/>
      <c r="I672" s="15"/>
      <c r="J672" s="15"/>
      <c r="K672" s="16" t="str">
        <f aca="false">IF(A672="","",F672+G672+H672+I672)</f>
        <v/>
      </c>
      <c r="L672" s="17" t="str">
        <f aca="false">IF(OR(K672="",E672=0,E672=""),"",K672/E672)</f>
        <v/>
      </c>
      <c r="M672" s="18" t="str">
        <f aca="false">IF(OR(A672="",E672=""),"",E672+ROW()/1000000)</f>
        <v/>
      </c>
    </row>
    <row r="673" customFormat="false" ht="15" hidden="false" customHeight="false" outlineLevel="0" collapsed="false">
      <c r="A673" s="12"/>
      <c r="B673" s="13"/>
      <c r="C673" s="13"/>
      <c r="D673" s="14"/>
      <c r="E673" s="15"/>
      <c r="F673" s="15"/>
      <c r="G673" s="15"/>
      <c r="H673" s="15"/>
      <c r="I673" s="15"/>
      <c r="J673" s="15"/>
      <c r="K673" s="16" t="str">
        <f aca="false">IF(A673="","",F673+G673+H673+I673)</f>
        <v/>
      </c>
      <c r="L673" s="17" t="str">
        <f aca="false">IF(OR(K673="",E673=0,E673=""),"",K673/E673)</f>
        <v/>
      </c>
      <c r="M673" s="18" t="str">
        <f aca="false">IF(OR(A673="",E673=""),"",E673+ROW()/1000000)</f>
        <v/>
      </c>
    </row>
    <row r="674" customFormat="false" ht="15" hidden="false" customHeight="false" outlineLevel="0" collapsed="false">
      <c r="A674" s="12"/>
      <c r="B674" s="13"/>
      <c r="C674" s="13"/>
      <c r="D674" s="14"/>
      <c r="E674" s="15"/>
      <c r="F674" s="15"/>
      <c r="G674" s="15"/>
      <c r="H674" s="15"/>
      <c r="I674" s="15"/>
      <c r="J674" s="15"/>
      <c r="K674" s="16" t="str">
        <f aca="false">IF(A674="","",F674+G674+H674+I674)</f>
        <v/>
      </c>
      <c r="L674" s="17" t="str">
        <f aca="false">IF(OR(K674="",E674=0,E674=""),"",K674/E674)</f>
        <v/>
      </c>
      <c r="M674" s="18" t="str">
        <f aca="false">IF(OR(A674="",E674=""),"",E674+ROW()/1000000)</f>
        <v/>
      </c>
    </row>
    <row r="675" customFormat="false" ht="15" hidden="false" customHeight="false" outlineLevel="0" collapsed="false">
      <c r="A675" s="12"/>
      <c r="B675" s="13"/>
      <c r="C675" s="13"/>
      <c r="D675" s="14"/>
      <c r="E675" s="15"/>
      <c r="F675" s="15"/>
      <c r="G675" s="15"/>
      <c r="H675" s="15"/>
      <c r="I675" s="15"/>
      <c r="J675" s="15"/>
      <c r="K675" s="16" t="str">
        <f aca="false">IF(A675="","",F675+G675+H675+I675)</f>
        <v/>
      </c>
      <c r="L675" s="17" t="str">
        <f aca="false">IF(OR(K675="",E675=0,E675=""),"",K675/E675)</f>
        <v/>
      </c>
      <c r="M675" s="18" t="str">
        <f aca="false">IF(OR(A675="",E675=""),"",E675+ROW()/1000000)</f>
        <v/>
      </c>
    </row>
    <row r="676" customFormat="false" ht="15" hidden="false" customHeight="false" outlineLevel="0" collapsed="false">
      <c r="A676" s="12"/>
      <c r="B676" s="13"/>
      <c r="C676" s="13"/>
      <c r="D676" s="14"/>
      <c r="E676" s="15"/>
      <c r="F676" s="15"/>
      <c r="G676" s="15"/>
      <c r="H676" s="15"/>
      <c r="I676" s="15"/>
      <c r="J676" s="15"/>
      <c r="K676" s="16" t="str">
        <f aca="false">IF(A676="","",F676+G676+H676+I676)</f>
        <v/>
      </c>
      <c r="L676" s="17" t="str">
        <f aca="false">IF(OR(K676="",E676=0,E676=""),"",K676/E676)</f>
        <v/>
      </c>
      <c r="M676" s="18" t="str">
        <f aca="false">IF(OR(A676="",E676=""),"",E676+ROW()/1000000)</f>
        <v/>
      </c>
    </row>
    <row r="677" customFormat="false" ht="15" hidden="false" customHeight="false" outlineLevel="0" collapsed="false">
      <c r="A677" s="12"/>
      <c r="B677" s="13"/>
      <c r="C677" s="13"/>
      <c r="D677" s="14"/>
      <c r="E677" s="15"/>
      <c r="F677" s="15"/>
      <c r="G677" s="15"/>
      <c r="H677" s="15"/>
      <c r="I677" s="15"/>
      <c r="J677" s="15"/>
      <c r="K677" s="16" t="str">
        <f aca="false">IF(A677="","",F677+G677+H677+I677)</f>
        <v/>
      </c>
      <c r="L677" s="17" t="str">
        <f aca="false">IF(OR(K677="",E677=0,E677=""),"",K677/E677)</f>
        <v/>
      </c>
      <c r="M677" s="18" t="str">
        <f aca="false">IF(OR(A677="",E677=""),"",E677+ROW()/1000000)</f>
        <v/>
      </c>
    </row>
    <row r="678" customFormat="false" ht="15" hidden="false" customHeight="false" outlineLevel="0" collapsed="false">
      <c r="A678" s="12"/>
      <c r="B678" s="13"/>
      <c r="C678" s="13"/>
      <c r="D678" s="14"/>
      <c r="E678" s="15"/>
      <c r="F678" s="15"/>
      <c r="G678" s="15"/>
      <c r="H678" s="15"/>
      <c r="I678" s="15"/>
      <c r="J678" s="15"/>
      <c r="K678" s="16" t="str">
        <f aca="false">IF(A678="","",F678+G678+H678+I678)</f>
        <v/>
      </c>
      <c r="L678" s="17" t="str">
        <f aca="false">IF(OR(K678="",E678=0,E678=""),"",K678/E678)</f>
        <v/>
      </c>
      <c r="M678" s="18" t="str">
        <f aca="false">IF(OR(A678="",E678=""),"",E678+ROW()/1000000)</f>
        <v/>
      </c>
    </row>
    <row r="679" customFormat="false" ht="15" hidden="false" customHeight="false" outlineLevel="0" collapsed="false">
      <c r="A679" s="12"/>
      <c r="B679" s="13"/>
      <c r="C679" s="13"/>
      <c r="D679" s="14"/>
      <c r="E679" s="15"/>
      <c r="F679" s="15"/>
      <c r="G679" s="15"/>
      <c r="H679" s="15"/>
      <c r="I679" s="15"/>
      <c r="J679" s="15"/>
      <c r="K679" s="16" t="str">
        <f aca="false">IF(A679="","",F679+G679+H679+I679)</f>
        <v/>
      </c>
      <c r="L679" s="17" t="str">
        <f aca="false">IF(OR(K679="",E679=0,E679=""),"",K679/E679)</f>
        <v/>
      </c>
      <c r="M679" s="18" t="str">
        <f aca="false">IF(OR(A679="",E679=""),"",E679+ROW()/1000000)</f>
        <v/>
      </c>
    </row>
    <row r="680" customFormat="false" ht="15" hidden="false" customHeight="false" outlineLevel="0" collapsed="false">
      <c r="A680" s="12"/>
      <c r="B680" s="13"/>
      <c r="C680" s="13"/>
      <c r="D680" s="14"/>
      <c r="E680" s="15"/>
      <c r="F680" s="15"/>
      <c r="G680" s="15"/>
      <c r="H680" s="15"/>
      <c r="I680" s="15"/>
      <c r="J680" s="15"/>
      <c r="K680" s="16" t="str">
        <f aca="false">IF(A680="","",F680+G680+H680+I680)</f>
        <v/>
      </c>
      <c r="L680" s="17" t="str">
        <f aca="false">IF(OR(K680="",E680=0,E680=""),"",K680/E680)</f>
        <v/>
      </c>
      <c r="M680" s="18" t="str">
        <f aca="false">IF(OR(A680="",E680=""),"",E680+ROW()/1000000)</f>
        <v/>
      </c>
    </row>
    <row r="681" customFormat="false" ht="15" hidden="false" customHeight="false" outlineLevel="0" collapsed="false">
      <c r="A681" s="12"/>
      <c r="B681" s="13"/>
      <c r="C681" s="13"/>
      <c r="D681" s="14"/>
      <c r="E681" s="15"/>
      <c r="F681" s="15"/>
      <c r="G681" s="15"/>
      <c r="H681" s="15"/>
      <c r="I681" s="15"/>
      <c r="J681" s="15"/>
      <c r="K681" s="16" t="str">
        <f aca="false">IF(A681="","",F681+G681+H681+I681)</f>
        <v/>
      </c>
      <c r="L681" s="17" t="str">
        <f aca="false">IF(OR(K681="",E681=0,E681=""),"",K681/E681)</f>
        <v/>
      </c>
      <c r="M681" s="18" t="str">
        <f aca="false">IF(OR(A681="",E681=""),"",E681+ROW()/1000000)</f>
        <v/>
      </c>
    </row>
    <row r="682" customFormat="false" ht="15" hidden="false" customHeight="false" outlineLevel="0" collapsed="false">
      <c r="A682" s="12"/>
      <c r="B682" s="13"/>
      <c r="C682" s="13"/>
      <c r="D682" s="14"/>
      <c r="E682" s="15"/>
      <c r="F682" s="15"/>
      <c r="G682" s="15"/>
      <c r="H682" s="15"/>
      <c r="I682" s="15"/>
      <c r="J682" s="15"/>
      <c r="K682" s="16" t="str">
        <f aca="false">IF(A682="","",F682+G682+H682+I682)</f>
        <v/>
      </c>
      <c r="L682" s="17" t="str">
        <f aca="false">IF(OR(K682="",E682=0,E682=""),"",K682/E682)</f>
        <v/>
      </c>
      <c r="M682" s="18" t="str">
        <f aca="false">IF(OR(A682="",E682=""),"",E682+ROW()/1000000)</f>
        <v/>
      </c>
    </row>
    <row r="683" customFormat="false" ht="15" hidden="false" customHeight="false" outlineLevel="0" collapsed="false">
      <c r="A683" s="12"/>
      <c r="B683" s="13"/>
      <c r="C683" s="13"/>
      <c r="D683" s="14"/>
      <c r="E683" s="15"/>
      <c r="F683" s="15"/>
      <c r="G683" s="15"/>
      <c r="H683" s="15"/>
      <c r="I683" s="15"/>
      <c r="J683" s="15"/>
      <c r="K683" s="16" t="str">
        <f aca="false">IF(A683="","",F683+G683+H683+I683)</f>
        <v/>
      </c>
      <c r="L683" s="17" t="str">
        <f aca="false">IF(OR(K683="",E683=0,E683=""),"",K683/E683)</f>
        <v/>
      </c>
      <c r="M683" s="18" t="str">
        <f aca="false">IF(OR(A683="",E683=""),"",E683+ROW()/1000000)</f>
        <v/>
      </c>
    </row>
    <row r="684" customFormat="false" ht="15" hidden="false" customHeight="false" outlineLevel="0" collapsed="false">
      <c r="A684" s="12"/>
      <c r="B684" s="13"/>
      <c r="C684" s="13"/>
      <c r="D684" s="14"/>
      <c r="E684" s="15"/>
      <c r="F684" s="15"/>
      <c r="G684" s="15"/>
      <c r="H684" s="15"/>
      <c r="I684" s="15"/>
      <c r="J684" s="15"/>
      <c r="K684" s="16" t="str">
        <f aca="false">IF(A684="","",F684+G684+H684+I684)</f>
        <v/>
      </c>
      <c r="L684" s="17" t="str">
        <f aca="false">IF(OR(K684="",E684=0,E684=""),"",K684/E684)</f>
        <v/>
      </c>
      <c r="M684" s="18" t="str">
        <f aca="false">IF(OR(A684="",E684=""),"",E684+ROW()/1000000)</f>
        <v/>
      </c>
    </row>
    <row r="685" customFormat="false" ht="15" hidden="false" customHeight="false" outlineLevel="0" collapsed="false">
      <c r="A685" s="12"/>
      <c r="B685" s="13"/>
      <c r="C685" s="13"/>
      <c r="D685" s="14"/>
      <c r="E685" s="15"/>
      <c r="F685" s="15"/>
      <c r="G685" s="15"/>
      <c r="H685" s="15"/>
      <c r="I685" s="15"/>
      <c r="J685" s="15"/>
      <c r="K685" s="16" t="str">
        <f aca="false">IF(A685="","",F685+G685+H685+I685)</f>
        <v/>
      </c>
      <c r="L685" s="17" t="str">
        <f aca="false">IF(OR(K685="",E685=0,E685=""),"",K685/E685)</f>
        <v/>
      </c>
      <c r="M685" s="18" t="str">
        <f aca="false">IF(OR(A685="",E685=""),"",E685+ROW()/1000000)</f>
        <v/>
      </c>
    </row>
    <row r="686" customFormat="false" ht="15" hidden="false" customHeight="false" outlineLevel="0" collapsed="false">
      <c r="A686" s="12"/>
      <c r="B686" s="13"/>
      <c r="C686" s="13"/>
      <c r="D686" s="14"/>
      <c r="E686" s="15"/>
      <c r="F686" s="15"/>
      <c r="G686" s="15"/>
      <c r="H686" s="15"/>
      <c r="I686" s="15"/>
      <c r="J686" s="15"/>
      <c r="K686" s="16" t="str">
        <f aca="false">IF(A686="","",F686+G686+H686+I686)</f>
        <v/>
      </c>
      <c r="L686" s="17" t="str">
        <f aca="false">IF(OR(K686="",E686=0,E686=""),"",K686/E686)</f>
        <v/>
      </c>
      <c r="M686" s="18" t="str">
        <f aca="false">IF(OR(A686="",E686=""),"",E686+ROW()/1000000)</f>
        <v/>
      </c>
    </row>
    <row r="687" customFormat="false" ht="15" hidden="false" customHeight="false" outlineLevel="0" collapsed="false">
      <c r="A687" s="12"/>
      <c r="B687" s="13"/>
      <c r="C687" s="13"/>
      <c r="D687" s="14"/>
      <c r="E687" s="15"/>
      <c r="F687" s="15"/>
      <c r="G687" s="15"/>
      <c r="H687" s="15"/>
      <c r="I687" s="15"/>
      <c r="J687" s="15"/>
      <c r="K687" s="16" t="str">
        <f aca="false">IF(A687="","",F687+G687+H687+I687)</f>
        <v/>
      </c>
      <c r="L687" s="17" t="str">
        <f aca="false">IF(OR(K687="",E687=0,E687=""),"",K687/E687)</f>
        <v/>
      </c>
      <c r="M687" s="18" t="str">
        <f aca="false">IF(OR(A687="",E687=""),"",E687+ROW()/1000000)</f>
        <v/>
      </c>
    </row>
    <row r="688" customFormat="false" ht="15" hidden="false" customHeight="false" outlineLevel="0" collapsed="false">
      <c r="A688" s="12"/>
      <c r="B688" s="13"/>
      <c r="C688" s="13"/>
      <c r="D688" s="14"/>
      <c r="E688" s="15"/>
      <c r="F688" s="15"/>
      <c r="G688" s="15"/>
      <c r="H688" s="15"/>
      <c r="I688" s="15"/>
      <c r="J688" s="15"/>
      <c r="K688" s="16" t="str">
        <f aca="false">IF(A688="","",F688+G688+H688+I688)</f>
        <v/>
      </c>
      <c r="L688" s="17" t="str">
        <f aca="false">IF(OR(K688="",E688=0,E688=""),"",K688/E688)</f>
        <v/>
      </c>
      <c r="M688" s="18" t="str">
        <f aca="false">IF(OR(A688="",E688=""),"",E688+ROW()/1000000)</f>
        <v/>
      </c>
    </row>
    <row r="689" customFormat="false" ht="15" hidden="false" customHeight="false" outlineLevel="0" collapsed="false">
      <c r="A689" s="12"/>
      <c r="B689" s="13"/>
      <c r="C689" s="13"/>
      <c r="D689" s="14"/>
      <c r="E689" s="15"/>
      <c r="F689" s="15"/>
      <c r="G689" s="15"/>
      <c r="H689" s="15"/>
      <c r="I689" s="15"/>
      <c r="J689" s="15"/>
      <c r="K689" s="16" t="str">
        <f aca="false">IF(A689="","",F689+G689+H689+I689)</f>
        <v/>
      </c>
      <c r="L689" s="17" t="str">
        <f aca="false">IF(OR(K689="",E689=0,E689=""),"",K689/E689)</f>
        <v/>
      </c>
      <c r="M689" s="18" t="str">
        <f aca="false">IF(OR(A689="",E689=""),"",E689+ROW()/1000000)</f>
        <v/>
      </c>
    </row>
    <row r="690" customFormat="false" ht="15" hidden="false" customHeight="false" outlineLevel="0" collapsed="false">
      <c r="A690" s="12"/>
      <c r="B690" s="13"/>
      <c r="C690" s="13"/>
      <c r="D690" s="14"/>
      <c r="E690" s="15"/>
      <c r="F690" s="15"/>
      <c r="G690" s="15"/>
      <c r="H690" s="15"/>
      <c r="I690" s="15"/>
      <c r="J690" s="15"/>
      <c r="K690" s="16" t="str">
        <f aca="false">IF(A690="","",F690+G690+H690+I690)</f>
        <v/>
      </c>
      <c r="L690" s="17" t="str">
        <f aca="false">IF(OR(K690="",E690=0,E690=""),"",K690/E690)</f>
        <v/>
      </c>
      <c r="M690" s="18" t="str">
        <f aca="false">IF(OR(A690="",E690=""),"",E690+ROW()/1000000)</f>
        <v/>
      </c>
    </row>
    <row r="691" customFormat="false" ht="15" hidden="false" customHeight="false" outlineLevel="0" collapsed="false">
      <c r="A691" s="12"/>
      <c r="B691" s="13"/>
      <c r="C691" s="13"/>
      <c r="D691" s="14"/>
      <c r="E691" s="15"/>
      <c r="F691" s="15"/>
      <c r="G691" s="15"/>
      <c r="H691" s="15"/>
      <c r="I691" s="15"/>
      <c r="J691" s="15"/>
      <c r="K691" s="16" t="str">
        <f aca="false">IF(A691="","",F691+G691+H691+I691)</f>
        <v/>
      </c>
      <c r="L691" s="17" t="str">
        <f aca="false">IF(OR(K691="",E691=0,E691=""),"",K691/E691)</f>
        <v/>
      </c>
      <c r="M691" s="18" t="str">
        <f aca="false">IF(OR(A691="",E691=""),"",E691+ROW()/1000000)</f>
        <v/>
      </c>
    </row>
    <row r="692" customFormat="false" ht="15" hidden="false" customHeight="false" outlineLevel="0" collapsed="false">
      <c r="A692" s="12"/>
      <c r="B692" s="13"/>
      <c r="C692" s="13"/>
      <c r="D692" s="14"/>
      <c r="E692" s="15"/>
      <c r="F692" s="15"/>
      <c r="G692" s="15"/>
      <c r="H692" s="15"/>
      <c r="I692" s="15"/>
      <c r="J692" s="15"/>
      <c r="K692" s="16" t="str">
        <f aca="false">IF(A692="","",F692+G692+H692+I692)</f>
        <v/>
      </c>
      <c r="L692" s="17" t="str">
        <f aca="false">IF(OR(K692="",E692=0,E692=""),"",K692/E692)</f>
        <v/>
      </c>
      <c r="M692" s="18" t="str">
        <f aca="false">IF(OR(A692="",E692=""),"",E692+ROW()/1000000)</f>
        <v/>
      </c>
    </row>
    <row r="693" customFormat="false" ht="15" hidden="false" customHeight="false" outlineLevel="0" collapsed="false">
      <c r="A693" s="12"/>
      <c r="B693" s="13"/>
      <c r="C693" s="13"/>
      <c r="D693" s="14"/>
      <c r="E693" s="15"/>
      <c r="F693" s="15"/>
      <c r="G693" s="15"/>
      <c r="H693" s="15"/>
      <c r="I693" s="15"/>
      <c r="J693" s="15"/>
      <c r="K693" s="16" t="str">
        <f aca="false">IF(A693="","",F693+G693+H693+I693)</f>
        <v/>
      </c>
      <c r="L693" s="17" t="str">
        <f aca="false">IF(OR(K693="",E693=0,E693=""),"",K693/E693)</f>
        <v/>
      </c>
      <c r="M693" s="18" t="str">
        <f aca="false">IF(OR(A693="",E693=""),"",E693+ROW()/1000000)</f>
        <v/>
      </c>
    </row>
    <row r="694" customFormat="false" ht="15" hidden="false" customHeight="false" outlineLevel="0" collapsed="false">
      <c r="A694" s="12"/>
      <c r="B694" s="13"/>
      <c r="C694" s="13"/>
      <c r="D694" s="14"/>
      <c r="E694" s="15"/>
      <c r="F694" s="15"/>
      <c r="G694" s="15"/>
      <c r="H694" s="15"/>
      <c r="I694" s="15"/>
      <c r="J694" s="15"/>
      <c r="K694" s="16" t="str">
        <f aca="false">IF(A694="","",F694+G694+H694+I694)</f>
        <v/>
      </c>
      <c r="L694" s="17" t="str">
        <f aca="false">IF(OR(K694="",E694=0,E694=""),"",K694/E694)</f>
        <v/>
      </c>
      <c r="M694" s="18" t="str">
        <f aca="false">IF(OR(A694="",E694=""),"",E694+ROW()/1000000)</f>
        <v/>
      </c>
    </row>
    <row r="695" customFormat="false" ht="15" hidden="false" customHeight="false" outlineLevel="0" collapsed="false">
      <c r="A695" s="12"/>
      <c r="B695" s="13"/>
      <c r="C695" s="13"/>
      <c r="D695" s="14"/>
      <c r="E695" s="15"/>
      <c r="F695" s="15"/>
      <c r="G695" s="15"/>
      <c r="H695" s="15"/>
      <c r="I695" s="15"/>
      <c r="J695" s="15"/>
      <c r="K695" s="16" t="str">
        <f aca="false">IF(A695="","",F695+G695+H695+I695)</f>
        <v/>
      </c>
      <c r="L695" s="17" t="str">
        <f aca="false">IF(OR(K695="",E695=0,E695=""),"",K695/E695)</f>
        <v/>
      </c>
      <c r="M695" s="18" t="str">
        <f aca="false">IF(OR(A695="",E695=""),"",E695+ROW()/1000000)</f>
        <v/>
      </c>
    </row>
    <row r="696" customFormat="false" ht="15" hidden="false" customHeight="false" outlineLevel="0" collapsed="false">
      <c r="A696" s="12"/>
      <c r="B696" s="13"/>
      <c r="C696" s="13"/>
      <c r="D696" s="14"/>
      <c r="E696" s="15"/>
      <c r="F696" s="15"/>
      <c r="G696" s="15"/>
      <c r="H696" s="15"/>
      <c r="I696" s="15"/>
      <c r="J696" s="15"/>
      <c r="K696" s="16" t="str">
        <f aca="false">IF(A696="","",F696+G696+H696+I696)</f>
        <v/>
      </c>
      <c r="L696" s="17" t="str">
        <f aca="false">IF(OR(K696="",E696=0,E696=""),"",K696/E696)</f>
        <v/>
      </c>
      <c r="M696" s="18" t="str">
        <f aca="false">IF(OR(A696="",E696=""),"",E696+ROW()/1000000)</f>
        <v/>
      </c>
    </row>
    <row r="697" customFormat="false" ht="15" hidden="false" customHeight="false" outlineLevel="0" collapsed="false">
      <c r="A697" s="12"/>
      <c r="B697" s="13"/>
      <c r="C697" s="13"/>
      <c r="D697" s="14"/>
      <c r="E697" s="15"/>
      <c r="F697" s="15"/>
      <c r="G697" s="15"/>
      <c r="H697" s="15"/>
      <c r="I697" s="15"/>
      <c r="J697" s="15"/>
      <c r="K697" s="16" t="str">
        <f aca="false">IF(A697="","",F697+G697+H697+I697)</f>
        <v/>
      </c>
      <c r="L697" s="17" t="str">
        <f aca="false">IF(OR(K697="",E697=0,E697=""),"",K697/E697)</f>
        <v/>
      </c>
      <c r="M697" s="18" t="str">
        <f aca="false">IF(OR(A697="",E697=""),"",E697+ROW()/1000000)</f>
        <v/>
      </c>
    </row>
    <row r="698" customFormat="false" ht="15" hidden="false" customHeight="false" outlineLevel="0" collapsed="false">
      <c r="A698" s="12"/>
      <c r="B698" s="13"/>
      <c r="C698" s="13"/>
      <c r="D698" s="14"/>
      <c r="E698" s="15"/>
      <c r="F698" s="15"/>
      <c r="G698" s="15"/>
      <c r="H698" s="15"/>
      <c r="I698" s="15"/>
      <c r="J698" s="15"/>
      <c r="K698" s="16" t="str">
        <f aca="false">IF(A698="","",F698+G698+H698+I698)</f>
        <v/>
      </c>
      <c r="L698" s="17" t="str">
        <f aca="false">IF(OR(K698="",E698=0,E698=""),"",K698/E698)</f>
        <v/>
      </c>
      <c r="M698" s="18" t="str">
        <f aca="false">IF(OR(A698="",E698=""),"",E698+ROW()/1000000)</f>
        <v/>
      </c>
    </row>
    <row r="699" customFormat="false" ht="15" hidden="false" customHeight="false" outlineLevel="0" collapsed="false">
      <c r="A699" s="12"/>
      <c r="B699" s="13"/>
      <c r="C699" s="13"/>
      <c r="D699" s="14"/>
      <c r="E699" s="15"/>
      <c r="F699" s="15"/>
      <c r="G699" s="15"/>
      <c r="H699" s="15"/>
      <c r="I699" s="15"/>
      <c r="J699" s="15"/>
      <c r="K699" s="16" t="str">
        <f aca="false">IF(A699="","",F699+G699+H699+I699)</f>
        <v/>
      </c>
      <c r="L699" s="17" t="str">
        <f aca="false">IF(OR(K699="",E699=0,E699=""),"",K699/E699)</f>
        <v/>
      </c>
      <c r="M699" s="18" t="str">
        <f aca="false">IF(OR(A699="",E699=""),"",E699+ROW()/1000000)</f>
        <v/>
      </c>
    </row>
    <row r="700" customFormat="false" ht="15" hidden="false" customHeight="false" outlineLevel="0" collapsed="false">
      <c r="A700" s="12"/>
      <c r="B700" s="13"/>
      <c r="C700" s="13"/>
      <c r="D700" s="14"/>
      <c r="E700" s="15"/>
      <c r="F700" s="15"/>
      <c r="G700" s="15"/>
      <c r="H700" s="15"/>
      <c r="I700" s="15"/>
      <c r="J700" s="15"/>
      <c r="K700" s="16" t="str">
        <f aca="false">IF(A700="","",F700+G700+H700+I700)</f>
        <v/>
      </c>
      <c r="L700" s="17" t="str">
        <f aca="false">IF(OR(K700="",E700=0,E700=""),"",K700/E700)</f>
        <v/>
      </c>
      <c r="M700" s="18" t="str">
        <f aca="false">IF(OR(A700="",E700=""),"",E700+ROW()/1000000)</f>
        <v/>
      </c>
    </row>
    <row r="701" customFormat="false" ht="15" hidden="false" customHeight="false" outlineLevel="0" collapsed="false">
      <c r="A701" s="12"/>
      <c r="B701" s="13"/>
      <c r="C701" s="13"/>
      <c r="D701" s="14"/>
      <c r="E701" s="15"/>
      <c r="F701" s="15"/>
      <c r="G701" s="15"/>
      <c r="H701" s="15"/>
      <c r="I701" s="15"/>
      <c r="J701" s="15"/>
      <c r="K701" s="16" t="str">
        <f aca="false">IF(A701="","",F701+G701+H701+I701)</f>
        <v/>
      </c>
      <c r="L701" s="17" t="str">
        <f aca="false">IF(OR(K701="",E701=0,E701=""),"",K701/E701)</f>
        <v/>
      </c>
      <c r="M701" s="18" t="str">
        <f aca="false">IF(OR(A701="",E701=""),"",E701+ROW()/1000000)</f>
        <v/>
      </c>
    </row>
    <row r="702" customFormat="false" ht="15" hidden="false" customHeight="false" outlineLevel="0" collapsed="false">
      <c r="A702" s="12"/>
      <c r="B702" s="13"/>
      <c r="C702" s="13"/>
      <c r="D702" s="14"/>
      <c r="E702" s="15"/>
      <c r="F702" s="15"/>
      <c r="G702" s="15"/>
      <c r="H702" s="15"/>
      <c r="I702" s="15"/>
      <c r="J702" s="15"/>
      <c r="K702" s="16" t="str">
        <f aca="false">IF(A702="","",F702+G702+H702+I702)</f>
        <v/>
      </c>
      <c r="L702" s="17" t="str">
        <f aca="false">IF(OR(K702="",E702=0,E702=""),"",K702/E702)</f>
        <v/>
      </c>
      <c r="M702" s="18" t="str">
        <f aca="false">IF(OR(A702="",E702=""),"",E702+ROW()/1000000)</f>
        <v/>
      </c>
    </row>
    <row r="703" customFormat="false" ht="15" hidden="false" customHeight="false" outlineLevel="0" collapsed="false">
      <c r="A703" s="12"/>
      <c r="B703" s="13"/>
      <c r="C703" s="13"/>
      <c r="D703" s="14"/>
      <c r="E703" s="15"/>
      <c r="F703" s="15"/>
      <c r="G703" s="15"/>
      <c r="H703" s="15"/>
      <c r="I703" s="15"/>
      <c r="J703" s="15"/>
      <c r="K703" s="16" t="str">
        <f aca="false">IF(A703="","",F703+G703+H703+I703)</f>
        <v/>
      </c>
      <c r="L703" s="17" t="str">
        <f aca="false">IF(OR(K703="",E703=0,E703=""),"",K703/E703)</f>
        <v/>
      </c>
      <c r="M703" s="18" t="str">
        <f aca="false">IF(OR(A703="",E703=""),"",E703+ROW()/1000000)</f>
        <v/>
      </c>
    </row>
    <row r="704" customFormat="false" ht="15" hidden="false" customHeight="false" outlineLevel="0" collapsed="false">
      <c r="A704" s="12"/>
      <c r="B704" s="13"/>
      <c r="C704" s="13"/>
      <c r="D704" s="14"/>
      <c r="E704" s="15"/>
      <c r="F704" s="15"/>
      <c r="G704" s="15"/>
      <c r="H704" s="15"/>
      <c r="I704" s="15"/>
      <c r="J704" s="15"/>
      <c r="K704" s="16" t="str">
        <f aca="false">IF(A704="","",F704+G704+H704+I704)</f>
        <v/>
      </c>
      <c r="L704" s="17" t="str">
        <f aca="false">IF(OR(K704="",E704=0,E704=""),"",K704/E704)</f>
        <v/>
      </c>
      <c r="M704" s="18" t="str">
        <f aca="false">IF(OR(A704="",E704=""),"",E704+ROW()/1000000)</f>
        <v/>
      </c>
    </row>
    <row r="705" customFormat="false" ht="15" hidden="false" customHeight="false" outlineLevel="0" collapsed="false">
      <c r="A705" s="12"/>
      <c r="B705" s="13"/>
      <c r="C705" s="13"/>
      <c r="D705" s="14"/>
      <c r="E705" s="15"/>
      <c r="F705" s="15"/>
      <c r="G705" s="15"/>
      <c r="H705" s="15"/>
      <c r="I705" s="15"/>
      <c r="J705" s="15"/>
      <c r="K705" s="16" t="str">
        <f aca="false">IF(A705="","",F705+G705+H705+I705)</f>
        <v/>
      </c>
      <c r="L705" s="17" t="str">
        <f aca="false">IF(OR(K705="",E705=0,E705=""),"",K705/E705)</f>
        <v/>
      </c>
      <c r="M705" s="18" t="str">
        <f aca="false">IF(OR(A705="",E705=""),"",E705+ROW()/1000000)</f>
        <v/>
      </c>
    </row>
    <row r="706" customFormat="false" ht="15" hidden="false" customHeight="false" outlineLevel="0" collapsed="false">
      <c r="A706" s="12"/>
      <c r="B706" s="13"/>
      <c r="C706" s="13"/>
      <c r="D706" s="14"/>
      <c r="E706" s="15"/>
      <c r="F706" s="15"/>
      <c r="G706" s="15"/>
      <c r="H706" s="15"/>
      <c r="I706" s="15"/>
      <c r="J706" s="15"/>
      <c r="K706" s="16" t="str">
        <f aca="false">IF(A706="","",F706+G706+H706+I706)</f>
        <v/>
      </c>
      <c r="L706" s="17" t="str">
        <f aca="false">IF(OR(K706="",E706=0,E706=""),"",K706/E706)</f>
        <v/>
      </c>
      <c r="M706" s="18" t="str">
        <f aca="false">IF(OR(A706="",E706=""),"",E706+ROW()/1000000)</f>
        <v/>
      </c>
    </row>
    <row r="707" customFormat="false" ht="15" hidden="false" customHeight="false" outlineLevel="0" collapsed="false">
      <c r="A707" s="12"/>
      <c r="B707" s="13"/>
      <c r="C707" s="13"/>
      <c r="D707" s="14"/>
      <c r="E707" s="15"/>
      <c r="F707" s="15"/>
      <c r="G707" s="15"/>
      <c r="H707" s="15"/>
      <c r="I707" s="15"/>
      <c r="J707" s="15"/>
      <c r="K707" s="16" t="str">
        <f aca="false">IF(A707="","",F707+G707+H707+I707)</f>
        <v/>
      </c>
      <c r="L707" s="17" t="str">
        <f aca="false">IF(OR(K707="",E707=0,E707=""),"",K707/E707)</f>
        <v/>
      </c>
      <c r="M707" s="18" t="str">
        <f aca="false">IF(OR(A707="",E707=""),"",E707+ROW()/1000000)</f>
        <v/>
      </c>
    </row>
    <row r="708" customFormat="false" ht="15" hidden="false" customHeight="false" outlineLevel="0" collapsed="false">
      <c r="A708" s="12"/>
      <c r="B708" s="13"/>
      <c r="C708" s="13"/>
      <c r="D708" s="14"/>
      <c r="E708" s="15"/>
      <c r="F708" s="15"/>
      <c r="G708" s="15"/>
      <c r="H708" s="15"/>
      <c r="I708" s="15"/>
      <c r="J708" s="15"/>
      <c r="K708" s="16" t="str">
        <f aca="false">IF(A708="","",F708+G708+H708+I708)</f>
        <v/>
      </c>
      <c r="L708" s="17" t="str">
        <f aca="false">IF(OR(K708="",E708=0,E708=""),"",K708/E708)</f>
        <v/>
      </c>
      <c r="M708" s="18" t="str">
        <f aca="false">IF(OR(A708="",E708=""),"",E708+ROW()/1000000)</f>
        <v/>
      </c>
    </row>
    <row r="709" customFormat="false" ht="15" hidden="false" customHeight="false" outlineLevel="0" collapsed="false">
      <c r="A709" s="12"/>
      <c r="B709" s="13"/>
      <c r="C709" s="13"/>
      <c r="D709" s="14"/>
      <c r="E709" s="15"/>
      <c r="F709" s="15"/>
      <c r="G709" s="15"/>
      <c r="H709" s="15"/>
      <c r="I709" s="15"/>
      <c r="J709" s="15"/>
      <c r="K709" s="16" t="str">
        <f aca="false">IF(A709="","",F709+G709+H709+I709)</f>
        <v/>
      </c>
      <c r="L709" s="17" t="str">
        <f aca="false">IF(OR(K709="",E709=0,E709=""),"",K709/E709)</f>
        <v/>
      </c>
      <c r="M709" s="18" t="str">
        <f aca="false">IF(OR(A709="",E709=""),"",E709+ROW()/1000000)</f>
        <v/>
      </c>
    </row>
    <row r="710" customFormat="false" ht="15" hidden="false" customHeight="false" outlineLevel="0" collapsed="false">
      <c r="A710" s="12"/>
      <c r="B710" s="13"/>
      <c r="C710" s="13"/>
      <c r="D710" s="14"/>
      <c r="E710" s="15"/>
      <c r="F710" s="15"/>
      <c r="G710" s="15"/>
      <c r="H710" s="15"/>
      <c r="I710" s="15"/>
      <c r="J710" s="15"/>
      <c r="K710" s="16" t="str">
        <f aca="false">IF(A710="","",F710+G710+H710+I710)</f>
        <v/>
      </c>
      <c r="L710" s="17" t="str">
        <f aca="false">IF(OR(K710="",E710=0,E710=""),"",K710/E710)</f>
        <v/>
      </c>
      <c r="M710" s="18" t="str">
        <f aca="false">IF(OR(A710="",E710=""),"",E710+ROW()/1000000)</f>
        <v/>
      </c>
    </row>
    <row r="711" customFormat="false" ht="15" hidden="false" customHeight="false" outlineLevel="0" collapsed="false">
      <c r="A711" s="12"/>
      <c r="B711" s="13"/>
      <c r="C711" s="13"/>
      <c r="D711" s="14"/>
      <c r="E711" s="15"/>
      <c r="F711" s="15"/>
      <c r="G711" s="15"/>
      <c r="H711" s="15"/>
      <c r="I711" s="15"/>
      <c r="J711" s="15"/>
      <c r="K711" s="16" t="str">
        <f aca="false">IF(A711="","",F711+G711+H711+I711)</f>
        <v/>
      </c>
      <c r="L711" s="17" t="str">
        <f aca="false">IF(OR(K711="",E711=0,E711=""),"",K711/E711)</f>
        <v/>
      </c>
      <c r="M711" s="18" t="str">
        <f aca="false">IF(OR(A711="",E711=""),"",E711+ROW()/1000000)</f>
        <v/>
      </c>
    </row>
    <row r="712" customFormat="false" ht="15" hidden="false" customHeight="false" outlineLevel="0" collapsed="false">
      <c r="A712" s="12"/>
      <c r="B712" s="13"/>
      <c r="C712" s="13"/>
      <c r="D712" s="14"/>
      <c r="E712" s="15"/>
      <c r="F712" s="15"/>
      <c r="G712" s="15"/>
      <c r="H712" s="15"/>
      <c r="I712" s="15"/>
      <c r="J712" s="15"/>
      <c r="K712" s="16" t="str">
        <f aca="false">IF(A712="","",F712+G712+H712+I712)</f>
        <v/>
      </c>
      <c r="L712" s="17" t="str">
        <f aca="false">IF(OR(K712="",E712=0,E712=""),"",K712/E712)</f>
        <v/>
      </c>
      <c r="M712" s="18" t="str">
        <f aca="false">IF(OR(A712="",E712=""),"",E712+ROW()/1000000)</f>
        <v/>
      </c>
    </row>
    <row r="713" customFormat="false" ht="15" hidden="false" customHeight="false" outlineLevel="0" collapsed="false">
      <c r="A713" s="12"/>
      <c r="B713" s="13"/>
      <c r="C713" s="13"/>
      <c r="D713" s="14"/>
      <c r="E713" s="15"/>
      <c r="F713" s="15"/>
      <c r="G713" s="15"/>
      <c r="H713" s="15"/>
      <c r="I713" s="15"/>
      <c r="J713" s="15"/>
      <c r="K713" s="16" t="str">
        <f aca="false">IF(A713="","",F713+G713+H713+I713)</f>
        <v/>
      </c>
      <c r="L713" s="17" t="str">
        <f aca="false">IF(OR(K713="",E713=0,E713=""),"",K713/E713)</f>
        <v/>
      </c>
      <c r="M713" s="18" t="str">
        <f aca="false">IF(OR(A713="",E713=""),"",E713+ROW()/1000000)</f>
        <v/>
      </c>
    </row>
    <row r="714" customFormat="false" ht="15" hidden="false" customHeight="false" outlineLevel="0" collapsed="false">
      <c r="A714" s="12"/>
      <c r="B714" s="13"/>
      <c r="C714" s="13"/>
      <c r="D714" s="14"/>
      <c r="E714" s="15"/>
      <c r="F714" s="15"/>
      <c r="G714" s="15"/>
      <c r="H714" s="15"/>
      <c r="I714" s="15"/>
      <c r="J714" s="15"/>
      <c r="K714" s="16" t="str">
        <f aca="false">IF(A714="","",F714+G714+H714+I714)</f>
        <v/>
      </c>
      <c r="L714" s="17" t="str">
        <f aca="false">IF(OR(K714="",E714=0,E714=""),"",K714/E714)</f>
        <v/>
      </c>
      <c r="M714" s="18" t="str">
        <f aca="false">IF(OR(A714="",E714=""),"",E714+ROW()/1000000)</f>
        <v/>
      </c>
    </row>
    <row r="715" customFormat="false" ht="15" hidden="false" customHeight="false" outlineLevel="0" collapsed="false">
      <c r="A715" s="12"/>
      <c r="B715" s="13"/>
      <c r="C715" s="13"/>
      <c r="D715" s="14"/>
      <c r="E715" s="15"/>
      <c r="F715" s="15"/>
      <c r="G715" s="15"/>
      <c r="H715" s="15"/>
      <c r="I715" s="15"/>
      <c r="J715" s="15"/>
      <c r="K715" s="16" t="str">
        <f aca="false">IF(A715="","",F715+G715+H715+I715)</f>
        <v/>
      </c>
      <c r="L715" s="17" t="str">
        <f aca="false">IF(OR(K715="",E715=0,E715=""),"",K715/E715)</f>
        <v/>
      </c>
      <c r="M715" s="18" t="str">
        <f aca="false">IF(OR(A715="",E715=""),"",E715+ROW()/1000000)</f>
        <v/>
      </c>
    </row>
    <row r="716" customFormat="false" ht="15" hidden="false" customHeight="false" outlineLevel="0" collapsed="false">
      <c r="A716" s="12"/>
      <c r="B716" s="13"/>
      <c r="C716" s="13"/>
      <c r="D716" s="14"/>
      <c r="E716" s="15"/>
      <c r="F716" s="15"/>
      <c r="G716" s="15"/>
      <c r="H716" s="15"/>
      <c r="I716" s="15"/>
      <c r="J716" s="15"/>
      <c r="K716" s="16" t="str">
        <f aca="false">IF(A716="","",F716+G716+H716+I716)</f>
        <v/>
      </c>
      <c r="L716" s="17" t="str">
        <f aca="false">IF(OR(K716="",E716=0,E716=""),"",K716/E716)</f>
        <v/>
      </c>
      <c r="M716" s="18" t="str">
        <f aca="false">IF(OR(A716="",E716=""),"",E716+ROW()/1000000)</f>
        <v/>
      </c>
    </row>
    <row r="717" customFormat="false" ht="15" hidden="false" customHeight="false" outlineLevel="0" collapsed="false">
      <c r="A717" s="12"/>
      <c r="B717" s="13"/>
      <c r="C717" s="13"/>
      <c r="D717" s="14"/>
      <c r="E717" s="15"/>
      <c r="F717" s="15"/>
      <c r="G717" s="15"/>
      <c r="H717" s="15"/>
      <c r="I717" s="15"/>
      <c r="J717" s="15"/>
      <c r="K717" s="16" t="str">
        <f aca="false">IF(A717="","",F717+G717+H717+I717)</f>
        <v/>
      </c>
      <c r="L717" s="17" t="str">
        <f aca="false">IF(OR(K717="",E717=0,E717=""),"",K717/E717)</f>
        <v/>
      </c>
      <c r="M717" s="18" t="str">
        <f aca="false">IF(OR(A717="",E717=""),"",E717+ROW()/1000000)</f>
        <v/>
      </c>
    </row>
    <row r="718" customFormat="false" ht="15" hidden="false" customHeight="false" outlineLevel="0" collapsed="false">
      <c r="A718" s="12"/>
      <c r="B718" s="13"/>
      <c r="C718" s="13"/>
      <c r="D718" s="14"/>
      <c r="E718" s="15"/>
      <c r="F718" s="15"/>
      <c r="G718" s="15"/>
      <c r="H718" s="15"/>
      <c r="I718" s="15"/>
      <c r="J718" s="15"/>
      <c r="K718" s="16" t="str">
        <f aca="false">IF(A718="","",F718+G718+H718+I718)</f>
        <v/>
      </c>
      <c r="L718" s="17" t="str">
        <f aca="false">IF(OR(K718="",E718=0,E718=""),"",K718/E718)</f>
        <v/>
      </c>
      <c r="M718" s="18" t="str">
        <f aca="false">IF(OR(A718="",E718=""),"",E718+ROW()/1000000)</f>
        <v/>
      </c>
    </row>
    <row r="719" customFormat="false" ht="15" hidden="false" customHeight="false" outlineLevel="0" collapsed="false">
      <c r="A719" s="12"/>
      <c r="B719" s="13"/>
      <c r="C719" s="13"/>
      <c r="D719" s="14"/>
      <c r="E719" s="15"/>
      <c r="F719" s="15"/>
      <c r="G719" s="15"/>
      <c r="H719" s="15"/>
      <c r="I719" s="15"/>
      <c r="J719" s="15"/>
      <c r="K719" s="16" t="str">
        <f aca="false">IF(A719="","",F719+G719+H719+I719)</f>
        <v/>
      </c>
      <c r="L719" s="17" t="str">
        <f aca="false">IF(OR(K719="",E719=0,E719=""),"",K719/E719)</f>
        <v/>
      </c>
      <c r="M719" s="18" t="str">
        <f aca="false">IF(OR(A719="",E719=""),"",E719+ROW()/1000000)</f>
        <v/>
      </c>
    </row>
    <row r="720" customFormat="false" ht="15" hidden="false" customHeight="false" outlineLevel="0" collapsed="false">
      <c r="A720" s="12"/>
      <c r="B720" s="13"/>
      <c r="C720" s="13"/>
      <c r="D720" s="14"/>
      <c r="E720" s="15"/>
      <c r="F720" s="15"/>
      <c r="G720" s="15"/>
      <c r="H720" s="15"/>
      <c r="I720" s="15"/>
      <c r="J720" s="15"/>
      <c r="K720" s="16" t="str">
        <f aca="false">IF(A720="","",F720+G720+H720+I720)</f>
        <v/>
      </c>
      <c r="L720" s="17" t="str">
        <f aca="false">IF(OR(K720="",E720=0,E720=""),"",K720/E720)</f>
        <v/>
      </c>
      <c r="M720" s="18" t="str">
        <f aca="false">IF(OR(A720="",E720=""),"",E720+ROW()/1000000)</f>
        <v/>
      </c>
    </row>
    <row r="721" customFormat="false" ht="15" hidden="false" customHeight="false" outlineLevel="0" collapsed="false">
      <c r="A721" s="12"/>
      <c r="B721" s="13"/>
      <c r="C721" s="13"/>
      <c r="D721" s="14"/>
      <c r="E721" s="15"/>
      <c r="F721" s="15"/>
      <c r="G721" s="15"/>
      <c r="H721" s="15"/>
      <c r="I721" s="15"/>
      <c r="J721" s="15"/>
      <c r="K721" s="16" t="str">
        <f aca="false">IF(A721="","",F721+G721+H721+I721)</f>
        <v/>
      </c>
      <c r="L721" s="17" t="str">
        <f aca="false">IF(OR(K721="",E721=0,E721=""),"",K721/E721)</f>
        <v/>
      </c>
      <c r="M721" s="18" t="str">
        <f aca="false">IF(OR(A721="",E721=""),"",E721+ROW()/1000000)</f>
        <v/>
      </c>
    </row>
    <row r="722" customFormat="false" ht="15" hidden="false" customHeight="false" outlineLevel="0" collapsed="false">
      <c r="A722" s="12"/>
      <c r="B722" s="13"/>
      <c r="C722" s="13"/>
      <c r="D722" s="14"/>
      <c r="E722" s="15"/>
      <c r="F722" s="15"/>
      <c r="G722" s="15"/>
      <c r="H722" s="15"/>
      <c r="I722" s="15"/>
      <c r="J722" s="15"/>
      <c r="K722" s="16" t="str">
        <f aca="false">IF(A722="","",F722+G722+H722+I722)</f>
        <v/>
      </c>
      <c r="L722" s="17" t="str">
        <f aca="false">IF(OR(K722="",E722=0,E722=""),"",K722/E722)</f>
        <v/>
      </c>
      <c r="M722" s="18" t="str">
        <f aca="false">IF(OR(A722="",E722=""),"",E722+ROW()/1000000)</f>
        <v/>
      </c>
    </row>
    <row r="723" customFormat="false" ht="15" hidden="false" customHeight="false" outlineLevel="0" collapsed="false">
      <c r="A723" s="12"/>
      <c r="B723" s="13"/>
      <c r="C723" s="13"/>
      <c r="D723" s="14"/>
      <c r="E723" s="15"/>
      <c r="F723" s="15"/>
      <c r="G723" s="15"/>
      <c r="H723" s="15"/>
      <c r="I723" s="15"/>
      <c r="J723" s="15"/>
      <c r="K723" s="16" t="str">
        <f aca="false">IF(A723="","",F723+G723+H723+I723)</f>
        <v/>
      </c>
      <c r="L723" s="17" t="str">
        <f aca="false">IF(OR(K723="",E723=0,E723=""),"",K723/E723)</f>
        <v/>
      </c>
      <c r="M723" s="18" t="str">
        <f aca="false">IF(OR(A723="",E723=""),"",E723+ROW()/1000000)</f>
        <v/>
      </c>
    </row>
    <row r="724" customFormat="false" ht="15" hidden="false" customHeight="false" outlineLevel="0" collapsed="false">
      <c r="A724" s="12"/>
      <c r="B724" s="13"/>
      <c r="C724" s="13"/>
      <c r="D724" s="14"/>
      <c r="E724" s="15"/>
      <c r="F724" s="15"/>
      <c r="G724" s="15"/>
      <c r="H724" s="15"/>
      <c r="I724" s="15"/>
      <c r="J724" s="15"/>
      <c r="K724" s="16" t="str">
        <f aca="false">IF(A724="","",F724+G724+H724+I724)</f>
        <v/>
      </c>
      <c r="L724" s="17" t="str">
        <f aca="false">IF(OR(K724="",E724=0,E724=""),"",K724/E724)</f>
        <v/>
      </c>
      <c r="M724" s="18" t="str">
        <f aca="false">IF(OR(A724="",E724=""),"",E724+ROW()/1000000)</f>
        <v/>
      </c>
    </row>
    <row r="725" customFormat="false" ht="15" hidden="false" customHeight="false" outlineLevel="0" collapsed="false">
      <c r="A725" s="12"/>
      <c r="B725" s="13"/>
      <c r="C725" s="13"/>
      <c r="D725" s="14"/>
      <c r="E725" s="15"/>
      <c r="F725" s="15"/>
      <c r="G725" s="15"/>
      <c r="H725" s="15"/>
      <c r="I725" s="15"/>
      <c r="J725" s="15"/>
      <c r="K725" s="16" t="str">
        <f aca="false">IF(A725="","",F725+G725+H725+I725)</f>
        <v/>
      </c>
      <c r="L725" s="17" t="str">
        <f aca="false">IF(OR(K725="",E725=0,E725=""),"",K725/E725)</f>
        <v/>
      </c>
      <c r="M725" s="18" t="str">
        <f aca="false">IF(OR(A725="",E725=""),"",E725+ROW()/1000000)</f>
        <v/>
      </c>
    </row>
    <row r="726" customFormat="false" ht="15" hidden="false" customHeight="false" outlineLevel="0" collapsed="false">
      <c r="A726" s="12"/>
      <c r="B726" s="13"/>
      <c r="C726" s="13"/>
      <c r="D726" s="14"/>
      <c r="E726" s="15"/>
      <c r="F726" s="15"/>
      <c r="G726" s="15"/>
      <c r="H726" s="15"/>
      <c r="I726" s="15"/>
      <c r="J726" s="15"/>
      <c r="K726" s="16" t="str">
        <f aca="false">IF(A726="","",F726+G726+H726+I726)</f>
        <v/>
      </c>
      <c r="L726" s="17" t="str">
        <f aca="false">IF(OR(K726="",E726=0,E726=""),"",K726/E726)</f>
        <v/>
      </c>
      <c r="M726" s="18" t="str">
        <f aca="false">IF(OR(A726="",E726=""),"",E726+ROW()/1000000)</f>
        <v/>
      </c>
    </row>
    <row r="727" customFormat="false" ht="15" hidden="false" customHeight="false" outlineLevel="0" collapsed="false">
      <c r="A727" s="12"/>
      <c r="B727" s="13"/>
      <c r="C727" s="13"/>
      <c r="D727" s="14"/>
      <c r="E727" s="15"/>
      <c r="F727" s="15"/>
      <c r="G727" s="15"/>
      <c r="H727" s="15"/>
      <c r="I727" s="15"/>
      <c r="J727" s="15"/>
      <c r="K727" s="16" t="str">
        <f aca="false">IF(A727="","",F727+G727+H727+I727)</f>
        <v/>
      </c>
      <c r="L727" s="17" t="str">
        <f aca="false">IF(OR(K727="",E727=0,E727=""),"",K727/E727)</f>
        <v/>
      </c>
      <c r="M727" s="18" t="str">
        <f aca="false">IF(OR(A727="",E727=""),"",E727+ROW()/1000000)</f>
        <v/>
      </c>
    </row>
    <row r="728" customFormat="false" ht="15" hidden="false" customHeight="false" outlineLevel="0" collapsed="false">
      <c r="A728" s="12"/>
      <c r="B728" s="13"/>
      <c r="C728" s="13"/>
      <c r="D728" s="14"/>
      <c r="E728" s="15"/>
      <c r="F728" s="15"/>
      <c r="G728" s="15"/>
      <c r="H728" s="15"/>
      <c r="I728" s="15"/>
      <c r="J728" s="15"/>
      <c r="K728" s="16" t="str">
        <f aca="false">IF(A728="","",F728+G728+H728+I728)</f>
        <v/>
      </c>
      <c r="L728" s="17" t="str">
        <f aca="false">IF(OR(K728="",E728=0,E728=""),"",K728/E728)</f>
        <v/>
      </c>
      <c r="M728" s="18" t="str">
        <f aca="false">IF(OR(A728="",E728=""),"",E728+ROW()/1000000)</f>
        <v/>
      </c>
    </row>
    <row r="729" customFormat="false" ht="15" hidden="false" customHeight="false" outlineLevel="0" collapsed="false">
      <c r="A729" s="12"/>
      <c r="B729" s="13"/>
      <c r="C729" s="13"/>
      <c r="D729" s="14"/>
      <c r="E729" s="15"/>
      <c r="F729" s="15"/>
      <c r="G729" s="15"/>
      <c r="H729" s="15"/>
      <c r="I729" s="15"/>
      <c r="J729" s="15"/>
      <c r="K729" s="16" t="str">
        <f aca="false">IF(A729="","",F729+G729+H729+I729)</f>
        <v/>
      </c>
      <c r="L729" s="17" t="str">
        <f aca="false">IF(OR(K729="",E729=0,E729=""),"",K729/E729)</f>
        <v/>
      </c>
      <c r="M729" s="18" t="str">
        <f aca="false">IF(OR(A729="",E729=""),"",E729+ROW()/1000000)</f>
        <v/>
      </c>
    </row>
    <row r="730" customFormat="false" ht="15" hidden="false" customHeight="false" outlineLevel="0" collapsed="false">
      <c r="A730" s="12"/>
      <c r="B730" s="13"/>
      <c r="C730" s="13"/>
      <c r="D730" s="14"/>
      <c r="E730" s="15"/>
      <c r="F730" s="15"/>
      <c r="G730" s="15"/>
      <c r="H730" s="15"/>
      <c r="I730" s="15"/>
      <c r="J730" s="15"/>
      <c r="K730" s="16" t="str">
        <f aca="false">IF(A730="","",F730+G730+H730+I730)</f>
        <v/>
      </c>
      <c r="L730" s="17" t="str">
        <f aca="false">IF(OR(K730="",E730=0,E730=""),"",K730/E730)</f>
        <v/>
      </c>
      <c r="M730" s="18" t="str">
        <f aca="false">IF(OR(A730="",E730=""),"",E730+ROW()/1000000)</f>
        <v/>
      </c>
    </row>
    <row r="731" customFormat="false" ht="15" hidden="false" customHeight="false" outlineLevel="0" collapsed="false">
      <c r="A731" s="12"/>
      <c r="B731" s="13"/>
      <c r="C731" s="13"/>
      <c r="D731" s="14"/>
      <c r="E731" s="15"/>
      <c r="F731" s="15"/>
      <c r="G731" s="15"/>
      <c r="H731" s="15"/>
      <c r="I731" s="15"/>
      <c r="J731" s="15"/>
      <c r="K731" s="16" t="str">
        <f aca="false">IF(A731="","",F731+G731+H731+I731)</f>
        <v/>
      </c>
      <c r="L731" s="17" t="str">
        <f aca="false">IF(OR(K731="",E731=0,E731=""),"",K731/E731)</f>
        <v/>
      </c>
      <c r="M731" s="18" t="str">
        <f aca="false">IF(OR(A731="",E731=""),"",E731+ROW()/1000000)</f>
        <v/>
      </c>
    </row>
    <row r="732" customFormat="false" ht="15" hidden="false" customHeight="false" outlineLevel="0" collapsed="false">
      <c r="A732" s="12"/>
      <c r="B732" s="13"/>
      <c r="C732" s="13"/>
      <c r="D732" s="14"/>
      <c r="E732" s="15"/>
      <c r="F732" s="15"/>
      <c r="G732" s="15"/>
      <c r="H732" s="15"/>
      <c r="I732" s="15"/>
      <c r="J732" s="15"/>
      <c r="K732" s="16" t="str">
        <f aca="false">IF(A732="","",F732+G732+H732+I732)</f>
        <v/>
      </c>
      <c r="L732" s="17" t="str">
        <f aca="false">IF(OR(K732="",E732=0,E732=""),"",K732/E732)</f>
        <v/>
      </c>
      <c r="M732" s="18" t="str">
        <f aca="false">IF(OR(A732="",E732=""),"",E732+ROW()/1000000)</f>
        <v/>
      </c>
    </row>
    <row r="733" customFormat="false" ht="15" hidden="false" customHeight="false" outlineLevel="0" collapsed="false">
      <c r="A733" s="12"/>
      <c r="B733" s="13"/>
      <c r="C733" s="13"/>
      <c r="D733" s="14"/>
      <c r="E733" s="15"/>
      <c r="F733" s="15"/>
      <c r="G733" s="15"/>
      <c r="H733" s="15"/>
      <c r="I733" s="15"/>
      <c r="J733" s="15"/>
      <c r="K733" s="16" t="str">
        <f aca="false">IF(A733="","",F733+G733+H733+I733)</f>
        <v/>
      </c>
      <c r="L733" s="17" t="str">
        <f aca="false">IF(OR(K733="",E733=0,E733=""),"",K733/E733)</f>
        <v/>
      </c>
      <c r="M733" s="18" t="str">
        <f aca="false">IF(OR(A733="",E733=""),"",E733+ROW()/1000000)</f>
        <v/>
      </c>
    </row>
    <row r="734" customFormat="false" ht="15" hidden="false" customHeight="false" outlineLevel="0" collapsed="false">
      <c r="A734" s="12"/>
      <c r="B734" s="13"/>
      <c r="C734" s="13"/>
      <c r="D734" s="14"/>
      <c r="E734" s="15"/>
      <c r="F734" s="15"/>
      <c r="G734" s="15"/>
      <c r="H734" s="15"/>
      <c r="I734" s="15"/>
      <c r="J734" s="15"/>
      <c r="K734" s="16" t="str">
        <f aca="false">IF(A734="","",F734+G734+H734+I734)</f>
        <v/>
      </c>
      <c r="L734" s="17" t="str">
        <f aca="false">IF(OR(K734="",E734=0,E734=""),"",K734/E734)</f>
        <v/>
      </c>
      <c r="M734" s="18" t="str">
        <f aca="false">IF(OR(A734="",E734=""),"",E734+ROW()/1000000)</f>
        <v/>
      </c>
    </row>
    <row r="735" customFormat="false" ht="15" hidden="false" customHeight="false" outlineLevel="0" collapsed="false">
      <c r="A735" s="12"/>
      <c r="B735" s="13"/>
      <c r="C735" s="13"/>
      <c r="D735" s="14"/>
      <c r="E735" s="15"/>
      <c r="F735" s="15"/>
      <c r="G735" s="15"/>
      <c r="H735" s="15"/>
      <c r="I735" s="15"/>
      <c r="J735" s="15"/>
      <c r="K735" s="16" t="str">
        <f aca="false">IF(A735="","",F735+G735+H735+I735)</f>
        <v/>
      </c>
      <c r="L735" s="17" t="str">
        <f aca="false">IF(OR(K735="",E735=0,E735=""),"",K735/E735)</f>
        <v/>
      </c>
      <c r="M735" s="18" t="str">
        <f aca="false">IF(OR(A735="",E735=""),"",E735+ROW()/1000000)</f>
        <v/>
      </c>
    </row>
    <row r="736" customFormat="false" ht="15" hidden="false" customHeight="false" outlineLevel="0" collapsed="false">
      <c r="A736" s="12"/>
      <c r="B736" s="13"/>
      <c r="C736" s="13"/>
      <c r="D736" s="14"/>
      <c r="E736" s="15"/>
      <c r="F736" s="15"/>
      <c r="G736" s="15"/>
      <c r="H736" s="15"/>
      <c r="I736" s="15"/>
      <c r="J736" s="15"/>
      <c r="K736" s="16" t="str">
        <f aca="false">IF(A736="","",F736+G736+H736+I736)</f>
        <v/>
      </c>
      <c r="L736" s="17" t="str">
        <f aca="false">IF(OR(K736="",E736=0,E736=""),"",K736/E736)</f>
        <v/>
      </c>
      <c r="M736" s="18" t="str">
        <f aca="false">IF(OR(A736="",E736=""),"",E736+ROW()/1000000)</f>
        <v/>
      </c>
    </row>
    <row r="737" customFormat="false" ht="15" hidden="false" customHeight="false" outlineLevel="0" collapsed="false">
      <c r="A737" s="12"/>
      <c r="B737" s="13"/>
      <c r="C737" s="13"/>
      <c r="D737" s="14"/>
      <c r="E737" s="15"/>
      <c r="F737" s="15"/>
      <c r="G737" s="15"/>
      <c r="H737" s="15"/>
      <c r="I737" s="15"/>
      <c r="J737" s="15"/>
      <c r="K737" s="16" t="str">
        <f aca="false">IF(A737="","",F737+G737+H737+I737)</f>
        <v/>
      </c>
      <c r="L737" s="17" t="str">
        <f aca="false">IF(OR(K737="",E737=0,E737=""),"",K737/E737)</f>
        <v/>
      </c>
      <c r="M737" s="18" t="str">
        <f aca="false">IF(OR(A737="",E737=""),"",E737+ROW()/1000000)</f>
        <v/>
      </c>
    </row>
    <row r="738" customFormat="false" ht="15" hidden="false" customHeight="false" outlineLevel="0" collapsed="false">
      <c r="A738" s="12"/>
      <c r="B738" s="13"/>
      <c r="C738" s="13"/>
      <c r="D738" s="14"/>
      <c r="E738" s="15"/>
      <c r="F738" s="15"/>
      <c r="G738" s="15"/>
      <c r="H738" s="15"/>
      <c r="I738" s="15"/>
      <c r="J738" s="15"/>
      <c r="K738" s="16" t="str">
        <f aca="false">IF(A738="","",F738+G738+H738+I738)</f>
        <v/>
      </c>
      <c r="L738" s="17" t="str">
        <f aca="false">IF(OR(K738="",E738=0,E738=""),"",K738/E738)</f>
        <v/>
      </c>
      <c r="M738" s="18" t="str">
        <f aca="false">IF(OR(A738="",E738=""),"",E738+ROW()/1000000)</f>
        <v/>
      </c>
    </row>
    <row r="739" customFormat="false" ht="15" hidden="false" customHeight="false" outlineLevel="0" collapsed="false">
      <c r="A739" s="12"/>
      <c r="B739" s="13"/>
      <c r="C739" s="13"/>
      <c r="D739" s="14"/>
      <c r="E739" s="15"/>
      <c r="F739" s="15"/>
      <c r="G739" s="15"/>
      <c r="H739" s="15"/>
      <c r="I739" s="15"/>
      <c r="J739" s="15"/>
      <c r="K739" s="16" t="str">
        <f aca="false">IF(A739="","",F739+G739+H739+I739)</f>
        <v/>
      </c>
      <c r="L739" s="17" t="str">
        <f aca="false">IF(OR(K739="",E739=0,E739=""),"",K739/E739)</f>
        <v/>
      </c>
      <c r="M739" s="18" t="str">
        <f aca="false">IF(OR(A739="",E739=""),"",E739+ROW()/1000000)</f>
        <v/>
      </c>
    </row>
    <row r="740" customFormat="false" ht="15" hidden="false" customHeight="false" outlineLevel="0" collapsed="false">
      <c r="A740" s="12"/>
      <c r="B740" s="13"/>
      <c r="C740" s="13"/>
      <c r="D740" s="14"/>
      <c r="E740" s="15"/>
      <c r="F740" s="15"/>
      <c r="G740" s="15"/>
      <c r="H740" s="15"/>
      <c r="I740" s="15"/>
      <c r="J740" s="15"/>
      <c r="K740" s="16" t="str">
        <f aca="false">IF(A740="","",F740+G740+H740+I740)</f>
        <v/>
      </c>
      <c r="L740" s="17" t="str">
        <f aca="false">IF(OR(K740="",E740=0,E740=""),"",K740/E740)</f>
        <v/>
      </c>
      <c r="M740" s="18" t="str">
        <f aca="false">IF(OR(A740="",E740=""),"",E740+ROW()/1000000)</f>
        <v/>
      </c>
    </row>
    <row r="741" customFormat="false" ht="15" hidden="false" customHeight="false" outlineLevel="0" collapsed="false">
      <c r="A741" s="12"/>
      <c r="B741" s="13"/>
      <c r="C741" s="13"/>
      <c r="D741" s="14"/>
      <c r="E741" s="15"/>
      <c r="F741" s="15"/>
      <c r="G741" s="15"/>
      <c r="H741" s="15"/>
      <c r="I741" s="15"/>
      <c r="J741" s="15"/>
      <c r="K741" s="16" t="str">
        <f aca="false">IF(A741="","",F741+G741+H741+I741)</f>
        <v/>
      </c>
      <c r="L741" s="17" t="str">
        <f aca="false">IF(OR(K741="",E741=0,E741=""),"",K741/E741)</f>
        <v/>
      </c>
      <c r="M741" s="18" t="str">
        <f aca="false">IF(OR(A741="",E741=""),"",E741+ROW()/1000000)</f>
        <v/>
      </c>
    </row>
    <row r="742" customFormat="false" ht="15" hidden="false" customHeight="false" outlineLevel="0" collapsed="false">
      <c r="A742" s="12"/>
      <c r="B742" s="13"/>
      <c r="C742" s="13"/>
      <c r="D742" s="14"/>
      <c r="E742" s="15"/>
      <c r="F742" s="15"/>
      <c r="G742" s="15"/>
      <c r="H742" s="15"/>
      <c r="I742" s="15"/>
      <c r="J742" s="15"/>
      <c r="K742" s="16" t="str">
        <f aca="false">IF(A742="","",F742+G742+H742+I742)</f>
        <v/>
      </c>
      <c r="L742" s="17" t="str">
        <f aca="false">IF(OR(K742="",E742=0,E742=""),"",K742/E742)</f>
        <v/>
      </c>
      <c r="M742" s="18" t="str">
        <f aca="false">IF(OR(A742="",E742=""),"",E742+ROW()/1000000)</f>
        <v/>
      </c>
    </row>
    <row r="743" customFormat="false" ht="15" hidden="false" customHeight="false" outlineLevel="0" collapsed="false">
      <c r="A743" s="12"/>
      <c r="B743" s="13"/>
      <c r="C743" s="13"/>
      <c r="D743" s="14"/>
      <c r="E743" s="15"/>
      <c r="F743" s="15"/>
      <c r="G743" s="15"/>
      <c r="H743" s="15"/>
      <c r="I743" s="15"/>
      <c r="J743" s="15"/>
      <c r="K743" s="16" t="str">
        <f aca="false">IF(A743="","",F743+G743+H743+I743)</f>
        <v/>
      </c>
      <c r="L743" s="17" t="str">
        <f aca="false">IF(OR(K743="",E743=0,E743=""),"",K743/E743)</f>
        <v/>
      </c>
      <c r="M743" s="18" t="str">
        <f aca="false">IF(OR(A743="",E743=""),"",E743+ROW()/1000000)</f>
        <v/>
      </c>
    </row>
    <row r="744" customFormat="false" ht="15" hidden="false" customHeight="false" outlineLevel="0" collapsed="false">
      <c r="A744" s="12"/>
      <c r="B744" s="13"/>
      <c r="C744" s="13"/>
      <c r="D744" s="14"/>
      <c r="E744" s="15"/>
      <c r="F744" s="15"/>
      <c r="G744" s="15"/>
      <c r="H744" s="15"/>
      <c r="I744" s="15"/>
      <c r="J744" s="15"/>
      <c r="K744" s="16" t="str">
        <f aca="false">IF(A744="","",F744+G744+H744+I744)</f>
        <v/>
      </c>
      <c r="L744" s="17" t="str">
        <f aca="false">IF(OR(K744="",E744=0,E744=""),"",K744/E744)</f>
        <v/>
      </c>
      <c r="M744" s="18" t="str">
        <f aca="false">IF(OR(A744="",E744=""),"",E744+ROW()/1000000)</f>
        <v/>
      </c>
    </row>
    <row r="745" customFormat="false" ht="15" hidden="false" customHeight="false" outlineLevel="0" collapsed="false">
      <c r="A745" s="12"/>
      <c r="B745" s="13"/>
      <c r="C745" s="13"/>
      <c r="D745" s="14"/>
      <c r="E745" s="15"/>
      <c r="F745" s="15"/>
      <c r="G745" s="15"/>
      <c r="H745" s="15"/>
      <c r="I745" s="15"/>
      <c r="J745" s="15"/>
      <c r="K745" s="16" t="str">
        <f aca="false">IF(A745="","",F745+G745+H745+I745)</f>
        <v/>
      </c>
      <c r="L745" s="17" t="str">
        <f aca="false">IF(OR(K745="",E745=0,E745=""),"",K745/E745)</f>
        <v/>
      </c>
      <c r="M745" s="18" t="str">
        <f aca="false">IF(OR(A745="",E745=""),"",E745+ROW()/1000000)</f>
        <v/>
      </c>
    </row>
    <row r="746" customFormat="false" ht="15" hidden="false" customHeight="false" outlineLevel="0" collapsed="false">
      <c r="A746" s="12"/>
      <c r="B746" s="13"/>
      <c r="C746" s="13"/>
      <c r="D746" s="14"/>
      <c r="E746" s="15"/>
      <c r="F746" s="15"/>
      <c r="G746" s="15"/>
      <c r="H746" s="15"/>
      <c r="I746" s="15"/>
      <c r="J746" s="15"/>
      <c r="K746" s="16" t="str">
        <f aca="false">IF(A746="","",F746+G746+H746+I746)</f>
        <v/>
      </c>
      <c r="L746" s="17" t="str">
        <f aca="false">IF(OR(K746="",E746=0,E746=""),"",K746/E746)</f>
        <v/>
      </c>
      <c r="M746" s="18" t="str">
        <f aca="false">IF(OR(A746="",E746=""),"",E746+ROW()/1000000)</f>
        <v/>
      </c>
    </row>
    <row r="747" customFormat="false" ht="15" hidden="false" customHeight="false" outlineLevel="0" collapsed="false">
      <c r="A747" s="12"/>
      <c r="B747" s="13"/>
      <c r="C747" s="13"/>
      <c r="D747" s="14"/>
      <c r="E747" s="15"/>
      <c r="F747" s="15"/>
      <c r="G747" s="15"/>
      <c r="H747" s="15"/>
      <c r="I747" s="15"/>
      <c r="J747" s="15"/>
      <c r="K747" s="16" t="str">
        <f aca="false">IF(A747="","",F747+G747+H747+I747)</f>
        <v/>
      </c>
      <c r="L747" s="17" t="str">
        <f aca="false">IF(OR(K747="",E747=0,E747=""),"",K747/E747)</f>
        <v/>
      </c>
      <c r="M747" s="18" t="str">
        <f aca="false">IF(OR(A747="",E747=""),"",E747+ROW()/1000000)</f>
        <v/>
      </c>
    </row>
    <row r="748" customFormat="false" ht="15" hidden="false" customHeight="false" outlineLevel="0" collapsed="false">
      <c r="A748" s="12"/>
      <c r="B748" s="13"/>
      <c r="C748" s="13"/>
      <c r="D748" s="14"/>
      <c r="E748" s="15"/>
      <c r="F748" s="15"/>
      <c r="G748" s="15"/>
      <c r="H748" s="15"/>
      <c r="I748" s="15"/>
      <c r="J748" s="15"/>
      <c r="K748" s="16" t="str">
        <f aca="false">IF(A748="","",F748+G748+H748+I748)</f>
        <v/>
      </c>
      <c r="L748" s="17" t="str">
        <f aca="false">IF(OR(K748="",E748=0,E748=""),"",K748/E748)</f>
        <v/>
      </c>
      <c r="M748" s="18" t="str">
        <f aca="false">IF(OR(A748="",E748=""),"",E748+ROW()/1000000)</f>
        <v/>
      </c>
    </row>
    <row r="749" customFormat="false" ht="15" hidden="false" customHeight="false" outlineLevel="0" collapsed="false">
      <c r="A749" s="12"/>
      <c r="B749" s="13"/>
      <c r="C749" s="13"/>
      <c r="D749" s="14"/>
      <c r="E749" s="15"/>
      <c r="F749" s="15"/>
      <c r="G749" s="15"/>
      <c r="H749" s="15"/>
      <c r="I749" s="15"/>
      <c r="J749" s="15"/>
      <c r="K749" s="16" t="str">
        <f aca="false">IF(A749="","",F749+G749+H749+I749)</f>
        <v/>
      </c>
      <c r="L749" s="17" t="str">
        <f aca="false">IF(OR(K749="",E749=0,E749=""),"",K749/E749)</f>
        <v/>
      </c>
      <c r="M749" s="18" t="str">
        <f aca="false">IF(OR(A749="",E749=""),"",E749+ROW()/1000000)</f>
        <v/>
      </c>
    </row>
    <row r="750" customFormat="false" ht="15" hidden="false" customHeight="false" outlineLevel="0" collapsed="false">
      <c r="A750" s="12"/>
      <c r="B750" s="13"/>
      <c r="C750" s="13"/>
      <c r="D750" s="14"/>
      <c r="E750" s="15"/>
      <c r="F750" s="15"/>
      <c r="G750" s="15"/>
      <c r="H750" s="15"/>
      <c r="I750" s="15"/>
      <c r="J750" s="15"/>
      <c r="K750" s="16" t="str">
        <f aca="false">IF(A750="","",F750+G750+H750+I750)</f>
        <v/>
      </c>
      <c r="L750" s="17" t="str">
        <f aca="false">IF(OR(K750="",E750=0,E750=""),"",K750/E750)</f>
        <v/>
      </c>
      <c r="M750" s="18" t="str">
        <f aca="false">IF(OR(A750="",E750=""),"",E750+ROW()/1000000)</f>
        <v/>
      </c>
    </row>
    <row r="751" customFormat="false" ht="15" hidden="false" customHeight="false" outlineLevel="0" collapsed="false">
      <c r="A751" s="12"/>
      <c r="B751" s="13"/>
      <c r="C751" s="13"/>
      <c r="D751" s="14"/>
      <c r="E751" s="15"/>
      <c r="F751" s="15"/>
      <c r="G751" s="15"/>
      <c r="H751" s="15"/>
      <c r="I751" s="15"/>
      <c r="J751" s="15"/>
      <c r="K751" s="16" t="str">
        <f aca="false">IF(A751="","",F751+G751+H751+I751)</f>
        <v/>
      </c>
      <c r="L751" s="17" t="str">
        <f aca="false">IF(OR(K751="",E751=0,E751=""),"",K751/E751)</f>
        <v/>
      </c>
      <c r="M751" s="18" t="str">
        <f aca="false">IF(OR(A751="",E751=""),"",E751+ROW()/1000000)</f>
        <v/>
      </c>
    </row>
    <row r="752" customFormat="false" ht="15" hidden="false" customHeight="false" outlineLevel="0" collapsed="false">
      <c r="A752" s="12"/>
      <c r="B752" s="13"/>
      <c r="C752" s="13"/>
      <c r="D752" s="14"/>
      <c r="E752" s="15"/>
      <c r="F752" s="15"/>
      <c r="G752" s="15"/>
      <c r="H752" s="15"/>
      <c r="I752" s="15"/>
      <c r="J752" s="15"/>
      <c r="K752" s="16" t="str">
        <f aca="false">IF(A752="","",F752+G752+H752+I752)</f>
        <v/>
      </c>
      <c r="L752" s="17" t="str">
        <f aca="false">IF(OR(K752="",E752=0,E752=""),"",K752/E752)</f>
        <v/>
      </c>
      <c r="M752" s="18" t="str">
        <f aca="false">IF(OR(A752="",E752=""),"",E752+ROW()/1000000)</f>
        <v/>
      </c>
    </row>
    <row r="753" customFormat="false" ht="15" hidden="false" customHeight="false" outlineLevel="0" collapsed="false">
      <c r="A753" s="12"/>
      <c r="B753" s="13"/>
      <c r="C753" s="13"/>
      <c r="D753" s="14"/>
      <c r="E753" s="15"/>
      <c r="F753" s="15"/>
      <c r="G753" s="15"/>
      <c r="H753" s="15"/>
      <c r="I753" s="15"/>
      <c r="J753" s="15"/>
      <c r="K753" s="16" t="str">
        <f aca="false">IF(A753="","",F753+G753+H753+I753)</f>
        <v/>
      </c>
      <c r="L753" s="17" t="str">
        <f aca="false">IF(OR(K753="",E753=0,E753=""),"",K753/E753)</f>
        <v/>
      </c>
      <c r="M753" s="18" t="str">
        <f aca="false">IF(OR(A753="",E753=""),"",E753+ROW()/1000000)</f>
        <v/>
      </c>
    </row>
    <row r="754" customFormat="false" ht="15" hidden="false" customHeight="false" outlineLevel="0" collapsed="false">
      <c r="A754" s="12"/>
      <c r="B754" s="13"/>
      <c r="C754" s="13"/>
      <c r="D754" s="14"/>
      <c r="E754" s="15"/>
      <c r="F754" s="15"/>
      <c r="G754" s="15"/>
      <c r="H754" s="15"/>
      <c r="I754" s="15"/>
      <c r="J754" s="15"/>
      <c r="K754" s="16" t="str">
        <f aca="false">IF(A754="","",F754+G754+H754+I754)</f>
        <v/>
      </c>
      <c r="L754" s="17" t="str">
        <f aca="false">IF(OR(K754="",E754=0,E754=""),"",K754/E754)</f>
        <v/>
      </c>
      <c r="M754" s="18" t="str">
        <f aca="false">IF(OR(A754="",E754=""),"",E754+ROW()/1000000)</f>
        <v/>
      </c>
    </row>
    <row r="755" customFormat="false" ht="15" hidden="false" customHeight="false" outlineLevel="0" collapsed="false">
      <c r="A755" s="12"/>
      <c r="B755" s="13"/>
      <c r="C755" s="13"/>
      <c r="D755" s="14"/>
      <c r="E755" s="15"/>
      <c r="F755" s="15"/>
      <c r="G755" s="15"/>
      <c r="H755" s="15"/>
      <c r="I755" s="15"/>
      <c r="J755" s="15"/>
      <c r="K755" s="16" t="str">
        <f aca="false">IF(A755="","",F755+G755+H755+I755)</f>
        <v/>
      </c>
      <c r="L755" s="17" t="str">
        <f aca="false">IF(OR(K755="",E755=0,E755=""),"",K755/E755)</f>
        <v/>
      </c>
      <c r="M755" s="18" t="str">
        <f aca="false">IF(OR(A755="",E755=""),"",E755+ROW()/1000000)</f>
        <v/>
      </c>
    </row>
    <row r="756" customFormat="false" ht="15" hidden="false" customHeight="false" outlineLevel="0" collapsed="false">
      <c r="A756" s="12"/>
      <c r="B756" s="13"/>
      <c r="C756" s="13"/>
      <c r="D756" s="14"/>
      <c r="E756" s="15"/>
      <c r="F756" s="15"/>
      <c r="G756" s="15"/>
      <c r="H756" s="15"/>
      <c r="I756" s="15"/>
      <c r="J756" s="15"/>
      <c r="K756" s="16" t="str">
        <f aca="false">IF(A756="","",F756+G756+H756+I756)</f>
        <v/>
      </c>
      <c r="L756" s="17" t="str">
        <f aca="false">IF(OR(K756="",E756=0,E756=""),"",K756/E756)</f>
        <v/>
      </c>
      <c r="M756" s="18" t="str">
        <f aca="false">IF(OR(A756="",E756=""),"",E756+ROW()/1000000)</f>
        <v/>
      </c>
    </row>
    <row r="757" customFormat="false" ht="15" hidden="false" customHeight="false" outlineLevel="0" collapsed="false">
      <c r="A757" s="12"/>
      <c r="B757" s="13"/>
      <c r="C757" s="13"/>
      <c r="D757" s="14"/>
      <c r="E757" s="15"/>
      <c r="F757" s="15"/>
      <c r="G757" s="15"/>
      <c r="H757" s="15"/>
      <c r="I757" s="15"/>
      <c r="J757" s="15"/>
      <c r="K757" s="16" t="str">
        <f aca="false">IF(A757="","",F757+G757+H757+I757)</f>
        <v/>
      </c>
      <c r="L757" s="17" t="str">
        <f aca="false">IF(OR(K757="",E757=0,E757=""),"",K757/E757)</f>
        <v/>
      </c>
      <c r="M757" s="18" t="str">
        <f aca="false">IF(OR(A757="",E757=""),"",E757+ROW()/1000000)</f>
        <v/>
      </c>
    </row>
    <row r="758" customFormat="false" ht="15" hidden="false" customHeight="false" outlineLevel="0" collapsed="false">
      <c r="A758" s="12"/>
      <c r="B758" s="13"/>
      <c r="C758" s="13"/>
      <c r="D758" s="14"/>
      <c r="E758" s="15"/>
      <c r="F758" s="15"/>
      <c r="G758" s="15"/>
      <c r="H758" s="15"/>
      <c r="I758" s="15"/>
      <c r="J758" s="15"/>
      <c r="K758" s="16" t="str">
        <f aca="false">IF(A758="","",F758+G758+H758+I758)</f>
        <v/>
      </c>
      <c r="L758" s="17" t="str">
        <f aca="false">IF(OR(K758="",E758=0,E758=""),"",K758/E758)</f>
        <v/>
      </c>
      <c r="M758" s="18" t="str">
        <f aca="false">IF(OR(A758="",E758=""),"",E758+ROW()/1000000)</f>
        <v/>
      </c>
    </row>
    <row r="759" customFormat="false" ht="15" hidden="false" customHeight="false" outlineLevel="0" collapsed="false">
      <c r="A759" s="12"/>
      <c r="B759" s="13"/>
      <c r="C759" s="13"/>
      <c r="D759" s="14"/>
      <c r="E759" s="15"/>
      <c r="F759" s="15"/>
      <c r="G759" s="15"/>
      <c r="H759" s="15"/>
      <c r="I759" s="15"/>
      <c r="J759" s="15"/>
      <c r="K759" s="16" t="str">
        <f aca="false">IF(A759="","",F759+G759+H759+I759)</f>
        <v/>
      </c>
      <c r="L759" s="17" t="str">
        <f aca="false">IF(OR(K759="",E759=0,E759=""),"",K759/E759)</f>
        <v/>
      </c>
      <c r="M759" s="18" t="str">
        <f aca="false">IF(OR(A759="",E759=""),"",E759+ROW()/1000000)</f>
        <v/>
      </c>
    </row>
    <row r="760" customFormat="false" ht="15" hidden="false" customHeight="false" outlineLevel="0" collapsed="false">
      <c r="A760" s="12"/>
      <c r="B760" s="13"/>
      <c r="C760" s="13"/>
      <c r="D760" s="14"/>
      <c r="E760" s="15"/>
      <c r="F760" s="15"/>
      <c r="G760" s="15"/>
      <c r="H760" s="15"/>
      <c r="I760" s="15"/>
      <c r="J760" s="15"/>
      <c r="K760" s="16" t="str">
        <f aca="false">IF(A760="","",F760+G760+H760+I760)</f>
        <v/>
      </c>
      <c r="L760" s="17" t="str">
        <f aca="false">IF(OR(K760="",E760=0,E760=""),"",K760/E760)</f>
        <v/>
      </c>
      <c r="M760" s="18" t="str">
        <f aca="false">IF(OR(A760="",E760=""),"",E760+ROW()/1000000)</f>
        <v/>
      </c>
    </row>
    <row r="761" customFormat="false" ht="15" hidden="false" customHeight="false" outlineLevel="0" collapsed="false">
      <c r="A761" s="12"/>
      <c r="B761" s="13"/>
      <c r="C761" s="13"/>
      <c r="D761" s="14"/>
      <c r="E761" s="15"/>
      <c r="F761" s="15"/>
      <c r="G761" s="15"/>
      <c r="H761" s="15"/>
      <c r="I761" s="15"/>
      <c r="J761" s="15"/>
      <c r="K761" s="16" t="str">
        <f aca="false">IF(A761="","",F761+G761+H761+I761)</f>
        <v/>
      </c>
      <c r="L761" s="17" t="str">
        <f aca="false">IF(OR(K761="",E761=0,E761=""),"",K761/E761)</f>
        <v/>
      </c>
      <c r="M761" s="18" t="str">
        <f aca="false">IF(OR(A761="",E761=""),"",E761+ROW()/1000000)</f>
        <v/>
      </c>
    </row>
    <row r="762" customFormat="false" ht="15" hidden="false" customHeight="false" outlineLevel="0" collapsed="false">
      <c r="A762" s="12"/>
      <c r="B762" s="13"/>
      <c r="C762" s="13"/>
      <c r="D762" s="14"/>
      <c r="E762" s="15"/>
      <c r="F762" s="15"/>
      <c r="G762" s="15"/>
      <c r="H762" s="15"/>
      <c r="I762" s="15"/>
      <c r="J762" s="15"/>
      <c r="K762" s="16" t="str">
        <f aca="false">IF(A762="","",F762+G762+H762+I762)</f>
        <v/>
      </c>
      <c r="L762" s="17" t="str">
        <f aca="false">IF(OR(K762="",E762=0,E762=""),"",K762/E762)</f>
        <v/>
      </c>
      <c r="M762" s="18" t="str">
        <f aca="false">IF(OR(A762="",E762=""),"",E762+ROW()/1000000)</f>
        <v/>
      </c>
    </row>
    <row r="763" customFormat="false" ht="15" hidden="false" customHeight="false" outlineLevel="0" collapsed="false">
      <c r="A763" s="12"/>
      <c r="B763" s="13"/>
      <c r="C763" s="13"/>
      <c r="D763" s="14"/>
      <c r="E763" s="15"/>
      <c r="F763" s="15"/>
      <c r="G763" s="15"/>
      <c r="H763" s="15"/>
      <c r="I763" s="15"/>
      <c r="J763" s="15"/>
      <c r="K763" s="16" t="str">
        <f aca="false">IF(A763="","",F763+G763+H763+I763)</f>
        <v/>
      </c>
      <c r="L763" s="17" t="str">
        <f aca="false">IF(OR(K763="",E763=0,E763=""),"",K763/E763)</f>
        <v/>
      </c>
      <c r="M763" s="18" t="str">
        <f aca="false">IF(OR(A763="",E763=""),"",E763+ROW()/1000000)</f>
        <v/>
      </c>
    </row>
    <row r="764" customFormat="false" ht="15" hidden="false" customHeight="false" outlineLevel="0" collapsed="false">
      <c r="A764" s="12"/>
      <c r="B764" s="13"/>
      <c r="C764" s="13"/>
      <c r="D764" s="14"/>
      <c r="E764" s="15"/>
      <c r="F764" s="15"/>
      <c r="G764" s="15"/>
      <c r="H764" s="15"/>
      <c r="I764" s="15"/>
      <c r="J764" s="15"/>
      <c r="K764" s="16" t="str">
        <f aca="false">IF(A764="","",F764+G764+H764+I764)</f>
        <v/>
      </c>
      <c r="L764" s="17" t="str">
        <f aca="false">IF(OR(K764="",E764=0,E764=""),"",K764/E764)</f>
        <v/>
      </c>
      <c r="M764" s="18" t="str">
        <f aca="false">IF(OR(A764="",E764=""),"",E764+ROW()/1000000)</f>
        <v/>
      </c>
    </row>
    <row r="765" customFormat="false" ht="15" hidden="false" customHeight="false" outlineLevel="0" collapsed="false">
      <c r="A765" s="12"/>
      <c r="B765" s="13"/>
      <c r="C765" s="13"/>
      <c r="D765" s="14"/>
      <c r="E765" s="15"/>
      <c r="F765" s="15"/>
      <c r="G765" s="15"/>
      <c r="H765" s="15"/>
      <c r="I765" s="15"/>
      <c r="J765" s="15"/>
      <c r="K765" s="16" t="str">
        <f aca="false">IF(A765="","",F765+G765+H765+I765)</f>
        <v/>
      </c>
      <c r="L765" s="17" t="str">
        <f aca="false">IF(OR(K765="",E765=0,E765=""),"",K765/E765)</f>
        <v/>
      </c>
      <c r="M765" s="18" t="str">
        <f aca="false">IF(OR(A765="",E765=""),"",E765+ROW()/1000000)</f>
        <v/>
      </c>
    </row>
    <row r="766" customFormat="false" ht="15" hidden="false" customHeight="false" outlineLevel="0" collapsed="false">
      <c r="A766" s="12"/>
      <c r="B766" s="13"/>
      <c r="C766" s="13"/>
      <c r="D766" s="14"/>
      <c r="E766" s="15"/>
      <c r="F766" s="15"/>
      <c r="G766" s="15"/>
      <c r="H766" s="15"/>
      <c r="I766" s="15"/>
      <c r="J766" s="15"/>
      <c r="K766" s="16" t="str">
        <f aca="false">IF(A766="","",F766+G766+H766+I766)</f>
        <v/>
      </c>
      <c r="L766" s="17" t="str">
        <f aca="false">IF(OR(K766="",E766=0,E766=""),"",K766/E766)</f>
        <v/>
      </c>
      <c r="M766" s="18" t="str">
        <f aca="false">IF(OR(A766="",E766=""),"",E766+ROW()/1000000)</f>
        <v/>
      </c>
    </row>
    <row r="767" customFormat="false" ht="15" hidden="false" customHeight="false" outlineLevel="0" collapsed="false">
      <c r="A767" s="12"/>
      <c r="B767" s="13"/>
      <c r="C767" s="13"/>
      <c r="D767" s="14"/>
      <c r="E767" s="15"/>
      <c r="F767" s="15"/>
      <c r="G767" s="15"/>
      <c r="H767" s="15"/>
      <c r="I767" s="15"/>
      <c r="J767" s="15"/>
      <c r="K767" s="16" t="str">
        <f aca="false">IF(A767="","",F767+G767+H767+I767)</f>
        <v/>
      </c>
      <c r="L767" s="17" t="str">
        <f aca="false">IF(OR(K767="",E767=0,E767=""),"",K767/E767)</f>
        <v/>
      </c>
      <c r="M767" s="18" t="str">
        <f aca="false">IF(OR(A767="",E767=""),"",E767+ROW()/1000000)</f>
        <v/>
      </c>
    </row>
    <row r="768" customFormat="false" ht="15" hidden="false" customHeight="false" outlineLevel="0" collapsed="false">
      <c r="A768" s="12"/>
      <c r="B768" s="13"/>
      <c r="C768" s="13"/>
      <c r="D768" s="14"/>
      <c r="E768" s="15"/>
      <c r="F768" s="15"/>
      <c r="G768" s="15"/>
      <c r="H768" s="15"/>
      <c r="I768" s="15"/>
      <c r="J768" s="15"/>
      <c r="K768" s="16" t="str">
        <f aca="false">IF(A768="","",F768+G768+H768+I768)</f>
        <v/>
      </c>
      <c r="L768" s="17" t="str">
        <f aca="false">IF(OR(K768="",E768=0,E768=""),"",K768/E768)</f>
        <v/>
      </c>
      <c r="M768" s="18" t="str">
        <f aca="false">IF(OR(A768="",E768=""),"",E768+ROW()/1000000)</f>
        <v/>
      </c>
    </row>
    <row r="769" customFormat="false" ht="15" hidden="false" customHeight="false" outlineLevel="0" collapsed="false">
      <c r="A769" s="12"/>
      <c r="B769" s="13"/>
      <c r="C769" s="13"/>
      <c r="D769" s="14"/>
      <c r="E769" s="15"/>
      <c r="F769" s="15"/>
      <c r="G769" s="15"/>
      <c r="H769" s="15"/>
      <c r="I769" s="15"/>
      <c r="J769" s="15"/>
      <c r="K769" s="16" t="str">
        <f aca="false">IF(A769="","",F769+G769+H769+I769)</f>
        <v/>
      </c>
      <c r="L769" s="17" t="str">
        <f aca="false">IF(OR(K769="",E769=0,E769=""),"",K769/E769)</f>
        <v/>
      </c>
      <c r="M769" s="18" t="str">
        <f aca="false">IF(OR(A769="",E769=""),"",E769+ROW()/1000000)</f>
        <v/>
      </c>
    </row>
    <row r="770" customFormat="false" ht="15" hidden="false" customHeight="false" outlineLevel="0" collapsed="false">
      <c r="A770" s="12"/>
      <c r="B770" s="13"/>
      <c r="C770" s="13"/>
      <c r="D770" s="14"/>
      <c r="E770" s="15"/>
      <c r="F770" s="15"/>
      <c r="G770" s="15"/>
      <c r="H770" s="15"/>
      <c r="I770" s="15"/>
      <c r="J770" s="15"/>
      <c r="K770" s="16" t="str">
        <f aca="false">IF(A770="","",F770+G770+H770+I770)</f>
        <v/>
      </c>
      <c r="L770" s="17" t="str">
        <f aca="false">IF(OR(K770="",E770=0,E770=""),"",K770/E770)</f>
        <v/>
      </c>
      <c r="M770" s="18" t="str">
        <f aca="false">IF(OR(A770="",E770=""),"",E770+ROW()/1000000)</f>
        <v/>
      </c>
    </row>
    <row r="771" customFormat="false" ht="15" hidden="false" customHeight="false" outlineLevel="0" collapsed="false">
      <c r="A771" s="12"/>
      <c r="B771" s="13"/>
      <c r="C771" s="13"/>
      <c r="D771" s="14"/>
      <c r="E771" s="15"/>
      <c r="F771" s="15"/>
      <c r="G771" s="15"/>
      <c r="H771" s="15"/>
      <c r="I771" s="15"/>
      <c r="J771" s="15"/>
      <c r="K771" s="16" t="str">
        <f aca="false">IF(A771="","",F771+G771+H771+I771)</f>
        <v/>
      </c>
      <c r="L771" s="17" t="str">
        <f aca="false">IF(OR(K771="",E771=0,E771=""),"",K771/E771)</f>
        <v/>
      </c>
      <c r="M771" s="18" t="str">
        <f aca="false">IF(OR(A771="",E771=""),"",E771+ROW()/1000000)</f>
        <v/>
      </c>
    </row>
    <row r="772" customFormat="false" ht="15" hidden="false" customHeight="false" outlineLevel="0" collapsed="false">
      <c r="A772" s="12"/>
      <c r="B772" s="13"/>
      <c r="C772" s="13"/>
      <c r="D772" s="14"/>
      <c r="E772" s="15"/>
      <c r="F772" s="15"/>
      <c r="G772" s="15"/>
      <c r="H772" s="15"/>
      <c r="I772" s="15"/>
      <c r="J772" s="15"/>
      <c r="K772" s="16" t="str">
        <f aca="false">IF(A772="","",F772+G772+H772+I772)</f>
        <v/>
      </c>
      <c r="L772" s="17" t="str">
        <f aca="false">IF(OR(K772="",E772=0,E772=""),"",K772/E772)</f>
        <v/>
      </c>
      <c r="M772" s="18" t="str">
        <f aca="false">IF(OR(A772="",E772=""),"",E772+ROW()/1000000)</f>
        <v/>
      </c>
    </row>
    <row r="773" customFormat="false" ht="15" hidden="false" customHeight="false" outlineLevel="0" collapsed="false">
      <c r="A773" s="12"/>
      <c r="B773" s="13"/>
      <c r="C773" s="13"/>
      <c r="D773" s="14"/>
      <c r="E773" s="15"/>
      <c r="F773" s="15"/>
      <c r="G773" s="15"/>
      <c r="H773" s="15"/>
      <c r="I773" s="15"/>
      <c r="J773" s="15"/>
      <c r="K773" s="16" t="str">
        <f aca="false">IF(A773="","",F773+G773+H773+I773)</f>
        <v/>
      </c>
      <c r="L773" s="17" t="str">
        <f aca="false">IF(OR(K773="",E773=0,E773=""),"",K773/E773)</f>
        <v/>
      </c>
      <c r="M773" s="18" t="str">
        <f aca="false">IF(OR(A773="",E773=""),"",E773+ROW()/1000000)</f>
        <v/>
      </c>
    </row>
    <row r="774" customFormat="false" ht="15" hidden="false" customHeight="false" outlineLevel="0" collapsed="false">
      <c r="A774" s="12"/>
      <c r="B774" s="13"/>
      <c r="C774" s="13"/>
      <c r="D774" s="14"/>
      <c r="E774" s="15"/>
      <c r="F774" s="15"/>
      <c r="G774" s="15"/>
      <c r="H774" s="15"/>
      <c r="I774" s="15"/>
      <c r="J774" s="15"/>
      <c r="K774" s="16" t="str">
        <f aca="false">IF(A774="","",F774+G774+H774+I774)</f>
        <v/>
      </c>
      <c r="L774" s="17" t="str">
        <f aca="false">IF(OR(K774="",E774=0,E774=""),"",K774/E774)</f>
        <v/>
      </c>
      <c r="M774" s="18" t="str">
        <f aca="false">IF(OR(A774="",E774=""),"",E774+ROW()/1000000)</f>
        <v/>
      </c>
    </row>
    <row r="775" customFormat="false" ht="15" hidden="false" customHeight="false" outlineLevel="0" collapsed="false">
      <c r="A775" s="12"/>
      <c r="B775" s="13"/>
      <c r="C775" s="13"/>
      <c r="D775" s="14"/>
      <c r="E775" s="15"/>
      <c r="F775" s="15"/>
      <c r="G775" s="15"/>
      <c r="H775" s="15"/>
      <c r="I775" s="15"/>
      <c r="J775" s="15"/>
      <c r="K775" s="16" t="str">
        <f aca="false">IF(A775="","",F775+G775+H775+I775)</f>
        <v/>
      </c>
      <c r="L775" s="17" t="str">
        <f aca="false">IF(OR(K775="",E775=0,E775=""),"",K775/E775)</f>
        <v/>
      </c>
      <c r="M775" s="18" t="str">
        <f aca="false">IF(OR(A775="",E775=""),"",E775+ROW()/1000000)</f>
        <v/>
      </c>
    </row>
    <row r="776" customFormat="false" ht="15" hidden="false" customHeight="false" outlineLevel="0" collapsed="false">
      <c r="A776" s="12"/>
      <c r="B776" s="13"/>
      <c r="C776" s="13"/>
      <c r="D776" s="14"/>
      <c r="E776" s="15"/>
      <c r="F776" s="15"/>
      <c r="G776" s="15"/>
      <c r="H776" s="15"/>
      <c r="I776" s="15"/>
      <c r="J776" s="15"/>
      <c r="K776" s="16" t="str">
        <f aca="false">IF(A776="","",F776+G776+H776+I776)</f>
        <v/>
      </c>
      <c r="L776" s="17" t="str">
        <f aca="false">IF(OR(K776="",E776=0,E776=""),"",K776/E776)</f>
        <v/>
      </c>
      <c r="M776" s="18" t="str">
        <f aca="false">IF(OR(A776="",E776=""),"",E776+ROW()/1000000)</f>
        <v/>
      </c>
    </row>
    <row r="777" customFormat="false" ht="15" hidden="false" customHeight="false" outlineLevel="0" collapsed="false">
      <c r="A777" s="12"/>
      <c r="B777" s="13"/>
      <c r="C777" s="13"/>
      <c r="D777" s="14"/>
      <c r="E777" s="15"/>
      <c r="F777" s="15"/>
      <c r="G777" s="15"/>
      <c r="H777" s="15"/>
      <c r="I777" s="15"/>
      <c r="J777" s="15"/>
      <c r="K777" s="16" t="str">
        <f aca="false">IF(A777="","",F777+G777+H777+I777)</f>
        <v/>
      </c>
      <c r="L777" s="17" t="str">
        <f aca="false">IF(OR(K777="",E777=0,E777=""),"",K777/E777)</f>
        <v/>
      </c>
      <c r="M777" s="18" t="str">
        <f aca="false">IF(OR(A777="",E777=""),"",E777+ROW()/1000000)</f>
        <v/>
      </c>
    </row>
    <row r="778" customFormat="false" ht="15" hidden="false" customHeight="false" outlineLevel="0" collapsed="false">
      <c r="A778" s="12"/>
      <c r="B778" s="13"/>
      <c r="C778" s="13"/>
      <c r="D778" s="14"/>
      <c r="E778" s="15"/>
      <c r="F778" s="15"/>
      <c r="G778" s="15"/>
      <c r="H778" s="15"/>
      <c r="I778" s="15"/>
      <c r="J778" s="15"/>
      <c r="K778" s="16" t="str">
        <f aca="false">IF(A778="","",F778+G778+H778+I778)</f>
        <v/>
      </c>
      <c r="L778" s="17" t="str">
        <f aca="false">IF(OR(K778="",E778=0,E778=""),"",K778/E778)</f>
        <v/>
      </c>
      <c r="M778" s="18" t="str">
        <f aca="false">IF(OR(A778="",E778=""),"",E778+ROW()/1000000)</f>
        <v/>
      </c>
    </row>
    <row r="779" customFormat="false" ht="15" hidden="false" customHeight="false" outlineLevel="0" collapsed="false">
      <c r="A779" s="12"/>
      <c r="B779" s="13"/>
      <c r="C779" s="13"/>
      <c r="D779" s="14"/>
      <c r="E779" s="15"/>
      <c r="F779" s="15"/>
      <c r="G779" s="15"/>
      <c r="H779" s="15"/>
      <c r="I779" s="15"/>
      <c r="J779" s="15"/>
      <c r="K779" s="16" t="str">
        <f aca="false">IF(A779="","",F779+G779+H779+I779)</f>
        <v/>
      </c>
      <c r="L779" s="17" t="str">
        <f aca="false">IF(OR(K779="",E779=0,E779=""),"",K779/E779)</f>
        <v/>
      </c>
      <c r="M779" s="18" t="str">
        <f aca="false">IF(OR(A779="",E779=""),"",E779+ROW()/1000000)</f>
        <v/>
      </c>
    </row>
    <row r="780" customFormat="false" ht="15" hidden="false" customHeight="false" outlineLevel="0" collapsed="false">
      <c r="A780" s="12"/>
      <c r="B780" s="13"/>
      <c r="C780" s="13"/>
      <c r="D780" s="14"/>
      <c r="E780" s="15"/>
      <c r="F780" s="15"/>
      <c r="G780" s="15"/>
      <c r="H780" s="15"/>
      <c r="I780" s="15"/>
      <c r="J780" s="15"/>
      <c r="K780" s="16" t="str">
        <f aca="false">IF(A780="","",F780+G780+H780+I780)</f>
        <v/>
      </c>
      <c r="L780" s="17" t="str">
        <f aca="false">IF(OR(K780="",E780=0,E780=""),"",K780/E780)</f>
        <v/>
      </c>
      <c r="M780" s="18" t="str">
        <f aca="false">IF(OR(A780="",E780=""),"",E780+ROW()/1000000)</f>
        <v/>
      </c>
    </row>
    <row r="781" customFormat="false" ht="15" hidden="false" customHeight="false" outlineLevel="0" collapsed="false">
      <c r="A781" s="12"/>
      <c r="B781" s="13"/>
      <c r="C781" s="13"/>
      <c r="D781" s="14"/>
      <c r="E781" s="15"/>
      <c r="F781" s="15"/>
      <c r="G781" s="15"/>
      <c r="H781" s="15"/>
      <c r="I781" s="15"/>
      <c r="J781" s="15"/>
      <c r="K781" s="16" t="str">
        <f aca="false">IF(A781="","",F781+G781+H781+I781)</f>
        <v/>
      </c>
      <c r="L781" s="17" t="str">
        <f aca="false">IF(OR(K781="",E781=0,E781=""),"",K781/E781)</f>
        <v/>
      </c>
      <c r="M781" s="18" t="str">
        <f aca="false">IF(OR(A781="",E781=""),"",E781+ROW()/1000000)</f>
        <v/>
      </c>
    </row>
    <row r="782" customFormat="false" ht="15" hidden="false" customHeight="false" outlineLevel="0" collapsed="false">
      <c r="A782" s="12"/>
      <c r="B782" s="13"/>
      <c r="C782" s="13"/>
      <c r="D782" s="14"/>
      <c r="E782" s="15"/>
      <c r="F782" s="15"/>
      <c r="G782" s="15"/>
      <c r="H782" s="15"/>
      <c r="I782" s="15"/>
      <c r="J782" s="15"/>
      <c r="K782" s="16" t="str">
        <f aca="false">IF(A782="","",F782+G782+H782+I782)</f>
        <v/>
      </c>
      <c r="L782" s="17" t="str">
        <f aca="false">IF(OR(K782="",E782=0,E782=""),"",K782/E782)</f>
        <v/>
      </c>
      <c r="M782" s="18" t="str">
        <f aca="false">IF(OR(A782="",E782=""),"",E782+ROW()/1000000)</f>
        <v/>
      </c>
    </row>
    <row r="783" customFormat="false" ht="15" hidden="false" customHeight="false" outlineLevel="0" collapsed="false">
      <c r="A783" s="12"/>
      <c r="B783" s="13"/>
      <c r="C783" s="13"/>
      <c r="D783" s="14"/>
      <c r="E783" s="15"/>
      <c r="F783" s="15"/>
      <c r="G783" s="15"/>
      <c r="H783" s="15"/>
      <c r="I783" s="15"/>
      <c r="J783" s="15"/>
      <c r="K783" s="16" t="str">
        <f aca="false">IF(A783="","",F783+G783+H783+I783)</f>
        <v/>
      </c>
      <c r="L783" s="17" t="str">
        <f aca="false">IF(OR(K783="",E783=0,E783=""),"",K783/E783)</f>
        <v/>
      </c>
      <c r="M783" s="18" t="str">
        <f aca="false">IF(OR(A783="",E783=""),"",E783+ROW()/1000000)</f>
        <v/>
      </c>
    </row>
    <row r="784" customFormat="false" ht="15" hidden="false" customHeight="false" outlineLevel="0" collapsed="false">
      <c r="A784" s="12"/>
      <c r="B784" s="13"/>
      <c r="C784" s="13"/>
      <c r="D784" s="14"/>
      <c r="E784" s="15"/>
      <c r="F784" s="15"/>
      <c r="G784" s="15"/>
      <c r="H784" s="15"/>
      <c r="I784" s="15"/>
      <c r="J784" s="15"/>
      <c r="K784" s="16" t="str">
        <f aca="false">IF(A784="","",F784+G784+H784+I784)</f>
        <v/>
      </c>
      <c r="L784" s="17" t="str">
        <f aca="false">IF(OR(K784="",E784=0,E784=""),"",K784/E784)</f>
        <v/>
      </c>
      <c r="M784" s="18" t="str">
        <f aca="false">IF(OR(A784="",E784=""),"",E784+ROW()/1000000)</f>
        <v/>
      </c>
    </row>
    <row r="785" customFormat="false" ht="15" hidden="false" customHeight="false" outlineLevel="0" collapsed="false">
      <c r="A785" s="12"/>
      <c r="B785" s="13"/>
      <c r="C785" s="13"/>
      <c r="D785" s="14"/>
      <c r="E785" s="15"/>
      <c r="F785" s="15"/>
      <c r="G785" s="15"/>
      <c r="H785" s="15"/>
      <c r="I785" s="15"/>
      <c r="J785" s="15"/>
      <c r="K785" s="16" t="str">
        <f aca="false">IF(A785="","",F785+G785+H785+I785)</f>
        <v/>
      </c>
      <c r="L785" s="17" t="str">
        <f aca="false">IF(OR(K785="",E785=0,E785=""),"",K785/E785)</f>
        <v/>
      </c>
      <c r="M785" s="18" t="str">
        <f aca="false">IF(OR(A785="",E785=""),"",E785+ROW()/1000000)</f>
        <v/>
      </c>
    </row>
    <row r="786" customFormat="false" ht="15" hidden="false" customHeight="false" outlineLevel="0" collapsed="false">
      <c r="A786" s="12"/>
      <c r="B786" s="13"/>
      <c r="C786" s="13"/>
      <c r="D786" s="14"/>
      <c r="E786" s="15"/>
      <c r="F786" s="15"/>
      <c r="G786" s="15"/>
      <c r="H786" s="15"/>
      <c r="I786" s="15"/>
      <c r="J786" s="15"/>
      <c r="K786" s="16" t="str">
        <f aca="false">IF(A786="","",F786+G786+H786+I786)</f>
        <v/>
      </c>
      <c r="L786" s="17" t="str">
        <f aca="false">IF(OR(K786="",E786=0,E786=""),"",K786/E786)</f>
        <v/>
      </c>
      <c r="M786" s="18" t="str">
        <f aca="false">IF(OR(A786="",E786=""),"",E786+ROW()/1000000)</f>
        <v/>
      </c>
    </row>
    <row r="787" customFormat="false" ht="15" hidden="false" customHeight="false" outlineLevel="0" collapsed="false">
      <c r="A787" s="12"/>
      <c r="B787" s="13"/>
      <c r="C787" s="13"/>
      <c r="D787" s="14"/>
      <c r="E787" s="15"/>
      <c r="F787" s="15"/>
      <c r="G787" s="15"/>
      <c r="H787" s="15"/>
      <c r="I787" s="15"/>
      <c r="J787" s="15"/>
      <c r="K787" s="16" t="str">
        <f aca="false">IF(A787="","",F787+G787+H787+I787)</f>
        <v/>
      </c>
      <c r="L787" s="17" t="str">
        <f aca="false">IF(OR(K787="",E787=0,E787=""),"",K787/E787)</f>
        <v/>
      </c>
      <c r="M787" s="18" t="str">
        <f aca="false">IF(OR(A787="",E787=""),"",E787+ROW()/1000000)</f>
        <v/>
      </c>
    </row>
    <row r="788" customFormat="false" ht="15" hidden="false" customHeight="false" outlineLevel="0" collapsed="false">
      <c r="A788" s="12"/>
      <c r="B788" s="13"/>
      <c r="C788" s="13"/>
      <c r="D788" s="14"/>
      <c r="E788" s="15"/>
      <c r="F788" s="15"/>
      <c r="G788" s="15"/>
      <c r="H788" s="15"/>
      <c r="I788" s="15"/>
      <c r="J788" s="15"/>
      <c r="K788" s="16" t="str">
        <f aca="false">IF(A788="","",F788+G788+H788+I788)</f>
        <v/>
      </c>
      <c r="L788" s="17" t="str">
        <f aca="false">IF(OR(K788="",E788=0,E788=""),"",K788/E788)</f>
        <v/>
      </c>
      <c r="M788" s="18" t="str">
        <f aca="false">IF(OR(A788="",E788=""),"",E788+ROW()/1000000)</f>
        <v/>
      </c>
    </row>
    <row r="789" customFormat="false" ht="15" hidden="false" customHeight="false" outlineLevel="0" collapsed="false">
      <c r="A789" s="12"/>
      <c r="B789" s="13"/>
      <c r="C789" s="13"/>
      <c r="D789" s="14"/>
      <c r="E789" s="15"/>
      <c r="F789" s="15"/>
      <c r="G789" s="15"/>
      <c r="H789" s="15"/>
      <c r="I789" s="15"/>
      <c r="J789" s="15"/>
      <c r="K789" s="16" t="str">
        <f aca="false">IF(A789="","",F789+G789+H789+I789)</f>
        <v/>
      </c>
      <c r="L789" s="17" t="str">
        <f aca="false">IF(OR(K789="",E789=0,E789=""),"",K789/E789)</f>
        <v/>
      </c>
      <c r="M789" s="18" t="str">
        <f aca="false">IF(OR(A789="",E789=""),"",E789+ROW()/1000000)</f>
        <v/>
      </c>
    </row>
    <row r="790" customFormat="false" ht="15" hidden="false" customHeight="false" outlineLevel="0" collapsed="false">
      <c r="A790" s="12"/>
      <c r="B790" s="13"/>
      <c r="C790" s="13"/>
      <c r="D790" s="14"/>
      <c r="E790" s="15"/>
      <c r="F790" s="15"/>
      <c r="G790" s="15"/>
      <c r="H790" s="15"/>
      <c r="I790" s="15"/>
      <c r="J790" s="15"/>
      <c r="K790" s="16" t="str">
        <f aca="false">IF(A790="","",F790+G790+H790+I790)</f>
        <v/>
      </c>
      <c r="L790" s="17" t="str">
        <f aca="false">IF(OR(K790="",E790=0,E790=""),"",K790/E790)</f>
        <v/>
      </c>
      <c r="M790" s="18" t="str">
        <f aca="false">IF(OR(A790="",E790=""),"",E790+ROW()/1000000)</f>
        <v/>
      </c>
    </row>
    <row r="791" customFormat="false" ht="15" hidden="false" customHeight="false" outlineLevel="0" collapsed="false">
      <c r="A791" s="12"/>
      <c r="B791" s="13"/>
      <c r="C791" s="13"/>
      <c r="D791" s="14"/>
      <c r="E791" s="15"/>
      <c r="F791" s="15"/>
      <c r="G791" s="15"/>
      <c r="H791" s="15"/>
      <c r="I791" s="15"/>
      <c r="J791" s="15"/>
      <c r="K791" s="16" t="str">
        <f aca="false">IF(A791="","",F791+G791+H791+I791)</f>
        <v/>
      </c>
      <c r="L791" s="17" t="str">
        <f aca="false">IF(OR(K791="",E791=0,E791=""),"",K791/E791)</f>
        <v/>
      </c>
      <c r="M791" s="18" t="str">
        <f aca="false">IF(OR(A791="",E791=""),"",E791+ROW()/1000000)</f>
        <v/>
      </c>
    </row>
    <row r="792" customFormat="false" ht="15" hidden="false" customHeight="false" outlineLevel="0" collapsed="false">
      <c r="A792" s="12"/>
      <c r="B792" s="13"/>
      <c r="C792" s="13"/>
      <c r="D792" s="14"/>
      <c r="E792" s="15"/>
      <c r="F792" s="15"/>
      <c r="G792" s="15"/>
      <c r="H792" s="15"/>
      <c r="I792" s="15"/>
      <c r="J792" s="15"/>
      <c r="K792" s="16" t="str">
        <f aca="false">IF(A792="","",F792+G792+H792+I792)</f>
        <v/>
      </c>
      <c r="L792" s="17" t="str">
        <f aca="false">IF(OR(K792="",E792=0,E792=""),"",K792/E792)</f>
        <v/>
      </c>
      <c r="M792" s="18" t="str">
        <f aca="false">IF(OR(A792="",E792=""),"",E792+ROW()/1000000)</f>
        <v/>
      </c>
    </row>
    <row r="793" customFormat="false" ht="15" hidden="false" customHeight="false" outlineLevel="0" collapsed="false">
      <c r="A793" s="12"/>
      <c r="B793" s="13"/>
      <c r="C793" s="13"/>
      <c r="D793" s="14"/>
      <c r="E793" s="15"/>
      <c r="F793" s="15"/>
      <c r="G793" s="15"/>
      <c r="H793" s="15"/>
      <c r="I793" s="15"/>
      <c r="J793" s="15"/>
      <c r="K793" s="16" t="str">
        <f aca="false">IF(A793="","",F793+G793+H793+I793)</f>
        <v/>
      </c>
      <c r="L793" s="17" t="str">
        <f aca="false">IF(OR(K793="",E793=0,E793=""),"",K793/E793)</f>
        <v/>
      </c>
      <c r="M793" s="18" t="str">
        <f aca="false">IF(OR(A793="",E793=""),"",E793+ROW()/1000000)</f>
        <v/>
      </c>
    </row>
    <row r="794" customFormat="false" ht="15" hidden="false" customHeight="false" outlineLevel="0" collapsed="false">
      <c r="A794" s="12"/>
      <c r="B794" s="13"/>
      <c r="C794" s="13"/>
      <c r="D794" s="14"/>
      <c r="E794" s="15"/>
      <c r="F794" s="15"/>
      <c r="G794" s="15"/>
      <c r="H794" s="15"/>
      <c r="I794" s="15"/>
      <c r="J794" s="15"/>
      <c r="K794" s="16" t="str">
        <f aca="false">IF(A794="","",F794+G794+H794+I794)</f>
        <v/>
      </c>
      <c r="L794" s="17" t="str">
        <f aca="false">IF(OR(K794="",E794=0,E794=""),"",K794/E794)</f>
        <v/>
      </c>
      <c r="M794" s="18" t="str">
        <f aca="false">IF(OR(A794="",E794=""),"",E794+ROW()/1000000)</f>
        <v/>
      </c>
    </row>
    <row r="795" customFormat="false" ht="15" hidden="false" customHeight="false" outlineLevel="0" collapsed="false">
      <c r="A795" s="12"/>
      <c r="B795" s="13"/>
      <c r="C795" s="13"/>
      <c r="D795" s="14"/>
      <c r="E795" s="15"/>
      <c r="F795" s="15"/>
      <c r="G795" s="15"/>
      <c r="H795" s="15"/>
      <c r="I795" s="15"/>
      <c r="J795" s="15"/>
      <c r="K795" s="16" t="str">
        <f aca="false">IF(A795="","",F795+G795+H795+I795)</f>
        <v/>
      </c>
      <c r="L795" s="17" t="str">
        <f aca="false">IF(OR(K795="",E795=0,E795=""),"",K795/E795)</f>
        <v/>
      </c>
      <c r="M795" s="18" t="str">
        <f aca="false">IF(OR(A795="",E795=""),"",E795+ROW()/1000000)</f>
        <v/>
      </c>
    </row>
    <row r="796" customFormat="false" ht="15" hidden="false" customHeight="false" outlineLevel="0" collapsed="false">
      <c r="A796" s="12"/>
      <c r="B796" s="13"/>
      <c r="C796" s="13"/>
      <c r="D796" s="14"/>
      <c r="E796" s="15"/>
      <c r="F796" s="15"/>
      <c r="G796" s="15"/>
      <c r="H796" s="15"/>
      <c r="I796" s="15"/>
      <c r="J796" s="15"/>
      <c r="K796" s="16" t="str">
        <f aca="false">IF(A796="","",F796+G796+H796+I796)</f>
        <v/>
      </c>
      <c r="L796" s="17" t="str">
        <f aca="false">IF(OR(K796="",E796=0,E796=""),"",K796/E796)</f>
        <v/>
      </c>
      <c r="M796" s="18" t="str">
        <f aca="false">IF(OR(A796="",E796=""),"",E796+ROW()/1000000)</f>
        <v/>
      </c>
    </row>
    <row r="797" customFormat="false" ht="15" hidden="false" customHeight="false" outlineLevel="0" collapsed="false">
      <c r="A797" s="12"/>
      <c r="B797" s="13"/>
      <c r="C797" s="13"/>
      <c r="D797" s="14"/>
      <c r="E797" s="15"/>
      <c r="F797" s="15"/>
      <c r="G797" s="15"/>
      <c r="H797" s="15"/>
      <c r="I797" s="15"/>
      <c r="J797" s="15"/>
      <c r="K797" s="16" t="str">
        <f aca="false">IF(A797="","",F797+G797+H797+I797)</f>
        <v/>
      </c>
      <c r="L797" s="17" t="str">
        <f aca="false">IF(OR(K797="",E797=0,E797=""),"",K797/E797)</f>
        <v/>
      </c>
      <c r="M797" s="18" t="str">
        <f aca="false">IF(OR(A797="",E797=""),"",E797+ROW()/1000000)</f>
        <v/>
      </c>
    </row>
    <row r="798" customFormat="false" ht="15" hidden="false" customHeight="false" outlineLevel="0" collapsed="false">
      <c r="A798" s="12"/>
      <c r="B798" s="13"/>
      <c r="C798" s="13"/>
      <c r="D798" s="14"/>
      <c r="E798" s="15"/>
      <c r="F798" s="15"/>
      <c r="G798" s="15"/>
      <c r="H798" s="15"/>
      <c r="I798" s="15"/>
      <c r="J798" s="15"/>
      <c r="K798" s="16" t="str">
        <f aca="false">IF(A798="","",F798+G798+H798+I798)</f>
        <v/>
      </c>
      <c r="L798" s="17" t="str">
        <f aca="false">IF(OR(K798="",E798=0,E798=""),"",K798/E798)</f>
        <v/>
      </c>
      <c r="M798" s="18" t="str">
        <f aca="false">IF(OR(A798="",E798=""),"",E798+ROW()/1000000)</f>
        <v/>
      </c>
    </row>
    <row r="799" customFormat="false" ht="15" hidden="false" customHeight="false" outlineLevel="0" collapsed="false">
      <c r="A799" s="12"/>
      <c r="B799" s="13"/>
      <c r="C799" s="13"/>
      <c r="D799" s="14"/>
      <c r="E799" s="15"/>
      <c r="F799" s="15"/>
      <c r="G799" s="15"/>
      <c r="H799" s="15"/>
      <c r="I799" s="15"/>
      <c r="J799" s="15"/>
      <c r="K799" s="16" t="str">
        <f aca="false">IF(A799="","",F799+G799+H799+I799)</f>
        <v/>
      </c>
      <c r="L799" s="17" t="str">
        <f aca="false">IF(OR(K799="",E799=0,E799=""),"",K799/E799)</f>
        <v/>
      </c>
      <c r="M799" s="18" t="str">
        <f aca="false">IF(OR(A799="",E799=""),"",E799+ROW()/1000000)</f>
        <v/>
      </c>
    </row>
    <row r="800" customFormat="false" ht="15" hidden="false" customHeight="false" outlineLevel="0" collapsed="false">
      <c r="A800" s="12"/>
      <c r="B800" s="13"/>
      <c r="C800" s="13"/>
      <c r="D800" s="14"/>
      <c r="E800" s="15"/>
      <c r="F800" s="15"/>
      <c r="G800" s="15"/>
      <c r="H800" s="15"/>
      <c r="I800" s="15"/>
      <c r="J800" s="15"/>
      <c r="K800" s="16" t="str">
        <f aca="false">IF(A800="","",F800+G800+H800+I800)</f>
        <v/>
      </c>
      <c r="L800" s="17" t="str">
        <f aca="false">IF(OR(K800="",E800=0,E800=""),"",K800/E800)</f>
        <v/>
      </c>
      <c r="M800" s="18" t="str">
        <f aca="false">IF(OR(A800="",E800=""),"",E800+ROW()/1000000)</f>
        <v/>
      </c>
    </row>
    <row r="801" customFormat="false" ht="15" hidden="false" customHeight="false" outlineLevel="0" collapsed="false">
      <c r="A801" s="12"/>
      <c r="B801" s="13"/>
      <c r="C801" s="13"/>
      <c r="D801" s="14"/>
      <c r="E801" s="15"/>
      <c r="F801" s="15"/>
      <c r="G801" s="15"/>
      <c r="H801" s="15"/>
      <c r="I801" s="15"/>
      <c r="J801" s="15"/>
      <c r="K801" s="16" t="str">
        <f aca="false">IF(A801="","",F801+G801+H801+I801)</f>
        <v/>
      </c>
      <c r="L801" s="17" t="str">
        <f aca="false">IF(OR(K801="",E801=0,E801=""),"",K801/E801)</f>
        <v/>
      </c>
      <c r="M801" s="18" t="str">
        <f aca="false">IF(OR(A801="",E801=""),"",E801+ROW()/1000000)</f>
        <v/>
      </c>
    </row>
    <row r="802" customFormat="false" ht="15" hidden="false" customHeight="false" outlineLevel="0" collapsed="false">
      <c r="A802" s="12"/>
      <c r="B802" s="13"/>
      <c r="C802" s="13"/>
      <c r="D802" s="14"/>
      <c r="E802" s="15"/>
      <c r="F802" s="15"/>
      <c r="G802" s="15"/>
      <c r="H802" s="15"/>
      <c r="I802" s="15"/>
      <c r="J802" s="15"/>
      <c r="K802" s="16" t="str">
        <f aca="false">IF(A802="","",F802+G802+H802+I802)</f>
        <v/>
      </c>
      <c r="L802" s="17" t="str">
        <f aca="false">IF(OR(K802="",E802=0,E802=""),"",K802/E802)</f>
        <v/>
      </c>
      <c r="M802" s="18" t="str">
        <f aca="false">IF(OR(A802="",E802=""),"",E802+ROW()/1000000)</f>
        <v/>
      </c>
    </row>
    <row r="803" customFormat="false" ht="15" hidden="false" customHeight="false" outlineLevel="0" collapsed="false">
      <c r="A803" s="12"/>
      <c r="B803" s="13"/>
      <c r="C803" s="13"/>
      <c r="D803" s="14"/>
      <c r="E803" s="15"/>
      <c r="F803" s="15"/>
      <c r="G803" s="15"/>
      <c r="H803" s="15"/>
      <c r="I803" s="15"/>
      <c r="J803" s="15"/>
      <c r="K803" s="16" t="str">
        <f aca="false">IF(A803="","",F803+G803+H803+I803)</f>
        <v/>
      </c>
      <c r="L803" s="17" t="str">
        <f aca="false">IF(OR(K803="",E803=0,E803=""),"",K803/E803)</f>
        <v/>
      </c>
      <c r="M803" s="18" t="str">
        <f aca="false">IF(OR(A803="",E803=""),"",E803+ROW()/1000000)</f>
        <v/>
      </c>
    </row>
    <row r="804" customFormat="false" ht="15" hidden="false" customHeight="false" outlineLevel="0" collapsed="false">
      <c r="A804" s="12"/>
      <c r="B804" s="13"/>
      <c r="C804" s="13"/>
      <c r="D804" s="14"/>
      <c r="E804" s="15"/>
      <c r="F804" s="15"/>
      <c r="G804" s="15"/>
      <c r="H804" s="15"/>
      <c r="I804" s="15"/>
      <c r="J804" s="15"/>
      <c r="K804" s="16" t="str">
        <f aca="false">IF(A804="","",F804+G804+H804+I804)</f>
        <v/>
      </c>
      <c r="L804" s="17" t="str">
        <f aca="false">IF(OR(K804="",E804=0,E804=""),"",K804/E804)</f>
        <v/>
      </c>
      <c r="M804" s="18" t="str">
        <f aca="false">IF(OR(A804="",E804=""),"",E804+ROW()/1000000)</f>
        <v/>
      </c>
    </row>
    <row r="805" customFormat="false" ht="15" hidden="false" customHeight="false" outlineLevel="0" collapsed="false">
      <c r="A805" s="12"/>
      <c r="B805" s="13"/>
      <c r="C805" s="13"/>
      <c r="D805" s="14"/>
      <c r="E805" s="15"/>
      <c r="F805" s="15"/>
      <c r="G805" s="15"/>
      <c r="H805" s="15"/>
      <c r="I805" s="15"/>
      <c r="J805" s="15"/>
      <c r="K805" s="16" t="str">
        <f aca="false">IF(A805="","",F805+G805+H805+I805)</f>
        <v/>
      </c>
      <c r="L805" s="17" t="str">
        <f aca="false">IF(OR(K805="",E805=0,E805=""),"",K805/E805)</f>
        <v/>
      </c>
      <c r="M805" s="18" t="str">
        <f aca="false">IF(OR(A805="",E805=""),"",E805+ROW()/1000000)</f>
        <v/>
      </c>
    </row>
    <row r="806" customFormat="false" ht="15" hidden="false" customHeight="false" outlineLevel="0" collapsed="false">
      <c r="A806" s="12"/>
      <c r="B806" s="13"/>
      <c r="C806" s="13"/>
      <c r="D806" s="14"/>
      <c r="E806" s="15"/>
      <c r="F806" s="15"/>
      <c r="G806" s="15"/>
      <c r="H806" s="15"/>
      <c r="I806" s="15"/>
      <c r="J806" s="15"/>
      <c r="K806" s="16" t="str">
        <f aca="false">IF(A806="","",F806+G806+H806+I806)</f>
        <v/>
      </c>
      <c r="L806" s="17" t="str">
        <f aca="false">IF(OR(K806="",E806=0,E806=""),"",K806/E806)</f>
        <v/>
      </c>
      <c r="M806" s="18" t="str">
        <f aca="false">IF(OR(A806="",E806=""),"",E806+ROW()/1000000)</f>
        <v/>
      </c>
    </row>
    <row r="807" customFormat="false" ht="15" hidden="false" customHeight="false" outlineLevel="0" collapsed="false">
      <c r="A807" s="12"/>
      <c r="B807" s="13"/>
      <c r="C807" s="13"/>
      <c r="D807" s="14"/>
      <c r="E807" s="15"/>
      <c r="F807" s="15"/>
      <c r="G807" s="15"/>
      <c r="H807" s="15"/>
      <c r="I807" s="15"/>
      <c r="J807" s="15"/>
      <c r="K807" s="16" t="str">
        <f aca="false">IF(A807="","",F807+G807+H807+I807)</f>
        <v/>
      </c>
      <c r="L807" s="17" t="str">
        <f aca="false">IF(OR(K807="",E807=0,E807=""),"",K807/E807)</f>
        <v/>
      </c>
      <c r="M807" s="18" t="str">
        <f aca="false">IF(OR(A807="",E807=""),"",E807+ROW()/1000000)</f>
        <v/>
      </c>
    </row>
    <row r="808" customFormat="false" ht="15" hidden="false" customHeight="false" outlineLevel="0" collapsed="false">
      <c r="A808" s="12"/>
      <c r="B808" s="13"/>
      <c r="C808" s="13"/>
      <c r="D808" s="14"/>
      <c r="E808" s="15"/>
      <c r="F808" s="15"/>
      <c r="G808" s="15"/>
      <c r="H808" s="15"/>
      <c r="I808" s="15"/>
      <c r="J808" s="15"/>
      <c r="K808" s="16" t="str">
        <f aca="false">IF(A808="","",F808+G808+H808+I808)</f>
        <v/>
      </c>
      <c r="L808" s="17" t="str">
        <f aca="false">IF(OR(K808="",E808=0,E808=""),"",K808/E808)</f>
        <v/>
      </c>
      <c r="M808" s="18" t="str">
        <f aca="false">IF(OR(A808="",E808=""),"",E808+ROW()/1000000)</f>
        <v/>
      </c>
    </row>
    <row r="809" customFormat="false" ht="15" hidden="false" customHeight="false" outlineLevel="0" collapsed="false">
      <c r="A809" s="12"/>
      <c r="B809" s="13"/>
      <c r="C809" s="13"/>
      <c r="D809" s="14"/>
      <c r="E809" s="15"/>
      <c r="F809" s="15"/>
      <c r="G809" s="15"/>
      <c r="H809" s="15"/>
      <c r="I809" s="15"/>
      <c r="J809" s="15"/>
      <c r="K809" s="16" t="str">
        <f aca="false">IF(A809="","",F809+G809+H809+I809)</f>
        <v/>
      </c>
      <c r="L809" s="17" t="str">
        <f aca="false">IF(OR(K809="",E809=0,E809=""),"",K809/E809)</f>
        <v/>
      </c>
      <c r="M809" s="18" t="str">
        <f aca="false">IF(OR(A809="",E809=""),"",E809+ROW()/1000000)</f>
        <v/>
      </c>
    </row>
    <row r="810" customFormat="false" ht="15" hidden="false" customHeight="false" outlineLevel="0" collapsed="false">
      <c r="A810" s="12"/>
      <c r="B810" s="13"/>
      <c r="C810" s="13"/>
      <c r="D810" s="14"/>
      <c r="E810" s="15"/>
      <c r="F810" s="15"/>
      <c r="G810" s="15"/>
      <c r="H810" s="15"/>
      <c r="I810" s="15"/>
      <c r="J810" s="15"/>
      <c r="K810" s="16" t="str">
        <f aca="false">IF(A810="","",F810+G810+H810+I810)</f>
        <v/>
      </c>
      <c r="L810" s="17" t="str">
        <f aca="false">IF(OR(K810="",E810=0,E810=""),"",K810/E810)</f>
        <v/>
      </c>
      <c r="M810" s="18" t="str">
        <f aca="false">IF(OR(A810="",E810=""),"",E810+ROW()/1000000)</f>
        <v/>
      </c>
    </row>
    <row r="811" customFormat="false" ht="15" hidden="false" customHeight="false" outlineLevel="0" collapsed="false">
      <c r="A811" s="12"/>
      <c r="B811" s="13"/>
      <c r="C811" s="13"/>
      <c r="D811" s="14"/>
      <c r="E811" s="15"/>
      <c r="F811" s="15"/>
      <c r="G811" s="15"/>
      <c r="H811" s="15"/>
      <c r="I811" s="15"/>
      <c r="J811" s="15"/>
      <c r="K811" s="16" t="str">
        <f aca="false">IF(A811="","",F811+G811+H811+I811)</f>
        <v/>
      </c>
      <c r="L811" s="17" t="str">
        <f aca="false">IF(OR(K811="",E811=0,E811=""),"",K811/E811)</f>
        <v/>
      </c>
      <c r="M811" s="18" t="str">
        <f aca="false">IF(OR(A811="",E811=""),"",E811+ROW()/1000000)</f>
        <v/>
      </c>
    </row>
    <row r="812" customFormat="false" ht="15" hidden="false" customHeight="false" outlineLevel="0" collapsed="false">
      <c r="A812" s="12"/>
      <c r="B812" s="13"/>
      <c r="C812" s="13"/>
      <c r="D812" s="14"/>
      <c r="E812" s="15"/>
      <c r="F812" s="15"/>
      <c r="G812" s="15"/>
      <c r="H812" s="15"/>
      <c r="I812" s="15"/>
      <c r="J812" s="15"/>
      <c r="K812" s="16" t="str">
        <f aca="false">IF(A812="","",F812+G812+H812+I812)</f>
        <v/>
      </c>
      <c r="L812" s="17" t="str">
        <f aca="false">IF(OR(K812="",E812=0,E812=""),"",K812/E812)</f>
        <v/>
      </c>
      <c r="M812" s="18" t="str">
        <f aca="false">IF(OR(A812="",E812=""),"",E812+ROW()/1000000)</f>
        <v/>
      </c>
    </row>
    <row r="813" customFormat="false" ht="15" hidden="false" customHeight="false" outlineLevel="0" collapsed="false">
      <c r="A813" s="12"/>
      <c r="B813" s="13"/>
      <c r="C813" s="13"/>
      <c r="D813" s="14"/>
      <c r="E813" s="15"/>
      <c r="F813" s="15"/>
      <c r="G813" s="15"/>
      <c r="H813" s="15"/>
      <c r="I813" s="15"/>
      <c r="J813" s="15"/>
      <c r="K813" s="16" t="str">
        <f aca="false">IF(A813="","",F813+G813+H813+I813)</f>
        <v/>
      </c>
      <c r="L813" s="17" t="str">
        <f aca="false">IF(OR(K813="",E813=0,E813=""),"",K813/E813)</f>
        <v/>
      </c>
      <c r="M813" s="18" t="str">
        <f aca="false">IF(OR(A813="",E813=""),"",E813+ROW()/1000000)</f>
        <v/>
      </c>
    </row>
    <row r="814" customFormat="false" ht="15" hidden="false" customHeight="false" outlineLevel="0" collapsed="false">
      <c r="A814" s="12"/>
      <c r="B814" s="13"/>
      <c r="C814" s="13"/>
      <c r="D814" s="14"/>
      <c r="E814" s="15"/>
      <c r="F814" s="15"/>
      <c r="G814" s="15"/>
      <c r="H814" s="15"/>
      <c r="I814" s="15"/>
      <c r="J814" s="15"/>
      <c r="K814" s="16" t="str">
        <f aca="false">IF(A814="","",F814+G814+H814+I814)</f>
        <v/>
      </c>
      <c r="L814" s="17" t="str">
        <f aca="false">IF(OR(K814="",E814=0,E814=""),"",K814/E814)</f>
        <v/>
      </c>
      <c r="M814" s="18" t="str">
        <f aca="false">IF(OR(A814="",E814=""),"",E814+ROW()/1000000)</f>
        <v/>
      </c>
    </row>
    <row r="815" customFormat="false" ht="15" hidden="false" customHeight="false" outlineLevel="0" collapsed="false">
      <c r="A815" s="12"/>
      <c r="B815" s="13"/>
      <c r="C815" s="13"/>
      <c r="D815" s="14"/>
      <c r="E815" s="15"/>
      <c r="F815" s="15"/>
      <c r="G815" s="15"/>
      <c r="H815" s="15"/>
      <c r="I815" s="15"/>
      <c r="J815" s="15"/>
      <c r="K815" s="16" t="str">
        <f aca="false">IF(A815="","",F815+G815+H815+I815)</f>
        <v/>
      </c>
      <c r="L815" s="17" t="str">
        <f aca="false">IF(OR(K815="",E815=0,E815=""),"",K815/E815)</f>
        <v/>
      </c>
      <c r="M815" s="18" t="str">
        <f aca="false">IF(OR(A815="",E815=""),"",E815+ROW()/1000000)</f>
        <v/>
      </c>
    </row>
    <row r="816" customFormat="false" ht="15" hidden="false" customHeight="false" outlineLevel="0" collapsed="false">
      <c r="A816" s="12"/>
      <c r="B816" s="13"/>
      <c r="C816" s="13"/>
      <c r="D816" s="14"/>
      <c r="E816" s="15"/>
      <c r="F816" s="15"/>
      <c r="G816" s="15"/>
      <c r="H816" s="15"/>
      <c r="I816" s="15"/>
      <c r="J816" s="15"/>
      <c r="K816" s="16" t="str">
        <f aca="false">IF(A816="","",F816+G816+H816+I816)</f>
        <v/>
      </c>
      <c r="L816" s="17" t="str">
        <f aca="false">IF(OR(K816="",E816=0,E816=""),"",K816/E816)</f>
        <v/>
      </c>
      <c r="M816" s="18" t="str">
        <f aca="false">IF(OR(A816="",E816=""),"",E816+ROW()/1000000)</f>
        <v/>
      </c>
    </row>
    <row r="817" customFormat="false" ht="15" hidden="false" customHeight="false" outlineLevel="0" collapsed="false">
      <c r="A817" s="12"/>
      <c r="B817" s="13"/>
      <c r="C817" s="13"/>
      <c r="D817" s="14"/>
      <c r="E817" s="15"/>
      <c r="F817" s="15"/>
      <c r="G817" s="15"/>
      <c r="H817" s="15"/>
      <c r="I817" s="15"/>
      <c r="J817" s="15"/>
      <c r="K817" s="16" t="str">
        <f aca="false">IF(A817="","",F817+G817+H817+I817)</f>
        <v/>
      </c>
      <c r="L817" s="17" t="str">
        <f aca="false">IF(OR(K817="",E817=0,E817=""),"",K817/E817)</f>
        <v/>
      </c>
      <c r="M817" s="18" t="str">
        <f aca="false">IF(OR(A817="",E817=""),"",E817+ROW()/1000000)</f>
        <v/>
      </c>
    </row>
    <row r="818" customFormat="false" ht="15" hidden="false" customHeight="false" outlineLevel="0" collapsed="false">
      <c r="A818" s="12"/>
      <c r="B818" s="13"/>
      <c r="C818" s="13"/>
      <c r="D818" s="14"/>
      <c r="E818" s="15"/>
      <c r="F818" s="15"/>
      <c r="G818" s="15"/>
      <c r="H818" s="15"/>
      <c r="I818" s="15"/>
      <c r="J818" s="15"/>
      <c r="K818" s="16" t="str">
        <f aca="false">IF(A818="","",F818+G818+H818+I818)</f>
        <v/>
      </c>
      <c r="L818" s="17" t="str">
        <f aca="false">IF(OR(K818="",E818=0,E818=""),"",K818/E818)</f>
        <v/>
      </c>
      <c r="M818" s="18" t="str">
        <f aca="false">IF(OR(A818="",E818=""),"",E818+ROW()/1000000)</f>
        <v/>
      </c>
    </row>
    <row r="819" customFormat="false" ht="15" hidden="false" customHeight="false" outlineLevel="0" collapsed="false">
      <c r="A819" s="12"/>
      <c r="B819" s="13"/>
      <c r="C819" s="13"/>
      <c r="D819" s="14"/>
      <c r="E819" s="15"/>
      <c r="F819" s="15"/>
      <c r="G819" s="15"/>
      <c r="H819" s="15"/>
      <c r="I819" s="15"/>
      <c r="J819" s="15"/>
      <c r="K819" s="16" t="str">
        <f aca="false">IF(A819="","",F819+G819+H819+I819)</f>
        <v/>
      </c>
      <c r="L819" s="17" t="str">
        <f aca="false">IF(OR(K819="",E819=0,E819=""),"",K819/E819)</f>
        <v/>
      </c>
      <c r="M819" s="18" t="str">
        <f aca="false">IF(OR(A819="",E819=""),"",E819+ROW()/1000000)</f>
        <v/>
      </c>
    </row>
    <row r="820" customFormat="false" ht="15" hidden="false" customHeight="false" outlineLevel="0" collapsed="false">
      <c r="A820" s="12"/>
      <c r="B820" s="13"/>
      <c r="C820" s="13"/>
      <c r="D820" s="14"/>
      <c r="E820" s="15"/>
      <c r="F820" s="15"/>
      <c r="G820" s="15"/>
      <c r="H820" s="15"/>
      <c r="I820" s="15"/>
      <c r="J820" s="15"/>
      <c r="K820" s="16" t="str">
        <f aca="false">IF(A820="","",F820+G820+H820+I820)</f>
        <v/>
      </c>
      <c r="L820" s="17" t="str">
        <f aca="false">IF(OR(K820="",E820=0,E820=""),"",K820/E820)</f>
        <v/>
      </c>
      <c r="M820" s="18" t="str">
        <f aca="false">IF(OR(A820="",E820=""),"",E820+ROW()/1000000)</f>
        <v/>
      </c>
    </row>
    <row r="821" customFormat="false" ht="15" hidden="false" customHeight="false" outlineLevel="0" collapsed="false">
      <c r="A821" s="12"/>
      <c r="B821" s="13"/>
      <c r="C821" s="13"/>
      <c r="D821" s="14"/>
      <c r="E821" s="15"/>
      <c r="F821" s="15"/>
      <c r="G821" s="15"/>
      <c r="H821" s="15"/>
      <c r="I821" s="15"/>
      <c r="J821" s="15"/>
      <c r="K821" s="16" t="str">
        <f aca="false">IF(A821="","",F821+G821+H821+I821)</f>
        <v/>
      </c>
      <c r="L821" s="17" t="str">
        <f aca="false">IF(OR(K821="",E821=0,E821=""),"",K821/E821)</f>
        <v/>
      </c>
      <c r="M821" s="18" t="str">
        <f aca="false">IF(OR(A821="",E821=""),"",E821+ROW()/1000000)</f>
        <v/>
      </c>
    </row>
    <row r="822" customFormat="false" ht="15" hidden="false" customHeight="false" outlineLevel="0" collapsed="false">
      <c r="A822" s="12"/>
      <c r="B822" s="13"/>
      <c r="C822" s="13"/>
      <c r="D822" s="14"/>
      <c r="E822" s="15"/>
      <c r="F822" s="15"/>
      <c r="G822" s="15"/>
      <c r="H822" s="15"/>
      <c r="I822" s="15"/>
      <c r="J822" s="15"/>
      <c r="K822" s="16" t="str">
        <f aca="false">IF(A822="","",F822+G822+H822+I822)</f>
        <v/>
      </c>
      <c r="L822" s="17" t="str">
        <f aca="false">IF(OR(K822="",E822=0,E822=""),"",K822/E822)</f>
        <v/>
      </c>
      <c r="M822" s="18" t="str">
        <f aca="false">IF(OR(A822="",E822=""),"",E822+ROW()/1000000)</f>
        <v/>
      </c>
    </row>
    <row r="823" customFormat="false" ht="15" hidden="false" customHeight="false" outlineLevel="0" collapsed="false">
      <c r="A823" s="12"/>
      <c r="B823" s="13"/>
      <c r="C823" s="13"/>
      <c r="D823" s="14"/>
      <c r="E823" s="15"/>
      <c r="F823" s="15"/>
      <c r="G823" s="15"/>
      <c r="H823" s="15"/>
      <c r="I823" s="15"/>
      <c r="J823" s="15"/>
      <c r="K823" s="16" t="str">
        <f aca="false">IF(A823="","",F823+G823+H823+I823)</f>
        <v/>
      </c>
      <c r="L823" s="17" t="str">
        <f aca="false">IF(OR(K823="",E823=0,E823=""),"",K823/E823)</f>
        <v/>
      </c>
      <c r="M823" s="18" t="str">
        <f aca="false">IF(OR(A823="",E823=""),"",E823+ROW()/1000000)</f>
        <v/>
      </c>
    </row>
    <row r="824" customFormat="false" ht="15" hidden="false" customHeight="false" outlineLevel="0" collapsed="false">
      <c r="A824" s="12"/>
      <c r="B824" s="13"/>
      <c r="C824" s="13"/>
      <c r="D824" s="14"/>
      <c r="E824" s="15"/>
      <c r="F824" s="15"/>
      <c r="G824" s="15"/>
      <c r="H824" s="15"/>
      <c r="I824" s="15"/>
      <c r="J824" s="15"/>
      <c r="K824" s="16" t="str">
        <f aca="false">IF(A824="","",F824+G824+H824+I824)</f>
        <v/>
      </c>
      <c r="L824" s="17" t="str">
        <f aca="false">IF(OR(K824="",E824=0,E824=""),"",K824/E824)</f>
        <v/>
      </c>
      <c r="M824" s="18" t="str">
        <f aca="false">IF(OR(A824="",E824=""),"",E824+ROW()/1000000)</f>
        <v/>
      </c>
    </row>
    <row r="825" customFormat="false" ht="15" hidden="false" customHeight="false" outlineLevel="0" collapsed="false">
      <c r="A825" s="12"/>
      <c r="B825" s="13"/>
      <c r="C825" s="13"/>
      <c r="D825" s="14"/>
      <c r="E825" s="15"/>
      <c r="F825" s="15"/>
      <c r="G825" s="15"/>
      <c r="H825" s="15"/>
      <c r="I825" s="15"/>
      <c r="J825" s="15"/>
      <c r="K825" s="16" t="str">
        <f aca="false">IF(A825="","",F825+G825+H825+I825)</f>
        <v/>
      </c>
      <c r="L825" s="17" t="str">
        <f aca="false">IF(OR(K825="",E825=0,E825=""),"",K825/E825)</f>
        <v/>
      </c>
      <c r="M825" s="18" t="str">
        <f aca="false">IF(OR(A825="",E825=""),"",E825+ROW()/1000000)</f>
        <v/>
      </c>
    </row>
    <row r="826" customFormat="false" ht="15" hidden="false" customHeight="false" outlineLevel="0" collapsed="false">
      <c r="A826" s="12"/>
      <c r="B826" s="13"/>
      <c r="C826" s="13"/>
      <c r="D826" s="14"/>
      <c r="E826" s="15"/>
      <c r="F826" s="15"/>
      <c r="G826" s="15"/>
      <c r="H826" s="15"/>
      <c r="I826" s="15"/>
      <c r="J826" s="15"/>
      <c r="K826" s="16" t="str">
        <f aca="false">IF(A826="","",F826+G826+H826+I826)</f>
        <v/>
      </c>
      <c r="L826" s="17" t="str">
        <f aca="false">IF(OR(K826="",E826=0,E826=""),"",K826/E826)</f>
        <v/>
      </c>
      <c r="M826" s="18" t="str">
        <f aca="false">IF(OR(A826="",E826=""),"",E826+ROW()/1000000)</f>
        <v/>
      </c>
    </row>
    <row r="827" customFormat="false" ht="15" hidden="false" customHeight="false" outlineLevel="0" collapsed="false">
      <c r="A827" s="12"/>
      <c r="B827" s="13"/>
      <c r="C827" s="13"/>
      <c r="D827" s="14"/>
      <c r="E827" s="15"/>
      <c r="F827" s="15"/>
      <c r="G827" s="15"/>
      <c r="H827" s="15"/>
      <c r="I827" s="15"/>
      <c r="J827" s="15"/>
      <c r="K827" s="16" t="str">
        <f aca="false">IF(A827="","",F827+G827+H827+I827)</f>
        <v/>
      </c>
      <c r="L827" s="17" t="str">
        <f aca="false">IF(OR(K827="",E827=0,E827=""),"",K827/E827)</f>
        <v/>
      </c>
      <c r="M827" s="18" t="str">
        <f aca="false">IF(OR(A827="",E827=""),"",E827+ROW()/1000000)</f>
        <v/>
      </c>
    </row>
    <row r="828" customFormat="false" ht="15" hidden="false" customHeight="false" outlineLevel="0" collapsed="false">
      <c r="A828" s="12"/>
      <c r="B828" s="13"/>
      <c r="C828" s="13"/>
      <c r="D828" s="14"/>
      <c r="E828" s="15"/>
      <c r="F828" s="15"/>
      <c r="G828" s="15"/>
      <c r="H828" s="15"/>
      <c r="I828" s="15"/>
      <c r="J828" s="15"/>
      <c r="K828" s="16" t="str">
        <f aca="false">IF(A828="","",F828+G828+H828+I828)</f>
        <v/>
      </c>
      <c r="L828" s="17" t="str">
        <f aca="false">IF(OR(K828="",E828=0,E828=""),"",K828/E828)</f>
        <v/>
      </c>
      <c r="M828" s="18" t="str">
        <f aca="false">IF(OR(A828="",E828=""),"",E828+ROW()/1000000)</f>
        <v/>
      </c>
    </row>
    <row r="829" customFormat="false" ht="15" hidden="false" customHeight="false" outlineLevel="0" collapsed="false">
      <c r="A829" s="12"/>
      <c r="B829" s="13"/>
      <c r="C829" s="13"/>
      <c r="D829" s="14"/>
      <c r="E829" s="15"/>
      <c r="F829" s="15"/>
      <c r="G829" s="15"/>
      <c r="H829" s="15"/>
      <c r="I829" s="15"/>
      <c r="J829" s="15"/>
      <c r="K829" s="16" t="str">
        <f aca="false">IF(A829="","",F829+G829+H829+I829)</f>
        <v/>
      </c>
      <c r="L829" s="17" t="str">
        <f aca="false">IF(OR(K829="",E829=0,E829=""),"",K829/E829)</f>
        <v/>
      </c>
      <c r="M829" s="18" t="str">
        <f aca="false">IF(OR(A829="",E829=""),"",E829+ROW()/1000000)</f>
        <v/>
      </c>
    </row>
    <row r="830" customFormat="false" ht="15" hidden="false" customHeight="false" outlineLevel="0" collapsed="false">
      <c r="A830" s="12"/>
      <c r="B830" s="13"/>
      <c r="C830" s="13"/>
      <c r="D830" s="14"/>
      <c r="E830" s="15"/>
      <c r="F830" s="15"/>
      <c r="G830" s="15"/>
      <c r="H830" s="15"/>
      <c r="I830" s="15"/>
      <c r="J830" s="15"/>
      <c r="K830" s="16" t="str">
        <f aca="false">IF(A830="","",F830+G830+H830+I830)</f>
        <v/>
      </c>
      <c r="L830" s="17" t="str">
        <f aca="false">IF(OR(K830="",E830=0,E830=""),"",K830/E830)</f>
        <v/>
      </c>
      <c r="M830" s="18" t="str">
        <f aca="false">IF(OR(A830="",E830=""),"",E830+ROW()/1000000)</f>
        <v/>
      </c>
    </row>
    <row r="831" customFormat="false" ht="15" hidden="false" customHeight="false" outlineLevel="0" collapsed="false">
      <c r="A831" s="12"/>
      <c r="B831" s="13"/>
      <c r="C831" s="13"/>
      <c r="D831" s="14"/>
      <c r="E831" s="15"/>
      <c r="F831" s="15"/>
      <c r="G831" s="15"/>
      <c r="H831" s="15"/>
      <c r="I831" s="15"/>
      <c r="J831" s="15"/>
      <c r="K831" s="16" t="str">
        <f aca="false">IF(A831="","",F831+G831+H831+I831)</f>
        <v/>
      </c>
      <c r="L831" s="17" t="str">
        <f aca="false">IF(OR(K831="",E831=0,E831=""),"",K831/E831)</f>
        <v/>
      </c>
      <c r="M831" s="18" t="str">
        <f aca="false">IF(OR(A831="",E831=""),"",E831+ROW()/1000000)</f>
        <v/>
      </c>
    </row>
    <row r="832" customFormat="false" ht="15" hidden="false" customHeight="false" outlineLevel="0" collapsed="false">
      <c r="A832" s="12"/>
      <c r="B832" s="13"/>
      <c r="C832" s="13"/>
      <c r="D832" s="14"/>
      <c r="E832" s="15"/>
      <c r="F832" s="15"/>
      <c r="G832" s="15"/>
      <c r="H832" s="15"/>
      <c r="I832" s="15"/>
      <c r="J832" s="15"/>
      <c r="K832" s="16" t="str">
        <f aca="false">IF(A832="","",F832+G832+H832+I832)</f>
        <v/>
      </c>
      <c r="L832" s="17" t="str">
        <f aca="false">IF(OR(K832="",E832=0,E832=""),"",K832/E832)</f>
        <v/>
      </c>
      <c r="M832" s="18" t="str">
        <f aca="false">IF(OR(A832="",E832=""),"",E832+ROW()/1000000)</f>
        <v/>
      </c>
    </row>
    <row r="833" customFormat="false" ht="15" hidden="false" customHeight="false" outlineLevel="0" collapsed="false">
      <c r="A833" s="12"/>
      <c r="B833" s="13"/>
      <c r="C833" s="13"/>
      <c r="D833" s="14"/>
      <c r="E833" s="15"/>
      <c r="F833" s="15"/>
      <c r="G833" s="15"/>
      <c r="H833" s="15"/>
      <c r="I833" s="15"/>
      <c r="J833" s="15"/>
      <c r="K833" s="16" t="str">
        <f aca="false">IF(A833="","",F833+G833+H833+I833)</f>
        <v/>
      </c>
      <c r="L833" s="17" t="str">
        <f aca="false">IF(OR(K833="",E833=0,E833=""),"",K833/E833)</f>
        <v/>
      </c>
      <c r="M833" s="18" t="str">
        <f aca="false">IF(OR(A833="",E833=""),"",E833+ROW()/1000000)</f>
        <v/>
      </c>
    </row>
    <row r="834" customFormat="false" ht="15" hidden="false" customHeight="false" outlineLevel="0" collapsed="false">
      <c r="A834" s="12"/>
      <c r="B834" s="13"/>
      <c r="C834" s="13"/>
      <c r="D834" s="14"/>
      <c r="E834" s="15"/>
      <c r="F834" s="15"/>
      <c r="G834" s="15"/>
      <c r="H834" s="15"/>
      <c r="I834" s="15"/>
      <c r="J834" s="15"/>
      <c r="K834" s="16" t="str">
        <f aca="false">IF(A834="","",F834+G834+H834+I834)</f>
        <v/>
      </c>
      <c r="L834" s="17" t="str">
        <f aca="false">IF(OR(K834="",E834=0,E834=""),"",K834/E834)</f>
        <v/>
      </c>
      <c r="M834" s="18" t="str">
        <f aca="false">IF(OR(A834="",E834=""),"",E834+ROW()/1000000)</f>
        <v/>
      </c>
    </row>
    <row r="835" customFormat="false" ht="15" hidden="false" customHeight="false" outlineLevel="0" collapsed="false">
      <c r="A835" s="12"/>
      <c r="B835" s="13"/>
      <c r="C835" s="13"/>
      <c r="D835" s="14"/>
      <c r="E835" s="15"/>
      <c r="F835" s="15"/>
      <c r="G835" s="15"/>
      <c r="H835" s="15"/>
      <c r="I835" s="15"/>
      <c r="J835" s="15"/>
      <c r="K835" s="16" t="str">
        <f aca="false">IF(A835="","",F835+G835+H835+I835)</f>
        <v/>
      </c>
      <c r="L835" s="17" t="str">
        <f aca="false">IF(OR(K835="",E835=0,E835=""),"",K835/E835)</f>
        <v/>
      </c>
      <c r="M835" s="18" t="str">
        <f aca="false">IF(OR(A835="",E835=""),"",E835+ROW()/1000000)</f>
        <v/>
      </c>
    </row>
    <row r="836" customFormat="false" ht="15" hidden="false" customHeight="false" outlineLevel="0" collapsed="false">
      <c r="A836" s="12"/>
      <c r="B836" s="13"/>
      <c r="C836" s="13"/>
      <c r="D836" s="14"/>
      <c r="E836" s="15"/>
      <c r="F836" s="15"/>
      <c r="G836" s="15"/>
      <c r="H836" s="15"/>
      <c r="I836" s="15"/>
      <c r="J836" s="15"/>
      <c r="K836" s="16" t="str">
        <f aca="false">IF(A836="","",F836+G836+H836+I836)</f>
        <v/>
      </c>
      <c r="L836" s="17" t="str">
        <f aca="false">IF(OR(K836="",E836=0,E836=""),"",K836/E836)</f>
        <v/>
      </c>
      <c r="M836" s="18" t="str">
        <f aca="false">IF(OR(A836="",E836=""),"",E836+ROW()/1000000)</f>
        <v/>
      </c>
    </row>
    <row r="837" customFormat="false" ht="15" hidden="false" customHeight="false" outlineLevel="0" collapsed="false">
      <c r="A837" s="12"/>
      <c r="B837" s="13"/>
      <c r="C837" s="13"/>
      <c r="D837" s="14"/>
      <c r="E837" s="15"/>
      <c r="F837" s="15"/>
      <c r="G837" s="15"/>
      <c r="H837" s="15"/>
      <c r="I837" s="15"/>
      <c r="J837" s="15"/>
      <c r="K837" s="16" t="str">
        <f aca="false">IF(A837="","",F837+G837+H837+I837)</f>
        <v/>
      </c>
      <c r="L837" s="17" t="str">
        <f aca="false">IF(OR(K837="",E837=0,E837=""),"",K837/E837)</f>
        <v/>
      </c>
      <c r="M837" s="18" t="str">
        <f aca="false">IF(OR(A837="",E837=""),"",E837+ROW()/1000000)</f>
        <v/>
      </c>
    </row>
    <row r="838" customFormat="false" ht="15" hidden="false" customHeight="false" outlineLevel="0" collapsed="false">
      <c r="A838" s="12"/>
      <c r="B838" s="13"/>
      <c r="C838" s="13"/>
      <c r="D838" s="14"/>
      <c r="E838" s="15"/>
      <c r="F838" s="15"/>
      <c r="G838" s="15"/>
      <c r="H838" s="15"/>
      <c r="I838" s="15"/>
      <c r="J838" s="15"/>
      <c r="K838" s="16" t="str">
        <f aca="false">IF(A838="","",F838+G838+H838+I838)</f>
        <v/>
      </c>
      <c r="L838" s="17" t="str">
        <f aca="false">IF(OR(K838="",E838=0,E838=""),"",K838/E838)</f>
        <v/>
      </c>
      <c r="M838" s="18" t="str">
        <f aca="false">IF(OR(A838="",E838=""),"",E838+ROW()/1000000)</f>
        <v/>
      </c>
    </row>
    <row r="839" customFormat="false" ht="15" hidden="false" customHeight="false" outlineLevel="0" collapsed="false">
      <c r="A839" s="12"/>
      <c r="B839" s="13"/>
      <c r="C839" s="13"/>
      <c r="D839" s="14"/>
      <c r="E839" s="15"/>
      <c r="F839" s="15"/>
      <c r="G839" s="15"/>
      <c r="H839" s="15"/>
      <c r="I839" s="15"/>
      <c r="J839" s="15"/>
      <c r="K839" s="16" t="str">
        <f aca="false">IF(A839="","",F839+G839+H839+I839)</f>
        <v/>
      </c>
      <c r="L839" s="17" t="str">
        <f aca="false">IF(OR(K839="",E839=0,E839=""),"",K839/E839)</f>
        <v/>
      </c>
      <c r="M839" s="18" t="str">
        <f aca="false">IF(OR(A839="",E839=""),"",E839+ROW()/1000000)</f>
        <v/>
      </c>
    </row>
    <row r="840" customFormat="false" ht="15" hidden="false" customHeight="false" outlineLevel="0" collapsed="false">
      <c r="A840" s="12"/>
      <c r="B840" s="13"/>
      <c r="C840" s="13"/>
      <c r="D840" s="14"/>
      <c r="E840" s="15"/>
      <c r="F840" s="15"/>
      <c r="G840" s="15"/>
      <c r="H840" s="15"/>
      <c r="I840" s="15"/>
      <c r="J840" s="15"/>
      <c r="K840" s="16" t="str">
        <f aca="false">IF(A840="","",F840+G840+H840+I840)</f>
        <v/>
      </c>
      <c r="L840" s="17" t="str">
        <f aca="false">IF(OR(K840="",E840=0,E840=""),"",K840/E840)</f>
        <v/>
      </c>
      <c r="M840" s="18" t="str">
        <f aca="false">IF(OR(A840="",E840=""),"",E840+ROW()/1000000)</f>
        <v/>
      </c>
    </row>
    <row r="841" customFormat="false" ht="15" hidden="false" customHeight="false" outlineLevel="0" collapsed="false">
      <c r="A841" s="12"/>
      <c r="B841" s="13"/>
      <c r="C841" s="13"/>
      <c r="D841" s="14"/>
      <c r="E841" s="15"/>
      <c r="F841" s="15"/>
      <c r="G841" s="15"/>
      <c r="H841" s="15"/>
      <c r="I841" s="15"/>
      <c r="J841" s="15"/>
      <c r="K841" s="16" t="str">
        <f aca="false">IF(A841="","",F841+G841+H841+I841)</f>
        <v/>
      </c>
      <c r="L841" s="17" t="str">
        <f aca="false">IF(OR(K841="",E841=0,E841=""),"",K841/E841)</f>
        <v/>
      </c>
      <c r="M841" s="18" t="str">
        <f aca="false">IF(OR(A841="",E841=""),"",E841+ROW()/1000000)</f>
        <v/>
      </c>
    </row>
    <row r="842" customFormat="false" ht="15" hidden="false" customHeight="false" outlineLevel="0" collapsed="false">
      <c r="A842" s="12"/>
      <c r="B842" s="13"/>
      <c r="C842" s="13"/>
      <c r="D842" s="14"/>
      <c r="E842" s="15"/>
      <c r="F842" s="15"/>
      <c r="G842" s="15"/>
      <c r="H842" s="15"/>
      <c r="I842" s="15"/>
      <c r="J842" s="15"/>
      <c r="K842" s="16" t="str">
        <f aca="false">IF(A842="","",F842+G842+H842+I842)</f>
        <v/>
      </c>
      <c r="L842" s="17" t="str">
        <f aca="false">IF(OR(K842="",E842=0,E842=""),"",K842/E842)</f>
        <v/>
      </c>
      <c r="M842" s="18" t="str">
        <f aca="false">IF(OR(A842="",E842=""),"",E842+ROW()/1000000)</f>
        <v/>
      </c>
    </row>
    <row r="843" customFormat="false" ht="15" hidden="false" customHeight="false" outlineLevel="0" collapsed="false">
      <c r="A843" s="12"/>
      <c r="B843" s="13"/>
      <c r="C843" s="13"/>
      <c r="D843" s="14"/>
      <c r="E843" s="15"/>
      <c r="F843" s="15"/>
      <c r="G843" s="15"/>
      <c r="H843" s="15"/>
      <c r="I843" s="15"/>
      <c r="J843" s="15"/>
      <c r="K843" s="16" t="str">
        <f aca="false">IF(A843="","",F843+G843+H843+I843)</f>
        <v/>
      </c>
      <c r="L843" s="17" t="str">
        <f aca="false">IF(OR(K843="",E843=0,E843=""),"",K843/E843)</f>
        <v/>
      </c>
      <c r="M843" s="18" t="str">
        <f aca="false">IF(OR(A843="",E843=""),"",E843+ROW()/1000000)</f>
        <v/>
      </c>
    </row>
    <row r="844" customFormat="false" ht="15" hidden="false" customHeight="false" outlineLevel="0" collapsed="false">
      <c r="A844" s="12"/>
      <c r="B844" s="13"/>
      <c r="C844" s="13"/>
      <c r="D844" s="14"/>
      <c r="E844" s="15"/>
      <c r="F844" s="15"/>
      <c r="G844" s="15"/>
      <c r="H844" s="15"/>
      <c r="I844" s="15"/>
      <c r="J844" s="15"/>
      <c r="K844" s="16" t="str">
        <f aca="false">IF(A844="","",F844+G844+H844+I844)</f>
        <v/>
      </c>
      <c r="L844" s="17" t="str">
        <f aca="false">IF(OR(K844="",E844=0,E844=""),"",K844/E844)</f>
        <v/>
      </c>
      <c r="M844" s="18" t="str">
        <f aca="false">IF(OR(A844="",E844=""),"",E844+ROW()/1000000)</f>
        <v/>
      </c>
    </row>
    <row r="845" customFormat="false" ht="15" hidden="false" customHeight="false" outlineLevel="0" collapsed="false">
      <c r="A845" s="12"/>
      <c r="B845" s="13"/>
      <c r="C845" s="13"/>
      <c r="D845" s="14"/>
      <c r="E845" s="15"/>
      <c r="F845" s="15"/>
      <c r="G845" s="15"/>
      <c r="H845" s="15"/>
      <c r="I845" s="15"/>
      <c r="J845" s="15"/>
      <c r="K845" s="16" t="str">
        <f aca="false">IF(A845="","",F845+G845+H845+I845)</f>
        <v/>
      </c>
      <c r="L845" s="17" t="str">
        <f aca="false">IF(OR(K845="",E845=0,E845=""),"",K845/E845)</f>
        <v/>
      </c>
      <c r="M845" s="18" t="str">
        <f aca="false">IF(OR(A845="",E845=""),"",E845+ROW()/1000000)</f>
        <v/>
      </c>
    </row>
    <row r="846" customFormat="false" ht="15" hidden="false" customHeight="false" outlineLevel="0" collapsed="false">
      <c r="A846" s="12"/>
      <c r="B846" s="13"/>
      <c r="C846" s="13"/>
      <c r="D846" s="14"/>
      <c r="E846" s="15"/>
      <c r="F846" s="15"/>
      <c r="G846" s="15"/>
      <c r="H846" s="15"/>
      <c r="I846" s="15"/>
      <c r="J846" s="15"/>
      <c r="K846" s="16" t="str">
        <f aca="false">IF(A846="","",F846+G846+H846+I846)</f>
        <v/>
      </c>
      <c r="L846" s="17" t="str">
        <f aca="false">IF(OR(K846="",E846=0,E846=""),"",K846/E846)</f>
        <v/>
      </c>
      <c r="M846" s="18" t="str">
        <f aca="false">IF(OR(A846="",E846=""),"",E846+ROW()/1000000)</f>
        <v/>
      </c>
    </row>
    <row r="847" customFormat="false" ht="15" hidden="false" customHeight="false" outlineLevel="0" collapsed="false">
      <c r="A847" s="12"/>
      <c r="B847" s="13"/>
      <c r="C847" s="13"/>
      <c r="D847" s="14"/>
      <c r="E847" s="15"/>
      <c r="F847" s="15"/>
      <c r="G847" s="15"/>
      <c r="H847" s="15"/>
      <c r="I847" s="15"/>
      <c r="J847" s="15"/>
      <c r="K847" s="16" t="str">
        <f aca="false">IF(A847="","",F847+G847+H847+I847)</f>
        <v/>
      </c>
      <c r="L847" s="17" t="str">
        <f aca="false">IF(OR(K847="",E847=0,E847=""),"",K847/E847)</f>
        <v/>
      </c>
      <c r="M847" s="18" t="str">
        <f aca="false">IF(OR(A847="",E847=""),"",E847+ROW()/1000000)</f>
        <v/>
      </c>
    </row>
    <row r="848" customFormat="false" ht="15" hidden="false" customHeight="false" outlineLevel="0" collapsed="false">
      <c r="A848" s="12"/>
      <c r="B848" s="13"/>
      <c r="C848" s="13"/>
      <c r="D848" s="14"/>
      <c r="E848" s="15"/>
      <c r="F848" s="15"/>
      <c r="G848" s="15"/>
      <c r="H848" s="15"/>
      <c r="I848" s="15"/>
      <c r="J848" s="15"/>
      <c r="K848" s="16" t="str">
        <f aca="false">IF(A848="","",F848+G848+H848+I848)</f>
        <v/>
      </c>
      <c r="L848" s="17" t="str">
        <f aca="false">IF(OR(K848="",E848=0,E848=""),"",K848/E848)</f>
        <v/>
      </c>
      <c r="M848" s="18" t="str">
        <f aca="false">IF(OR(A848="",E848=""),"",E848+ROW()/1000000)</f>
        <v/>
      </c>
    </row>
    <row r="849" customFormat="false" ht="15" hidden="false" customHeight="false" outlineLevel="0" collapsed="false">
      <c r="A849" s="12"/>
      <c r="B849" s="13"/>
      <c r="C849" s="13"/>
      <c r="D849" s="14"/>
      <c r="E849" s="15"/>
      <c r="F849" s="15"/>
      <c r="G849" s="15"/>
      <c r="H849" s="15"/>
      <c r="I849" s="15"/>
      <c r="J849" s="15"/>
      <c r="K849" s="16" t="str">
        <f aca="false">IF(A849="","",F849+G849+H849+I849)</f>
        <v/>
      </c>
      <c r="L849" s="17" t="str">
        <f aca="false">IF(OR(K849="",E849=0,E849=""),"",K849/E849)</f>
        <v/>
      </c>
      <c r="M849" s="18" t="str">
        <f aca="false">IF(OR(A849="",E849=""),"",E849+ROW()/1000000)</f>
        <v/>
      </c>
    </row>
    <row r="850" customFormat="false" ht="15" hidden="false" customHeight="false" outlineLevel="0" collapsed="false">
      <c r="A850" s="12"/>
      <c r="B850" s="13"/>
      <c r="C850" s="13"/>
      <c r="D850" s="14"/>
      <c r="E850" s="15"/>
      <c r="F850" s="15"/>
      <c r="G850" s="15"/>
      <c r="H850" s="15"/>
      <c r="I850" s="15"/>
      <c r="J850" s="15"/>
      <c r="K850" s="16" t="str">
        <f aca="false">IF(A850="","",F850+G850+H850+I850)</f>
        <v/>
      </c>
      <c r="L850" s="17" t="str">
        <f aca="false">IF(OR(K850="",E850=0,E850=""),"",K850/E850)</f>
        <v/>
      </c>
      <c r="M850" s="18" t="str">
        <f aca="false">IF(OR(A850="",E850=""),"",E850+ROW()/1000000)</f>
        <v/>
      </c>
    </row>
    <row r="851" customFormat="false" ht="15" hidden="false" customHeight="false" outlineLevel="0" collapsed="false">
      <c r="A851" s="12"/>
      <c r="B851" s="13"/>
      <c r="C851" s="13"/>
      <c r="D851" s="14"/>
      <c r="E851" s="15"/>
      <c r="F851" s="15"/>
      <c r="G851" s="15"/>
      <c r="H851" s="15"/>
      <c r="I851" s="15"/>
      <c r="J851" s="15"/>
      <c r="K851" s="16" t="str">
        <f aca="false">IF(A851="","",F851+G851+H851+I851)</f>
        <v/>
      </c>
      <c r="L851" s="17" t="str">
        <f aca="false">IF(OR(K851="",E851=0,E851=""),"",K851/E851)</f>
        <v/>
      </c>
      <c r="M851" s="18" t="str">
        <f aca="false">IF(OR(A851="",E851=""),"",E851+ROW()/1000000)</f>
        <v/>
      </c>
    </row>
    <row r="852" customFormat="false" ht="15" hidden="false" customHeight="false" outlineLevel="0" collapsed="false">
      <c r="A852" s="12"/>
      <c r="B852" s="13"/>
      <c r="C852" s="13"/>
      <c r="D852" s="14"/>
      <c r="E852" s="15"/>
      <c r="F852" s="15"/>
      <c r="G852" s="15"/>
      <c r="H852" s="15"/>
      <c r="I852" s="15"/>
      <c r="J852" s="15"/>
      <c r="K852" s="16" t="str">
        <f aca="false">IF(A852="","",F852+G852+H852+I852)</f>
        <v/>
      </c>
      <c r="L852" s="17" t="str">
        <f aca="false">IF(OR(K852="",E852=0,E852=""),"",K852/E852)</f>
        <v/>
      </c>
      <c r="M852" s="18" t="str">
        <f aca="false">IF(OR(A852="",E852=""),"",E852+ROW()/1000000)</f>
        <v/>
      </c>
    </row>
    <row r="853" customFormat="false" ht="15" hidden="false" customHeight="false" outlineLevel="0" collapsed="false">
      <c r="A853" s="12"/>
      <c r="B853" s="13"/>
      <c r="C853" s="13"/>
      <c r="D853" s="14"/>
      <c r="E853" s="15"/>
      <c r="F853" s="15"/>
      <c r="G853" s="15"/>
      <c r="H853" s="15"/>
      <c r="I853" s="15"/>
      <c r="J853" s="15"/>
      <c r="K853" s="16" t="str">
        <f aca="false">IF(A853="","",F853+G853+H853+I853)</f>
        <v/>
      </c>
      <c r="L853" s="17" t="str">
        <f aca="false">IF(OR(K853="",E853=0,E853=""),"",K853/E853)</f>
        <v/>
      </c>
      <c r="M853" s="18" t="str">
        <f aca="false">IF(OR(A853="",E853=""),"",E853+ROW()/1000000)</f>
        <v/>
      </c>
    </row>
    <row r="854" customFormat="false" ht="15" hidden="false" customHeight="false" outlineLevel="0" collapsed="false">
      <c r="A854" s="12"/>
      <c r="B854" s="13"/>
      <c r="C854" s="13"/>
      <c r="D854" s="14"/>
      <c r="E854" s="15"/>
      <c r="F854" s="15"/>
      <c r="G854" s="15"/>
      <c r="H854" s="15"/>
      <c r="I854" s="15"/>
      <c r="J854" s="15"/>
      <c r="K854" s="16" t="str">
        <f aca="false">IF(A854="","",F854+G854+H854+I854)</f>
        <v/>
      </c>
      <c r="L854" s="17" t="str">
        <f aca="false">IF(OR(K854="",E854=0,E854=""),"",K854/E854)</f>
        <v/>
      </c>
      <c r="M854" s="18" t="str">
        <f aca="false">IF(OR(A854="",E854=""),"",E854+ROW()/1000000)</f>
        <v/>
      </c>
    </row>
    <row r="855" customFormat="false" ht="15" hidden="false" customHeight="false" outlineLevel="0" collapsed="false">
      <c r="A855" s="12"/>
      <c r="B855" s="13"/>
      <c r="C855" s="13"/>
      <c r="D855" s="14"/>
      <c r="E855" s="15"/>
      <c r="F855" s="15"/>
      <c r="G855" s="15"/>
      <c r="H855" s="15"/>
      <c r="I855" s="15"/>
      <c r="J855" s="15"/>
      <c r="K855" s="16" t="str">
        <f aca="false">IF(A855="","",F855+G855+H855+I855)</f>
        <v/>
      </c>
      <c r="L855" s="17" t="str">
        <f aca="false">IF(OR(K855="",E855=0,E855=""),"",K855/E855)</f>
        <v/>
      </c>
      <c r="M855" s="18" t="str">
        <f aca="false">IF(OR(A855="",E855=""),"",E855+ROW()/1000000)</f>
        <v/>
      </c>
    </row>
    <row r="856" customFormat="false" ht="15" hidden="false" customHeight="false" outlineLevel="0" collapsed="false">
      <c r="A856" s="12"/>
      <c r="B856" s="13"/>
      <c r="C856" s="13"/>
      <c r="D856" s="14"/>
      <c r="E856" s="15"/>
      <c r="F856" s="15"/>
      <c r="G856" s="15"/>
      <c r="H856" s="15"/>
      <c r="I856" s="15"/>
      <c r="J856" s="15"/>
      <c r="K856" s="16" t="str">
        <f aca="false">IF(A856="","",F856+G856+H856+I856)</f>
        <v/>
      </c>
      <c r="L856" s="17" t="str">
        <f aca="false">IF(OR(K856="",E856=0,E856=""),"",K856/E856)</f>
        <v/>
      </c>
      <c r="M856" s="18" t="str">
        <f aca="false">IF(OR(A856="",E856=""),"",E856+ROW()/1000000)</f>
        <v/>
      </c>
    </row>
    <row r="857" customFormat="false" ht="15" hidden="false" customHeight="false" outlineLevel="0" collapsed="false">
      <c r="A857" s="12"/>
      <c r="B857" s="13"/>
      <c r="C857" s="13"/>
      <c r="D857" s="14"/>
      <c r="E857" s="15"/>
      <c r="F857" s="15"/>
      <c r="G857" s="15"/>
      <c r="H857" s="15"/>
      <c r="I857" s="15"/>
      <c r="J857" s="15"/>
      <c r="K857" s="16" t="str">
        <f aca="false">IF(A857="","",F857+G857+H857+I857)</f>
        <v/>
      </c>
      <c r="L857" s="17" t="str">
        <f aca="false">IF(OR(K857="",E857=0,E857=""),"",K857/E857)</f>
        <v/>
      </c>
      <c r="M857" s="18" t="str">
        <f aca="false">IF(OR(A857="",E857=""),"",E857+ROW()/1000000)</f>
        <v/>
      </c>
    </row>
    <row r="858" customFormat="false" ht="15" hidden="false" customHeight="false" outlineLevel="0" collapsed="false">
      <c r="A858" s="12"/>
      <c r="B858" s="13"/>
      <c r="C858" s="13"/>
      <c r="D858" s="14"/>
      <c r="E858" s="15"/>
      <c r="F858" s="15"/>
      <c r="G858" s="15"/>
      <c r="H858" s="15"/>
      <c r="I858" s="15"/>
      <c r="J858" s="15"/>
      <c r="K858" s="16" t="str">
        <f aca="false">IF(A858="","",F858+G858+H858+I858)</f>
        <v/>
      </c>
      <c r="L858" s="17" t="str">
        <f aca="false">IF(OR(K858="",E858=0,E858=""),"",K858/E858)</f>
        <v/>
      </c>
      <c r="M858" s="18" t="str">
        <f aca="false">IF(OR(A858="",E858=""),"",E858+ROW()/1000000)</f>
        <v/>
      </c>
    </row>
    <row r="859" customFormat="false" ht="15" hidden="false" customHeight="false" outlineLevel="0" collapsed="false">
      <c r="A859" s="12"/>
      <c r="B859" s="13"/>
      <c r="C859" s="13"/>
      <c r="D859" s="14"/>
      <c r="E859" s="15"/>
      <c r="F859" s="15"/>
      <c r="G859" s="15"/>
      <c r="H859" s="15"/>
      <c r="I859" s="15"/>
      <c r="J859" s="15"/>
      <c r="K859" s="16" t="str">
        <f aca="false">IF(A859="","",F859+G859+H859+I859)</f>
        <v/>
      </c>
      <c r="L859" s="17" t="str">
        <f aca="false">IF(OR(K859="",E859=0,E859=""),"",K859/E859)</f>
        <v/>
      </c>
      <c r="M859" s="18" t="str">
        <f aca="false">IF(OR(A859="",E859=""),"",E859+ROW()/1000000)</f>
        <v/>
      </c>
    </row>
    <row r="860" customFormat="false" ht="15" hidden="false" customHeight="false" outlineLevel="0" collapsed="false">
      <c r="A860" s="12"/>
      <c r="B860" s="13"/>
      <c r="C860" s="13"/>
      <c r="D860" s="14"/>
      <c r="E860" s="15"/>
      <c r="F860" s="15"/>
      <c r="G860" s="15"/>
      <c r="H860" s="15"/>
      <c r="I860" s="15"/>
      <c r="J860" s="15"/>
      <c r="K860" s="16" t="str">
        <f aca="false">IF(A860="","",F860+G860+H860+I860)</f>
        <v/>
      </c>
      <c r="L860" s="17" t="str">
        <f aca="false">IF(OR(K860="",E860=0,E860=""),"",K860/E860)</f>
        <v/>
      </c>
      <c r="M860" s="18" t="str">
        <f aca="false">IF(OR(A860="",E860=""),"",E860+ROW()/1000000)</f>
        <v/>
      </c>
    </row>
    <row r="861" customFormat="false" ht="15" hidden="false" customHeight="false" outlineLevel="0" collapsed="false">
      <c r="A861" s="12"/>
      <c r="B861" s="13"/>
      <c r="C861" s="13"/>
      <c r="D861" s="14"/>
      <c r="E861" s="15"/>
      <c r="F861" s="15"/>
      <c r="G861" s="15"/>
      <c r="H861" s="15"/>
      <c r="I861" s="15"/>
      <c r="J861" s="15"/>
      <c r="K861" s="16" t="str">
        <f aca="false">IF(A861="","",F861+G861+H861+I861)</f>
        <v/>
      </c>
      <c r="L861" s="17" t="str">
        <f aca="false">IF(OR(K861="",E861=0,E861=""),"",K861/E861)</f>
        <v/>
      </c>
      <c r="M861" s="18" t="str">
        <f aca="false">IF(OR(A861="",E861=""),"",E861+ROW()/1000000)</f>
        <v/>
      </c>
    </row>
    <row r="862" customFormat="false" ht="15" hidden="false" customHeight="false" outlineLevel="0" collapsed="false">
      <c r="A862" s="12"/>
      <c r="B862" s="13"/>
      <c r="C862" s="13"/>
      <c r="D862" s="14"/>
      <c r="E862" s="15"/>
      <c r="F862" s="15"/>
      <c r="G862" s="15"/>
      <c r="H862" s="15"/>
      <c r="I862" s="15"/>
      <c r="J862" s="15"/>
      <c r="K862" s="16" t="str">
        <f aca="false">IF(A862="","",F862+G862+H862+I862)</f>
        <v/>
      </c>
      <c r="L862" s="17" t="str">
        <f aca="false">IF(OR(K862="",E862=0,E862=""),"",K862/E862)</f>
        <v/>
      </c>
      <c r="M862" s="18" t="str">
        <f aca="false">IF(OR(A862="",E862=""),"",E862+ROW()/1000000)</f>
        <v/>
      </c>
    </row>
    <row r="863" customFormat="false" ht="15" hidden="false" customHeight="false" outlineLevel="0" collapsed="false">
      <c r="A863" s="12"/>
      <c r="B863" s="13"/>
      <c r="C863" s="13"/>
      <c r="D863" s="14"/>
      <c r="E863" s="15"/>
      <c r="F863" s="15"/>
      <c r="G863" s="15"/>
      <c r="H863" s="15"/>
      <c r="I863" s="15"/>
      <c r="J863" s="15"/>
      <c r="K863" s="16" t="str">
        <f aca="false">IF(A863="","",F863+G863+H863+I863)</f>
        <v/>
      </c>
      <c r="L863" s="17" t="str">
        <f aca="false">IF(OR(K863="",E863=0,E863=""),"",K863/E863)</f>
        <v/>
      </c>
      <c r="M863" s="18" t="str">
        <f aca="false">IF(OR(A863="",E863=""),"",E863+ROW()/1000000)</f>
        <v/>
      </c>
    </row>
    <row r="864" customFormat="false" ht="15" hidden="false" customHeight="false" outlineLevel="0" collapsed="false">
      <c r="A864" s="12"/>
      <c r="B864" s="13"/>
      <c r="C864" s="13"/>
      <c r="D864" s="14"/>
      <c r="E864" s="15"/>
      <c r="F864" s="15"/>
      <c r="G864" s="15"/>
      <c r="H864" s="15"/>
      <c r="I864" s="15"/>
      <c r="J864" s="15"/>
      <c r="K864" s="16" t="str">
        <f aca="false">IF(A864="","",F864+G864+H864+I864)</f>
        <v/>
      </c>
      <c r="L864" s="17" t="str">
        <f aca="false">IF(OR(K864="",E864=0,E864=""),"",K864/E864)</f>
        <v/>
      </c>
      <c r="M864" s="18" t="str">
        <f aca="false">IF(OR(A864="",E864=""),"",E864+ROW()/1000000)</f>
        <v/>
      </c>
    </row>
    <row r="865" customFormat="false" ht="15" hidden="false" customHeight="false" outlineLevel="0" collapsed="false">
      <c r="A865" s="12"/>
      <c r="B865" s="13"/>
      <c r="C865" s="13"/>
      <c r="D865" s="14"/>
      <c r="E865" s="15"/>
      <c r="F865" s="15"/>
      <c r="G865" s="15"/>
      <c r="H865" s="15"/>
      <c r="I865" s="15"/>
      <c r="J865" s="15"/>
      <c r="K865" s="16" t="str">
        <f aca="false">IF(A865="","",F865+G865+H865+I865)</f>
        <v/>
      </c>
      <c r="L865" s="17" t="str">
        <f aca="false">IF(OR(K865="",E865=0,E865=""),"",K865/E865)</f>
        <v/>
      </c>
      <c r="M865" s="18" t="str">
        <f aca="false">IF(OR(A865="",E865=""),"",E865+ROW()/1000000)</f>
        <v/>
      </c>
    </row>
    <row r="866" customFormat="false" ht="15" hidden="false" customHeight="false" outlineLevel="0" collapsed="false">
      <c r="A866" s="12"/>
      <c r="B866" s="13"/>
      <c r="C866" s="13"/>
      <c r="D866" s="14"/>
      <c r="E866" s="15"/>
      <c r="F866" s="15"/>
      <c r="G866" s="15"/>
      <c r="H866" s="15"/>
      <c r="I866" s="15"/>
      <c r="J866" s="15"/>
      <c r="K866" s="16" t="str">
        <f aca="false">IF(A866="","",F866+G866+H866+I866)</f>
        <v/>
      </c>
      <c r="L866" s="17" t="str">
        <f aca="false">IF(OR(K866="",E866=0,E866=""),"",K866/E866)</f>
        <v/>
      </c>
      <c r="M866" s="18" t="str">
        <f aca="false">IF(OR(A866="",E866=""),"",E866+ROW()/1000000)</f>
        <v/>
      </c>
    </row>
    <row r="867" customFormat="false" ht="15" hidden="false" customHeight="false" outlineLevel="0" collapsed="false">
      <c r="A867" s="12"/>
      <c r="B867" s="13"/>
      <c r="C867" s="13"/>
      <c r="D867" s="14"/>
      <c r="E867" s="15"/>
      <c r="F867" s="15"/>
      <c r="G867" s="15"/>
      <c r="H867" s="15"/>
      <c r="I867" s="15"/>
      <c r="J867" s="15"/>
      <c r="K867" s="16" t="str">
        <f aca="false">IF(A867="","",F867+G867+H867+I867)</f>
        <v/>
      </c>
      <c r="L867" s="17" t="str">
        <f aca="false">IF(OR(K867="",E867=0,E867=""),"",K867/E867)</f>
        <v/>
      </c>
      <c r="M867" s="18" t="str">
        <f aca="false">IF(OR(A867="",E867=""),"",E867+ROW()/1000000)</f>
        <v/>
      </c>
    </row>
    <row r="868" customFormat="false" ht="15" hidden="false" customHeight="false" outlineLevel="0" collapsed="false">
      <c r="A868" s="12"/>
      <c r="B868" s="13"/>
      <c r="C868" s="13"/>
      <c r="D868" s="14"/>
      <c r="E868" s="15"/>
      <c r="F868" s="15"/>
      <c r="G868" s="15"/>
      <c r="H868" s="15"/>
      <c r="I868" s="15"/>
      <c r="J868" s="15"/>
      <c r="K868" s="16" t="str">
        <f aca="false">IF(A868="","",F868+G868+H868+I868)</f>
        <v/>
      </c>
      <c r="L868" s="17" t="str">
        <f aca="false">IF(OR(K868="",E868=0,E868=""),"",K868/E868)</f>
        <v/>
      </c>
      <c r="M868" s="18" t="str">
        <f aca="false">IF(OR(A868="",E868=""),"",E868+ROW()/1000000)</f>
        <v/>
      </c>
    </row>
    <row r="869" customFormat="false" ht="15" hidden="false" customHeight="false" outlineLevel="0" collapsed="false">
      <c r="A869" s="12"/>
      <c r="B869" s="13"/>
      <c r="C869" s="13"/>
      <c r="D869" s="14"/>
      <c r="E869" s="15"/>
      <c r="F869" s="15"/>
      <c r="G869" s="15"/>
      <c r="H869" s="15"/>
      <c r="I869" s="15"/>
      <c r="J869" s="15"/>
      <c r="K869" s="16" t="str">
        <f aca="false">IF(A869="","",F869+G869+H869+I869)</f>
        <v/>
      </c>
      <c r="L869" s="17" t="str">
        <f aca="false">IF(OR(K869="",E869=0,E869=""),"",K869/E869)</f>
        <v/>
      </c>
      <c r="M869" s="18" t="str">
        <f aca="false">IF(OR(A869="",E869=""),"",E869+ROW()/1000000)</f>
        <v/>
      </c>
    </row>
    <row r="870" customFormat="false" ht="15" hidden="false" customHeight="false" outlineLevel="0" collapsed="false">
      <c r="A870" s="12"/>
      <c r="B870" s="13"/>
      <c r="C870" s="13"/>
      <c r="D870" s="14"/>
      <c r="E870" s="15"/>
      <c r="F870" s="15"/>
      <c r="G870" s="15"/>
      <c r="H870" s="15"/>
      <c r="I870" s="15"/>
      <c r="J870" s="15"/>
      <c r="K870" s="16" t="str">
        <f aca="false">IF(A870="","",F870+G870+H870+I870)</f>
        <v/>
      </c>
      <c r="L870" s="17" t="str">
        <f aca="false">IF(OR(K870="",E870=0,E870=""),"",K870/E870)</f>
        <v/>
      </c>
      <c r="M870" s="18" t="str">
        <f aca="false">IF(OR(A870="",E870=""),"",E870+ROW()/1000000)</f>
        <v/>
      </c>
    </row>
    <row r="871" customFormat="false" ht="15" hidden="false" customHeight="false" outlineLevel="0" collapsed="false">
      <c r="A871" s="12"/>
      <c r="B871" s="13"/>
      <c r="C871" s="13"/>
      <c r="D871" s="14"/>
      <c r="E871" s="15"/>
      <c r="F871" s="15"/>
      <c r="G871" s="15"/>
      <c r="H871" s="15"/>
      <c r="I871" s="15"/>
      <c r="J871" s="15"/>
      <c r="K871" s="16" t="str">
        <f aca="false">IF(A871="","",F871+G871+H871+I871)</f>
        <v/>
      </c>
      <c r="L871" s="17" t="str">
        <f aca="false">IF(OR(K871="",E871=0,E871=""),"",K871/E871)</f>
        <v/>
      </c>
      <c r="M871" s="18" t="str">
        <f aca="false">IF(OR(A871="",E871=""),"",E871+ROW()/1000000)</f>
        <v/>
      </c>
    </row>
    <row r="872" customFormat="false" ht="15" hidden="false" customHeight="false" outlineLevel="0" collapsed="false">
      <c r="A872" s="12"/>
      <c r="B872" s="13"/>
      <c r="C872" s="13"/>
      <c r="D872" s="14"/>
      <c r="E872" s="15"/>
      <c r="F872" s="15"/>
      <c r="G872" s="15"/>
      <c r="H872" s="15"/>
      <c r="I872" s="15"/>
      <c r="J872" s="15"/>
      <c r="K872" s="16" t="str">
        <f aca="false">IF(A872="","",F872+G872+H872+I872)</f>
        <v/>
      </c>
      <c r="L872" s="17" t="str">
        <f aca="false">IF(OR(K872="",E872=0,E872=""),"",K872/E872)</f>
        <v/>
      </c>
      <c r="M872" s="18" t="str">
        <f aca="false">IF(OR(A872="",E872=""),"",E872+ROW()/1000000)</f>
        <v/>
      </c>
    </row>
    <row r="873" customFormat="false" ht="15" hidden="false" customHeight="false" outlineLevel="0" collapsed="false">
      <c r="A873" s="12"/>
      <c r="B873" s="13"/>
      <c r="C873" s="13"/>
      <c r="D873" s="14"/>
      <c r="E873" s="15"/>
      <c r="F873" s="15"/>
      <c r="G873" s="15"/>
      <c r="H873" s="15"/>
      <c r="I873" s="15"/>
      <c r="J873" s="15"/>
      <c r="K873" s="16" t="str">
        <f aca="false">IF(A873="","",F873+G873+H873+I873)</f>
        <v/>
      </c>
      <c r="L873" s="17" t="str">
        <f aca="false">IF(OR(K873="",E873=0,E873=""),"",K873/E873)</f>
        <v/>
      </c>
      <c r="M873" s="18" t="str">
        <f aca="false">IF(OR(A873="",E873=""),"",E873+ROW()/1000000)</f>
        <v/>
      </c>
    </row>
    <row r="874" customFormat="false" ht="15" hidden="false" customHeight="false" outlineLevel="0" collapsed="false">
      <c r="A874" s="12"/>
      <c r="B874" s="13"/>
      <c r="C874" s="13"/>
      <c r="D874" s="14"/>
      <c r="E874" s="15"/>
      <c r="F874" s="15"/>
      <c r="G874" s="15"/>
      <c r="H874" s="15"/>
      <c r="I874" s="15"/>
      <c r="J874" s="15"/>
      <c r="K874" s="16" t="str">
        <f aca="false">IF(A874="","",F874+G874+H874+I874)</f>
        <v/>
      </c>
      <c r="L874" s="17" t="str">
        <f aca="false">IF(OR(K874="",E874=0,E874=""),"",K874/E874)</f>
        <v/>
      </c>
      <c r="M874" s="18" t="str">
        <f aca="false">IF(OR(A874="",E874=""),"",E874+ROW()/1000000)</f>
        <v/>
      </c>
    </row>
    <row r="875" customFormat="false" ht="15" hidden="false" customHeight="false" outlineLevel="0" collapsed="false">
      <c r="A875" s="12"/>
      <c r="B875" s="13"/>
      <c r="C875" s="13"/>
      <c r="D875" s="14"/>
      <c r="E875" s="15"/>
      <c r="F875" s="15"/>
      <c r="G875" s="15"/>
      <c r="H875" s="15"/>
      <c r="I875" s="15"/>
      <c r="J875" s="15"/>
      <c r="K875" s="16" t="str">
        <f aca="false">IF(A875="","",F875+G875+H875+I875)</f>
        <v/>
      </c>
      <c r="L875" s="17" t="str">
        <f aca="false">IF(OR(K875="",E875=0,E875=""),"",K875/E875)</f>
        <v/>
      </c>
      <c r="M875" s="18" t="str">
        <f aca="false">IF(OR(A875="",E875=""),"",E875+ROW()/1000000)</f>
        <v/>
      </c>
    </row>
    <row r="876" customFormat="false" ht="15" hidden="false" customHeight="false" outlineLevel="0" collapsed="false">
      <c r="A876" s="12"/>
      <c r="B876" s="13"/>
      <c r="C876" s="13"/>
      <c r="D876" s="14"/>
      <c r="E876" s="15"/>
      <c r="F876" s="15"/>
      <c r="G876" s="15"/>
      <c r="H876" s="15"/>
      <c r="I876" s="15"/>
      <c r="J876" s="15"/>
      <c r="K876" s="16" t="str">
        <f aca="false">IF(A876="","",F876+G876+H876+I876)</f>
        <v/>
      </c>
      <c r="L876" s="17" t="str">
        <f aca="false">IF(OR(K876="",E876=0,E876=""),"",K876/E876)</f>
        <v/>
      </c>
      <c r="M876" s="18" t="str">
        <f aca="false">IF(OR(A876="",E876=""),"",E876+ROW()/1000000)</f>
        <v/>
      </c>
    </row>
    <row r="877" customFormat="false" ht="15" hidden="false" customHeight="false" outlineLevel="0" collapsed="false">
      <c r="A877" s="12"/>
      <c r="B877" s="13"/>
      <c r="C877" s="13"/>
      <c r="D877" s="14"/>
      <c r="E877" s="15"/>
      <c r="F877" s="15"/>
      <c r="G877" s="15"/>
      <c r="H877" s="15"/>
      <c r="I877" s="15"/>
      <c r="J877" s="15"/>
      <c r="K877" s="16" t="str">
        <f aca="false">IF(A877="","",F877+G877+H877+I877)</f>
        <v/>
      </c>
      <c r="L877" s="17" t="str">
        <f aca="false">IF(OR(K877="",E877=0,E877=""),"",K877/E877)</f>
        <v/>
      </c>
      <c r="M877" s="18" t="str">
        <f aca="false">IF(OR(A877="",E877=""),"",E877+ROW()/1000000)</f>
        <v/>
      </c>
    </row>
    <row r="878" customFormat="false" ht="15" hidden="false" customHeight="false" outlineLevel="0" collapsed="false">
      <c r="A878" s="12"/>
      <c r="B878" s="13"/>
      <c r="C878" s="13"/>
      <c r="D878" s="14"/>
      <c r="E878" s="15"/>
      <c r="F878" s="15"/>
      <c r="G878" s="15"/>
      <c r="H878" s="15"/>
      <c r="I878" s="15"/>
      <c r="J878" s="15"/>
      <c r="K878" s="16" t="str">
        <f aca="false">IF(A878="","",F878+G878+H878+I878)</f>
        <v/>
      </c>
      <c r="L878" s="17" t="str">
        <f aca="false">IF(OR(K878="",E878=0,E878=""),"",K878/E878)</f>
        <v/>
      </c>
      <c r="M878" s="18" t="str">
        <f aca="false">IF(OR(A878="",E878=""),"",E878+ROW()/1000000)</f>
        <v/>
      </c>
    </row>
    <row r="879" customFormat="false" ht="15" hidden="false" customHeight="false" outlineLevel="0" collapsed="false">
      <c r="A879" s="12"/>
      <c r="B879" s="13"/>
      <c r="C879" s="13"/>
      <c r="D879" s="14"/>
      <c r="E879" s="15"/>
      <c r="F879" s="15"/>
      <c r="G879" s="15"/>
      <c r="H879" s="15"/>
      <c r="I879" s="15"/>
      <c r="J879" s="15"/>
      <c r="K879" s="16" t="str">
        <f aca="false">IF(A879="","",F879+G879+H879+I879)</f>
        <v/>
      </c>
      <c r="L879" s="17" t="str">
        <f aca="false">IF(OR(K879="",E879=0,E879=""),"",K879/E879)</f>
        <v/>
      </c>
      <c r="M879" s="18" t="str">
        <f aca="false">IF(OR(A879="",E879=""),"",E879+ROW()/1000000)</f>
        <v/>
      </c>
    </row>
    <row r="880" customFormat="false" ht="15" hidden="false" customHeight="false" outlineLevel="0" collapsed="false">
      <c r="A880" s="12"/>
      <c r="B880" s="13"/>
      <c r="C880" s="13"/>
      <c r="D880" s="14"/>
      <c r="E880" s="15"/>
      <c r="F880" s="15"/>
      <c r="G880" s="15"/>
      <c r="H880" s="15"/>
      <c r="I880" s="15"/>
      <c r="J880" s="15"/>
      <c r="K880" s="16" t="str">
        <f aca="false">IF(A880="","",F880+G880+H880+I880)</f>
        <v/>
      </c>
      <c r="L880" s="17" t="str">
        <f aca="false">IF(OR(K880="",E880=0,E880=""),"",K880/E880)</f>
        <v/>
      </c>
      <c r="M880" s="18" t="str">
        <f aca="false">IF(OR(A880="",E880=""),"",E880+ROW()/1000000)</f>
        <v/>
      </c>
    </row>
    <row r="881" customFormat="false" ht="15" hidden="false" customHeight="false" outlineLevel="0" collapsed="false">
      <c r="A881" s="12"/>
      <c r="B881" s="13"/>
      <c r="C881" s="13"/>
      <c r="D881" s="14"/>
      <c r="E881" s="15"/>
      <c r="F881" s="15"/>
      <c r="G881" s="15"/>
      <c r="H881" s="15"/>
      <c r="I881" s="15"/>
      <c r="J881" s="15"/>
      <c r="K881" s="16" t="str">
        <f aca="false">IF(A881="","",F881+G881+H881+I881)</f>
        <v/>
      </c>
      <c r="L881" s="17" t="str">
        <f aca="false">IF(OR(K881="",E881=0,E881=""),"",K881/E881)</f>
        <v/>
      </c>
      <c r="M881" s="18" t="str">
        <f aca="false">IF(OR(A881="",E881=""),"",E881+ROW()/1000000)</f>
        <v/>
      </c>
    </row>
    <row r="882" customFormat="false" ht="15" hidden="false" customHeight="false" outlineLevel="0" collapsed="false">
      <c r="A882" s="12"/>
      <c r="B882" s="13"/>
      <c r="C882" s="13"/>
      <c r="D882" s="14"/>
      <c r="E882" s="15"/>
      <c r="F882" s="15"/>
      <c r="G882" s="15"/>
      <c r="H882" s="15"/>
      <c r="I882" s="15"/>
      <c r="J882" s="15"/>
      <c r="K882" s="16" t="str">
        <f aca="false">IF(A882="","",F882+G882+H882+I882)</f>
        <v/>
      </c>
      <c r="L882" s="17" t="str">
        <f aca="false">IF(OR(K882="",E882=0,E882=""),"",K882/E882)</f>
        <v/>
      </c>
      <c r="M882" s="18" t="str">
        <f aca="false">IF(OR(A882="",E882=""),"",E882+ROW()/1000000)</f>
        <v/>
      </c>
    </row>
    <row r="883" customFormat="false" ht="15" hidden="false" customHeight="false" outlineLevel="0" collapsed="false">
      <c r="A883" s="12"/>
      <c r="B883" s="13"/>
      <c r="C883" s="13"/>
      <c r="D883" s="14"/>
      <c r="E883" s="15"/>
      <c r="F883" s="15"/>
      <c r="G883" s="15"/>
      <c r="H883" s="15"/>
      <c r="I883" s="15"/>
      <c r="J883" s="15"/>
      <c r="K883" s="16" t="str">
        <f aca="false">IF(A883="","",F883+G883+H883+I883)</f>
        <v/>
      </c>
      <c r="L883" s="17" t="str">
        <f aca="false">IF(OR(K883="",E883=0,E883=""),"",K883/E883)</f>
        <v/>
      </c>
      <c r="M883" s="18" t="str">
        <f aca="false">IF(OR(A883="",E883=""),"",E883+ROW()/1000000)</f>
        <v/>
      </c>
    </row>
    <row r="884" customFormat="false" ht="15" hidden="false" customHeight="false" outlineLevel="0" collapsed="false">
      <c r="A884" s="12"/>
      <c r="B884" s="13"/>
      <c r="C884" s="13"/>
      <c r="D884" s="14"/>
      <c r="E884" s="15"/>
      <c r="F884" s="15"/>
      <c r="G884" s="15"/>
      <c r="H884" s="15"/>
      <c r="I884" s="15"/>
      <c r="J884" s="15"/>
      <c r="K884" s="16" t="str">
        <f aca="false">IF(A884="","",F884+G884+H884+I884)</f>
        <v/>
      </c>
      <c r="L884" s="17" t="str">
        <f aca="false">IF(OR(K884="",E884=0,E884=""),"",K884/E884)</f>
        <v/>
      </c>
      <c r="M884" s="18" t="str">
        <f aca="false">IF(OR(A884="",E884=""),"",E884+ROW()/1000000)</f>
        <v/>
      </c>
    </row>
    <row r="885" customFormat="false" ht="15" hidden="false" customHeight="false" outlineLevel="0" collapsed="false">
      <c r="A885" s="12"/>
      <c r="B885" s="13"/>
      <c r="C885" s="13"/>
      <c r="D885" s="14"/>
      <c r="E885" s="15"/>
      <c r="F885" s="15"/>
      <c r="G885" s="15"/>
      <c r="H885" s="15"/>
      <c r="I885" s="15"/>
      <c r="J885" s="15"/>
      <c r="K885" s="16" t="str">
        <f aca="false">IF(A885="","",F885+G885+H885+I885)</f>
        <v/>
      </c>
      <c r="L885" s="17" t="str">
        <f aca="false">IF(OR(K885="",E885=0,E885=""),"",K885/E885)</f>
        <v/>
      </c>
      <c r="M885" s="18" t="str">
        <f aca="false">IF(OR(A885="",E885=""),"",E885+ROW()/1000000)</f>
        <v/>
      </c>
    </row>
    <row r="886" customFormat="false" ht="15" hidden="false" customHeight="false" outlineLevel="0" collapsed="false">
      <c r="A886" s="12"/>
      <c r="B886" s="13"/>
      <c r="C886" s="13"/>
      <c r="D886" s="14"/>
      <c r="E886" s="15"/>
      <c r="F886" s="15"/>
      <c r="G886" s="15"/>
      <c r="H886" s="15"/>
      <c r="I886" s="15"/>
      <c r="J886" s="15"/>
      <c r="K886" s="16" t="str">
        <f aca="false">IF(A886="","",F886+G886+H886+I886)</f>
        <v/>
      </c>
      <c r="L886" s="17" t="str">
        <f aca="false">IF(OR(K886="",E886=0,E886=""),"",K886/E886)</f>
        <v/>
      </c>
      <c r="M886" s="18" t="str">
        <f aca="false">IF(OR(A886="",E886=""),"",E886+ROW()/1000000)</f>
        <v/>
      </c>
    </row>
    <row r="887" customFormat="false" ht="15" hidden="false" customHeight="false" outlineLevel="0" collapsed="false">
      <c r="A887" s="12"/>
      <c r="B887" s="13"/>
      <c r="C887" s="13"/>
      <c r="D887" s="14"/>
      <c r="E887" s="15"/>
      <c r="F887" s="15"/>
      <c r="G887" s="15"/>
      <c r="H887" s="15"/>
      <c r="I887" s="15"/>
      <c r="J887" s="15"/>
      <c r="K887" s="16" t="str">
        <f aca="false">IF(A887="","",F887+G887+H887+I887)</f>
        <v/>
      </c>
      <c r="L887" s="17" t="str">
        <f aca="false">IF(OR(K887="",E887=0,E887=""),"",K887/E887)</f>
        <v/>
      </c>
      <c r="M887" s="18" t="str">
        <f aca="false">IF(OR(A887="",E887=""),"",E887+ROW()/1000000)</f>
        <v/>
      </c>
    </row>
    <row r="888" customFormat="false" ht="15" hidden="false" customHeight="false" outlineLevel="0" collapsed="false">
      <c r="A888" s="12"/>
      <c r="B888" s="13"/>
      <c r="C888" s="13"/>
      <c r="D888" s="14"/>
      <c r="E888" s="15"/>
      <c r="F888" s="15"/>
      <c r="G888" s="15"/>
      <c r="H888" s="15"/>
      <c r="I888" s="15"/>
      <c r="J888" s="15"/>
      <c r="K888" s="16" t="str">
        <f aca="false">IF(A888="","",F888+G888+H888+I888)</f>
        <v/>
      </c>
      <c r="L888" s="17" t="str">
        <f aca="false">IF(OR(K888="",E888=0,E888=""),"",K888/E888)</f>
        <v/>
      </c>
      <c r="M888" s="18" t="str">
        <f aca="false">IF(OR(A888="",E888=""),"",E888+ROW()/1000000)</f>
        <v/>
      </c>
    </row>
    <row r="889" customFormat="false" ht="15" hidden="false" customHeight="false" outlineLevel="0" collapsed="false">
      <c r="A889" s="12"/>
      <c r="B889" s="13"/>
      <c r="C889" s="13"/>
      <c r="D889" s="14"/>
      <c r="E889" s="15"/>
      <c r="F889" s="15"/>
      <c r="G889" s="15"/>
      <c r="H889" s="15"/>
      <c r="I889" s="15"/>
      <c r="J889" s="15"/>
      <c r="K889" s="16" t="str">
        <f aca="false">IF(A889="","",F889+G889+H889+I889)</f>
        <v/>
      </c>
      <c r="L889" s="17" t="str">
        <f aca="false">IF(OR(K889="",E889=0,E889=""),"",K889/E889)</f>
        <v/>
      </c>
      <c r="M889" s="18" t="str">
        <f aca="false">IF(OR(A889="",E889=""),"",E889+ROW()/1000000)</f>
        <v/>
      </c>
    </row>
    <row r="890" customFormat="false" ht="15" hidden="false" customHeight="false" outlineLevel="0" collapsed="false">
      <c r="A890" s="12"/>
      <c r="B890" s="13"/>
      <c r="C890" s="13"/>
      <c r="D890" s="14"/>
      <c r="E890" s="15"/>
      <c r="F890" s="15"/>
      <c r="G890" s="15"/>
      <c r="H890" s="15"/>
      <c r="I890" s="15"/>
      <c r="J890" s="15"/>
      <c r="K890" s="16" t="str">
        <f aca="false">IF(A890="","",F890+G890+H890+I890)</f>
        <v/>
      </c>
      <c r="L890" s="17" t="str">
        <f aca="false">IF(OR(K890="",E890=0,E890=""),"",K890/E890)</f>
        <v/>
      </c>
      <c r="M890" s="18" t="str">
        <f aca="false">IF(OR(A890="",E890=""),"",E890+ROW()/1000000)</f>
        <v/>
      </c>
    </row>
    <row r="891" customFormat="false" ht="15" hidden="false" customHeight="false" outlineLevel="0" collapsed="false">
      <c r="A891" s="12"/>
      <c r="B891" s="13"/>
      <c r="C891" s="13"/>
      <c r="D891" s="14"/>
      <c r="E891" s="15"/>
      <c r="F891" s="15"/>
      <c r="G891" s="15"/>
      <c r="H891" s="15"/>
      <c r="I891" s="15"/>
      <c r="J891" s="15"/>
      <c r="K891" s="16" t="str">
        <f aca="false">IF(A891="","",F891+G891+H891+I891)</f>
        <v/>
      </c>
      <c r="L891" s="17" t="str">
        <f aca="false">IF(OR(K891="",E891=0,E891=""),"",K891/E891)</f>
        <v/>
      </c>
      <c r="M891" s="18" t="str">
        <f aca="false">IF(OR(A891="",E891=""),"",E891+ROW()/1000000)</f>
        <v/>
      </c>
    </row>
    <row r="892" customFormat="false" ht="15" hidden="false" customHeight="false" outlineLevel="0" collapsed="false">
      <c r="A892" s="12"/>
      <c r="B892" s="13"/>
      <c r="C892" s="13"/>
      <c r="D892" s="14"/>
      <c r="E892" s="15"/>
      <c r="F892" s="15"/>
      <c r="G892" s="15"/>
      <c r="H892" s="15"/>
      <c r="I892" s="15"/>
      <c r="J892" s="15"/>
      <c r="K892" s="16" t="str">
        <f aca="false">IF(A892="","",F892+G892+H892+I892)</f>
        <v/>
      </c>
      <c r="L892" s="17" t="str">
        <f aca="false">IF(OR(K892="",E892=0,E892=""),"",K892/E892)</f>
        <v/>
      </c>
      <c r="M892" s="18" t="str">
        <f aca="false">IF(OR(A892="",E892=""),"",E892+ROW()/1000000)</f>
        <v/>
      </c>
    </row>
    <row r="893" customFormat="false" ht="15" hidden="false" customHeight="false" outlineLevel="0" collapsed="false">
      <c r="A893" s="12"/>
      <c r="B893" s="13"/>
      <c r="C893" s="13"/>
      <c r="D893" s="14"/>
      <c r="E893" s="15"/>
      <c r="F893" s="15"/>
      <c r="G893" s="15"/>
      <c r="H893" s="15"/>
      <c r="I893" s="15"/>
      <c r="J893" s="15"/>
      <c r="K893" s="16" t="str">
        <f aca="false">IF(A893="","",F893+G893+H893+I893)</f>
        <v/>
      </c>
      <c r="L893" s="17" t="str">
        <f aca="false">IF(OR(K893="",E893=0,E893=""),"",K893/E893)</f>
        <v/>
      </c>
      <c r="M893" s="18" t="str">
        <f aca="false">IF(OR(A893="",E893=""),"",E893+ROW()/1000000)</f>
        <v/>
      </c>
    </row>
    <row r="894" customFormat="false" ht="15" hidden="false" customHeight="false" outlineLevel="0" collapsed="false">
      <c r="A894" s="12"/>
      <c r="B894" s="13"/>
      <c r="C894" s="13"/>
      <c r="D894" s="14"/>
      <c r="E894" s="15"/>
      <c r="F894" s="15"/>
      <c r="G894" s="15"/>
      <c r="H894" s="15"/>
      <c r="I894" s="15"/>
      <c r="J894" s="15"/>
      <c r="K894" s="16" t="str">
        <f aca="false">IF(A894="","",F894+G894+H894+I894)</f>
        <v/>
      </c>
      <c r="L894" s="17" t="str">
        <f aca="false">IF(OR(K894="",E894=0,E894=""),"",K894/E894)</f>
        <v/>
      </c>
      <c r="M894" s="18" t="str">
        <f aca="false">IF(OR(A894="",E894=""),"",E894+ROW()/1000000)</f>
        <v/>
      </c>
    </row>
    <row r="895" customFormat="false" ht="15" hidden="false" customHeight="false" outlineLevel="0" collapsed="false">
      <c r="A895" s="12"/>
      <c r="B895" s="13"/>
      <c r="C895" s="13"/>
      <c r="D895" s="14"/>
      <c r="E895" s="15"/>
      <c r="F895" s="15"/>
      <c r="G895" s="15"/>
      <c r="H895" s="15"/>
      <c r="I895" s="15"/>
      <c r="J895" s="15"/>
      <c r="K895" s="16" t="str">
        <f aca="false">IF(A895="","",F895+G895+H895+I895)</f>
        <v/>
      </c>
      <c r="L895" s="17" t="str">
        <f aca="false">IF(OR(K895="",E895=0,E895=""),"",K895/E895)</f>
        <v/>
      </c>
      <c r="M895" s="18" t="str">
        <f aca="false">IF(OR(A895="",E895=""),"",E895+ROW()/1000000)</f>
        <v/>
      </c>
    </row>
    <row r="896" customFormat="false" ht="15" hidden="false" customHeight="false" outlineLevel="0" collapsed="false">
      <c r="A896" s="12"/>
      <c r="B896" s="13"/>
      <c r="C896" s="13"/>
      <c r="D896" s="14"/>
      <c r="E896" s="15"/>
      <c r="F896" s="15"/>
      <c r="G896" s="15"/>
      <c r="H896" s="15"/>
      <c r="I896" s="15"/>
      <c r="J896" s="15"/>
      <c r="K896" s="16" t="str">
        <f aca="false">IF(A896="","",F896+G896+H896+I896)</f>
        <v/>
      </c>
      <c r="L896" s="17" t="str">
        <f aca="false">IF(OR(K896="",E896=0,E896=""),"",K896/E896)</f>
        <v/>
      </c>
      <c r="M896" s="18" t="str">
        <f aca="false">IF(OR(A896="",E896=""),"",E896+ROW()/1000000)</f>
        <v/>
      </c>
    </row>
    <row r="897" customFormat="false" ht="15" hidden="false" customHeight="false" outlineLevel="0" collapsed="false">
      <c r="A897" s="12"/>
      <c r="B897" s="13"/>
      <c r="C897" s="13"/>
      <c r="D897" s="14"/>
      <c r="E897" s="15"/>
      <c r="F897" s="15"/>
      <c r="G897" s="15"/>
      <c r="H897" s="15"/>
      <c r="I897" s="15"/>
      <c r="J897" s="15"/>
      <c r="K897" s="16" t="str">
        <f aca="false">IF(A897="","",F897+G897+H897+I897)</f>
        <v/>
      </c>
      <c r="L897" s="17" t="str">
        <f aca="false">IF(OR(K897="",E897=0,E897=""),"",K897/E897)</f>
        <v/>
      </c>
      <c r="M897" s="18" t="str">
        <f aca="false">IF(OR(A897="",E897=""),"",E897+ROW()/1000000)</f>
        <v/>
      </c>
    </row>
    <row r="898" customFormat="false" ht="15" hidden="false" customHeight="false" outlineLevel="0" collapsed="false">
      <c r="A898" s="12"/>
      <c r="B898" s="13"/>
      <c r="C898" s="13"/>
      <c r="D898" s="14"/>
      <c r="E898" s="15"/>
      <c r="F898" s="15"/>
      <c r="G898" s="15"/>
      <c r="H898" s="15"/>
      <c r="I898" s="15"/>
      <c r="J898" s="15"/>
      <c r="K898" s="16" t="str">
        <f aca="false">IF(A898="","",F898+G898+H898+I898)</f>
        <v/>
      </c>
      <c r="L898" s="17" t="str">
        <f aca="false">IF(OR(K898="",E898=0,E898=""),"",K898/E898)</f>
        <v/>
      </c>
      <c r="M898" s="18" t="str">
        <f aca="false">IF(OR(A898="",E898=""),"",E898+ROW()/1000000)</f>
        <v/>
      </c>
    </row>
    <row r="899" customFormat="false" ht="15" hidden="false" customHeight="false" outlineLevel="0" collapsed="false">
      <c r="A899" s="12"/>
      <c r="B899" s="13"/>
      <c r="C899" s="13"/>
      <c r="D899" s="14"/>
      <c r="E899" s="15"/>
      <c r="F899" s="15"/>
      <c r="G899" s="15"/>
      <c r="H899" s="15"/>
      <c r="I899" s="15"/>
      <c r="J899" s="15"/>
      <c r="K899" s="16" t="str">
        <f aca="false">IF(A899="","",F899+G899+H899+I899)</f>
        <v/>
      </c>
      <c r="L899" s="17" t="str">
        <f aca="false">IF(OR(K899="",E899=0,E899=""),"",K899/E899)</f>
        <v/>
      </c>
      <c r="M899" s="18" t="str">
        <f aca="false">IF(OR(A899="",E899=""),"",E899+ROW()/1000000)</f>
        <v/>
      </c>
    </row>
    <row r="900" customFormat="false" ht="15" hidden="false" customHeight="false" outlineLevel="0" collapsed="false">
      <c r="A900" s="12"/>
      <c r="B900" s="13"/>
      <c r="C900" s="13"/>
      <c r="D900" s="14"/>
      <c r="E900" s="15"/>
      <c r="F900" s="15"/>
      <c r="G900" s="15"/>
      <c r="H900" s="15"/>
      <c r="I900" s="15"/>
      <c r="J900" s="15"/>
      <c r="K900" s="16" t="str">
        <f aca="false">IF(A900="","",F900+G900+H900+I900)</f>
        <v/>
      </c>
      <c r="L900" s="17" t="str">
        <f aca="false">IF(OR(K900="",E900=0,E900=""),"",K900/E900)</f>
        <v/>
      </c>
      <c r="M900" s="18" t="str">
        <f aca="false">IF(OR(A900="",E900=""),"",E900+ROW()/1000000)</f>
        <v/>
      </c>
    </row>
    <row r="901" customFormat="false" ht="15" hidden="false" customHeight="false" outlineLevel="0" collapsed="false">
      <c r="A901" s="12"/>
      <c r="B901" s="13"/>
      <c r="C901" s="13"/>
      <c r="D901" s="14"/>
      <c r="E901" s="15"/>
      <c r="F901" s="15"/>
      <c r="G901" s="15"/>
      <c r="H901" s="15"/>
      <c r="I901" s="15"/>
      <c r="J901" s="15"/>
      <c r="K901" s="16" t="str">
        <f aca="false">IF(A901="","",F901+G901+H901+I901)</f>
        <v/>
      </c>
      <c r="L901" s="17" t="str">
        <f aca="false">IF(OR(K901="",E901=0,E901=""),"",K901/E901)</f>
        <v/>
      </c>
      <c r="M901" s="18" t="str">
        <f aca="false">IF(OR(A901="",E901=""),"",E901+ROW()/1000000)</f>
        <v/>
      </c>
    </row>
    <row r="902" customFormat="false" ht="15" hidden="false" customHeight="false" outlineLevel="0" collapsed="false">
      <c r="A902" s="12"/>
      <c r="B902" s="13"/>
      <c r="C902" s="13"/>
      <c r="D902" s="14"/>
      <c r="E902" s="15"/>
      <c r="F902" s="15"/>
      <c r="G902" s="15"/>
      <c r="H902" s="15"/>
      <c r="I902" s="15"/>
      <c r="J902" s="15"/>
      <c r="K902" s="16" t="str">
        <f aca="false">IF(A902="","",F902+G902+H902+I902)</f>
        <v/>
      </c>
      <c r="L902" s="17" t="str">
        <f aca="false">IF(OR(K902="",E902=0,E902=""),"",K902/E902)</f>
        <v/>
      </c>
      <c r="M902" s="18" t="str">
        <f aca="false">IF(OR(A902="",E902=""),"",E902+ROW()/1000000)</f>
        <v/>
      </c>
    </row>
    <row r="903" customFormat="false" ht="15" hidden="false" customHeight="false" outlineLevel="0" collapsed="false">
      <c r="A903" s="12"/>
      <c r="B903" s="13"/>
      <c r="C903" s="13"/>
      <c r="D903" s="14"/>
      <c r="E903" s="15"/>
      <c r="F903" s="15"/>
      <c r="G903" s="15"/>
      <c r="H903" s="15"/>
      <c r="I903" s="15"/>
      <c r="J903" s="15"/>
      <c r="K903" s="16" t="str">
        <f aca="false">IF(A903="","",F903+G903+H903+I903)</f>
        <v/>
      </c>
      <c r="L903" s="17" t="str">
        <f aca="false">IF(OR(K903="",E903=0,E903=""),"",K903/E903)</f>
        <v/>
      </c>
      <c r="M903" s="18" t="str">
        <f aca="false">IF(OR(A903="",E903=""),"",E903+ROW()/1000000)</f>
        <v/>
      </c>
    </row>
    <row r="904" customFormat="false" ht="15" hidden="false" customHeight="false" outlineLevel="0" collapsed="false">
      <c r="A904" s="12"/>
      <c r="B904" s="13"/>
      <c r="C904" s="13"/>
      <c r="D904" s="14"/>
      <c r="E904" s="15"/>
      <c r="F904" s="15"/>
      <c r="G904" s="15"/>
      <c r="H904" s="15"/>
      <c r="I904" s="15"/>
      <c r="J904" s="15"/>
      <c r="K904" s="16" t="str">
        <f aca="false">IF(A904="","",F904+G904+H904+I904)</f>
        <v/>
      </c>
      <c r="L904" s="17" t="str">
        <f aca="false">IF(OR(K904="",E904=0,E904=""),"",K904/E904)</f>
        <v/>
      </c>
      <c r="M904" s="18" t="str">
        <f aca="false">IF(OR(A904="",E904=""),"",E904+ROW()/1000000)</f>
        <v/>
      </c>
    </row>
    <row r="905" customFormat="false" ht="15" hidden="false" customHeight="false" outlineLevel="0" collapsed="false">
      <c r="A905" s="12"/>
      <c r="B905" s="13"/>
      <c r="C905" s="13"/>
      <c r="D905" s="14"/>
      <c r="E905" s="15"/>
      <c r="F905" s="15"/>
      <c r="G905" s="15"/>
      <c r="H905" s="15"/>
      <c r="I905" s="15"/>
      <c r="J905" s="15"/>
      <c r="K905" s="16" t="str">
        <f aca="false">IF(A905="","",F905+G905+H905+I905)</f>
        <v/>
      </c>
      <c r="L905" s="17" t="str">
        <f aca="false">IF(OR(K905="",E905=0,E905=""),"",K905/E905)</f>
        <v/>
      </c>
      <c r="M905" s="18" t="str">
        <f aca="false">IF(OR(A905="",E905=""),"",E905+ROW()/1000000)</f>
        <v/>
      </c>
    </row>
    <row r="906" customFormat="false" ht="15" hidden="false" customHeight="false" outlineLevel="0" collapsed="false">
      <c r="A906" s="12"/>
      <c r="B906" s="13"/>
      <c r="C906" s="13"/>
      <c r="D906" s="14"/>
      <c r="E906" s="15"/>
      <c r="F906" s="15"/>
      <c r="G906" s="15"/>
      <c r="H906" s="15"/>
      <c r="I906" s="15"/>
      <c r="J906" s="15"/>
      <c r="K906" s="16" t="str">
        <f aca="false">IF(A906="","",F906+G906+H906+I906)</f>
        <v/>
      </c>
      <c r="L906" s="17" t="str">
        <f aca="false">IF(OR(K906="",E906=0,E906=""),"",K906/E906)</f>
        <v/>
      </c>
      <c r="M906" s="18" t="str">
        <f aca="false">IF(OR(A906="",E906=""),"",E906+ROW()/1000000)</f>
        <v/>
      </c>
    </row>
    <row r="907" customFormat="false" ht="15" hidden="false" customHeight="false" outlineLevel="0" collapsed="false">
      <c r="A907" s="12"/>
      <c r="B907" s="13"/>
      <c r="C907" s="13"/>
      <c r="D907" s="14"/>
      <c r="E907" s="15"/>
      <c r="F907" s="15"/>
      <c r="G907" s="15"/>
      <c r="H907" s="15"/>
      <c r="I907" s="15"/>
      <c r="J907" s="15"/>
      <c r="K907" s="16" t="str">
        <f aca="false">IF(A907="","",F907+G907+H907+I907)</f>
        <v/>
      </c>
      <c r="L907" s="17" t="str">
        <f aca="false">IF(OR(K907="",E907=0,E907=""),"",K907/E907)</f>
        <v/>
      </c>
      <c r="M907" s="18" t="str">
        <f aca="false">IF(OR(A907="",E907=""),"",E907+ROW()/1000000)</f>
        <v/>
      </c>
    </row>
    <row r="908" customFormat="false" ht="15" hidden="false" customHeight="false" outlineLevel="0" collapsed="false">
      <c r="A908" s="12"/>
      <c r="B908" s="13"/>
      <c r="C908" s="13"/>
      <c r="D908" s="14"/>
      <c r="E908" s="15"/>
      <c r="F908" s="15"/>
      <c r="G908" s="15"/>
      <c r="H908" s="15"/>
      <c r="I908" s="15"/>
      <c r="J908" s="15"/>
      <c r="K908" s="16" t="str">
        <f aca="false">IF(A908="","",F908+G908+H908+I908)</f>
        <v/>
      </c>
      <c r="L908" s="17" t="str">
        <f aca="false">IF(OR(K908="",E908=0,E908=""),"",K908/E908)</f>
        <v/>
      </c>
      <c r="M908" s="18" t="str">
        <f aca="false">IF(OR(A908="",E908=""),"",E908+ROW()/1000000)</f>
        <v/>
      </c>
    </row>
    <row r="909" customFormat="false" ht="15" hidden="false" customHeight="false" outlineLevel="0" collapsed="false">
      <c r="A909" s="12"/>
      <c r="B909" s="13"/>
      <c r="C909" s="13"/>
      <c r="D909" s="14"/>
      <c r="E909" s="15"/>
      <c r="F909" s="15"/>
      <c r="G909" s="15"/>
      <c r="H909" s="15"/>
      <c r="I909" s="15"/>
      <c r="J909" s="15"/>
      <c r="K909" s="16" t="str">
        <f aca="false">IF(A909="","",F909+G909+H909+I909)</f>
        <v/>
      </c>
      <c r="L909" s="17" t="str">
        <f aca="false">IF(OR(K909="",E909=0,E909=""),"",K909/E909)</f>
        <v/>
      </c>
      <c r="M909" s="18" t="str">
        <f aca="false">IF(OR(A909="",E909=""),"",E909+ROW()/1000000)</f>
        <v/>
      </c>
    </row>
    <row r="910" customFormat="false" ht="15" hidden="false" customHeight="false" outlineLevel="0" collapsed="false">
      <c r="A910" s="12"/>
      <c r="B910" s="13"/>
      <c r="C910" s="13"/>
      <c r="D910" s="14"/>
      <c r="E910" s="15"/>
      <c r="F910" s="15"/>
      <c r="G910" s="15"/>
      <c r="H910" s="15"/>
      <c r="I910" s="15"/>
      <c r="J910" s="15"/>
      <c r="K910" s="16" t="str">
        <f aca="false">IF(A910="","",F910+G910+H910+I910)</f>
        <v/>
      </c>
      <c r="L910" s="17" t="str">
        <f aca="false">IF(OR(K910="",E910=0,E910=""),"",K910/E910)</f>
        <v/>
      </c>
      <c r="M910" s="18" t="str">
        <f aca="false">IF(OR(A910="",E910=""),"",E910+ROW()/1000000)</f>
        <v/>
      </c>
    </row>
    <row r="911" customFormat="false" ht="15" hidden="false" customHeight="false" outlineLevel="0" collapsed="false">
      <c r="A911" s="12"/>
      <c r="B911" s="13"/>
      <c r="C911" s="13"/>
      <c r="D911" s="14"/>
      <c r="E911" s="15"/>
      <c r="F911" s="15"/>
      <c r="G911" s="15"/>
      <c r="H911" s="15"/>
      <c r="I911" s="15"/>
      <c r="J911" s="15"/>
      <c r="K911" s="16" t="str">
        <f aca="false">IF(A911="","",F911+G911+H911+I911)</f>
        <v/>
      </c>
      <c r="L911" s="17" t="str">
        <f aca="false">IF(OR(K911="",E911=0,E911=""),"",K911/E911)</f>
        <v/>
      </c>
      <c r="M911" s="18" t="str">
        <f aca="false">IF(OR(A911="",E911=""),"",E911+ROW()/1000000)</f>
        <v/>
      </c>
    </row>
    <row r="912" customFormat="false" ht="15" hidden="false" customHeight="false" outlineLevel="0" collapsed="false">
      <c r="A912" s="12"/>
      <c r="B912" s="13"/>
      <c r="C912" s="13"/>
      <c r="D912" s="14"/>
      <c r="E912" s="15"/>
      <c r="F912" s="15"/>
      <c r="G912" s="15"/>
      <c r="H912" s="15"/>
      <c r="I912" s="15"/>
      <c r="J912" s="15"/>
      <c r="K912" s="16" t="str">
        <f aca="false">IF(A912="","",F912+G912+H912+I912)</f>
        <v/>
      </c>
      <c r="L912" s="17" t="str">
        <f aca="false">IF(OR(K912="",E912=0,E912=""),"",K912/E912)</f>
        <v/>
      </c>
      <c r="M912" s="18" t="str">
        <f aca="false">IF(OR(A912="",E912=""),"",E912+ROW()/1000000)</f>
        <v/>
      </c>
    </row>
    <row r="913" customFormat="false" ht="15" hidden="false" customHeight="false" outlineLevel="0" collapsed="false">
      <c r="A913" s="12"/>
      <c r="B913" s="13"/>
      <c r="C913" s="13"/>
      <c r="D913" s="14"/>
      <c r="E913" s="15"/>
      <c r="F913" s="15"/>
      <c r="G913" s="15"/>
      <c r="H913" s="15"/>
      <c r="I913" s="15"/>
      <c r="J913" s="15"/>
      <c r="K913" s="16" t="str">
        <f aca="false">IF(A913="","",F913+G913+H913+I913)</f>
        <v/>
      </c>
      <c r="L913" s="17" t="str">
        <f aca="false">IF(OR(K913="",E913=0,E913=""),"",K913/E913)</f>
        <v/>
      </c>
      <c r="M913" s="18" t="str">
        <f aca="false">IF(OR(A913="",E913=""),"",E913+ROW()/1000000)</f>
        <v/>
      </c>
    </row>
    <row r="914" customFormat="false" ht="15" hidden="false" customHeight="false" outlineLevel="0" collapsed="false">
      <c r="A914" s="12"/>
      <c r="B914" s="13"/>
      <c r="C914" s="13"/>
      <c r="D914" s="14"/>
      <c r="E914" s="15"/>
      <c r="F914" s="15"/>
      <c r="G914" s="15"/>
      <c r="H914" s="15"/>
      <c r="I914" s="15"/>
      <c r="J914" s="15"/>
      <c r="K914" s="16" t="str">
        <f aca="false">IF(A914="","",F914+G914+H914+I914)</f>
        <v/>
      </c>
      <c r="L914" s="17" t="str">
        <f aca="false">IF(OR(K914="",E914=0,E914=""),"",K914/E914)</f>
        <v/>
      </c>
      <c r="M914" s="18" t="str">
        <f aca="false">IF(OR(A914="",E914=""),"",E914+ROW()/1000000)</f>
        <v/>
      </c>
    </row>
    <row r="915" customFormat="false" ht="15" hidden="false" customHeight="false" outlineLevel="0" collapsed="false">
      <c r="A915" s="12"/>
      <c r="B915" s="13"/>
      <c r="C915" s="13"/>
      <c r="D915" s="14"/>
      <c r="E915" s="15"/>
      <c r="F915" s="15"/>
      <c r="G915" s="15"/>
      <c r="H915" s="15"/>
      <c r="I915" s="15"/>
      <c r="J915" s="15"/>
      <c r="K915" s="16" t="str">
        <f aca="false">IF(A915="","",F915+G915+H915+I915)</f>
        <v/>
      </c>
      <c r="L915" s="17" t="str">
        <f aca="false">IF(OR(K915="",E915=0,E915=""),"",K915/E915)</f>
        <v/>
      </c>
      <c r="M915" s="18" t="str">
        <f aca="false">IF(OR(A915="",E915=""),"",E915+ROW()/1000000)</f>
        <v/>
      </c>
    </row>
    <row r="916" customFormat="false" ht="15" hidden="false" customHeight="false" outlineLevel="0" collapsed="false">
      <c r="A916" s="12"/>
      <c r="B916" s="13"/>
      <c r="C916" s="13"/>
      <c r="D916" s="14"/>
      <c r="E916" s="15"/>
      <c r="F916" s="15"/>
      <c r="G916" s="15"/>
      <c r="H916" s="15"/>
      <c r="I916" s="15"/>
      <c r="J916" s="15"/>
      <c r="K916" s="16" t="str">
        <f aca="false">IF(A916="","",F916+G916+H916+I916)</f>
        <v/>
      </c>
      <c r="L916" s="17" t="str">
        <f aca="false">IF(OR(K916="",E916=0,E916=""),"",K916/E916)</f>
        <v/>
      </c>
      <c r="M916" s="18" t="str">
        <f aca="false">IF(OR(A916="",E916=""),"",E916+ROW()/1000000)</f>
        <v/>
      </c>
    </row>
    <row r="917" customFormat="false" ht="15" hidden="false" customHeight="false" outlineLevel="0" collapsed="false">
      <c r="A917" s="12"/>
      <c r="B917" s="13"/>
      <c r="C917" s="13"/>
      <c r="D917" s="14"/>
      <c r="E917" s="15"/>
      <c r="F917" s="15"/>
      <c r="G917" s="15"/>
      <c r="H917" s="15"/>
      <c r="I917" s="15"/>
      <c r="J917" s="15"/>
      <c r="K917" s="16" t="str">
        <f aca="false">IF(A917="","",F917+G917+H917+I917)</f>
        <v/>
      </c>
      <c r="L917" s="17" t="str">
        <f aca="false">IF(OR(K917="",E917=0,E917=""),"",K917/E917)</f>
        <v/>
      </c>
      <c r="M917" s="18" t="str">
        <f aca="false">IF(OR(A917="",E917=""),"",E917+ROW()/1000000)</f>
        <v/>
      </c>
    </row>
    <row r="918" customFormat="false" ht="15" hidden="false" customHeight="false" outlineLevel="0" collapsed="false">
      <c r="A918" s="12"/>
      <c r="B918" s="13"/>
      <c r="C918" s="13"/>
      <c r="D918" s="14"/>
      <c r="E918" s="15"/>
      <c r="F918" s="15"/>
      <c r="G918" s="15"/>
      <c r="H918" s="15"/>
      <c r="I918" s="15"/>
      <c r="J918" s="15"/>
      <c r="K918" s="16" t="str">
        <f aca="false">IF(A918="","",F918+G918+H918+I918)</f>
        <v/>
      </c>
      <c r="L918" s="17" t="str">
        <f aca="false">IF(OR(K918="",E918=0,E918=""),"",K918/E918)</f>
        <v/>
      </c>
      <c r="M918" s="18" t="str">
        <f aca="false">IF(OR(A918="",E918=""),"",E918+ROW()/1000000)</f>
        <v/>
      </c>
    </row>
    <row r="919" customFormat="false" ht="15" hidden="false" customHeight="false" outlineLevel="0" collapsed="false">
      <c r="A919" s="12"/>
      <c r="B919" s="13"/>
      <c r="C919" s="13"/>
      <c r="D919" s="14"/>
      <c r="E919" s="15"/>
      <c r="F919" s="15"/>
      <c r="G919" s="15"/>
      <c r="H919" s="15"/>
      <c r="I919" s="15"/>
      <c r="J919" s="15"/>
      <c r="K919" s="16" t="str">
        <f aca="false">IF(A919="","",F919+G919+H919+I919)</f>
        <v/>
      </c>
      <c r="L919" s="17" t="str">
        <f aca="false">IF(OR(K919="",E919=0,E919=""),"",K919/E919)</f>
        <v/>
      </c>
      <c r="M919" s="18" t="str">
        <f aca="false">IF(OR(A919="",E919=""),"",E919+ROW()/1000000)</f>
        <v/>
      </c>
    </row>
    <row r="920" customFormat="false" ht="15" hidden="false" customHeight="false" outlineLevel="0" collapsed="false">
      <c r="A920" s="12"/>
      <c r="B920" s="13"/>
      <c r="C920" s="13"/>
      <c r="D920" s="14"/>
      <c r="E920" s="15"/>
      <c r="F920" s="15"/>
      <c r="G920" s="15"/>
      <c r="H920" s="15"/>
      <c r="I920" s="15"/>
      <c r="J920" s="15"/>
      <c r="K920" s="16" t="str">
        <f aca="false">IF(A920="","",F920+G920+H920+I920)</f>
        <v/>
      </c>
      <c r="L920" s="17" t="str">
        <f aca="false">IF(OR(K920="",E920=0,E920=""),"",K920/E920)</f>
        <v/>
      </c>
      <c r="M920" s="18" t="str">
        <f aca="false">IF(OR(A920="",E920=""),"",E920+ROW()/1000000)</f>
        <v/>
      </c>
    </row>
    <row r="921" customFormat="false" ht="15" hidden="false" customHeight="false" outlineLevel="0" collapsed="false">
      <c r="A921" s="12"/>
      <c r="B921" s="13"/>
      <c r="C921" s="13"/>
      <c r="D921" s="14"/>
      <c r="E921" s="15"/>
      <c r="F921" s="15"/>
      <c r="G921" s="15"/>
      <c r="H921" s="15"/>
      <c r="I921" s="15"/>
      <c r="J921" s="15"/>
      <c r="K921" s="16" t="str">
        <f aca="false">IF(A921="","",F921+G921+H921+I921)</f>
        <v/>
      </c>
      <c r="L921" s="17" t="str">
        <f aca="false">IF(OR(K921="",E921=0,E921=""),"",K921/E921)</f>
        <v/>
      </c>
      <c r="M921" s="18" t="str">
        <f aca="false">IF(OR(A921="",E921=""),"",E921+ROW()/1000000)</f>
        <v/>
      </c>
    </row>
    <row r="922" customFormat="false" ht="15" hidden="false" customHeight="false" outlineLevel="0" collapsed="false">
      <c r="A922" s="12"/>
      <c r="B922" s="13"/>
      <c r="C922" s="13"/>
      <c r="D922" s="14"/>
      <c r="E922" s="15"/>
      <c r="F922" s="15"/>
      <c r="G922" s="15"/>
      <c r="H922" s="15"/>
      <c r="I922" s="15"/>
      <c r="J922" s="15"/>
      <c r="K922" s="16" t="str">
        <f aca="false">IF(A922="","",F922+G922+H922+I922)</f>
        <v/>
      </c>
      <c r="L922" s="17" t="str">
        <f aca="false">IF(OR(K922="",E922=0,E922=""),"",K922/E922)</f>
        <v/>
      </c>
      <c r="M922" s="18" t="str">
        <f aca="false">IF(OR(A922="",E922=""),"",E922+ROW()/1000000)</f>
        <v/>
      </c>
    </row>
    <row r="923" customFormat="false" ht="15" hidden="false" customHeight="false" outlineLevel="0" collapsed="false">
      <c r="A923" s="12"/>
      <c r="B923" s="13"/>
      <c r="C923" s="13"/>
      <c r="D923" s="14"/>
      <c r="E923" s="15"/>
      <c r="F923" s="15"/>
      <c r="G923" s="15"/>
      <c r="H923" s="15"/>
      <c r="I923" s="15"/>
      <c r="J923" s="15"/>
      <c r="K923" s="16" t="str">
        <f aca="false">IF(A923="","",F923+G923+H923+I923)</f>
        <v/>
      </c>
      <c r="L923" s="17" t="str">
        <f aca="false">IF(OR(K923="",E923=0,E923=""),"",K923/E923)</f>
        <v/>
      </c>
      <c r="M923" s="18" t="str">
        <f aca="false">IF(OR(A923="",E923=""),"",E923+ROW()/1000000)</f>
        <v/>
      </c>
    </row>
    <row r="924" customFormat="false" ht="15" hidden="false" customHeight="false" outlineLevel="0" collapsed="false">
      <c r="A924" s="12"/>
      <c r="B924" s="13"/>
      <c r="C924" s="13"/>
      <c r="D924" s="14"/>
      <c r="E924" s="15"/>
      <c r="F924" s="15"/>
      <c r="G924" s="15"/>
      <c r="H924" s="15"/>
      <c r="I924" s="15"/>
      <c r="J924" s="15"/>
      <c r="K924" s="16" t="str">
        <f aca="false">IF(A924="","",F924+G924+H924+I924)</f>
        <v/>
      </c>
      <c r="L924" s="17" t="str">
        <f aca="false">IF(OR(K924="",E924=0,E924=""),"",K924/E924)</f>
        <v/>
      </c>
      <c r="M924" s="18" t="str">
        <f aca="false">IF(OR(A924="",E924=""),"",E924+ROW()/1000000)</f>
        <v/>
      </c>
    </row>
    <row r="925" customFormat="false" ht="15" hidden="false" customHeight="false" outlineLevel="0" collapsed="false">
      <c r="A925" s="12"/>
      <c r="B925" s="13"/>
      <c r="C925" s="13"/>
      <c r="D925" s="14"/>
      <c r="E925" s="15"/>
      <c r="F925" s="15"/>
      <c r="G925" s="15"/>
      <c r="H925" s="15"/>
      <c r="I925" s="15"/>
      <c r="J925" s="15"/>
      <c r="K925" s="16" t="str">
        <f aca="false">IF(A925="","",F925+G925+H925+I925)</f>
        <v/>
      </c>
      <c r="L925" s="17" t="str">
        <f aca="false">IF(OR(K925="",E925=0,E925=""),"",K925/E925)</f>
        <v/>
      </c>
      <c r="M925" s="18" t="str">
        <f aca="false">IF(OR(A925="",E925=""),"",E925+ROW()/1000000)</f>
        <v/>
      </c>
    </row>
    <row r="926" customFormat="false" ht="15" hidden="false" customHeight="false" outlineLevel="0" collapsed="false">
      <c r="A926" s="12"/>
      <c r="B926" s="13"/>
      <c r="C926" s="13"/>
      <c r="D926" s="14"/>
      <c r="E926" s="15"/>
      <c r="F926" s="15"/>
      <c r="G926" s="15"/>
      <c r="H926" s="15"/>
      <c r="I926" s="15"/>
      <c r="J926" s="15"/>
      <c r="K926" s="16" t="str">
        <f aca="false">IF(A926="","",F926+G926+H926+I926)</f>
        <v/>
      </c>
      <c r="L926" s="17" t="str">
        <f aca="false">IF(OR(K926="",E926=0,E926=""),"",K926/E926)</f>
        <v/>
      </c>
      <c r="M926" s="18" t="str">
        <f aca="false">IF(OR(A926="",E926=""),"",E926+ROW()/1000000)</f>
        <v/>
      </c>
    </row>
    <row r="927" customFormat="false" ht="15" hidden="false" customHeight="false" outlineLevel="0" collapsed="false">
      <c r="A927" s="12"/>
      <c r="B927" s="13"/>
      <c r="C927" s="13"/>
      <c r="D927" s="14"/>
      <c r="E927" s="15"/>
      <c r="F927" s="15"/>
      <c r="G927" s="15"/>
      <c r="H927" s="15"/>
      <c r="I927" s="15"/>
      <c r="J927" s="15"/>
      <c r="K927" s="16" t="str">
        <f aca="false">IF(A927="","",F927+G927+H927+I927)</f>
        <v/>
      </c>
      <c r="L927" s="17" t="str">
        <f aca="false">IF(OR(K927="",E927=0,E927=""),"",K927/E927)</f>
        <v/>
      </c>
      <c r="M927" s="18" t="str">
        <f aca="false">IF(OR(A927="",E927=""),"",E927+ROW()/1000000)</f>
        <v/>
      </c>
    </row>
    <row r="928" customFormat="false" ht="15" hidden="false" customHeight="false" outlineLevel="0" collapsed="false">
      <c r="A928" s="12"/>
      <c r="B928" s="13"/>
      <c r="C928" s="13"/>
      <c r="D928" s="14"/>
      <c r="E928" s="15"/>
      <c r="F928" s="15"/>
      <c r="G928" s="15"/>
      <c r="H928" s="15"/>
      <c r="I928" s="15"/>
      <c r="J928" s="15"/>
      <c r="K928" s="16" t="str">
        <f aca="false">IF(A928="","",F928+G928+H928+I928)</f>
        <v/>
      </c>
      <c r="L928" s="17" t="str">
        <f aca="false">IF(OR(K928="",E928=0,E928=""),"",K928/E928)</f>
        <v/>
      </c>
      <c r="M928" s="18" t="str">
        <f aca="false">IF(OR(A928="",E928=""),"",E928+ROW()/1000000)</f>
        <v/>
      </c>
    </row>
    <row r="929" customFormat="false" ht="15" hidden="false" customHeight="false" outlineLevel="0" collapsed="false">
      <c r="A929" s="12"/>
      <c r="B929" s="13"/>
      <c r="C929" s="13"/>
      <c r="D929" s="14"/>
      <c r="E929" s="15"/>
      <c r="F929" s="15"/>
      <c r="G929" s="15"/>
      <c r="H929" s="15"/>
      <c r="I929" s="15"/>
      <c r="J929" s="15"/>
      <c r="K929" s="16" t="str">
        <f aca="false">IF(A929="","",F929+G929+H929+I929)</f>
        <v/>
      </c>
      <c r="L929" s="17" t="str">
        <f aca="false">IF(OR(K929="",E929=0,E929=""),"",K929/E929)</f>
        <v/>
      </c>
      <c r="M929" s="18" t="str">
        <f aca="false">IF(OR(A929="",E929=""),"",E929+ROW()/1000000)</f>
        <v/>
      </c>
    </row>
    <row r="930" customFormat="false" ht="15" hidden="false" customHeight="false" outlineLevel="0" collapsed="false">
      <c r="A930" s="12"/>
      <c r="B930" s="13"/>
      <c r="C930" s="13"/>
      <c r="D930" s="14"/>
      <c r="E930" s="15"/>
      <c r="F930" s="15"/>
      <c r="G930" s="15"/>
      <c r="H930" s="15"/>
      <c r="I930" s="15"/>
      <c r="J930" s="15"/>
      <c r="K930" s="16" t="str">
        <f aca="false">IF(A930="","",F930+G930+H930+I930)</f>
        <v/>
      </c>
      <c r="L930" s="17" t="str">
        <f aca="false">IF(OR(K930="",E930=0,E930=""),"",K930/E930)</f>
        <v/>
      </c>
      <c r="M930" s="18" t="str">
        <f aca="false">IF(OR(A930="",E930=""),"",E930+ROW()/1000000)</f>
        <v/>
      </c>
    </row>
    <row r="931" customFormat="false" ht="15" hidden="false" customHeight="false" outlineLevel="0" collapsed="false">
      <c r="A931" s="12"/>
      <c r="B931" s="13"/>
      <c r="C931" s="13"/>
      <c r="D931" s="14"/>
      <c r="E931" s="15"/>
      <c r="F931" s="15"/>
      <c r="G931" s="15"/>
      <c r="H931" s="15"/>
      <c r="I931" s="15"/>
      <c r="J931" s="15"/>
      <c r="K931" s="16" t="str">
        <f aca="false">IF(A931="","",F931+G931+H931+I931)</f>
        <v/>
      </c>
      <c r="L931" s="17" t="str">
        <f aca="false">IF(OR(K931="",E931=0,E931=""),"",K931/E931)</f>
        <v/>
      </c>
      <c r="M931" s="18" t="str">
        <f aca="false">IF(OR(A931="",E931=""),"",E931+ROW()/1000000)</f>
        <v/>
      </c>
    </row>
    <row r="932" customFormat="false" ht="15" hidden="false" customHeight="false" outlineLevel="0" collapsed="false">
      <c r="A932" s="12"/>
      <c r="B932" s="13"/>
      <c r="C932" s="13"/>
      <c r="D932" s="14"/>
      <c r="E932" s="15"/>
      <c r="F932" s="15"/>
      <c r="G932" s="15"/>
      <c r="H932" s="15"/>
      <c r="I932" s="15"/>
      <c r="J932" s="15"/>
      <c r="K932" s="16" t="str">
        <f aca="false">IF(A932="","",F932+G932+H932+I932)</f>
        <v/>
      </c>
      <c r="L932" s="17" t="str">
        <f aca="false">IF(OR(K932="",E932=0,E932=""),"",K932/E932)</f>
        <v/>
      </c>
      <c r="M932" s="18" t="str">
        <f aca="false">IF(OR(A932="",E932=""),"",E932+ROW()/1000000)</f>
        <v/>
      </c>
    </row>
    <row r="933" customFormat="false" ht="15" hidden="false" customHeight="false" outlineLevel="0" collapsed="false">
      <c r="A933" s="12"/>
      <c r="B933" s="13"/>
      <c r="C933" s="13"/>
      <c r="D933" s="14"/>
      <c r="E933" s="15"/>
      <c r="F933" s="15"/>
      <c r="G933" s="15"/>
      <c r="H933" s="15"/>
      <c r="I933" s="15"/>
      <c r="J933" s="15"/>
      <c r="K933" s="16" t="str">
        <f aca="false">IF(A933="","",F933+G933+H933+I933)</f>
        <v/>
      </c>
      <c r="L933" s="17" t="str">
        <f aca="false">IF(OR(K933="",E933=0,E933=""),"",K933/E933)</f>
        <v/>
      </c>
      <c r="M933" s="18" t="str">
        <f aca="false">IF(OR(A933="",E933=""),"",E933+ROW()/1000000)</f>
        <v/>
      </c>
    </row>
    <row r="934" customFormat="false" ht="15" hidden="false" customHeight="false" outlineLevel="0" collapsed="false">
      <c r="A934" s="12"/>
      <c r="B934" s="13"/>
      <c r="C934" s="13"/>
      <c r="D934" s="14"/>
      <c r="E934" s="15"/>
      <c r="F934" s="15"/>
      <c r="G934" s="15"/>
      <c r="H934" s="15"/>
      <c r="I934" s="15"/>
      <c r="J934" s="15"/>
      <c r="K934" s="16" t="str">
        <f aca="false">IF(A934="","",F934+G934+H934+I934)</f>
        <v/>
      </c>
      <c r="L934" s="17" t="str">
        <f aca="false">IF(OR(K934="",E934=0,E934=""),"",K934/E934)</f>
        <v/>
      </c>
      <c r="M934" s="18" t="str">
        <f aca="false">IF(OR(A934="",E934=""),"",E934+ROW()/1000000)</f>
        <v/>
      </c>
    </row>
    <row r="935" customFormat="false" ht="15" hidden="false" customHeight="false" outlineLevel="0" collapsed="false">
      <c r="A935" s="12"/>
      <c r="B935" s="13"/>
      <c r="C935" s="13"/>
      <c r="D935" s="14"/>
      <c r="E935" s="15"/>
      <c r="F935" s="15"/>
      <c r="G935" s="15"/>
      <c r="H935" s="15"/>
      <c r="I935" s="15"/>
      <c r="J935" s="15"/>
      <c r="K935" s="16" t="str">
        <f aca="false">IF(A935="","",F935+G935+H935+I935)</f>
        <v/>
      </c>
      <c r="L935" s="17" t="str">
        <f aca="false">IF(OR(K935="",E935=0,E935=""),"",K935/E935)</f>
        <v/>
      </c>
      <c r="M935" s="18" t="str">
        <f aca="false">IF(OR(A935="",E935=""),"",E935+ROW()/1000000)</f>
        <v/>
      </c>
    </row>
    <row r="936" customFormat="false" ht="15" hidden="false" customHeight="false" outlineLevel="0" collapsed="false">
      <c r="A936" s="12"/>
      <c r="B936" s="13"/>
      <c r="C936" s="13"/>
      <c r="D936" s="14"/>
      <c r="E936" s="15"/>
      <c r="F936" s="15"/>
      <c r="G936" s="15"/>
      <c r="H936" s="15"/>
      <c r="I936" s="15"/>
      <c r="J936" s="15"/>
      <c r="K936" s="16" t="str">
        <f aca="false">IF(A936="","",F936+G936+H936+I936)</f>
        <v/>
      </c>
      <c r="L936" s="17" t="str">
        <f aca="false">IF(OR(K936="",E936=0,E936=""),"",K936/E936)</f>
        <v/>
      </c>
      <c r="M936" s="18" t="str">
        <f aca="false">IF(OR(A936="",E936=""),"",E936+ROW()/1000000)</f>
        <v/>
      </c>
    </row>
    <row r="937" customFormat="false" ht="15" hidden="false" customHeight="false" outlineLevel="0" collapsed="false">
      <c r="A937" s="12"/>
      <c r="B937" s="13"/>
      <c r="C937" s="13"/>
      <c r="D937" s="14"/>
      <c r="E937" s="15"/>
      <c r="F937" s="15"/>
      <c r="G937" s="15"/>
      <c r="H937" s="15"/>
      <c r="I937" s="15"/>
      <c r="J937" s="15"/>
      <c r="K937" s="16" t="str">
        <f aca="false">IF(A937="","",F937+G937+H937+I937)</f>
        <v/>
      </c>
      <c r="L937" s="17" t="str">
        <f aca="false">IF(OR(K937="",E937=0,E937=""),"",K937/E937)</f>
        <v/>
      </c>
      <c r="M937" s="18" t="str">
        <f aca="false">IF(OR(A937="",E937=""),"",E937+ROW()/1000000)</f>
        <v/>
      </c>
    </row>
    <row r="938" customFormat="false" ht="15" hidden="false" customHeight="false" outlineLevel="0" collapsed="false">
      <c r="A938" s="12"/>
      <c r="B938" s="13"/>
      <c r="C938" s="13"/>
      <c r="D938" s="14"/>
      <c r="E938" s="15"/>
      <c r="F938" s="15"/>
      <c r="G938" s="15"/>
      <c r="H938" s="15"/>
      <c r="I938" s="15"/>
      <c r="J938" s="15"/>
      <c r="K938" s="16" t="str">
        <f aca="false">IF(A938="","",F938+G938+H938+I938)</f>
        <v/>
      </c>
      <c r="L938" s="17" t="str">
        <f aca="false">IF(OR(K938="",E938=0,E938=""),"",K938/E938)</f>
        <v/>
      </c>
      <c r="M938" s="18" t="str">
        <f aca="false">IF(OR(A938="",E938=""),"",E938+ROW()/1000000)</f>
        <v/>
      </c>
    </row>
    <row r="939" customFormat="false" ht="15" hidden="false" customHeight="false" outlineLevel="0" collapsed="false">
      <c r="A939" s="12"/>
      <c r="B939" s="13"/>
      <c r="C939" s="13"/>
      <c r="D939" s="14"/>
      <c r="E939" s="15"/>
      <c r="F939" s="15"/>
      <c r="G939" s="15"/>
      <c r="H939" s="15"/>
      <c r="I939" s="15"/>
      <c r="J939" s="15"/>
      <c r="K939" s="16" t="str">
        <f aca="false">IF(A939="","",F939+G939+H939+I939)</f>
        <v/>
      </c>
      <c r="L939" s="17" t="str">
        <f aca="false">IF(OR(K939="",E939=0,E939=""),"",K939/E939)</f>
        <v/>
      </c>
      <c r="M939" s="18" t="str">
        <f aca="false">IF(OR(A939="",E939=""),"",E939+ROW()/1000000)</f>
        <v/>
      </c>
    </row>
    <row r="940" customFormat="false" ht="15" hidden="false" customHeight="false" outlineLevel="0" collapsed="false">
      <c r="A940" s="12"/>
      <c r="B940" s="13"/>
      <c r="C940" s="13"/>
      <c r="D940" s="14"/>
      <c r="E940" s="15"/>
      <c r="F940" s="15"/>
      <c r="G940" s="15"/>
      <c r="H940" s="15"/>
      <c r="I940" s="15"/>
      <c r="J940" s="15"/>
      <c r="K940" s="16" t="str">
        <f aca="false">IF(A940="","",F940+G940+H940+I940)</f>
        <v/>
      </c>
      <c r="L940" s="17" t="str">
        <f aca="false">IF(OR(K940="",E940=0,E940=""),"",K940/E940)</f>
        <v/>
      </c>
      <c r="M940" s="18" t="str">
        <f aca="false">IF(OR(A940="",E940=""),"",E940+ROW()/1000000)</f>
        <v/>
      </c>
    </row>
    <row r="941" customFormat="false" ht="15" hidden="false" customHeight="false" outlineLevel="0" collapsed="false">
      <c r="A941" s="12"/>
      <c r="B941" s="13"/>
      <c r="C941" s="13"/>
      <c r="D941" s="14"/>
      <c r="E941" s="15"/>
      <c r="F941" s="15"/>
      <c r="G941" s="15"/>
      <c r="H941" s="15"/>
      <c r="I941" s="15"/>
      <c r="J941" s="15"/>
      <c r="K941" s="16" t="str">
        <f aca="false">IF(A941="","",F941+G941+H941+I941)</f>
        <v/>
      </c>
      <c r="L941" s="17" t="str">
        <f aca="false">IF(OR(K941="",E941=0,E941=""),"",K941/E941)</f>
        <v/>
      </c>
      <c r="M941" s="18" t="str">
        <f aca="false">IF(OR(A941="",E941=""),"",E941+ROW()/1000000)</f>
        <v/>
      </c>
    </row>
    <row r="942" customFormat="false" ht="15" hidden="false" customHeight="false" outlineLevel="0" collapsed="false">
      <c r="A942" s="12"/>
      <c r="B942" s="13"/>
      <c r="C942" s="13"/>
      <c r="D942" s="14"/>
      <c r="E942" s="15"/>
      <c r="F942" s="15"/>
      <c r="G942" s="15"/>
      <c r="H942" s="15"/>
      <c r="I942" s="15"/>
      <c r="J942" s="15"/>
      <c r="K942" s="16" t="str">
        <f aca="false">IF(A942="","",F942+G942+H942+I942)</f>
        <v/>
      </c>
      <c r="L942" s="17" t="str">
        <f aca="false">IF(OR(K942="",E942=0,E942=""),"",K942/E942)</f>
        <v/>
      </c>
      <c r="M942" s="18" t="str">
        <f aca="false">IF(OR(A942="",E942=""),"",E942+ROW()/1000000)</f>
        <v/>
      </c>
    </row>
    <row r="943" customFormat="false" ht="15" hidden="false" customHeight="false" outlineLevel="0" collapsed="false">
      <c r="A943" s="12"/>
      <c r="B943" s="13"/>
      <c r="C943" s="13"/>
      <c r="D943" s="14"/>
      <c r="E943" s="15"/>
      <c r="F943" s="15"/>
      <c r="G943" s="15"/>
      <c r="H943" s="15"/>
      <c r="I943" s="15"/>
      <c r="J943" s="15"/>
      <c r="K943" s="16" t="str">
        <f aca="false">IF(A943="","",F943+G943+H943+I943)</f>
        <v/>
      </c>
      <c r="L943" s="17" t="str">
        <f aca="false">IF(OR(K943="",E943=0,E943=""),"",K943/E943)</f>
        <v/>
      </c>
      <c r="M943" s="18" t="str">
        <f aca="false">IF(OR(A943="",E943=""),"",E943+ROW()/1000000)</f>
        <v/>
      </c>
    </row>
    <row r="944" customFormat="false" ht="15" hidden="false" customHeight="false" outlineLevel="0" collapsed="false">
      <c r="A944" s="12"/>
      <c r="B944" s="13"/>
      <c r="C944" s="13"/>
      <c r="D944" s="14"/>
      <c r="E944" s="15"/>
      <c r="F944" s="15"/>
      <c r="G944" s="15"/>
      <c r="H944" s="15"/>
      <c r="I944" s="15"/>
      <c r="J944" s="15"/>
      <c r="K944" s="16" t="str">
        <f aca="false">IF(A944="","",F944+G944+H944+I944)</f>
        <v/>
      </c>
      <c r="L944" s="17" t="str">
        <f aca="false">IF(OR(K944="",E944=0,E944=""),"",K944/E944)</f>
        <v/>
      </c>
      <c r="M944" s="18" t="str">
        <f aca="false">IF(OR(A944="",E944=""),"",E944+ROW()/1000000)</f>
        <v/>
      </c>
    </row>
    <row r="945" customFormat="false" ht="15" hidden="false" customHeight="false" outlineLevel="0" collapsed="false">
      <c r="A945" s="12"/>
      <c r="B945" s="13"/>
      <c r="C945" s="13"/>
      <c r="D945" s="14"/>
      <c r="E945" s="15"/>
      <c r="F945" s="15"/>
      <c r="G945" s="15"/>
      <c r="H945" s="15"/>
      <c r="I945" s="15"/>
      <c r="J945" s="15"/>
      <c r="K945" s="16" t="str">
        <f aca="false">IF(A945="","",F945+G945+H945+I945)</f>
        <v/>
      </c>
      <c r="L945" s="17" t="str">
        <f aca="false">IF(OR(K945="",E945=0,E945=""),"",K945/E945)</f>
        <v/>
      </c>
      <c r="M945" s="18" t="str">
        <f aca="false">IF(OR(A945="",E945=""),"",E945+ROW()/1000000)</f>
        <v/>
      </c>
    </row>
    <row r="946" customFormat="false" ht="15" hidden="false" customHeight="false" outlineLevel="0" collapsed="false">
      <c r="A946" s="12"/>
      <c r="B946" s="13"/>
      <c r="C946" s="13"/>
      <c r="D946" s="14"/>
      <c r="E946" s="15"/>
      <c r="F946" s="15"/>
      <c r="G946" s="15"/>
      <c r="H946" s="15"/>
      <c r="I946" s="15"/>
      <c r="J946" s="15"/>
      <c r="K946" s="16" t="str">
        <f aca="false">IF(A946="","",F946+G946+H946+I946)</f>
        <v/>
      </c>
      <c r="L946" s="17" t="str">
        <f aca="false">IF(OR(K946="",E946=0,E946=""),"",K946/E946)</f>
        <v/>
      </c>
      <c r="M946" s="18" t="str">
        <f aca="false">IF(OR(A946="",E946=""),"",E946+ROW()/1000000)</f>
        <v/>
      </c>
    </row>
    <row r="947" customFormat="false" ht="15" hidden="false" customHeight="false" outlineLevel="0" collapsed="false">
      <c r="A947" s="12"/>
      <c r="B947" s="13"/>
      <c r="C947" s="13"/>
      <c r="D947" s="14"/>
      <c r="E947" s="15"/>
      <c r="F947" s="15"/>
      <c r="G947" s="15"/>
      <c r="H947" s="15"/>
      <c r="I947" s="15"/>
      <c r="J947" s="15"/>
      <c r="K947" s="16" t="str">
        <f aca="false">IF(A947="","",F947+G947+H947+I947)</f>
        <v/>
      </c>
      <c r="L947" s="17" t="str">
        <f aca="false">IF(OR(K947="",E947=0,E947=""),"",K947/E947)</f>
        <v/>
      </c>
      <c r="M947" s="18" t="str">
        <f aca="false">IF(OR(A947="",E947=""),"",E947+ROW()/1000000)</f>
        <v/>
      </c>
    </row>
    <row r="948" customFormat="false" ht="15" hidden="false" customHeight="false" outlineLevel="0" collapsed="false">
      <c r="A948" s="12"/>
      <c r="B948" s="13"/>
      <c r="C948" s="13"/>
      <c r="D948" s="14"/>
      <c r="E948" s="15"/>
      <c r="F948" s="15"/>
      <c r="G948" s="15"/>
      <c r="H948" s="15"/>
      <c r="I948" s="15"/>
      <c r="J948" s="15"/>
      <c r="K948" s="16" t="str">
        <f aca="false">IF(A948="","",F948+G948+H948+I948)</f>
        <v/>
      </c>
      <c r="L948" s="17" t="str">
        <f aca="false">IF(OR(K948="",E948=0,E948=""),"",K948/E948)</f>
        <v/>
      </c>
      <c r="M948" s="18" t="str">
        <f aca="false">IF(OR(A948="",E948=""),"",E948+ROW()/1000000)</f>
        <v/>
      </c>
    </row>
    <row r="949" customFormat="false" ht="15" hidden="false" customHeight="false" outlineLevel="0" collapsed="false">
      <c r="A949" s="12"/>
      <c r="B949" s="13"/>
      <c r="C949" s="13"/>
      <c r="D949" s="14"/>
      <c r="E949" s="15"/>
      <c r="F949" s="15"/>
      <c r="G949" s="15"/>
      <c r="H949" s="15"/>
      <c r="I949" s="15"/>
      <c r="J949" s="15"/>
      <c r="K949" s="16" t="str">
        <f aca="false">IF(A949="","",F949+G949+H949+I949)</f>
        <v/>
      </c>
      <c r="L949" s="17" t="str">
        <f aca="false">IF(OR(K949="",E949=0,E949=""),"",K949/E949)</f>
        <v/>
      </c>
      <c r="M949" s="18" t="str">
        <f aca="false">IF(OR(A949="",E949=""),"",E949+ROW()/1000000)</f>
        <v/>
      </c>
    </row>
    <row r="950" customFormat="false" ht="15" hidden="false" customHeight="false" outlineLevel="0" collapsed="false">
      <c r="A950" s="12"/>
      <c r="B950" s="13"/>
      <c r="C950" s="13"/>
      <c r="D950" s="14"/>
      <c r="E950" s="15"/>
      <c r="F950" s="15"/>
      <c r="G950" s="15"/>
      <c r="H950" s="15"/>
      <c r="I950" s="15"/>
      <c r="J950" s="15"/>
      <c r="K950" s="16" t="str">
        <f aca="false">IF(A950="","",F950+G950+H950+I950)</f>
        <v/>
      </c>
      <c r="L950" s="17" t="str">
        <f aca="false">IF(OR(K950="",E950=0,E950=""),"",K950/E950)</f>
        <v/>
      </c>
      <c r="M950" s="18" t="str">
        <f aca="false">IF(OR(A950="",E950=""),"",E950+ROW()/1000000)</f>
        <v/>
      </c>
    </row>
    <row r="951" customFormat="false" ht="15" hidden="false" customHeight="false" outlineLevel="0" collapsed="false">
      <c r="A951" s="12"/>
      <c r="B951" s="13"/>
      <c r="C951" s="13"/>
      <c r="D951" s="14"/>
      <c r="E951" s="15"/>
      <c r="F951" s="15"/>
      <c r="G951" s="15"/>
      <c r="H951" s="15"/>
      <c r="I951" s="15"/>
      <c r="J951" s="15"/>
      <c r="K951" s="16" t="str">
        <f aca="false">IF(A951="","",F951+G951+H951+I951)</f>
        <v/>
      </c>
      <c r="L951" s="17" t="str">
        <f aca="false">IF(OR(K951="",E951=0,E951=""),"",K951/E951)</f>
        <v/>
      </c>
      <c r="M951" s="18" t="str">
        <f aca="false">IF(OR(A951="",E951=""),"",E951+ROW()/1000000)</f>
        <v/>
      </c>
    </row>
    <row r="952" customFormat="false" ht="15" hidden="false" customHeight="false" outlineLevel="0" collapsed="false">
      <c r="A952" s="12"/>
      <c r="B952" s="13"/>
      <c r="C952" s="13"/>
      <c r="D952" s="14"/>
      <c r="E952" s="15"/>
      <c r="F952" s="15"/>
      <c r="G952" s="15"/>
      <c r="H952" s="15"/>
      <c r="I952" s="15"/>
      <c r="J952" s="15"/>
      <c r="K952" s="16" t="str">
        <f aca="false">IF(A952="","",F952+G952+H952+I952)</f>
        <v/>
      </c>
      <c r="L952" s="17" t="str">
        <f aca="false">IF(OR(K952="",E952=0,E952=""),"",K952/E952)</f>
        <v/>
      </c>
      <c r="M952" s="18" t="str">
        <f aca="false">IF(OR(A952="",E952=""),"",E952+ROW()/1000000)</f>
        <v/>
      </c>
    </row>
    <row r="953" customFormat="false" ht="15" hidden="false" customHeight="false" outlineLevel="0" collapsed="false">
      <c r="A953" s="12"/>
      <c r="B953" s="13"/>
      <c r="C953" s="13"/>
      <c r="D953" s="14"/>
      <c r="E953" s="15"/>
      <c r="F953" s="15"/>
      <c r="G953" s="15"/>
      <c r="H953" s="15"/>
      <c r="I953" s="15"/>
      <c r="J953" s="15"/>
      <c r="K953" s="16" t="str">
        <f aca="false">IF(A953="","",F953+G953+H953+I953)</f>
        <v/>
      </c>
      <c r="L953" s="17" t="str">
        <f aca="false">IF(OR(K953="",E953=0,E953=""),"",K953/E953)</f>
        <v/>
      </c>
      <c r="M953" s="18" t="str">
        <f aca="false">IF(OR(A953="",E953=""),"",E953+ROW()/1000000)</f>
        <v/>
      </c>
    </row>
    <row r="954" customFormat="false" ht="15" hidden="false" customHeight="false" outlineLevel="0" collapsed="false">
      <c r="A954" s="12"/>
      <c r="B954" s="13"/>
      <c r="C954" s="13"/>
      <c r="D954" s="14"/>
      <c r="E954" s="15"/>
      <c r="F954" s="15"/>
      <c r="G954" s="15"/>
      <c r="H954" s="15"/>
      <c r="I954" s="15"/>
      <c r="J954" s="15"/>
      <c r="K954" s="16" t="str">
        <f aca="false">IF(A954="","",F954+G954+H954+I954)</f>
        <v/>
      </c>
      <c r="L954" s="17" t="str">
        <f aca="false">IF(OR(K954="",E954=0,E954=""),"",K954/E954)</f>
        <v/>
      </c>
      <c r="M954" s="18" t="str">
        <f aca="false">IF(OR(A954="",E954=""),"",E954+ROW()/1000000)</f>
        <v/>
      </c>
    </row>
    <row r="955" customFormat="false" ht="15" hidden="false" customHeight="false" outlineLevel="0" collapsed="false">
      <c r="A955" s="12"/>
      <c r="B955" s="13"/>
      <c r="C955" s="13"/>
      <c r="D955" s="14"/>
      <c r="E955" s="15"/>
      <c r="F955" s="15"/>
      <c r="G955" s="15"/>
      <c r="H955" s="15"/>
      <c r="I955" s="15"/>
      <c r="J955" s="15"/>
      <c r="K955" s="16" t="str">
        <f aca="false">IF(A955="","",F955+G955+H955+I955)</f>
        <v/>
      </c>
      <c r="L955" s="17" t="str">
        <f aca="false">IF(OR(K955="",E955=0,E955=""),"",K955/E955)</f>
        <v/>
      </c>
      <c r="M955" s="18" t="str">
        <f aca="false">IF(OR(A955="",E955=""),"",E955+ROW()/1000000)</f>
        <v/>
      </c>
    </row>
    <row r="956" customFormat="false" ht="15" hidden="false" customHeight="false" outlineLevel="0" collapsed="false">
      <c r="A956" s="12"/>
      <c r="B956" s="13"/>
      <c r="C956" s="13"/>
      <c r="D956" s="14"/>
      <c r="E956" s="15"/>
      <c r="F956" s="15"/>
      <c r="G956" s="15"/>
      <c r="H956" s="15"/>
      <c r="I956" s="15"/>
      <c r="J956" s="15"/>
      <c r="K956" s="16" t="str">
        <f aca="false">IF(A956="","",F956+G956+H956+I956)</f>
        <v/>
      </c>
      <c r="L956" s="17" t="str">
        <f aca="false">IF(OR(K956="",E956=0,E956=""),"",K956/E956)</f>
        <v/>
      </c>
      <c r="M956" s="18" t="str">
        <f aca="false">IF(OR(A956="",E956=""),"",E956+ROW()/1000000)</f>
        <v/>
      </c>
    </row>
    <row r="957" customFormat="false" ht="15" hidden="false" customHeight="false" outlineLevel="0" collapsed="false">
      <c r="A957" s="12"/>
      <c r="B957" s="13"/>
      <c r="C957" s="13"/>
      <c r="D957" s="14"/>
      <c r="E957" s="15"/>
      <c r="F957" s="15"/>
      <c r="G957" s="15"/>
      <c r="H957" s="15"/>
      <c r="I957" s="15"/>
      <c r="J957" s="15"/>
      <c r="K957" s="16" t="str">
        <f aca="false">IF(A957="","",F957+G957+H957+I957)</f>
        <v/>
      </c>
      <c r="L957" s="17" t="str">
        <f aca="false">IF(OR(K957="",E957=0,E957=""),"",K957/E957)</f>
        <v/>
      </c>
      <c r="M957" s="18" t="str">
        <f aca="false">IF(OR(A957="",E957=""),"",E957+ROW()/1000000)</f>
        <v/>
      </c>
    </row>
    <row r="958" customFormat="false" ht="15" hidden="false" customHeight="false" outlineLevel="0" collapsed="false">
      <c r="A958" s="12"/>
      <c r="B958" s="13"/>
      <c r="C958" s="13"/>
      <c r="D958" s="14"/>
      <c r="E958" s="15"/>
      <c r="F958" s="15"/>
      <c r="G958" s="15"/>
      <c r="H958" s="15"/>
      <c r="I958" s="15"/>
      <c r="J958" s="15"/>
      <c r="K958" s="16" t="str">
        <f aca="false">IF(A958="","",F958+G958+H958+I958)</f>
        <v/>
      </c>
      <c r="L958" s="17" t="str">
        <f aca="false">IF(OR(K958="",E958=0,E958=""),"",K958/E958)</f>
        <v/>
      </c>
      <c r="M958" s="18" t="str">
        <f aca="false">IF(OR(A958="",E958=""),"",E958+ROW()/1000000)</f>
        <v/>
      </c>
    </row>
    <row r="959" customFormat="false" ht="15" hidden="false" customHeight="false" outlineLevel="0" collapsed="false">
      <c r="A959" s="12"/>
      <c r="B959" s="13"/>
      <c r="C959" s="13"/>
      <c r="D959" s="14"/>
      <c r="E959" s="15"/>
      <c r="F959" s="15"/>
      <c r="G959" s="15"/>
      <c r="H959" s="15"/>
      <c r="I959" s="15"/>
      <c r="J959" s="15"/>
      <c r="K959" s="16" t="str">
        <f aca="false">IF(A959="","",F959+G959+H959+I959)</f>
        <v/>
      </c>
      <c r="L959" s="17" t="str">
        <f aca="false">IF(OR(K959="",E959=0,E959=""),"",K959/E959)</f>
        <v/>
      </c>
      <c r="M959" s="18" t="str">
        <f aca="false">IF(OR(A959="",E959=""),"",E959+ROW()/1000000)</f>
        <v/>
      </c>
    </row>
    <row r="960" customFormat="false" ht="15" hidden="false" customHeight="false" outlineLevel="0" collapsed="false">
      <c r="A960" s="12"/>
      <c r="B960" s="13"/>
      <c r="C960" s="13"/>
      <c r="D960" s="14"/>
      <c r="E960" s="15"/>
      <c r="F960" s="15"/>
      <c r="G960" s="15"/>
      <c r="H960" s="15"/>
      <c r="I960" s="15"/>
      <c r="J960" s="15"/>
      <c r="K960" s="16" t="str">
        <f aca="false">IF(A960="","",F960+G960+H960+I960)</f>
        <v/>
      </c>
      <c r="L960" s="17" t="str">
        <f aca="false">IF(OR(K960="",E960=0,E960=""),"",K960/E960)</f>
        <v/>
      </c>
      <c r="M960" s="18" t="str">
        <f aca="false">IF(OR(A960="",E960=""),"",E960+ROW()/1000000)</f>
        <v/>
      </c>
    </row>
    <row r="961" customFormat="false" ht="15" hidden="false" customHeight="false" outlineLevel="0" collapsed="false">
      <c r="A961" s="12"/>
      <c r="B961" s="13"/>
      <c r="C961" s="13"/>
      <c r="D961" s="14"/>
      <c r="E961" s="15"/>
      <c r="F961" s="15"/>
      <c r="G961" s="15"/>
      <c r="H961" s="15"/>
      <c r="I961" s="15"/>
      <c r="J961" s="15"/>
      <c r="K961" s="16" t="str">
        <f aca="false">IF(A961="","",F961+G961+H961+I961)</f>
        <v/>
      </c>
      <c r="L961" s="17" t="str">
        <f aca="false">IF(OR(K961="",E961=0,E961=""),"",K961/E961)</f>
        <v/>
      </c>
      <c r="M961" s="18" t="str">
        <f aca="false">IF(OR(A961="",E961=""),"",E961+ROW()/1000000)</f>
        <v/>
      </c>
    </row>
    <row r="962" customFormat="false" ht="15" hidden="false" customHeight="false" outlineLevel="0" collapsed="false">
      <c r="A962" s="12"/>
      <c r="B962" s="13"/>
      <c r="C962" s="13"/>
      <c r="D962" s="14"/>
      <c r="E962" s="15"/>
      <c r="F962" s="15"/>
      <c r="G962" s="15"/>
      <c r="H962" s="15"/>
      <c r="I962" s="15"/>
      <c r="J962" s="15"/>
      <c r="K962" s="16" t="str">
        <f aca="false">IF(A962="","",F962+G962+H962+I962)</f>
        <v/>
      </c>
      <c r="L962" s="17" t="str">
        <f aca="false">IF(OR(K962="",E962=0,E962=""),"",K962/E962)</f>
        <v/>
      </c>
      <c r="M962" s="18" t="str">
        <f aca="false">IF(OR(A962="",E962=""),"",E962+ROW()/1000000)</f>
        <v/>
      </c>
    </row>
    <row r="963" customFormat="false" ht="15" hidden="false" customHeight="false" outlineLevel="0" collapsed="false">
      <c r="A963" s="12"/>
      <c r="B963" s="13"/>
      <c r="C963" s="13"/>
      <c r="D963" s="14"/>
      <c r="E963" s="15"/>
      <c r="F963" s="15"/>
      <c r="G963" s="15"/>
      <c r="H963" s="15"/>
      <c r="I963" s="15"/>
      <c r="J963" s="15"/>
      <c r="K963" s="16" t="str">
        <f aca="false">IF(A963="","",F963+G963+H963+I963)</f>
        <v/>
      </c>
      <c r="L963" s="17" t="str">
        <f aca="false">IF(OR(K963="",E963=0,E963=""),"",K963/E963)</f>
        <v/>
      </c>
      <c r="M963" s="18" t="str">
        <f aca="false">IF(OR(A963="",E963=""),"",E963+ROW()/1000000)</f>
        <v/>
      </c>
    </row>
    <row r="964" customFormat="false" ht="15" hidden="false" customHeight="false" outlineLevel="0" collapsed="false">
      <c r="A964" s="12"/>
      <c r="B964" s="13"/>
      <c r="C964" s="13"/>
      <c r="D964" s="14"/>
      <c r="E964" s="15"/>
      <c r="F964" s="15"/>
      <c r="G964" s="15"/>
      <c r="H964" s="15"/>
      <c r="I964" s="15"/>
      <c r="J964" s="15"/>
      <c r="K964" s="16" t="str">
        <f aca="false">IF(A964="","",F964+G964+H964+I964)</f>
        <v/>
      </c>
      <c r="L964" s="17" t="str">
        <f aca="false">IF(OR(K964="",E964=0,E964=""),"",K964/E964)</f>
        <v/>
      </c>
      <c r="M964" s="18" t="str">
        <f aca="false">IF(OR(A964="",E964=""),"",E964+ROW()/1000000)</f>
        <v/>
      </c>
    </row>
    <row r="965" customFormat="false" ht="15" hidden="false" customHeight="false" outlineLevel="0" collapsed="false">
      <c r="A965" s="12"/>
      <c r="B965" s="13"/>
      <c r="C965" s="13"/>
      <c r="D965" s="14"/>
      <c r="E965" s="15"/>
      <c r="F965" s="15"/>
      <c r="G965" s="15"/>
      <c r="H965" s="15"/>
      <c r="I965" s="15"/>
      <c r="J965" s="15"/>
      <c r="K965" s="16" t="str">
        <f aca="false">IF(A965="","",F965+G965+H965+I965)</f>
        <v/>
      </c>
      <c r="L965" s="17" t="str">
        <f aca="false">IF(OR(K965="",E965=0,E965=""),"",K965/E965)</f>
        <v/>
      </c>
      <c r="M965" s="18" t="str">
        <f aca="false">IF(OR(A965="",E965=""),"",E965+ROW()/1000000)</f>
        <v/>
      </c>
    </row>
    <row r="966" customFormat="false" ht="15" hidden="false" customHeight="false" outlineLevel="0" collapsed="false">
      <c r="A966" s="12"/>
      <c r="B966" s="13"/>
      <c r="C966" s="13"/>
      <c r="D966" s="14"/>
      <c r="E966" s="15"/>
      <c r="F966" s="15"/>
      <c r="G966" s="15"/>
      <c r="H966" s="15"/>
      <c r="I966" s="15"/>
      <c r="J966" s="15"/>
      <c r="K966" s="16" t="str">
        <f aca="false">IF(A966="","",F966+G966+H966+I966)</f>
        <v/>
      </c>
      <c r="L966" s="17" t="str">
        <f aca="false">IF(OR(K966="",E966=0,E966=""),"",K966/E966)</f>
        <v/>
      </c>
      <c r="M966" s="18" t="str">
        <f aca="false">IF(OR(A966="",E966=""),"",E966+ROW()/1000000)</f>
        <v/>
      </c>
    </row>
    <row r="967" customFormat="false" ht="15" hidden="false" customHeight="false" outlineLevel="0" collapsed="false">
      <c r="A967" s="12"/>
      <c r="B967" s="13"/>
      <c r="C967" s="13"/>
      <c r="D967" s="14"/>
      <c r="E967" s="15"/>
      <c r="F967" s="15"/>
      <c r="G967" s="15"/>
      <c r="H967" s="15"/>
      <c r="I967" s="15"/>
      <c r="J967" s="15"/>
      <c r="K967" s="16" t="str">
        <f aca="false">IF(A967="","",F967+G967+H967+I967)</f>
        <v/>
      </c>
      <c r="L967" s="17" t="str">
        <f aca="false">IF(OR(K967="",E967=0,E967=""),"",K967/E967)</f>
        <v/>
      </c>
      <c r="M967" s="18" t="str">
        <f aca="false">IF(OR(A967="",E967=""),"",E967+ROW()/1000000)</f>
        <v/>
      </c>
    </row>
    <row r="968" customFormat="false" ht="15" hidden="false" customHeight="false" outlineLevel="0" collapsed="false">
      <c r="A968" s="12"/>
      <c r="B968" s="13"/>
      <c r="C968" s="13"/>
      <c r="D968" s="14"/>
      <c r="E968" s="15"/>
      <c r="F968" s="15"/>
      <c r="G968" s="15"/>
      <c r="H968" s="15"/>
      <c r="I968" s="15"/>
      <c r="J968" s="15"/>
      <c r="K968" s="16" t="str">
        <f aca="false">IF(A968="","",F968+G968+H968+I968)</f>
        <v/>
      </c>
      <c r="L968" s="17" t="str">
        <f aca="false">IF(OR(K968="",E968=0,E968=""),"",K968/E968)</f>
        <v/>
      </c>
      <c r="M968" s="18" t="str">
        <f aca="false">IF(OR(A968="",E968=""),"",E968+ROW()/1000000)</f>
        <v/>
      </c>
    </row>
    <row r="969" customFormat="false" ht="15" hidden="false" customHeight="false" outlineLevel="0" collapsed="false">
      <c r="A969" s="12"/>
      <c r="B969" s="13"/>
      <c r="C969" s="13"/>
      <c r="D969" s="14"/>
      <c r="E969" s="15"/>
      <c r="F969" s="15"/>
      <c r="G969" s="15"/>
      <c r="H969" s="15"/>
      <c r="I969" s="15"/>
      <c r="J969" s="15"/>
      <c r="K969" s="16" t="str">
        <f aca="false">IF(A969="","",F969+G969+H969+I969)</f>
        <v/>
      </c>
      <c r="L969" s="17" t="str">
        <f aca="false">IF(OR(K969="",E969=0,E969=""),"",K969/E969)</f>
        <v/>
      </c>
      <c r="M969" s="18" t="str">
        <f aca="false">IF(OR(A969="",E969=""),"",E969+ROW()/1000000)</f>
        <v/>
      </c>
    </row>
    <row r="970" customFormat="false" ht="15" hidden="false" customHeight="false" outlineLevel="0" collapsed="false">
      <c r="A970" s="12"/>
      <c r="B970" s="13"/>
      <c r="C970" s="13"/>
      <c r="D970" s="14"/>
      <c r="E970" s="15"/>
      <c r="F970" s="15"/>
      <c r="G970" s="15"/>
      <c r="H970" s="15"/>
      <c r="I970" s="15"/>
      <c r="J970" s="15"/>
      <c r="K970" s="16" t="str">
        <f aca="false">IF(A970="","",F970+G970+H970+I970)</f>
        <v/>
      </c>
      <c r="L970" s="17" t="str">
        <f aca="false">IF(OR(K970="",E970=0,E970=""),"",K970/E970)</f>
        <v/>
      </c>
      <c r="M970" s="18" t="str">
        <f aca="false">IF(OR(A970="",E970=""),"",E970+ROW()/1000000)</f>
        <v/>
      </c>
    </row>
    <row r="971" customFormat="false" ht="15" hidden="false" customHeight="false" outlineLevel="0" collapsed="false">
      <c r="A971" s="12"/>
      <c r="B971" s="13"/>
      <c r="C971" s="13"/>
      <c r="D971" s="14"/>
      <c r="E971" s="15"/>
      <c r="F971" s="15"/>
      <c r="G971" s="15"/>
      <c r="H971" s="15"/>
      <c r="I971" s="15"/>
      <c r="J971" s="15"/>
      <c r="K971" s="16" t="str">
        <f aca="false">IF(A971="","",F971+G971+H971+I971)</f>
        <v/>
      </c>
      <c r="L971" s="17" t="str">
        <f aca="false">IF(OR(K971="",E971=0,E971=""),"",K971/E971)</f>
        <v/>
      </c>
      <c r="M971" s="18" t="str">
        <f aca="false">IF(OR(A971="",E971=""),"",E971+ROW()/1000000)</f>
        <v/>
      </c>
    </row>
    <row r="972" customFormat="false" ht="15" hidden="false" customHeight="false" outlineLevel="0" collapsed="false">
      <c r="A972" s="12"/>
      <c r="B972" s="13"/>
      <c r="C972" s="13"/>
      <c r="D972" s="14"/>
      <c r="E972" s="15"/>
      <c r="F972" s="15"/>
      <c r="G972" s="15"/>
      <c r="H972" s="15"/>
      <c r="I972" s="15"/>
      <c r="J972" s="15"/>
      <c r="K972" s="16" t="str">
        <f aca="false">IF(A972="","",F972+G972+H972+I972)</f>
        <v/>
      </c>
      <c r="L972" s="17" t="str">
        <f aca="false">IF(OR(K972="",E972=0,E972=""),"",K972/E972)</f>
        <v/>
      </c>
      <c r="M972" s="18" t="str">
        <f aca="false">IF(OR(A972="",E972=""),"",E972+ROW()/1000000)</f>
        <v/>
      </c>
    </row>
    <row r="973" customFormat="false" ht="15" hidden="false" customHeight="false" outlineLevel="0" collapsed="false">
      <c r="A973" s="12"/>
      <c r="B973" s="13"/>
      <c r="C973" s="13"/>
      <c r="D973" s="14"/>
      <c r="E973" s="15"/>
      <c r="F973" s="15"/>
      <c r="G973" s="15"/>
      <c r="H973" s="15"/>
      <c r="I973" s="15"/>
      <c r="J973" s="15"/>
      <c r="K973" s="16" t="str">
        <f aca="false">IF(A973="","",F973+G973+H973+I973)</f>
        <v/>
      </c>
      <c r="L973" s="17" t="str">
        <f aca="false">IF(OR(K973="",E973=0,E973=""),"",K973/E973)</f>
        <v/>
      </c>
      <c r="M973" s="18" t="str">
        <f aca="false">IF(OR(A973="",E973=""),"",E973+ROW()/1000000)</f>
        <v/>
      </c>
    </row>
    <row r="974" customFormat="false" ht="15" hidden="false" customHeight="false" outlineLevel="0" collapsed="false">
      <c r="A974" s="12"/>
      <c r="B974" s="13"/>
      <c r="C974" s="13"/>
      <c r="D974" s="14"/>
      <c r="E974" s="15"/>
      <c r="F974" s="15"/>
      <c r="G974" s="15"/>
      <c r="H974" s="15"/>
      <c r="I974" s="15"/>
      <c r="J974" s="15"/>
      <c r="K974" s="16" t="str">
        <f aca="false">IF(A974="","",F974+G974+H974+I974)</f>
        <v/>
      </c>
      <c r="L974" s="17" t="str">
        <f aca="false">IF(OR(K974="",E974=0,E974=""),"",K974/E974)</f>
        <v/>
      </c>
      <c r="M974" s="18" t="str">
        <f aca="false">IF(OR(A974="",E974=""),"",E974+ROW()/1000000)</f>
        <v/>
      </c>
    </row>
    <row r="975" customFormat="false" ht="15" hidden="false" customHeight="false" outlineLevel="0" collapsed="false">
      <c r="A975" s="12"/>
      <c r="B975" s="13"/>
      <c r="C975" s="13"/>
      <c r="D975" s="14"/>
      <c r="E975" s="15"/>
      <c r="F975" s="15"/>
      <c r="G975" s="15"/>
      <c r="H975" s="15"/>
      <c r="I975" s="15"/>
      <c r="J975" s="15"/>
      <c r="K975" s="16" t="str">
        <f aca="false">IF(A975="","",F975+G975+H975+I975)</f>
        <v/>
      </c>
      <c r="L975" s="17" t="str">
        <f aca="false">IF(OR(K975="",E975=0,E975=""),"",K975/E975)</f>
        <v/>
      </c>
      <c r="M975" s="18" t="str">
        <f aca="false">IF(OR(A975="",E975=""),"",E975+ROW()/1000000)</f>
        <v/>
      </c>
    </row>
    <row r="976" customFormat="false" ht="15" hidden="false" customHeight="false" outlineLevel="0" collapsed="false">
      <c r="A976" s="12"/>
      <c r="B976" s="13"/>
      <c r="C976" s="13"/>
      <c r="D976" s="14"/>
      <c r="E976" s="15"/>
      <c r="F976" s="15"/>
      <c r="G976" s="15"/>
      <c r="H976" s="15"/>
      <c r="I976" s="15"/>
      <c r="J976" s="15"/>
      <c r="K976" s="16" t="str">
        <f aca="false">IF(A976="","",F976+G976+H976+I976)</f>
        <v/>
      </c>
      <c r="L976" s="17" t="str">
        <f aca="false">IF(OR(K976="",E976=0,E976=""),"",K976/E976)</f>
        <v/>
      </c>
      <c r="M976" s="18" t="str">
        <f aca="false">IF(OR(A976="",E976=""),"",E976+ROW()/1000000)</f>
        <v/>
      </c>
    </row>
    <row r="977" customFormat="false" ht="15" hidden="false" customHeight="false" outlineLevel="0" collapsed="false">
      <c r="A977" s="12"/>
      <c r="B977" s="13"/>
      <c r="C977" s="13"/>
      <c r="D977" s="14"/>
      <c r="E977" s="15"/>
      <c r="F977" s="15"/>
      <c r="G977" s="15"/>
      <c r="H977" s="15"/>
      <c r="I977" s="15"/>
      <c r="J977" s="15"/>
      <c r="K977" s="16" t="str">
        <f aca="false">IF(A977="","",F977+G977+H977+I977)</f>
        <v/>
      </c>
      <c r="L977" s="17" t="str">
        <f aca="false">IF(OR(K977="",E977=0,E977=""),"",K977/E977)</f>
        <v/>
      </c>
      <c r="M977" s="18" t="str">
        <f aca="false">IF(OR(A977="",E977=""),"",E977+ROW()/1000000)</f>
        <v/>
      </c>
    </row>
    <row r="978" customFormat="false" ht="15" hidden="false" customHeight="false" outlineLevel="0" collapsed="false">
      <c r="A978" s="12"/>
      <c r="B978" s="13"/>
      <c r="C978" s="13"/>
      <c r="D978" s="14"/>
      <c r="E978" s="15"/>
      <c r="F978" s="15"/>
      <c r="G978" s="15"/>
      <c r="H978" s="15"/>
      <c r="I978" s="15"/>
      <c r="J978" s="15"/>
      <c r="K978" s="16" t="str">
        <f aca="false">IF(A978="","",F978+G978+H978+I978)</f>
        <v/>
      </c>
      <c r="L978" s="17" t="str">
        <f aca="false">IF(OR(K978="",E978=0,E978=""),"",K978/E978)</f>
        <v/>
      </c>
      <c r="M978" s="18" t="str">
        <f aca="false">IF(OR(A978="",E978=""),"",E978+ROW()/1000000)</f>
        <v/>
      </c>
    </row>
    <row r="979" customFormat="false" ht="15" hidden="false" customHeight="false" outlineLevel="0" collapsed="false">
      <c r="A979" s="12"/>
      <c r="B979" s="13"/>
      <c r="C979" s="13"/>
      <c r="D979" s="14"/>
      <c r="E979" s="15"/>
      <c r="F979" s="15"/>
      <c r="G979" s="15"/>
      <c r="H979" s="15"/>
      <c r="I979" s="15"/>
      <c r="J979" s="15"/>
      <c r="K979" s="16" t="str">
        <f aca="false">IF(A979="","",F979+G979+H979+I979)</f>
        <v/>
      </c>
      <c r="L979" s="17" t="str">
        <f aca="false">IF(OR(K979="",E979=0,E979=""),"",K979/E979)</f>
        <v/>
      </c>
      <c r="M979" s="18" t="str">
        <f aca="false">IF(OR(A979="",E979=""),"",E979+ROW()/1000000)</f>
        <v/>
      </c>
    </row>
    <row r="980" customFormat="false" ht="15" hidden="false" customHeight="false" outlineLevel="0" collapsed="false">
      <c r="A980" s="12"/>
      <c r="B980" s="13"/>
      <c r="C980" s="13"/>
      <c r="D980" s="14"/>
      <c r="E980" s="15"/>
      <c r="F980" s="15"/>
      <c r="G980" s="15"/>
      <c r="H980" s="15"/>
      <c r="I980" s="15"/>
      <c r="J980" s="15"/>
      <c r="K980" s="16" t="str">
        <f aca="false">IF(A980="","",F980+G980+H980+I980)</f>
        <v/>
      </c>
      <c r="L980" s="17" t="str">
        <f aca="false">IF(OR(K980="",E980=0,E980=""),"",K980/E980)</f>
        <v/>
      </c>
      <c r="M980" s="18" t="str">
        <f aca="false">IF(OR(A980="",E980=""),"",E980+ROW()/1000000)</f>
        <v/>
      </c>
    </row>
    <row r="981" customFormat="false" ht="15" hidden="false" customHeight="false" outlineLevel="0" collapsed="false">
      <c r="A981" s="12"/>
      <c r="B981" s="13"/>
      <c r="C981" s="13"/>
      <c r="D981" s="14"/>
      <c r="E981" s="15"/>
      <c r="F981" s="15"/>
      <c r="G981" s="15"/>
      <c r="H981" s="15"/>
      <c r="I981" s="15"/>
      <c r="J981" s="15"/>
      <c r="K981" s="16" t="str">
        <f aca="false">IF(A981="","",F981+G981+H981+I981)</f>
        <v/>
      </c>
      <c r="L981" s="17" t="str">
        <f aca="false">IF(OR(K981="",E981=0,E981=""),"",K981/E981)</f>
        <v/>
      </c>
      <c r="M981" s="18" t="str">
        <f aca="false">IF(OR(A981="",E981=""),"",E981+ROW()/1000000)</f>
        <v/>
      </c>
    </row>
    <row r="982" customFormat="false" ht="15" hidden="false" customHeight="false" outlineLevel="0" collapsed="false">
      <c r="A982" s="12"/>
      <c r="B982" s="13"/>
      <c r="C982" s="13"/>
      <c r="D982" s="14"/>
      <c r="E982" s="15"/>
      <c r="F982" s="15"/>
      <c r="G982" s="15"/>
      <c r="H982" s="15"/>
      <c r="I982" s="15"/>
      <c r="J982" s="15"/>
      <c r="K982" s="16" t="str">
        <f aca="false">IF(A982="","",F982+G982+H982+I982)</f>
        <v/>
      </c>
      <c r="L982" s="17" t="str">
        <f aca="false">IF(OR(K982="",E982=0,E982=""),"",K982/E982)</f>
        <v/>
      </c>
      <c r="M982" s="18" t="str">
        <f aca="false">IF(OR(A982="",E982=""),"",E982+ROW()/1000000)</f>
        <v/>
      </c>
    </row>
    <row r="983" customFormat="false" ht="15" hidden="false" customHeight="false" outlineLevel="0" collapsed="false">
      <c r="A983" s="12"/>
      <c r="B983" s="13"/>
      <c r="C983" s="13"/>
      <c r="D983" s="14"/>
      <c r="E983" s="15"/>
      <c r="F983" s="15"/>
      <c r="G983" s="15"/>
      <c r="H983" s="15"/>
      <c r="I983" s="15"/>
      <c r="J983" s="15"/>
      <c r="K983" s="16" t="str">
        <f aca="false">IF(A983="","",F983+G983+H983+I983)</f>
        <v/>
      </c>
      <c r="L983" s="17" t="str">
        <f aca="false">IF(OR(K983="",E983=0,E983=""),"",K983/E983)</f>
        <v/>
      </c>
      <c r="M983" s="18" t="str">
        <f aca="false">IF(OR(A983="",E983=""),"",E983+ROW()/1000000)</f>
        <v/>
      </c>
    </row>
    <row r="984" customFormat="false" ht="15" hidden="false" customHeight="false" outlineLevel="0" collapsed="false">
      <c r="A984" s="12"/>
      <c r="B984" s="13"/>
      <c r="C984" s="13"/>
      <c r="D984" s="14"/>
      <c r="E984" s="15"/>
      <c r="F984" s="15"/>
      <c r="G984" s="15"/>
      <c r="H984" s="15"/>
      <c r="I984" s="15"/>
      <c r="J984" s="15"/>
      <c r="K984" s="16" t="str">
        <f aca="false">IF(A984="","",F984+G984+H984+I984)</f>
        <v/>
      </c>
      <c r="L984" s="17" t="str">
        <f aca="false">IF(OR(K984="",E984=0,E984=""),"",K984/E984)</f>
        <v/>
      </c>
      <c r="M984" s="18" t="str">
        <f aca="false">IF(OR(A984="",E984=""),"",E984+ROW()/1000000)</f>
        <v/>
      </c>
    </row>
    <row r="985" customFormat="false" ht="15" hidden="false" customHeight="false" outlineLevel="0" collapsed="false">
      <c r="A985" s="12"/>
      <c r="B985" s="13"/>
      <c r="C985" s="13"/>
      <c r="D985" s="14"/>
      <c r="E985" s="15"/>
      <c r="F985" s="15"/>
      <c r="G985" s="15"/>
      <c r="H985" s="15"/>
      <c r="I985" s="15"/>
      <c r="J985" s="15"/>
      <c r="K985" s="16" t="str">
        <f aca="false">IF(A985="","",F985+G985+H985+I985)</f>
        <v/>
      </c>
      <c r="L985" s="17" t="str">
        <f aca="false">IF(OR(K985="",E985=0,E985=""),"",K985/E985)</f>
        <v/>
      </c>
      <c r="M985" s="18" t="str">
        <f aca="false">IF(OR(A985="",E985=""),"",E985+ROW()/1000000)</f>
        <v/>
      </c>
    </row>
    <row r="986" customFormat="false" ht="15" hidden="false" customHeight="false" outlineLevel="0" collapsed="false">
      <c r="A986" s="12"/>
      <c r="B986" s="13"/>
      <c r="C986" s="13"/>
      <c r="D986" s="14"/>
      <c r="E986" s="15"/>
      <c r="F986" s="15"/>
      <c r="G986" s="15"/>
      <c r="H986" s="15"/>
      <c r="I986" s="15"/>
      <c r="J986" s="15"/>
      <c r="K986" s="16" t="str">
        <f aca="false">IF(A986="","",F986+G986+H986+I986)</f>
        <v/>
      </c>
      <c r="L986" s="17" t="str">
        <f aca="false">IF(OR(K986="",E986=0,E986=""),"",K986/E986)</f>
        <v/>
      </c>
      <c r="M986" s="18" t="str">
        <f aca="false">IF(OR(A986="",E986=""),"",E986+ROW()/1000000)</f>
        <v/>
      </c>
    </row>
    <row r="987" customFormat="false" ht="15" hidden="false" customHeight="false" outlineLevel="0" collapsed="false">
      <c r="A987" s="12"/>
      <c r="B987" s="13"/>
      <c r="C987" s="13"/>
      <c r="D987" s="14"/>
      <c r="E987" s="15"/>
      <c r="F987" s="15"/>
      <c r="G987" s="15"/>
      <c r="H987" s="15"/>
      <c r="I987" s="15"/>
      <c r="J987" s="15"/>
      <c r="K987" s="16" t="str">
        <f aca="false">IF(A987="","",F987+G987+H987+I987)</f>
        <v/>
      </c>
      <c r="L987" s="17" t="str">
        <f aca="false">IF(OR(K987="",E987=0,E987=""),"",K987/E987)</f>
        <v/>
      </c>
      <c r="M987" s="18" t="str">
        <f aca="false">IF(OR(A987="",E987=""),"",E987+ROW()/1000000)</f>
        <v/>
      </c>
    </row>
    <row r="988" customFormat="false" ht="15" hidden="false" customHeight="false" outlineLevel="0" collapsed="false">
      <c r="A988" s="12"/>
      <c r="B988" s="13"/>
      <c r="C988" s="13"/>
      <c r="D988" s="14"/>
      <c r="E988" s="15"/>
      <c r="F988" s="15"/>
      <c r="G988" s="15"/>
      <c r="H988" s="15"/>
      <c r="I988" s="15"/>
      <c r="J988" s="15"/>
      <c r="K988" s="16" t="str">
        <f aca="false">IF(A988="","",F988+G988+H988+I988)</f>
        <v/>
      </c>
      <c r="L988" s="17" t="str">
        <f aca="false">IF(OR(K988="",E988=0,E988=""),"",K988/E988)</f>
        <v/>
      </c>
      <c r="M988" s="18" t="str">
        <f aca="false">IF(OR(A988="",E988=""),"",E988+ROW()/1000000)</f>
        <v/>
      </c>
    </row>
    <row r="989" customFormat="false" ht="15" hidden="false" customHeight="false" outlineLevel="0" collapsed="false">
      <c r="A989" s="12"/>
      <c r="B989" s="13"/>
      <c r="C989" s="13"/>
      <c r="D989" s="14"/>
      <c r="E989" s="15"/>
      <c r="F989" s="15"/>
      <c r="G989" s="15"/>
      <c r="H989" s="15"/>
      <c r="I989" s="15"/>
      <c r="J989" s="15"/>
      <c r="K989" s="16" t="str">
        <f aca="false">IF(A989="","",F989+G989+H989+I989)</f>
        <v/>
      </c>
      <c r="L989" s="17" t="str">
        <f aca="false">IF(OR(K989="",E989=0,E989=""),"",K989/E989)</f>
        <v/>
      </c>
      <c r="M989" s="18" t="str">
        <f aca="false">IF(OR(A989="",E989=""),"",E989+ROW()/1000000)</f>
        <v/>
      </c>
    </row>
    <row r="990" customFormat="false" ht="15" hidden="false" customHeight="false" outlineLevel="0" collapsed="false">
      <c r="A990" s="12"/>
      <c r="B990" s="13"/>
      <c r="C990" s="13"/>
      <c r="D990" s="14"/>
      <c r="E990" s="15"/>
      <c r="F990" s="15"/>
      <c r="G990" s="15"/>
      <c r="H990" s="15"/>
      <c r="I990" s="15"/>
      <c r="J990" s="15"/>
      <c r="K990" s="16" t="str">
        <f aca="false">IF(A990="","",F990+G990+H990+I990)</f>
        <v/>
      </c>
      <c r="L990" s="17" t="str">
        <f aca="false">IF(OR(K990="",E990=0,E990=""),"",K990/E990)</f>
        <v/>
      </c>
      <c r="M990" s="18" t="str">
        <f aca="false">IF(OR(A990="",E990=""),"",E990+ROW()/1000000)</f>
        <v/>
      </c>
    </row>
    <row r="991" customFormat="false" ht="15" hidden="false" customHeight="false" outlineLevel="0" collapsed="false">
      <c r="A991" s="12"/>
      <c r="B991" s="13"/>
      <c r="C991" s="13"/>
      <c r="D991" s="14"/>
      <c r="E991" s="15"/>
      <c r="F991" s="15"/>
      <c r="G991" s="15"/>
      <c r="H991" s="15"/>
      <c r="I991" s="15"/>
      <c r="J991" s="15"/>
      <c r="K991" s="16" t="str">
        <f aca="false">IF(A991="","",F991+G991+H991+I991)</f>
        <v/>
      </c>
      <c r="L991" s="17" t="str">
        <f aca="false">IF(OR(K991="",E991=0,E991=""),"",K991/E991)</f>
        <v/>
      </c>
      <c r="M991" s="18" t="str">
        <f aca="false">IF(OR(A991="",E991=""),"",E991+ROW()/1000000)</f>
        <v/>
      </c>
    </row>
    <row r="992" customFormat="false" ht="15" hidden="false" customHeight="false" outlineLevel="0" collapsed="false">
      <c r="A992" s="12"/>
      <c r="B992" s="13"/>
      <c r="C992" s="13"/>
      <c r="D992" s="14"/>
      <c r="E992" s="15"/>
      <c r="F992" s="15"/>
      <c r="G992" s="15"/>
      <c r="H992" s="15"/>
      <c r="I992" s="15"/>
      <c r="J992" s="15"/>
      <c r="K992" s="16" t="str">
        <f aca="false">IF(A992="","",F992+G992+H992+I992)</f>
        <v/>
      </c>
      <c r="L992" s="17" t="str">
        <f aca="false">IF(OR(K992="",E992=0,E992=""),"",K992/E992)</f>
        <v/>
      </c>
      <c r="M992" s="18" t="str">
        <f aca="false">IF(OR(A992="",E992=""),"",E992+ROW()/1000000)</f>
        <v/>
      </c>
    </row>
    <row r="993" customFormat="false" ht="15" hidden="false" customHeight="false" outlineLevel="0" collapsed="false">
      <c r="A993" s="12"/>
      <c r="B993" s="13"/>
      <c r="C993" s="13"/>
      <c r="D993" s="14"/>
      <c r="E993" s="15"/>
      <c r="F993" s="15"/>
      <c r="G993" s="15"/>
      <c r="H993" s="15"/>
      <c r="I993" s="15"/>
      <c r="J993" s="15"/>
      <c r="K993" s="16" t="str">
        <f aca="false">IF(A993="","",F993+G993+H993+I993)</f>
        <v/>
      </c>
      <c r="L993" s="17" t="str">
        <f aca="false">IF(OR(K993="",E993=0,E993=""),"",K993/E993)</f>
        <v/>
      </c>
      <c r="M993" s="18" t="str">
        <f aca="false">IF(OR(A993="",E993=""),"",E993+ROW()/1000000)</f>
        <v/>
      </c>
    </row>
    <row r="994" customFormat="false" ht="15" hidden="false" customHeight="false" outlineLevel="0" collapsed="false">
      <c r="A994" s="12"/>
      <c r="B994" s="13"/>
      <c r="C994" s="13"/>
      <c r="D994" s="14"/>
      <c r="E994" s="15"/>
      <c r="F994" s="15"/>
      <c r="G994" s="15"/>
      <c r="H994" s="15"/>
      <c r="I994" s="15"/>
      <c r="J994" s="15"/>
      <c r="K994" s="16" t="str">
        <f aca="false">IF(A994="","",F994+G994+H994+I994)</f>
        <v/>
      </c>
      <c r="L994" s="17" t="str">
        <f aca="false">IF(OR(K994="",E994=0,E994=""),"",K994/E994)</f>
        <v/>
      </c>
      <c r="M994" s="18" t="str">
        <f aca="false">IF(OR(A994="",E994=""),"",E994+ROW()/1000000)</f>
        <v/>
      </c>
    </row>
    <row r="995" customFormat="false" ht="15" hidden="false" customHeight="false" outlineLevel="0" collapsed="false">
      <c r="A995" s="12"/>
      <c r="B995" s="13"/>
      <c r="C995" s="13"/>
      <c r="D995" s="14"/>
      <c r="E995" s="15"/>
      <c r="F995" s="15"/>
      <c r="G995" s="15"/>
      <c r="H995" s="15"/>
      <c r="I995" s="15"/>
      <c r="J995" s="15"/>
      <c r="K995" s="16" t="str">
        <f aca="false">IF(A995="","",F995+G995+H995+I995)</f>
        <v/>
      </c>
      <c r="L995" s="17" t="str">
        <f aca="false">IF(OR(K995="",E995=0,E995=""),"",K995/E995)</f>
        <v/>
      </c>
      <c r="M995" s="18" t="str">
        <f aca="false">IF(OR(A995="",E995=""),"",E995+ROW()/1000000)</f>
        <v/>
      </c>
    </row>
    <row r="996" customFormat="false" ht="15" hidden="false" customHeight="false" outlineLevel="0" collapsed="false">
      <c r="A996" s="12"/>
      <c r="B996" s="13"/>
      <c r="C996" s="13"/>
      <c r="D996" s="14"/>
      <c r="E996" s="15"/>
      <c r="F996" s="15"/>
      <c r="G996" s="15"/>
      <c r="H996" s="15"/>
      <c r="I996" s="15"/>
      <c r="J996" s="15"/>
      <c r="K996" s="16" t="str">
        <f aca="false">IF(A996="","",F996+G996+H996+I996)</f>
        <v/>
      </c>
      <c r="L996" s="17" t="str">
        <f aca="false">IF(OR(K996="",E996=0,E996=""),"",K996/E996)</f>
        <v/>
      </c>
      <c r="M996" s="18" t="str">
        <f aca="false">IF(OR(A996="",E996=""),"",E996+ROW()/1000000)</f>
        <v/>
      </c>
    </row>
    <row r="997" customFormat="false" ht="15" hidden="false" customHeight="false" outlineLevel="0" collapsed="false">
      <c r="A997" s="12"/>
      <c r="B997" s="13"/>
      <c r="C997" s="13"/>
      <c r="D997" s="14"/>
      <c r="E997" s="15"/>
      <c r="F997" s="15"/>
      <c r="G997" s="15"/>
      <c r="H997" s="15"/>
      <c r="I997" s="15"/>
      <c r="J997" s="15"/>
      <c r="K997" s="16" t="str">
        <f aca="false">IF(A997="","",F997+G997+H997+I997)</f>
        <v/>
      </c>
      <c r="L997" s="17" t="str">
        <f aca="false">IF(OR(K997="",E997=0,E997=""),"",K997/E997)</f>
        <v/>
      </c>
      <c r="M997" s="18" t="str">
        <f aca="false">IF(OR(A997="",E997=""),"",E997+ROW()/1000000)</f>
        <v/>
      </c>
    </row>
    <row r="998" customFormat="false" ht="15" hidden="false" customHeight="false" outlineLevel="0" collapsed="false">
      <c r="A998" s="12"/>
      <c r="B998" s="13"/>
      <c r="C998" s="13"/>
      <c r="D998" s="14"/>
      <c r="E998" s="15"/>
      <c r="F998" s="15"/>
      <c r="G998" s="15"/>
      <c r="H998" s="15"/>
      <c r="I998" s="15"/>
      <c r="J998" s="15"/>
      <c r="K998" s="16" t="str">
        <f aca="false">IF(A998="","",F998+G998+H998+I998)</f>
        <v/>
      </c>
      <c r="L998" s="17" t="str">
        <f aca="false">IF(OR(K998="",E998=0,E998=""),"",K998/E998)</f>
        <v/>
      </c>
      <c r="M998" s="18" t="str">
        <f aca="false">IF(OR(A998="",E998=""),"",E998+ROW()/1000000)</f>
        <v/>
      </c>
    </row>
    <row r="999" customFormat="false" ht="15" hidden="false" customHeight="false" outlineLevel="0" collapsed="false">
      <c r="A999" s="12"/>
      <c r="B999" s="13"/>
      <c r="C999" s="13"/>
      <c r="D999" s="14"/>
      <c r="E999" s="15"/>
      <c r="F999" s="15"/>
      <c r="G999" s="15"/>
      <c r="H999" s="15"/>
      <c r="I999" s="15"/>
      <c r="J999" s="15"/>
      <c r="K999" s="16" t="str">
        <f aca="false">IF(A999="","",F999+G999+H999+I999)</f>
        <v/>
      </c>
      <c r="L999" s="17" t="str">
        <f aca="false">IF(OR(K999="",E999=0,E999=""),"",K999/E999)</f>
        <v/>
      </c>
      <c r="M999" s="18" t="str">
        <f aca="false">IF(OR(A999="",E999=""),"",E999+ROW()/1000000)</f>
        <v/>
      </c>
    </row>
    <row r="1000" customFormat="false" ht="15" hidden="false" customHeight="false" outlineLevel="0" collapsed="false">
      <c r="A1000" s="12"/>
      <c r="B1000" s="13"/>
      <c r="C1000" s="13"/>
      <c r="D1000" s="14"/>
      <c r="E1000" s="15"/>
      <c r="F1000" s="15"/>
      <c r="G1000" s="15"/>
      <c r="H1000" s="15"/>
      <c r="I1000" s="15"/>
      <c r="J1000" s="15"/>
      <c r="K1000" s="16" t="str">
        <f aca="false">IF(A1000="","",F1000+G1000+H1000+I1000)</f>
        <v/>
      </c>
      <c r="L1000" s="17" t="str">
        <f aca="false">IF(OR(K1000="",E1000=0,E1000=""),"",K1000/E1000)</f>
        <v/>
      </c>
      <c r="M1000" s="18" t="str">
        <f aca="false">IF(OR(A1000="",E1000=""),"",E1000+ROW()/1000000)</f>
        <v/>
      </c>
    </row>
    <row r="1001" customFormat="false" ht="15" hidden="false" customHeight="false" outlineLevel="0" collapsed="false">
      <c r="A1001" s="12"/>
      <c r="B1001" s="13"/>
      <c r="C1001" s="13"/>
      <c r="D1001" s="14"/>
      <c r="E1001" s="15"/>
      <c r="F1001" s="15"/>
      <c r="G1001" s="15"/>
      <c r="H1001" s="15"/>
      <c r="I1001" s="15"/>
      <c r="J1001" s="15"/>
      <c r="K1001" s="16" t="str">
        <f aca="false">IF(A1001="","",F1001+G1001+H1001+I1001)</f>
        <v/>
      </c>
      <c r="L1001" s="17" t="str">
        <f aca="false">IF(OR(K1001="",E1001=0,E1001=""),"",K1001/E1001)</f>
        <v/>
      </c>
      <c r="M1001" s="18" t="str">
        <f aca="false">IF(OR(A1001="",E1001=""),"",E1001+ROW()/1000000)</f>
        <v/>
      </c>
    </row>
    <row r="1002" customFormat="false" ht="15" hidden="false" customHeight="false" outlineLevel="0" collapsed="false">
      <c r="A1002" s="12"/>
      <c r="B1002" s="13"/>
      <c r="C1002" s="13"/>
      <c r="D1002" s="14"/>
      <c r="E1002" s="15"/>
      <c r="F1002" s="15"/>
      <c r="G1002" s="15"/>
      <c r="H1002" s="15"/>
      <c r="I1002" s="15"/>
      <c r="J1002" s="15"/>
      <c r="K1002" s="16" t="str">
        <f aca="false">IF(A1002="","",F1002+G1002+H1002+I1002)</f>
        <v/>
      </c>
      <c r="L1002" s="17" t="str">
        <f aca="false">IF(OR(K1002="",E1002=0,E1002=""),"",K1002/E1002)</f>
        <v/>
      </c>
      <c r="M1002" s="18" t="str">
        <f aca="false">IF(OR(A1002="",E1002=""),"",E1002+ROW()/1000000)</f>
        <v/>
      </c>
    </row>
    <row r="1003" customFormat="false" ht="15" hidden="false" customHeight="false" outlineLevel="0" collapsed="false">
      <c r="A1003" s="12"/>
      <c r="B1003" s="13"/>
      <c r="C1003" s="13"/>
      <c r="D1003" s="14"/>
      <c r="E1003" s="15"/>
      <c r="F1003" s="15"/>
      <c r="G1003" s="15"/>
      <c r="H1003" s="15"/>
      <c r="I1003" s="15"/>
      <c r="J1003" s="15"/>
      <c r="K1003" s="16" t="str">
        <f aca="false">IF(A1003="","",F1003+G1003+H1003+I1003)</f>
        <v/>
      </c>
      <c r="L1003" s="17" t="str">
        <f aca="false">IF(OR(K1003="",E1003=0,E1003=""),"",K1003/E1003)</f>
        <v/>
      </c>
      <c r="M1003" s="18" t="str">
        <f aca="false">IF(OR(A1003="",E1003=""),"",E1003+ROW()/1000000)</f>
        <v/>
      </c>
    </row>
    <row r="1004" customFormat="false" ht="15" hidden="false" customHeight="false" outlineLevel="0" collapsed="false">
      <c r="A1004" s="12"/>
      <c r="B1004" s="13"/>
      <c r="C1004" s="13"/>
      <c r="D1004" s="14"/>
      <c r="E1004" s="15"/>
      <c r="F1004" s="15"/>
      <c r="G1004" s="15"/>
      <c r="H1004" s="15"/>
      <c r="I1004" s="15"/>
      <c r="J1004" s="15"/>
      <c r="K1004" s="16" t="str">
        <f aca="false">IF(A1004="","",F1004+G1004+H1004+I1004)</f>
        <v/>
      </c>
      <c r="L1004" s="17" t="str">
        <f aca="false">IF(OR(K1004="",E1004=0,E1004=""),"",K1004/E1004)</f>
        <v/>
      </c>
      <c r="M1004" s="18" t="str">
        <f aca="false">IF(OR(A1004="",E1004=""),"",E1004+ROW()/1000000)</f>
        <v/>
      </c>
    </row>
    <row r="1005" customFormat="false" ht="15" hidden="false" customHeight="false" outlineLevel="0" collapsed="false">
      <c r="A1005" s="12"/>
      <c r="B1005" s="13"/>
      <c r="C1005" s="13"/>
      <c r="D1005" s="14"/>
      <c r="E1005" s="15"/>
      <c r="F1005" s="15"/>
      <c r="G1005" s="15"/>
      <c r="H1005" s="15"/>
      <c r="I1005" s="15"/>
      <c r="J1005" s="15"/>
      <c r="K1005" s="16" t="str">
        <f aca="false">IF(A1005="","",F1005+G1005+H1005+I1005)</f>
        <v/>
      </c>
      <c r="L1005" s="17" t="str">
        <f aca="false">IF(OR(K1005="",E1005=0,E1005=""),"",K1005/E1005)</f>
        <v/>
      </c>
      <c r="M1005" s="18" t="str">
        <f aca="false">IF(OR(A1005="",E1005=""),"",E1005+ROW()/1000000)</f>
        <v/>
      </c>
    </row>
    <row r="1006" customFormat="false" ht="15" hidden="false" customHeight="false" outlineLevel="0" collapsed="false">
      <c r="A1006" s="12"/>
      <c r="B1006" s="13"/>
      <c r="C1006" s="13"/>
      <c r="D1006" s="14"/>
      <c r="E1006" s="15"/>
      <c r="F1006" s="15"/>
      <c r="G1006" s="15"/>
      <c r="H1006" s="15"/>
      <c r="I1006" s="15"/>
      <c r="J1006" s="15"/>
      <c r="K1006" s="16" t="str">
        <f aca="false">IF(A1006="","",F1006+G1006+H1006+I1006)</f>
        <v/>
      </c>
      <c r="L1006" s="17" t="str">
        <f aca="false">IF(OR(K1006="",E1006=0,E1006=""),"",K1006/E1006)</f>
        <v/>
      </c>
      <c r="M1006" s="18" t="str">
        <f aca="false">IF(OR(A1006="",E1006=""),"",E1006+ROW()/1000000)</f>
        <v/>
      </c>
    </row>
    <row r="1007" customFormat="false" ht="15" hidden="false" customHeight="false" outlineLevel="0" collapsed="false">
      <c r="A1007" s="12"/>
      <c r="B1007" s="13"/>
      <c r="C1007" s="13"/>
      <c r="D1007" s="14"/>
      <c r="E1007" s="15"/>
      <c r="F1007" s="15"/>
      <c r="G1007" s="15"/>
      <c r="H1007" s="15"/>
      <c r="I1007" s="15"/>
      <c r="J1007" s="15"/>
      <c r="K1007" s="16" t="str">
        <f aca="false">IF(A1007="","",F1007+G1007+H1007+I1007)</f>
        <v/>
      </c>
      <c r="L1007" s="17" t="str">
        <f aca="false">IF(OR(K1007="",E1007=0,E1007=""),"",K1007/E1007)</f>
        <v/>
      </c>
      <c r="M1007" s="18" t="str">
        <f aca="false">IF(OR(A1007="",E1007=""),"",E1007+ROW()/1000000)</f>
        <v/>
      </c>
    </row>
    <row r="1008" customFormat="false" ht="15" hidden="false" customHeight="false" outlineLevel="0" collapsed="false">
      <c r="A1008" s="12"/>
      <c r="B1008" s="13"/>
      <c r="C1008" s="13"/>
      <c r="D1008" s="14"/>
      <c r="E1008" s="15"/>
      <c r="F1008" s="15"/>
      <c r="G1008" s="15"/>
      <c r="H1008" s="15"/>
      <c r="I1008" s="15"/>
      <c r="J1008" s="15"/>
      <c r="K1008" s="16" t="str">
        <f aca="false">IF(A1008="","",F1008+G1008+H1008+I1008)</f>
        <v/>
      </c>
      <c r="L1008" s="17" t="str">
        <f aca="false">IF(OR(K1008="",E1008=0,E1008=""),"",K1008/E1008)</f>
        <v/>
      </c>
      <c r="M1008" s="18" t="str">
        <f aca="false">IF(OR(A1008="",E1008=""),"",E1008+ROW()/1000000)</f>
        <v/>
      </c>
    </row>
    <row r="1009" customFormat="false" ht="15" hidden="false" customHeight="false" outlineLevel="0" collapsed="false">
      <c r="A1009" s="12"/>
      <c r="B1009" s="13"/>
      <c r="C1009" s="13"/>
      <c r="D1009" s="14"/>
      <c r="E1009" s="15"/>
      <c r="F1009" s="15"/>
      <c r="G1009" s="15"/>
      <c r="H1009" s="15"/>
      <c r="I1009" s="15"/>
      <c r="J1009" s="15"/>
      <c r="K1009" s="16" t="str">
        <f aca="false">IF(A1009="","",F1009+G1009+H1009+I1009)</f>
        <v/>
      </c>
      <c r="L1009" s="17" t="str">
        <f aca="false">IF(OR(K1009="",E1009=0,E1009=""),"",K1009/E1009)</f>
        <v/>
      </c>
      <c r="M1009" s="18" t="str">
        <f aca="false">IF(OR(A1009="",E1009=""),"",E1009+ROW()/1000000)</f>
        <v/>
      </c>
    </row>
    <row r="1010" customFormat="false" ht="15" hidden="false" customHeight="false" outlineLevel="0" collapsed="false">
      <c r="A1010" s="12"/>
      <c r="B1010" s="13"/>
      <c r="C1010" s="13"/>
      <c r="D1010" s="14"/>
      <c r="E1010" s="15"/>
      <c r="F1010" s="15"/>
      <c r="G1010" s="15"/>
      <c r="H1010" s="15"/>
      <c r="I1010" s="15"/>
      <c r="J1010" s="15"/>
      <c r="K1010" s="16" t="str">
        <f aca="false">IF(A1010="","",F1010+G1010+H1010+I1010)</f>
        <v/>
      </c>
      <c r="L1010" s="17" t="str">
        <f aca="false">IF(OR(K1010="",E1010=0,E1010=""),"",K1010/E1010)</f>
        <v/>
      </c>
      <c r="M1010" s="18" t="str">
        <f aca="false">IF(OR(A1010="",E1010=""),"",E1010+ROW()/1000000)</f>
        <v/>
      </c>
    </row>
    <row r="1011" customFormat="false" ht="15" hidden="false" customHeight="false" outlineLevel="0" collapsed="false">
      <c r="A1011" s="12"/>
      <c r="B1011" s="13"/>
      <c r="C1011" s="13"/>
      <c r="D1011" s="14"/>
      <c r="E1011" s="15"/>
      <c r="F1011" s="15"/>
      <c r="G1011" s="15"/>
      <c r="H1011" s="15"/>
      <c r="I1011" s="15"/>
      <c r="J1011" s="15"/>
      <c r="K1011" s="16" t="str">
        <f aca="false">IF(A1011="","",F1011+G1011+H1011+I1011)</f>
        <v/>
      </c>
      <c r="L1011" s="17" t="str">
        <f aca="false">IF(OR(K1011="",E1011=0,E1011=""),"",K1011/E1011)</f>
        <v/>
      </c>
      <c r="M1011" s="18" t="str">
        <f aca="false">IF(OR(A1011="",E1011=""),"",E1011+ROW()/1000000)</f>
        <v/>
      </c>
    </row>
    <row r="1012" customFormat="false" ht="15" hidden="false" customHeight="false" outlineLevel="0" collapsed="false">
      <c r="A1012" s="12"/>
      <c r="B1012" s="13"/>
      <c r="C1012" s="13"/>
      <c r="D1012" s="14"/>
      <c r="E1012" s="15"/>
      <c r="F1012" s="15"/>
      <c r="G1012" s="15"/>
      <c r="H1012" s="15"/>
      <c r="I1012" s="15"/>
      <c r="J1012" s="15"/>
      <c r="K1012" s="16" t="str">
        <f aca="false">IF(A1012="","",F1012+G1012+H1012+I1012)</f>
        <v/>
      </c>
      <c r="L1012" s="17" t="str">
        <f aca="false">IF(OR(K1012="",E1012=0,E1012=""),"",K1012/E1012)</f>
        <v/>
      </c>
      <c r="M1012" s="18" t="str">
        <f aca="false">IF(OR(A1012="",E1012=""),"",E1012+ROW()/1000000)</f>
        <v/>
      </c>
    </row>
    <row r="1013" customFormat="false" ht="15" hidden="false" customHeight="false" outlineLevel="0" collapsed="false">
      <c r="A1013" s="12"/>
      <c r="B1013" s="13"/>
      <c r="C1013" s="13"/>
      <c r="D1013" s="14"/>
      <c r="E1013" s="15"/>
      <c r="F1013" s="15"/>
      <c r="G1013" s="15"/>
      <c r="H1013" s="15"/>
      <c r="I1013" s="15"/>
      <c r="J1013" s="15"/>
      <c r="K1013" s="16" t="str">
        <f aca="false">IF(A1013="","",F1013+G1013+H1013+I1013)</f>
        <v/>
      </c>
      <c r="L1013" s="17" t="str">
        <f aca="false">IF(OR(K1013="",E1013=0,E1013=""),"",K1013/E1013)</f>
        <v/>
      </c>
      <c r="M1013" s="18" t="str">
        <f aca="false">IF(OR(A1013="",E1013=""),"",E1013+ROW()/1000000)</f>
        <v/>
      </c>
    </row>
    <row r="1014" customFormat="false" ht="15" hidden="false" customHeight="false" outlineLevel="0" collapsed="false">
      <c r="A1014" s="12"/>
      <c r="B1014" s="13"/>
      <c r="C1014" s="13"/>
      <c r="D1014" s="14"/>
      <c r="E1014" s="15"/>
      <c r="F1014" s="15"/>
      <c r="G1014" s="15"/>
      <c r="H1014" s="15"/>
      <c r="I1014" s="15"/>
      <c r="J1014" s="15"/>
      <c r="K1014" s="16" t="str">
        <f aca="false">IF(A1014="","",F1014+G1014+H1014+I1014)</f>
        <v/>
      </c>
      <c r="L1014" s="17" t="str">
        <f aca="false">IF(OR(K1014="",E1014=0,E1014=""),"",K1014/E1014)</f>
        <v/>
      </c>
      <c r="M1014" s="18" t="str">
        <f aca="false">IF(OR(A1014="",E1014=""),"",E1014+ROW()/1000000)</f>
        <v/>
      </c>
    </row>
    <row r="1015" customFormat="false" ht="15" hidden="false" customHeight="false" outlineLevel="0" collapsed="false">
      <c r="A1015" s="12"/>
      <c r="B1015" s="13"/>
      <c r="C1015" s="13"/>
      <c r="D1015" s="14"/>
      <c r="E1015" s="15"/>
      <c r="F1015" s="15"/>
      <c r="G1015" s="15"/>
      <c r="H1015" s="15"/>
      <c r="I1015" s="15"/>
      <c r="J1015" s="15"/>
      <c r="K1015" s="16" t="str">
        <f aca="false">IF(A1015="","",F1015+G1015+H1015+I1015)</f>
        <v/>
      </c>
      <c r="L1015" s="17" t="str">
        <f aca="false">IF(OR(K1015="",E1015=0,E1015=""),"",K1015/E1015)</f>
        <v/>
      </c>
      <c r="M1015" s="18" t="str">
        <f aca="false">IF(OR(A1015="",E1015=""),"",E1015+ROW()/1000000)</f>
        <v/>
      </c>
    </row>
    <row r="1016" customFormat="false" ht="15" hidden="false" customHeight="false" outlineLevel="0" collapsed="false">
      <c r="A1016" s="12"/>
      <c r="B1016" s="13"/>
      <c r="C1016" s="13"/>
      <c r="D1016" s="14"/>
      <c r="E1016" s="15"/>
      <c r="F1016" s="15"/>
      <c r="G1016" s="15"/>
      <c r="H1016" s="15"/>
      <c r="I1016" s="15"/>
      <c r="J1016" s="15"/>
      <c r="K1016" s="16" t="str">
        <f aca="false">IF(A1016="","",F1016+G1016+H1016+I1016)</f>
        <v/>
      </c>
      <c r="L1016" s="17" t="str">
        <f aca="false">IF(OR(K1016="",E1016=0,E1016=""),"",K1016/E1016)</f>
        <v/>
      </c>
      <c r="M1016" s="18" t="str">
        <f aca="false">IF(OR(A1016="",E1016=""),"",E1016+ROW()/1000000)</f>
        <v/>
      </c>
    </row>
    <row r="1017" customFormat="false" ht="15" hidden="false" customHeight="false" outlineLevel="0" collapsed="false">
      <c r="A1017" s="12"/>
      <c r="B1017" s="13"/>
      <c r="C1017" s="13"/>
      <c r="D1017" s="14"/>
      <c r="E1017" s="15"/>
      <c r="F1017" s="15"/>
      <c r="G1017" s="15"/>
      <c r="H1017" s="15"/>
      <c r="I1017" s="15"/>
      <c r="J1017" s="15"/>
      <c r="K1017" s="16" t="str">
        <f aca="false">IF(A1017="","",F1017+G1017+H1017+I1017)</f>
        <v/>
      </c>
      <c r="L1017" s="17" t="str">
        <f aca="false">IF(OR(K1017="",E1017=0,E1017=""),"",K1017/E1017)</f>
        <v/>
      </c>
      <c r="M1017" s="18" t="str">
        <f aca="false">IF(OR(A1017="",E1017=""),"",E1017+ROW()/1000000)</f>
        <v/>
      </c>
    </row>
    <row r="1018" customFormat="false" ht="15" hidden="false" customHeight="false" outlineLevel="0" collapsed="false">
      <c r="A1018" s="12"/>
      <c r="B1018" s="13"/>
      <c r="C1018" s="13"/>
      <c r="D1018" s="14"/>
      <c r="E1018" s="15"/>
      <c r="F1018" s="15"/>
      <c r="G1018" s="15"/>
      <c r="H1018" s="15"/>
      <c r="I1018" s="15"/>
      <c r="J1018" s="15"/>
      <c r="K1018" s="16" t="str">
        <f aca="false">IF(A1018="","",F1018+G1018+H1018+I1018)</f>
        <v/>
      </c>
      <c r="L1018" s="17" t="str">
        <f aca="false">IF(OR(K1018="",E1018=0,E1018=""),"",K1018/E1018)</f>
        <v/>
      </c>
      <c r="M1018" s="18" t="str">
        <f aca="false">IF(OR(A1018="",E1018=""),"",E1018+ROW()/1000000)</f>
        <v/>
      </c>
    </row>
    <row r="1019" customFormat="false" ht="15" hidden="false" customHeight="false" outlineLevel="0" collapsed="false">
      <c r="A1019" s="12"/>
      <c r="B1019" s="13"/>
      <c r="C1019" s="13"/>
      <c r="D1019" s="14"/>
      <c r="E1019" s="15"/>
      <c r="F1019" s="15"/>
      <c r="G1019" s="15"/>
      <c r="H1019" s="15"/>
      <c r="I1019" s="15"/>
      <c r="J1019" s="15"/>
      <c r="K1019" s="16" t="str">
        <f aca="false">IF(A1019="","",F1019+G1019+H1019+I1019)</f>
        <v/>
      </c>
      <c r="L1019" s="17" t="str">
        <f aca="false">IF(OR(K1019="",E1019=0,E1019=""),"",K1019/E1019)</f>
        <v/>
      </c>
      <c r="M1019" s="18" t="str">
        <f aca="false">IF(OR(A1019="",E1019=""),"",E1019+ROW()/1000000)</f>
        <v/>
      </c>
    </row>
    <row r="1020" customFormat="false" ht="15" hidden="false" customHeight="false" outlineLevel="0" collapsed="false">
      <c r="A1020" s="12"/>
      <c r="B1020" s="13"/>
      <c r="C1020" s="13"/>
      <c r="D1020" s="14"/>
      <c r="E1020" s="15"/>
      <c r="F1020" s="15"/>
      <c r="G1020" s="15"/>
      <c r="H1020" s="15"/>
      <c r="I1020" s="15"/>
      <c r="J1020" s="15"/>
      <c r="K1020" s="16" t="str">
        <f aca="false">IF(A1020="","",F1020+G1020+H1020+I1020)</f>
        <v/>
      </c>
      <c r="L1020" s="17" t="str">
        <f aca="false">IF(OR(K1020="",E1020=0,E1020=""),"",K1020/E1020)</f>
        <v/>
      </c>
      <c r="M1020" s="18" t="str">
        <f aca="false">IF(OR(A1020="",E1020=""),"",E1020+ROW()/1000000)</f>
        <v/>
      </c>
    </row>
    <row r="1021" customFormat="false" ht="15" hidden="false" customHeight="false" outlineLevel="0" collapsed="false">
      <c r="A1021" s="12"/>
      <c r="B1021" s="13"/>
      <c r="C1021" s="13"/>
      <c r="D1021" s="14"/>
      <c r="E1021" s="15"/>
      <c r="F1021" s="15"/>
      <c r="G1021" s="15"/>
      <c r="H1021" s="15"/>
      <c r="I1021" s="15"/>
      <c r="J1021" s="15"/>
      <c r="K1021" s="16" t="str">
        <f aca="false">IF(A1021="","",F1021+G1021+H1021+I1021)</f>
        <v/>
      </c>
      <c r="L1021" s="17" t="str">
        <f aca="false">IF(OR(K1021="",E1021=0,E1021=""),"",K1021/E1021)</f>
        <v/>
      </c>
      <c r="M1021" s="18" t="str">
        <f aca="false">IF(OR(A1021="",E1021=""),"",E1021+ROW()/1000000)</f>
        <v/>
      </c>
    </row>
    <row r="1022" customFormat="false" ht="15" hidden="false" customHeight="false" outlineLevel="0" collapsed="false">
      <c r="A1022" s="12"/>
      <c r="B1022" s="13"/>
      <c r="C1022" s="13"/>
      <c r="D1022" s="14"/>
      <c r="E1022" s="15"/>
      <c r="F1022" s="15"/>
      <c r="G1022" s="15"/>
      <c r="H1022" s="15"/>
      <c r="I1022" s="15"/>
      <c r="J1022" s="15"/>
      <c r="K1022" s="16" t="str">
        <f aca="false">IF(A1022="","",F1022+G1022+H1022+I1022)</f>
        <v/>
      </c>
      <c r="L1022" s="17" t="str">
        <f aca="false">IF(OR(K1022="",E1022=0,E1022=""),"",K1022/E1022)</f>
        <v/>
      </c>
      <c r="M1022" s="18" t="str">
        <f aca="false">IF(OR(A1022="",E1022=""),"",E1022+ROW()/1000000)</f>
        <v/>
      </c>
    </row>
    <row r="1023" customFormat="false" ht="15" hidden="false" customHeight="false" outlineLevel="0" collapsed="false">
      <c r="A1023" s="12"/>
      <c r="B1023" s="13"/>
      <c r="C1023" s="13"/>
      <c r="D1023" s="14"/>
      <c r="E1023" s="15"/>
      <c r="F1023" s="15"/>
      <c r="G1023" s="15"/>
      <c r="H1023" s="15"/>
      <c r="I1023" s="15"/>
      <c r="J1023" s="15"/>
      <c r="K1023" s="16" t="str">
        <f aca="false">IF(A1023="","",F1023+G1023+H1023+I1023)</f>
        <v/>
      </c>
      <c r="L1023" s="17" t="str">
        <f aca="false">IF(OR(K1023="",E1023=0,E1023=""),"",K1023/E1023)</f>
        <v/>
      </c>
      <c r="M1023" s="18" t="str">
        <f aca="false">IF(OR(A1023="",E1023=""),"",E1023+ROW()/1000000)</f>
        <v/>
      </c>
    </row>
    <row r="1024" customFormat="false" ht="15" hidden="false" customHeight="false" outlineLevel="0" collapsed="false">
      <c r="A1024" s="12"/>
      <c r="B1024" s="13"/>
      <c r="C1024" s="13"/>
      <c r="D1024" s="14"/>
      <c r="E1024" s="15"/>
      <c r="F1024" s="15"/>
      <c r="G1024" s="15"/>
      <c r="H1024" s="15"/>
      <c r="I1024" s="15"/>
      <c r="J1024" s="15"/>
      <c r="K1024" s="16" t="str">
        <f aca="false">IF(A1024="","",F1024+G1024+H1024+I1024)</f>
        <v/>
      </c>
      <c r="L1024" s="17" t="str">
        <f aca="false">IF(OR(K1024="",E1024=0,E1024=""),"",K1024/E1024)</f>
        <v/>
      </c>
      <c r="M1024" s="18" t="str">
        <f aca="false">IF(OR(A1024="",E1024=""),"",E1024+ROW()/1000000)</f>
        <v/>
      </c>
    </row>
    <row r="1025" customFormat="false" ht="15" hidden="false" customHeight="false" outlineLevel="0" collapsed="false">
      <c r="A1025" s="12"/>
      <c r="B1025" s="13"/>
      <c r="C1025" s="13"/>
      <c r="D1025" s="14"/>
      <c r="E1025" s="15"/>
      <c r="F1025" s="15"/>
      <c r="G1025" s="15"/>
      <c r="H1025" s="15"/>
      <c r="I1025" s="15"/>
      <c r="J1025" s="15"/>
      <c r="K1025" s="16" t="str">
        <f aca="false">IF(A1025="","",F1025+G1025+H1025+I1025)</f>
        <v/>
      </c>
      <c r="L1025" s="17" t="str">
        <f aca="false">IF(OR(K1025="",E1025=0,E1025=""),"",K1025/E1025)</f>
        <v/>
      </c>
      <c r="M1025" s="18" t="str">
        <f aca="false">IF(OR(A1025="",E1025=""),"",E1025+ROW()/1000000)</f>
        <v/>
      </c>
    </row>
    <row r="1026" customFormat="false" ht="15" hidden="false" customHeight="false" outlineLevel="0" collapsed="false">
      <c r="A1026" s="12"/>
      <c r="B1026" s="13"/>
      <c r="C1026" s="13"/>
      <c r="D1026" s="14"/>
      <c r="E1026" s="15"/>
      <c r="F1026" s="15"/>
      <c r="G1026" s="15"/>
      <c r="H1026" s="15"/>
      <c r="I1026" s="15"/>
      <c r="J1026" s="15"/>
      <c r="K1026" s="16" t="str">
        <f aca="false">IF(A1026="","",F1026+G1026+H1026+I1026)</f>
        <v/>
      </c>
      <c r="L1026" s="17" t="str">
        <f aca="false">IF(OR(K1026="",E1026=0,E1026=""),"",K1026/E1026)</f>
        <v/>
      </c>
      <c r="M1026" s="18" t="str">
        <f aca="false">IF(OR(A1026="",E1026=""),"",E1026+ROW()/1000000)</f>
        <v/>
      </c>
    </row>
    <row r="1027" customFormat="false" ht="15" hidden="false" customHeight="false" outlineLevel="0" collapsed="false">
      <c r="A1027" s="12"/>
      <c r="B1027" s="13"/>
      <c r="C1027" s="13"/>
      <c r="D1027" s="14"/>
      <c r="E1027" s="15"/>
      <c r="F1027" s="15"/>
      <c r="G1027" s="15"/>
      <c r="H1027" s="15"/>
      <c r="I1027" s="15"/>
      <c r="J1027" s="15"/>
      <c r="K1027" s="16" t="str">
        <f aca="false">IF(A1027="","",F1027+G1027+H1027+I1027)</f>
        <v/>
      </c>
      <c r="L1027" s="17" t="str">
        <f aca="false">IF(OR(K1027="",E1027=0,E1027=""),"",K1027/E1027)</f>
        <v/>
      </c>
      <c r="M1027" s="18" t="str">
        <f aca="false">IF(OR(A1027="",E1027=""),"",E1027+ROW()/1000000)</f>
        <v/>
      </c>
    </row>
    <row r="1028" customFormat="false" ht="15" hidden="false" customHeight="false" outlineLevel="0" collapsed="false">
      <c r="A1028" s="12"/>
      <c r="B1028" s="13"/>
      <c r="C1028" s="13"/>
      <c r="D1028" s="14"/>
      <c r="E1028" s="15"/>
      <c r="F1028" s="15"/>
      <c r="G1028" s="15"/>
      <c r="H1028" s="15"/>
      <c r="I1028" s="15"/>
      <c r="J1028" s="15"/>
      <c r="K1028" s="16" t="str">
        <f aca="false">IF(A1028="","",F1028+G1028+H1028+I1028)</f>
        <v/>
      </c>
      <c r="L1028" s="17" t="str">
        <f aca="false">IF(OR(K1028="",E1028=0,E1028=""),"",K1028/E1028)</f>
        <v/>
      </c>
      <c r="M1028" s="18" t="str">
        <f aca="false">IF(OR(A1028="",E1028=""),"",E1028+ROW()/1000000)</f>
        <v/>
      </c>
    </row>
    <row r="1029" customFormat="false" ht="15" hidden="false" customHeight="false" outlineLevel="0" collapsed="false">
      <c r="A1029" s="12"/>
      <c r="B1029" s="13"/>
      <c r="C1029" s="13"/>
      <c r="D1029" s="14"/>
      <c r="E1029" s="15"/>
      <c r="F1029" s="15"/>
      <c r="G1029" s="15"/>
      <c r="H1029" s="15"/>
      <c r="I1029" s="15"/>
      <c r="J1029" s="15"/>
      <c r="K1029" s="16" t="str">
        <f aca="false">IF(A1029="","",F1029+G1029+H1029+I1029)</f>
        <v/>
      </c>
      <c r="L1029" s="17" t="str">
        <f aca="false">IF(OR(K1029="",E1029=0,E1029=""),"",K1029/E1029)</f>
        <v/>
      </c>
      <c r="M1029" s="18" t="str">
        <f aca="false">IF(OR(A1029="",E1029=""),"",E1029+ROW()/1000000)</f>
        <v/>
      </c>
    </row>
    <row r="1030" customFormat="false" ht="15" hidden="false" customHeight="false" outlineLevel="0" collapsed="false">
      <c r="A1030" s="12"/>
      <c r="B1030" s="13"/>
      <c r="C1030" s="13"/>
      <c r="D1030" s="14"/>
      <c r="E1030" s="15"/>
      <c r="F1030" s="15"/>
      <c r="G1030" s="15"/>
      <c r="H1030" s="15"/>
      <c r="I1030" s="15"/>
      <c r="J1030" s="15"/>
      <c r="K1030" s="16" t="str">
        <f aca="false">IF(A1030="","",F1030+G1030+H1030+I1030)</f>
        <v/>
      </c>
      <c r="L1030" s="17" t="str">
        <f aca="false">IF(OR(K1030="",E1030=0,E1030=""),"",K1030/E1030)</f>
        <v/>
      </c>
      <c r="M1030" s="18" t="str">
        <f aca="false">IF(OR(A1030="",E1030=""),"",E1030+ROW()/1000000)</f>
        <v/>
      </c>
    </row>
    <row r="1031" customFormat="false" ht="15" hidden="false" customHeight="false" outlineLevel="0" collapsed="false">
      <c r="A1031" s="12"/>
      <c r="B1031" s="13"/>
      <c r="C1031" s="13"/>
      <c r="D1031" s="14"/>
      <c r="E1031" s="15"/>
      <c r="F1031" s="15"/>
      <c r="G1031" s="15"/>
      <c r="H1031" s="15"/>
      <c r="I1031" s="15"/>
      <c r="J1031" s="15"/>
      <c r="K1031" s="16" t="str">
        <f aca="false">IF(A1031="","",F1031+G1031+H1031+I1031)</f>
        <v/>
      </c>
      <c r="L1031" s="17" t="str">
        <f aca="false">IF(OR(K1031="",E1031=0,E1031=""),"",K1031/E1031)</f>
        <v/>
      </c>
      <c r="M1031" s="18" t="str">
        <f aca="false">IF(OR(A1031="",E1031=""),"",E1031+ROW()/1000000)</f>
        <v/>
      </c>
    </row>
    <row r="1032" customFormat="false" ht="15" hidden="false" customHeight="false" outlineLevel="0" collapsed="false">
      <c r="A1032" s="12"/>
      <c r="B1032" s="13"/>
      <c r="C1032" s="13"/>
      <c r="D1032" s="14"/>
      <c r="E1032" s="15"/>
      <c r="F1032" s="15"/>
      <c r="G1032" s="15"/>
      <c r="H1032" s="15"/>
      <c r="I1032" s="15"/>
      <c r="J1032" s="15"/>
      <c r="K1032" s="16" t="str">
        <f aca="false">IF(A1032="","",F1032+G1032+H1032+I1032)</f>
        <v/>
      </c>
      <c r="L1032" s="17" t="str">
        <f aca="false">IF(OR(K1032="",E1032=0,E1032=""),"",K1032/E1032)</f>
        <v/>
      </c>
      <c r="M1032" s="18" t="str">
        <f aca="false">IF(OR(A1032="",E1032=""),"",E1032+ROW()/1000000)</f>
        <v/>
      </c>
    </row>
    <row r="1033" customFormat="false" ht="15" hidden="false" customHeight="false" outlineLevel="0" collapsed="false">
      <c r="A1033" s="12"/>
      <c r="B1033" s="13"/>
      <c r="C1033" s="13"/>
      <c r="D1033" s="14"/>
      <c r="E1033" s="15"/>
      <c r="F1033" s="15"/>
      <c r="G1033" s="15"/>
      <c r="H1033" s="15"/>
      <c r="I1033" s="15"/>
      <c r="J1033" s="15"/>
      <c r="K1033" s="16" t="str">
        <f aca="false">IF(A1033="","",F1033+G1033+H1033+I1033)</f>
        <v/>
      </c>
      <c r="L1033" s="17" t="str">
        <f aca="false">IF(OR(K1033="",E1033=0,E1033=""),"",K1033/E1033)</f>
        <v/>
      </c>
      <c r="M1033" s="18" t="str">
        <f aca="false">IF(OR(A1033="",E1033=""),"",E1033+ROW()/1000000)</f>
        <v/>
      </c>
    </row>
    <row r="1034" customFormat="false" ht="15" hidden="false" customHeight="false" outlineLevel="0" collapsed="false">
      <c r="A1034" s="12"/>
      <c r="B1034" s="13"/>
      <c r="C1034" s="13"/>
      <c r="D1034" s="14"/>
      <c r="E1034" s="15"/>
      <c r="F1034" s="15"/>
      <c r="G1034" s="15"/>
      <c r="H1034" s="15"/>
      <c r="I1034" s="15"/>
      <c r="J1034" s="15"/>
      <c r="K1034" s="16" t="str">
        <f aca="false">IF(A1034="","",F1034+G1034+H1034+I1034)</f>
        <v/>
      </c>
      <c r="L1034" s="17" t="str">
        <f aca="false">IF(OR(K1034="",E1034=0,E1034=""),"",K1034/E1034)</f>
        <v/>
      </c>
      <c r="M1034" s="18" t="str">
        <f aca="false">IF(OR(A1034="",E1034=""),"",E1034+ROW()/1000000)</f>
        <v/>
      </c>
    </row>
    <row r="1035" customFormat="false" ht="15" hidden="false" customHeight="false" outlineLevel="0" collapsed="false">
      <c r="A1035" s="12"/>
      <c r="B1035" s="13"/>
      <c r="C1035" s="13"/>
      <c r="D1035" s="14"/>
      <c r="E1035" s="15"/>
      <c r="F1035" s="15"/>
      <c r="G1035" s="15"/>
      <c r="H1035" s="15"/>
      <c r="I1035" s="15"/>
      <c r="J1035" s="15"/>
      <c r="K1035" s="16" t="str">
        <f aca="false">IF(A1035="","",F1035+G1035+H1035+I1035)</f>
        <v/>
      </c>
      <c r="L1035" s="17" t="str">
        <f aca="false">IF(OR(K1035="",E1035=0,E1035=""),"",K1035/E1035)</f>
        <v/>
      </c>
      <c r="M1035" s="18" t="str">
        <f aca="false">IF(OR(A1035="",E1035=""),"",E1035+ROW()/1000000)</f>
        <v/>
      </c>
    </row>
    <row r="1036" customFormat="false" ht="15" hidden="false" customHeight="false" outlineLevel="0" collapsed="false">
      <c r="A1036" s="12"/>
      <c r="B1036" s="13"/>
      <c r="C1036" s="13"/>
      <c r="D1036" s="14"/>
      <c r="E1036" s="15"/>
      <c r="F1036" s="15"/>
      <c r="G1036" s="15"/>
      <c r="H1036" s="15"/>
      <c r="I1036" s="15"/>
      <c r="J1036" s="15"/>
      <c r="K1036" s="16" t="str">
        <f aca="false">IF(A1036="","",F1036+G1036+H1036+I1036)</f>
        <v/>
      </c>
      <c r="L1036" s="17" t="str">
        <f aca="false">IF(OR(K1036="",E1036=0,E1036=""),"",K1036/E1036)</f>
        <v/>
      </c>
      <c r="M1036" s="18" t="str">
        <f aca="false">IF(OR(A1036="",E1036=""),"",E1036+ROW()/1000000)</f>
        <v/>
      </c>
    </row>
    <row r="1037" customFormat="false" ht="15" hidden="false" customHeight="false" outlineLevel="0" collapsed="false">
      <c r="A1037" s="12"/>
      <c r="B1037" s="13"/>
      <c r="C1037" s="13"/>
      <c r="D1037" s="14"/>
      <c r="E1037" s="15"/>
      <c r="F1037" s="15"/>
      <c r="G1037" s="15"/>
      <c r="H1037" s="15"/>
      <c r="I1037" s="15"/>
      <c r="J1037" s="15"/>
      <c r="K1037" s="16" t="str">
        <f aca="false">IF(A1037="","",F1037+G1037+H1037+I1037)</f>
        <v/>
      </c>
      <c r="L1037" s="17" t="str">
        <f aca="false">IF(OR(K1037="",E1037=0,E1037=""),"",K1037/E1037)</f>
        <v/>
      </c>
      <c r="M1037" s="18" t="str">
        <f aca="false">IF(OR(A1037="",E1037=""),"",E1037+ROW()/1000000)</f>
        <v/>
      </c>
    </row>
    <row r="1038" customFormat="false" ht="15" hidden="false" customHeight="false" outlineLevel="0" collapsed="false">
      <c r="A1038" s="12"/>
      <c r="B1038" s="13"/>
      <c r="C1038" s="13"/>
      <c r="D1038" s="14"/>
      <c r="E1038" s="15"/>
      <c r="F1038" s="15"/>
      <c r="G1038" s="15"/>
      <c r="H1038" s="15"/>
      <c r="I1038" s="15"/>
      <c r="J1038" s="15"/>
      <c r="K1038" s="16" t="str">
        <f aca="false">IF(A1038="","",F1038+G1038+H1038+I1038)</f>
        <v/>
      </c>
      <c r="L1038" s="17" t="str">
        <f aca="false">IF(OR(K1038="",E1038=0,E1038=""),"",K1038/E1038)</f>
        <v/>
      </c>
      <c r="M1038" s="18" t="str">
        <f aca="false">IF(OR(A1038="",E1038=""),"",E1038+ROW()/1000000)</f>
        <v/>
      </c>
    </row>
    <row r="1039" customFormat="false" ht="15" hidden="false" customHeight="false" outlineLevel="0" collapsed="false">
      <c r="A1039" s="12"/>
      <c r="B1039" s="13"/>
      <c r="C1039" s="13"/>
      <c r="D1039" s="14"/>
      <c r="E1039" s="15"/>
      <c r="F1039" s="15"/>
      <c r="G1039" s="15"/>
      <c r="H1039" s="15"/>
      <c r="I1039" s="15"/>
      <c r="J1039" s="15"/>
      <c r="K1039" s="16" t="str">
        <f aca="false">IF(A1039="","",F1039+G1039+H1039+I1039)</f>
        <v/>
      </c>
      <c r="L1039" s="17" t="str">
        <f aca="false">IF(OR(K1039="",E1039=0,E1039=""),"",K1039/E1039)</f>
        <v/>
      </c>
      <c r="M1039" s="18" t="str">
        <f aca="false">IF(OR(A1039="",E1039=""),"",E1039+ROW()/1000000)</f>
        <v/>
      </c>
    </row>
    <row r="1040" customFormat="false" ht="15" hidden="false" customHeight="false" outlineLevel="0" collapsed="false">
      <c r="A1040" s="12"/>
      <c r="B1040" s="13"/>
      <c r="C1040" s="13"/>
      <c r="D1040" s="14"/>
      <c r="E1040" s="15"/>
      <c r="F1040" s="15"/>
      <c r="G1040" s="15"/>
      <c r="H1040" s="15"/>
      <c r="I1040" s="15"/>
      <c r="J1040" s="15"/>
      <c r="K1040" s="16" t="str">
        <f aca="false">IF(A1040="","",F1040+G1040+H1040+I1040)</f>
        <v/>
      </c>
      <c r="L1040" s="17" t="str">
        <f aca="false">IF(OR(K1040="",E1040=0,E1040=""),"",K1040/E1040)</f>
        <v/>
      </c>
      <c r="M1040" s="18" t="str">
        <f aca="false">IF(OR(A1040="",E1040=""),"",E1040+ROW()/1000000)</f>
        <v/>
      </c>
    </row>
    <row r="1041" customFormat="false" ht="15" hidden="false" customHeight="false" outlineLevel="0" collapsed="false">
      <c r="A1041" s="12"/>
      <c r="B1041" s="13"/>
      <c r="C1041" s="13"/>
      <c r="D1041" s="14"/>
      <c r="E1041" s="15"/>
      <c r="F1041" s="15"/>
      <c r="G1041" s="15"/>
      <c r="H1041" s="15"/>
      <c r="I1041" s="15"/>
      <c r="J1041" s="15"/>
      <c r="K1041" s="16" t="str">
        <f aca="false">IF(A1041="","",F1041+G1041+H1041+I1041)</f>
        <v/>
      </c>
      <c r="L1041" s="17" t="str">
        <f aca="false">IF(OR(K1041="",E1041=0,E1041=""),"",K1041/E1041)</f>
        <v/>
      </c>
      <c r="M1041" s="18" t="str">
        <f aca="false">IF(OR(A1041="",E1041=""),"",E1041+ROW()/1000000)</f>
        <v/>
      </c>
    </row>
    <row r="1042" customFormat="false" ht="15" hidden="false" customHeight="false" outlineLevel="0" collapsed="false">
      <c r="A1042" s="12"/>
      <c r="B1042" s="13"/>
      <c r="C1042" s="13"/>
      <c r="D1042" s="14"/>
      <c r="E1042" s="15"/>
      <c r="F1042" s="15"/>
      <c r="G1042" s="15"/>
      <c r="H1042" s="15"/>
      <c r="I1042" s="15"/>
      <c r="J1042" s="15"/>
      <c r="K1042" s="16" t="str">
        <f aca="false">IF(A1042="","",F1042+G1042+H1042+I1042)</f>
        <v/>
      </c>
      <c r="L1042" s="17" t="str">
        <f aca="false">IF(OR(K1042="",E1042=0,E1042=""),"",K1042/E1042)</f>
        <v/>
      </c>
      <c r="M1042" s="18" t="str">
        <f aca="false">IF(OR(A1042="",E1042=""),"",E1042+ROW()/1000000)</f>
        <v/>
      </c>
    </row>
    <row r="1043" customFormat="false" ht="15" hidden="false" customHeight="false" outlineLevel="0" collapsed="false">
      <c r="A1043" s="12"/>
      <c r="B1043" s="13"/>
      <c r="C1043" s="13"/>
      <c r="D1043" s="14"/>
      <c r="E1043" s="15"/>
      <c r="F1043" s="15"/>
      <c r="G1043" s="15"/>
      <c r="H1043" s="15"/>
      <c r="I1043" s="15"/>
      <c r="J1043" s="15"/>
      <c r="K1043" s="16" t="str">
        <f aca="false">IF(A1043="","",F1043+G1043+H1043+I1043)</f>
        <v/>
      </c>
      <c r="L1043" s="17" t="str">
        <f aca="false">IF(OR(K1043="",E1043=0,E1043=""),"",K1043/E1043)</f>
        <v/>
      </c>
      <c r="M1043" s="18" t="str">
        <f aca="false">IF(OR(A1043="",E1043=""),"",E1043+ROW()/1000000)</f>
        <v/>
      </c>
    </row>
    <row r="1044" customFormat="false" ht="15" hidden="false" customHeight="false" outlineLevel="0" collapsed="false">
      <c r="A1044" s="12"/>
      <c r="B1044" s="13"/>
      <c r="C1044" s="13"/>
      <c r="D1044" s="14"/>
      <c r="E1044" s="15"/>
      <c r="F1044" s="15"/>
      <c r="G1044" s="15"/>
      <c r="H1044" s="15"/>
      <c r="I1044" s="15"/>
      <c r="J1044" s="15"/>
      <c r="K1044" s="16" t="str">
        <f aca="false">IF(A1044="","",F1044+G1044+H1044+I1044)</f>
        <v/>
      </c>
      <c r="L1044" s="17" t="str">
        <f aca="false">IF(OR(K1044="",E1044=0,E1044=""),"",K1044/E1044)</f>
        <v/>
      </c>
      <c r="M1044" s="18" t="str">
        <f aca="false">IF(OR(A1044="",E1044=""),"",E1044+ROW()/1000000)</f>
        <v/>
      </c>
    </row>
    <row r="1045" customFormat="false" ht="15" hidden="false" customHeight="false" outlineLevel="0" collapsed="false">
      <c r="A1045" s="12"/>
      <c r="B1045" s="13"/>
      <c r="C1045" s="13"/>
      <c r="D1045" s="14"/>
      <c r="E1045" s="15"/>
      <c r="F1045" s="15"/>
      <c r="G1045" s="15"/>
      <c r="H1045" s="15"/>
      <c r="I1045" s="15"/>
      <c r="J1045" s="15"/>
      <c r="K1045" s="16" t="str">
        <f aca="false">IF(A1045="","",F1045+G1045+H1045+I1045)</f>
        <v/>
      </c>
      <c r="L1045" s="17" t="str">
        <f aca="false">IF(OR(K1045="",E1045=0,E1045=""),"",K1045/E1045)</f>
        <v/>
      </c>
      <c r="M1045" s="18" t="str">
        <f aca="false">IF(OR(A1045="",E1045=""),"",E1045+ROW()/1000000)</f>
        <v/>
      </c>
    </row>
    <row r="1046" customFormat="false" ht="15" hidden="false" customHeight="false" outlineLevel="0" collapsed="false">
      <c r="A1046" s="12"/>
      <c r="B1046" s="13"/>
      <c r="C1046" s="13"/>
      <c r="D1046" s="14"/>
      <c r="E1046" s="15"/>
      <c r="F1046" s="15"/>
      <c r="G1046" s="15"/>
      <c r="H1046" s="15"/>
      <c r="I1046" s="15"/>
      <c r="J1046" s="15"/>
      <c r="K1046" s="16" t="str">
        <f aca="false">IF(A1046="","",F1046+G1046+H1046+I1046)</f>
        <v/>
      </c>
      <c r="L1046" s="17" t="str">
        <f aca="false">IF(OR(K1046="",E1046=0,E1046=""),"",K1046/E1046)</f>
        <v/>
      </c>
      <c r="M1046" s="18" t="str">
        <f aca="false">IF(OR(A1046="",E1046=""),"",E1046+ROW()/1000000)</f>
        <v/>
      </c>
    </row>
    <row r="1047" customFormat="false" ht="15" hidden="false" customHeight="false" outlineLevel="0" collapsed="false">
      <c r="A1047" s="12"/>
      <c r="B1047" s="13"/>
      <c r="C1047" s="13"/>
      <c r="D1047" s="14"/>
      <c r="E1047" s="15"/>
      <c r="F1047" s="15"/>
      <c r="G1047" s="15"/>
      <c r="H1047" s="15"/>
      <c r="I1047" s="15"/>
      <c r="J1047" s="15"/>
      <c r="K1047" s="16" t="str">
        <f aca="false">IF(A1047="","",F1047+G1047+H1047+I1047)</f>
        <v/>
      </c>
      <c r="L1047" s="17" t="str">
        <f aca="false">IF(OR(K1047="",E1047=0,E1047=""),"",K1047/E1047)</f>
        <v/>
      </c>
      <c r="M1047" s="18" t="str">
        <f aca="false">IF(OR(A1047="",E1047=""),"",E1047+ROW()/1000000)</f>
        <v/>
      </c>
    </row>
    <row r="1048" customFormat="false" ht="15" hidden="false" customHeight="false" outlineLevel="0" collapsed="false">
      <c r="A1048" s="12"/>
      <c r="B1048" s="13"/>
      <c r="C1048" s="13"/>
      <c r="D1048" s="14"/>
      <c r="E1048" s="15"/>
      <c r="F1048" s="15"/>
      <c r="G1048" s="15"/>
      <c r="H1048" s="15"/>
      <c r="I1048" s="15"/>
      <c r="J1048" s="15"/>
      <c r="K1048" s="16" t="str">
        <f aca="false">IF(A1048="","",F1048+G1048+H1048+I1048)</f>
        <v/>
      </c>
      <c r="L1048" s="17" t="str">
        <f aca="false">IF(OR(K1048="",E1048=0,E1048=""),"",K1048/E1048)</f>
        <v/>
      </c>
      <c r="M1048" s="18" t="str">
        <f aca="false">IF(OR(A1048="",E1048=""),"",E1048+ROW()/1000000)</f>
        <v/>
      </c>
    </row>
    <row r="1049" customFormat="false" ht="15" hidden="false" customHeight="false" outlineLevel="0" collapsed="false">
      <c r="A1049" s="12"/>
      <c r="B1049" s="13"/>
      <c r="C1049" s="13"/>
      <c r="D1049" s="14"/>
      <c r="E1049" s="15"/>
      <c r="F1049" s="15"/>
      <c r="G1049" s="15"/>
      <c r="H1049" s="15"/>
      <c r="I1049" s="15"/>
      <c r="J1049" s="15"/>
      <c r="K1049" s="16" t="str">
        <f aca="false">IF(A1049="","",F1049+G1049+H1049+I1049)</f>
        <v/>
      </c>
      <c r="L1049" s="17" t="str">
        <f aca="false">IF(OR(K1049="",E1049=0,E1049=""),"",K1049/E1049)</f>
        <v/>
      </c>
      <c r="M1049" s="18" t="str">
        <f aca="false">IF(OR(A1049="",E1049=""),"",E1049+ROW()/1000000)</f>
        <v/>
      </c>
    </row>
    <row r="1050" customFormat="false" ht="15" hidden="false" customHeight="false" outlineLevel="0" collapsed="false">
      <c r="A1050" s="12"/>
      <c r="B1050" s="13"/>
      <c r="C1050" s="13"/>
      <c r="D1050" s="14"/>
      <c r="E1050" s="15"/>
      <c r="F1050" s="15"/>
      <c r="G1050" s="15"/>
      <c r="H1050" s="15"/>
      <c r="I1050" s="15"/>
      <c r="J1050" s="15"/>
      <c r="K1050" s="16" t="str">
        <f aca="false">IF(A1050="","",F1050+G1050+H1050+I1050)</f>
        <v/>
      </c>
      <c r="L1050" s="17" t="str">
        <f aca="false">IF(OR(K1050="",E1050=0,E1050=""),"",K1050/E1050)</f>
        <v/>
      </c>
      <c r="M1050" s="18" t="str">
        <f aca="false">IF(OR(A1050="",E1050=""),"",E1050+ROW()/1000000)</f>
        <v/>
      </c>
    </row>
    <row r="1051" customFormat="false" ht="15" hidden="false" customHeight="false" outlineLevel="0" collapsed="false">
      <c r="A1051" s="12"/>
      <c r="B1051" s="13"/>
      <c r="C1051" s="13"/>
      <c r="D1051" s="14"/>
      <c r="E1051" s="15"/>
      <c r="F1051" s="15"/>
      <c r="G1051" s="15"/>
      <c r="H1051" s="15"/>
      <c r="I1051" s="15"/>
      <c r="J1051" s="15"/>
      <c r="K1051" s="16" t="str">
        <f aca="false">IF(A1051="","",F1051+G1051+H1051+I1051)</f>
        <v/>
      </c>
      <c r="L1051" s="17" t="str">
        <f aca="false">IF(OR(K1051="",E1051=0,E1051=""),"",K1051/E1051)</f>
        <v/>
      </c>
      <c r="M1051" s="18" t="str">
        <f aca="false">IF(OR(A1051="",E1051=""),"",E1051+ROW()/1000000)</f>
        <v/>
      </c>
    </row>
    <row r="1052" customFormat="false" ht="15" hidden="false" customHeight="false" outlineLevel="0" collapsed="false">
      <c r="A1052" s="12"/>
      <c r="B1052" s="13"/>
      <c r="C1052" s="13"/>
      <c r="D1052" s="14"/>
      <c r="E1052" s="15"/>
      <c r="F1052" s="15"/>
      <c r="G1052" s="15"/>
      <c r="H1052" s="15"/>
      <c r="I1052" s="15"/>
      <c r="J1052" s="15"/>
      <c r="K1052" s="16" t="str">
        <f aca="false">IF(A1052="","",F1052+G1052+H1052+I1052)</f>
        <v/>
      </c>
      <c r="L1052" s="17" t="str">
        <f aca="false">IF(OR(K1052="",E1052=0,E1052=""),"",K1052/E1052)</f>
        <v/>
      </c>
      <c r="M1052" s="18" t="str">
        <f aca="false">IF(OR(A1052="",E1052=""),"",E1052+ROW()/1000000)</f>
        <v/>
      </c>
    </row>
    <row r="1053" customFormat="false" ht="15" hidden="false" customHeight="false" outlineLevel="0" collapsed="false">
      <c r="A1053" s="12"/>
      <c r="B1053" s="13"/>
      <c r="C1053" s="13"/>
      <c r="D1053" s="14"/>
      <c r="E1053" s="15"/>
      <c r="F1053" s="15"/>
      <c r="G1053" s="15"/>
      <c r="H1053" s="15"/>
      <c r="I1053" s="15"/>
      <c r="J1053" s="15"/>
      <c r="K1053" s="16" t="str">
        <f aca="false">IF(A1053="","",F1053+G1053+H1053+I1053)</f>
        <v/>
      </c>
      <c r="L1053" s="17" t="str">
        <f aca="false">IF(OR(K1053="",E1053=0,E1053=""),"",K1053/E1053)</f>
        <v/>
      </c>
      <c r="M1053" s="18" t="str">
        <f aca="false">IF(OR(A1053="",E1053=""),"",E1053+ROW()/1000000)</f>
        <v/>
      </c>
    </row>
    <row r="1054" customFormat="false" ht="15" hidden="false" customHeight="false" outlineLevel="0" collapsed="false">
      <c r="A1054" s="12"/>
      <c r="B1054" s="13"/>
      <c r="C1054" s="13"/>
      <c r="D1054" s="14"/>
      <c r="E1054" s="15"/>
      <c r="F1054" s="15"/>
      <c r="G1054" s="15"/>
      <c r="H1054" s="15"/>
      <c r="I1054" s="15"/>
      <c r="J1054" s="15"/>
      <c r="K1054" s="16" t="str">
        <f aca="false">IF(A1054="","",F1054+G1054+H1054+I1054)</f>
        <v/>
      </c>
      <c r="L1054" s="17" t="str">
        <f aca="false">IF(OR(K1054="",E1054=0,E1054=""),"",K1054/E1054)</f>
        <v/>
      </c>
      <c r="M1054" s="18" t="str">
        <f aca="false">IF(OR(A1054="",E1054=""),"",E1054+ROW()/1000000)</f>
        <v/>
      </c>
    </row>
    <row r="1055" customFormat="false" ht="15" hidden="false" customHeight="false" outlineLevel="0" collapsed="false">
      <c r="A1055" s="12"/>
      <c r="B1055" s="13"/>
      <c r="C1055" s="13"/>
      <c r="D1055" s="14"/>
      <c r="E1055" s="15"/>
      <c r="F1055" s="15"/>
      <c r="G1055" s="15"/>
      <c r="H1055" s="15"/>
      <c r="I1055" s="15"/>
      <c r="J1055" s="15"/>
      <c r="K1055" s="16" t="str">
        <f aca="false">IF(A1055="","",F1055+G1055+H1055+I1055)</f>
        <v/>
      </c>
      <c r="L1055" s="17" t="str">
        <f aca="false">IF(OR(K1055="",E1055=0,E1055=""),"",K1055/E1055)</f>
        <v/>
      </c>
      <c r="M1055" s="18" t="str">
        <f aca="false">IF(OR(A1055="",E1055=""),"",E1055+ROW()/1000000)</f>
        <v/>
      </c>
    </row>
    <row r="1056" customFormat="false" ht="15" hidden="false" customHeight="false" outlineLevel="0" collapsed="false">
      <c r="A1056" s="12"/>
      <c r="B1056" s="13"/>
      <c r="C1056" s="13"/>
      <c r="D1056" s="14"/>
      <c r="E1056" s="15"/>
      <c r="F1056" s="15"/>
      <c r="G1056" s="15"/>
      <c r="H1056" s="15"/>
      <c r="I1056" s="15"/>
      <c r="J1056" s="15"/>
      <c r="K1056" s="16" t="str">
        <f aca="false">IF(A1056="","",F1056+G1056+H1056+I1056)</f>
        <v/>
      </c>
      <c r="L1056" s="17" t="str">
        <f aca="false">IF(OR(K1056="",E1056=0,E1056=""),"",K1056/E1056)</f>
        <v/>
      </c>
      <c r="M1056" s="18" t="str">
        <f aca="false">IF(OR(A1056="",E1056=""),"",E1056+ROW()/1000000)</f>
        <v/>
      </c>
    </row>
    <row r="1057" customFormat="false" ht="15" hidden="false" customHeight="false" outlineLevel="0" collapsed="false">
      <c r="A1057" s="12"/>
      <c r="B1057" s="13"/>
      <c r="C1057" s="13"/>
      <c r="D1057" s="14"/>
      <c r="E1057" s="15"/>
      <c r="F1057" s="15"/>
      <c r="G1057" s="15"/>
      <c r="H1057" s="15"/>
      <c r="I1057" s="15"/>
      <c r="J1057" s="15"/>
      <c r="K1057" s="16" t="str">
        <f aca="false">IF(A1057="","",F1057+G1057+H1057+I1057)</f>
        <v/>
      </c>
      <c r="L1057" s="17" t="str">
        <f aca="false">IF(OR(K1057="",E1057=0,E1057=""),"",K1057/E1057)</f>
        <v/>
      </c>
      <c r="M1057" s="18" t="str">
        <f aca="false">IF(OR(A1057="",E1057=""),"",E1057+ROW()/1000000)</f>
        <v/>
      </c>
    </row>
    <row r="1058" customFormat="false" ht="15" hidden="false" customHeight="false" outlineLevel="0" collapsed="false">
      <c r="A1058" s="12"/>
      <c r="B1058" s="13"/>
      <c r="C1058" s="13"/>
      <c r="D1058" s="14"/>
      <c r="E1058" s="15"/>
      <c r="F1058" s="15"/>
      <c r="G1058" s="15"/>
      <c r="H1058" s="15"/>
      <c r="I1058" s="15"/>
      <c r="J1058" s="15"/>
      <c r="K1058" s="16" t="str">
        <f aca="false">IF(A1058="","",F1058+G1058+H1058+I1058)</f>
        <v/>
      </c>
      <c r="L1058" s="17" t="str">
        <f aca="false">IF(OR(K1058="",E1058=0,E1058=""),"",K1058/E1058)</f>
        <v/>
      </c>
      <c r="M1058" s="18" t="str">
        <f aca="false">IF(OR(A1058="",E1058=""),"",E1058+ROW()/1000000)</f>
        <v/>
      </c>
    </row>
    <row r="1059" customFormat="false" ht="15" hidden="false" customHeight="false" outlineLevel="0" collapsed="false">
      <c r="A1059" s="12"/>
      <c r="B1059" s="13"/>
      <c r="C1059" s="13"/>
      <c r="D1059" s="14"/>
      <c r="E1059" s="15"/>
      <c r="F1059" s="15"/>
      <c r="G1059" s="15"/>
      <c r="H1059" s="15"/>
      <c r="I1059" s="15"/>
      <c r="J1059" s="15"/>
      <c r="K1059" s="16" t="str">
        <f aca="false">IF(A1059="","",F1059+G1059+H1059+I1059)</f>
        <v/>
      </c>
      <c r="L1059" s="17" t="str">
        <f aca="false">IF(OR(K1059="",E1059=0,E1059=""),"",K1059/E1059)</f>
        <v/>
      </c>
      <c r="M1059" s="18" t="str">
        <f aca="false">IF(OR(A1059="",E1059=""),"",E1059+ROW()/1000000)</f>
        <v/>
      </c>
    </row>
    <row r="1060" customFormat="false" ht="15" hidden="false" customHeight="false" outlineLevel="0" collapsed="false">
      <c r="A1060" s="12"/>
      <c r="B1060" s="13"/>
      <c r="C1060" s="13"/>
      <c r="D1060" s="14"/>
      <c r="E1060" s="15"/>
      <c r="F1060" s="15"/>
      <c r="G1060" s="15"/>
      <c r="H1060" s="15"/>
      <c r="I1060" s="15"/>
      <c r="J1060" s="15"/>
      <c r="K1060" s="16" t="str">
        <f aca="false">IF(A1060="","",F1060+G1060+H1060+I1060)</f>
        <v/>
      </c>
      <c r="L1060" s="17" t="str">
        <f aca="false">IF(OR(K1060="",E1060=0,E1060=""),"",K1060/E1060)</f>
        <v/>
      </c>
      <c r="M1060" s="18" t="str">
        <f aca="false">IF(OR(A1060="",E1060=""),"",E1060+ROW()/1000000)</f>
        <v/>
      </c>
    </row>
    <row r="1061" customFormat="false" ht="15" hidden="false" customHeight="false" outlineLevel="0" collapsed="false">
      <c r="A1061" s="12"/>
      <c r="B1061" s="13"/>
      <c r="C1061" s="13"/>
      <c r="D1061" s="14"/>
      <c r="E1061" s="15"/>
      <c r="F1061" s="15"/>
      <c r="G1061" s="15"/>
      <c r="H1061" s="15"/>
      <c r="I1061" s="15"/>
      <c r="J1061" s="15"/>
      <c r="K1061" s="16" t="str">
        <f aca="false">IF(A1061="","",F1061+G1061+H1061+I1061)</f>
        <v/>
      </c>
      <c r="L1061" s="17" t="str">
        <f aca="false">IF(OR(K1061="",E1061=0,E1061=""),"",K1061/E1061)</f>
        <v/>
      </c>
      <c r="M1061" s="18" t="str">
        <f aca="false">IF(OR(A1061="",E1061=""),"",E1061+ROW()/1000000)</f>
        <v/>
      </c>
    </row>
    <row r="1062" customFormat="false" ht="15" hidden="false" customHeight="false" outlineLevel="0" collapsed="false">
      <c r="A1062" s="12"/>
      <c r="B1062" s="13"/>
      <c r="C1062" s="13"/>
      <c r="D1062" s="14"/>
      <c r="E1062" s="15"/>
      <c r="F1062" s="15"/>
      <c r="G1062" s="15"/>
      <c r="H1062" s="15"/>
      <c r="I1062" s="15"/>
      <c r="J1062" s="15"/>
      <c r="K1062" s="16" t="str">
        <f aca="false">IF(A1062="","",F1062+G1062+H1062+I1062)</f>
        <v/>
      </c>
      <c r="L1062" s="17" t="str">
        <f aca="false">IF(OR(K1062="",E1062=0,E1062=""),"",K1062/E1062)</f>
        <v/>
      </c>
      <c r="M1062" s="18" t="str">
        <f aca="false">IF(OR(A1062="",E1062=""),"",E1062+ROW()/1000000)</f>
        <v/>
      </c>
    </row>
    <row r="1063" customFormat="false" ht="15" hidden="false" customHeight="false" outlineLevel="0" collapsed="false">
      <c r="A1063" s="12"/>
      <c r="B1063" s="13"/>
      <c r="C1063" s="13"/>
      <c r="D1063" s="14"/>
      <c r="E1063" s="15"/>
      <c r="F1063" s="15"/>
      <c r="G1063" s="15"/>
      <c r="H1063" s="15"/>
      <c r="I1063" s="15"/>
      <c r="J1063" s="15"/>
      <c r="K1063" s="16" t="str">
        <f aca="false">IF(A1063="","",F1063+G1063+H1063+I1063)</f>
        <v/>
      </c>
      <c r="L1063" s="17" t="str">
        <f aca="false">IF(OR(K1063="",E1063=0,E1063=""),"",K1063/E1063)</f>
        <v/>
      </c>
      <c r="M1063" s="18" t="str">
        <f aca="false">IF(OR(A1063="",E1063=""),"",E1063+ROW()/1000000)</f>
        <v/>
      </c>
    </row>
    <row r="1064" customFormat="false" ht="15" hidden="false" customHeight="false" outlineLevel="0" collapsed="false">
      <c r="A1064" s="12"/>
      <c r="B1064" s="13"/>
      <c r="C1064" s="13"/>
      <c r="D1064" s="14"/>
      <c r="E1064" s="15"/>
      <c r="F1064" s="15"/>
      <c r="G1064" s="15"/>
      <c r="H1064" s="15"/>
      <c r="I1064" s="15"/>
      <c r="J1064" s="15"/>
      <c r="K1064" s="16" t="str">
        <f aca="false">IF(A1064="","",F1064+G1064+H1064+I1064)</f>
        <v/>
      </c>
      <c r="L1064" s="17" t="str">
        <f aca="false">IF(OR(K1064="",E1064=0,E1064=""),"",K1064/E1064)</f>
        <v/>
      </c>
      <c r="M1064" s="18" t="str">
        <f aca="false">IF(OR(A1064="",E1064=""),"",E1064+ROW()/1000000)</f>
        <v/>
      </c>
    </row>
    <row r="1065" customFormat="false" ht="15" hidden="false" customHeight="false" outlineLevel="0" collapsed="false">
      <c r="A1065" s="12"/>
      <c r="B1065" s="13"/>
      <c r="C1065" s="13"/>
      <c r="D1065" s="14"/>
      <c r="E1065" s="15"/>
      <c r="F1065" s="15"/>
      <c r="G1065" s="15"/>
      <c r="H1065" s="15"/>
      <c r="I1065" s="15"/>
      <c r="J1065" s="15"/>
      <c r="K1065" s="16" t="str">
        <f aca="false">IF(A1065="","",F1065+G1065+H1065+I1065)</f>
        <v/>
      </c>
      <c r="L1065" s="17" t="str">
        <f aca="false">IF(OR(K1065="",E1065=0,E1065=""),"",K1065/E1065)</f>
        <v/>
      </c>
      <c r="M1065" s="18" t="str">
        <f aca="false">IF(OR(A1065="",E1065=""),"",E1065+ROW()/1000000)</f>
        <v/>
      </c>
    </row>
    <row r="1066" customFormat="false" ht="15" hidden="false" customHeight="false" outlineLevel="0" collapsed="false">
      <c r="A1066" s="12"/>
      <c r="B1066" s="13"/>
      <c r="C1066" s="13"/>
      <c r="D1066" s="14"/>
      <c r="E1066" s="15"/>
      <c r="F1066" s="15"/>
      <c r="G1066" s="15"/>
      <c r="H1066" s="15"/>
      <c r="I1066" s="15"/>
      <c r="J1066" s="15"/>
      <c r="K1066" s="16" t="str">
        <f aca="false">IF(A1066="","",F1066+G1066+H1066+I1066)</f>
        <v/>
      </c>
      <c r="L1066" s="17" t="str">
        <f aca="false">IF(OR(K1066="",E1066=0,E1066=""),"",K1066/E1066)</f>
        <v/>
      </c>
      <c r="M1066" s="18" t="str">
        <f aca="false">IF(OR(A1066="",E1066=""),"",E1066+ROW()/1000000)</f>
        <v/>
      </c>
    </row>
    <row r="1067" customFormat="false" ht="15" hidden="false" customHeight="false" outlineLevel="0" collapsed="false">
      <c r="A1067" s="12"/>
      <c r="B1067" s="13"/>
      <c r="C1067" s="13"/>
      <c r="D1067" s="14"/>
      <c r="E1067" s="15"/>
      <c r="F1067" s="15"/>
      <c r="G1067" s="15"/>
      <c r="H1067" s="15"/>
      <c r="I1067" s="15"/>
      <c r="J1067" s="15"/>
      <c r="K1067" s="16" t="str">
        <f aca="false">IF(A1067="","",F1067+G1067+H1067+I1067)</f>
        <v/>
      </c>
      <c r="L1067" s="17" t="str">
        <f aca="false">IF(OR(K1067="",E1067=0,E1067=""),"",K1067/E1067)</f>
        <v/>
      </c>
      <c r="M1067" s="18" t="str">
        <f aca="false">IF(OR(A1067="",E1067=""),"",E1067+ROW()/1000000)</f>
        <v/>
      </c>
    </row>
    <row r="1068" customFormat="false" ht="15" hidden="false" customHeight="false" outlineLevel="0" collapsed="false">
      <c r="A1068" s="12"/>
      <c r="B1068" s="13"/>
      <c r="C1068" s="13"/>
      <c r="D1068" s="14"/>
      <c r="E1068" s="15"/>
      <c r="F1068" s="15"/>
      <c r="G1068" s="15"/>
      <c r="H1068" s="15"/>
      <c r="I1068" s="15"/>
      <c r="J1068" s="15"/>
      <c r="K1068" s="16" t="str">
        <f aca="false">IF(A1068="","",F1068+G1068+H1068+I1068)</f>
        <v/>
      </c>
      <c r="L1068" s="17" t="str">
        <f aca="false">IF(OR(K1068="",E1068=0,E1068=""),"",K1068/E1068)</f>
        <v/>
      </c>
      <c r="M1068" s="18" t="str">
        <f aca="false">IF(OR(A1068="",E1068=""),"",E1068+ROW()/1000000)</f>
        <v/>
      </c>
    </row>
    <row r="1069" customFormat="false" ht="15" hidden="false" customHeight="false" outlineLevel="0" collapsed="false">
      <c r="A1069" s="12"/>
      <c r="B1069" s="13"/>
      <c r="C1069" s="13"/>
      <c r="D1069" s="14"/>
      <c r="E1069" s="15"/>
      <c r="F1069" s="15"/>
      <c r="G1069" s="15"/>
      <c r="H1069" s="15"/>
      <c r="I1069" s="15"/>
      <c r="J1069" s="15"/>
      <c r="K1069" s="16" t="str">
        <f aca="false">IF(A1069="","",F1069+G1069+H1069+I1069)</f>
        <v/>
      </c>
      <c r="L1069" s="17" t="str">
        <f aca="false">IF(OR(K1069="",E1069=0,E1069=""),"",K1069/E1069)</f>
        <v/>
      </c>
      <c r="M1069" s="18" t="str">
        <f aca="false">IF(OR(A1069="",E1069=""),"",E1069+ROW()/1000000)</f>
        <v/>
      </c>
    </row>
    <row r="1070" customFormat="false" ht="15" hidden="false" customHeight="false" outlineLevel="0" collapsed="false">
      <c r="A1070" s="12"/>
      <c r="B1070" s="13"/>
      <c r="C1070" s="13"/>
      <c r="D1070" s="14"/>
      <c r="E1070" s="15"/>
      <c r="F1070" s="15"/>
      <c r="G1070" s="15"/>
      <c r="H1070" s="15"/>
      <c r="I1070" s="15"/>
      <c r="J1070" s="15"/>
      <c r="K1070" s="16" t="str">
        <f aca="false">IF(A1070="","",F1070+G1070+H1070+I1070)</f>
        <v/>
      </c>
      <c r="L1070" s="17" t="str">
        <f aca="false">IF(OR(K1070="",E1070=0,E1070=""),"",K1070/E1070)</f>
        <v/>
      </c>
      <c r="M1070" s="18" t="str">
        <f aca="false">IF(OR(A1070="",E1070=""),"",E1070+ROW()/1000000)</f>
        <v/>
      </c>
    </row>
    <row r="1071" customFormat="false" ht="15" hidden="false" customHeight="false" outlineLevel="0" collapsed="false">
      <c r="A1071" s="12"/>
      <c r="B1071" s="13"/>
      <c r="C1071" s="13"/>
      <c r="D1071" s="14"/>
      <c r="E1071" s="15"/>
      <c r="F1071" s="15"/>
      <c r="G1071" s="15"/>
      <c r="H1071" s="15"/>
      <c r="I1071" s="15"/>
      <c r="J1071" s="15"/>
      <c r="K1071" s="16" t="str">
        <f aca="false">IF(A1071="","",F1071+G1071+H1071+I1071)</f>
        <v/>
      </c>
      <c r="L1071" s="17" t="str">
        <f aca="false">IF(OR(K1071="",E1071=0,E1071=""),"",K1071/E1071)</f>
        <v/>
      </c>
      <c r="M1071" s="18" t="str">
        <f aca="false">IF(OR(A1071="",E1071=""),"",E1071+ROW()/1000000)</f>
        <v/>
      </c>
    </row>
    <row r="1072" customFormat="false" ht="15" hidden="false" customHeight="false" outlineLevel="0" collapsed="false">
      <c r="A1072" s="12"/>
      <c r="B1072" s="13"/>
      <c r="C1072" s="13"/>
      <c r="D1072" s="14"/>
      <c r="E1072" s="15"/>
      <c r="F1072" s="15"/>
      <c r="G1072" s="15"/>
      <c r="H1072" s="15"/>
      <c r="I1072" s="15"/>
      <c r="J1072" s="15"/>
      <c r="K1072" s="16" t="str">
        <f aca="false">IF(A1072="","",F1072+G1072+H1072+I1072)</f>
        <v/>
      </c>
      <c r="L1072" s="17" t="str">
        <f aca="false">IF(OR(K1072="",E1072=0,E1072=""),"",K1072/E1072)</f>
        <v/>
      </c>
      <c r="M1072" s="18" t="str">
        <f aca="false">IF(OR(A1072="",E1072=""),"",E1072+ROW()/1000000)</f>
        <v/>
      </c>
    </row>
    <row r="1073" customFormat="false" ht="15" hidden="false" customHeight="false" outlineLevel="0" collapsed="false">
      <c r="A1073" s="12"/>
      <c r="B1073" s="13"/>
      <c r="C1073" s="13"/>
      <c r="D1073" s="14"/>
      <c r="E1073" s="15"/>
      <c r="F1073" s="15"/>
      <c r="G1073" s="15"/>
      <c r="H1073" s="15"/>
      <c r="I1073" s="15"/>
      <c r="J1073" s="15"/>
      <c r="K1073" s="16" t="str">
        <f aca="false">IF(A1073="","",F1073+G1073+H1073+I1073)</f>
        <v/>
      </c>
      <c r="L1073" s="17" t="str">
        <f aca="false">IF(OR(K1073="",E1073=0,E1073=""),"",K1073/E1073)</f>
        <v/>
      </c>
      <c r="M1073" s="18" t="str">
        <f aca="false">IF(OR(A1073="",E1073=""),"",E1073+ROW()/1000000)</f>
        <v/>
      </c>
    </row>
    <row r="1074" customFormat="false" ht="15" hidden="false" customHeight="false" outlineLevel="0" collapsed="false">
      <c r="A1074" s="12"/>
      <c r="B1074" s="13"/>
      <c r="C1074" s="13"/>
      <c r="D1074" s="14"/>
      <c r="E1074" s="15"/>
      <c r="F1074" s="15"/>
      <c r="G1074" s="15"/>
      <c r="H1074" s="15"/>
      <c r="I1074" s="15"/>
      <c r="J1074" s="15"/>
      <c r="K1074" s="16" t="str">
        <f aca="false">IF(A1074="","",F1074+G1074+H1074+I1074)</f>
        <v/>
      </c>
      <c r="L1074" s="17" t="str">
        <f aca="false">IF(OR(K1074="",E1074=0,E1074=""),"",K1074/E1074)</f>
        <v/>
      </c>
      <c r="M1074" s="18" t="str">
        <f aca="false">IF(OR(A1074="",E1074=""),"",E1074+ROW()/1000000)</f>
        <v/>
      </c>
    </row>
    <row r="1075" customFormat="false" ht="15" hidden="false" customHeight="false" outlineLevel="0" collapsed="false">
      <c r="A1075" s="12"/>
      <c r="B1075" s="13"/>
      <c r="C1075" s="13"/>
      <c r="D1075" s="14"/>
      <c r="E1075" s="15"/>
      <c r="F1075" s="15"/>
      <c r="G1075" s="15"/>
      <c r="H1075" s="15"/>
      <c r="I1075" s="15"/>
      <c r="J1075" s="15"/>
      <c r="K1075" s="16" t="str">
        <f aca="false">IF(A1075="","",F1075+G1075+H1075+I1075)</f>
        <v/>
      </c>
      <c r="L1075" s="17" t="str">
        <f aca="false">IF(OR(K1075="",E1075=0,E1075=""),"",K1075/E1075)</f>
        <v/>
      </c>
      <c r="M1075" s="18" t="str">
        <f aca="false">IF(OR(A1075="",E1075=""),"",E1075+ROW()/1000000)</f>
        <v/>
      </c>
    </row>
    <row r="1076" customFormat="false" ht="15" hidden="false" customHeight="false" outlineLevel="0" collapsed="false">
      <c r="A1076" s="12"/>
      <c r="B1076" s="13"/>
      <c r="C1076" s="13"/>
      <c r="D1076" s="14"/>
      <c r="E1076" s="15"/>
      <c r="F1076" s="15"/>
      <c r="G1076" s="15"/>
      <c r="H1076" s="15"/>
      <c r="I1076" s="15"/>
      <c r="J1076" s="15"/>
      <c r="K1076" s="16" t="str">
        <f aca="false">IF(A1076="","",F1076+G1076+H1076+I1076)</f>
        <v/>
      </c>
      <c r="L1076" s="17" t="str">
        <f aca="false">IF(OR(K1076="",E1076=0,E1076=""),"",K1076/E1076)</f>
        <v/>
      </c>
      <c r="M1076" s="18" t="str">
        <f aca="false">IF(OR(A1076="",E1076=""),"",E1076+ROW()/1000000)</f>
        <v/>
      </c>
    </row>
    <row r="1077" customFormat="false" ht="15" hidden="false" customHeight="false" outlineLevel="0" collapsed="false">
      <c r="A1077" s="12"/>
      <c r="B1077" s="13"/>
      <c r="C1077" s="13"/>
      <c r="D1077" s="14"/>
      <c r="E1077" s="15"/>
      <c r="F1077" s="15"/>
      <c r="G1077" s="15"/>
      <c r="H1077" s="15"/>
      <c r="I1077" s="15"/>
      <c r="J1077" s="15"/>
      <c r="K1077" s="16" t="str">
        <f aca="false">IF(A1077="","",F1077+G1077+H1077+I1077)</f>
        <v/>
      </c>
      <c r="L1077" s="17" t="str">
        <f aca="false">IF(OR(K1077="",E1077=0,E1077=""),"",K1077/E1077)</f>
        <v/>
      </c>
      <c r="M1077" s="18" t="str">
        <f aca="false">IF(OR(A1077="",E1077=""),"",E1077+ROW()/1000000)</f>
        <v/>
      </c>
    </row>
    <row r="1078" customFormat="false" ht="15" hidden="false" customHeight="false" outlineLevel="0" collapsed="false">
      <c r="A1078" s="12"/>
      <c r="B1078" s="13"/>
      <c r="C1078" s="13"/>
      <c r="D1078" s="14"/>
      <c r="E1078" s="15"/>
      <c r="F1078" s="15"/>
      <c r="G1078" s="15"/>
      <c r="H1078" s="15"/>
      <c r="I1078" s="15"/>
      <c r="J1078" s="15"/>
      <c r="K1078" s="16" t="str">
        <f aca="false">IF(A1078="","",F1078+G1078+H1078+I1078)</f>
        <v/>
      </c>
      <c r="L1078" s="17" t="str">
        <f aca="false">IF(OR(K1078="",E1078=0,E1078=""),"",K1078/E1078)</f>
        <v/>
      </c>
      <c r="M1078" s="18" t="str">
        <f aca="false">IF(OR(A1078="",E1078=""),"",E1078+ROW()/1000000)</f>
        <v/>
      </c>
    </row>
    <row r="1079" customFormat="false" ht="15" hidden="false" customHeight="false" outlineLevel="0" collapsed="false">
      <c r="A1079" s="12"/>
      <c r="B1079" s="13"/>
      <c r="C1079" s="13"/>
      <c r="D1079" s="14"/>
      <c r="E1079" s="15"/>
      <c r="F1079" s="15"/>
      <c r="G1079" s="15"/>
      <c r="H1079" s="15"/>
      <c r="I1079" s="15"/>
      <c r="J1079" s="15"/>
      <c r="K1079" s="16" t="str">
        <f aca="false">IF(A1079="","",F1079+G1079+H1079+I1079)</f>
        <v/>
      </c>
      <c r="L1079" s="17" t="str">
        <f aca="false">IF(OR(K1079="",E1079=0,E1079=""),"",K1079/E1079)</f>
        <v/>
      </c>
      <c r="M1079" s="18" t="str">
        <f aca="false">IF(OR(A1079="",E1079=""),"",E1079+ROW()/1000000)</f>
        <v/>
      </c>
    </row>
    <row r="1080" customFormat="false" ht="15" hidden="false" customHeight="false" outlineLevel="0" collapsed="false">
      <c r="A1080" s="12"/>
      <c r="B1080" s="13"/>
      <c r="C1080" s="13"/>
      <c r="D1080" s="14"/>
      <c r="E1080" s="15"/>
      <c r="F1080" s="15"/>
      <c r="G1080" s="15"/>
      <c r="H1080" s="15"/>
      <c r="I1080" s="15"/>
      <c r="J1080" s="15"/>
      <c r="K1080" s="16" t="str">
        <f aca="false">IF(A1080="","",F1080+G1080+H1080+I1080)</f>
        <v/>
      </c>
      <c r="L1080" s="17" t="str">
        <f aca="false">IF(OR(K1080="",E1080=0,E1080=""),"",K1080/E1080)</f>
        <v/>
      </c>
      <c r="M1080" s="18" t="str">
        <f aca="false">IF(OR(A1080="",E1080=""),"",E1080+ROW()/1000000)</f>
        <v/>
      </c>
    </row>
    <row r="1081" customFormat="false" ht="15" hidden="false" customHeight="false" outlineLevel="0" collapsed="false">
      <c r="A1081" s="12"/>
      <c r="B1081" s="13"/>
      <c r="C1081" s="13"/>
      <c r="D1081" s="14"/>
      <c r="E1081" s="15"/>
      <c r="F1081" s="15"/>
      <c r="G1081" s="15"/>
      <c r="H1081" s="15"/>
      <c r="I1081" s="15"/>
      <c r="J1081" s="15"/>
      <c r="K1081" s="16" t="str">
        <f aca="false">IF(A1081="","",F1081+G1081+H1081+I1081)</f>
        <v/>
      </c>
      <c r="L1081" s="17" t="str">
        <f aca="false">IF(OR(K1081="",E1081=0,E1081=""),"",K1081/E1081)</f>
        <v/>
      </c>
      <c r="M1081" s="18" t="str">
        <f aca="false">IF(OR(A1081="",E1081=""),"",E1081+ROW()/1000000)</f>
        <v/>
      </c>
    </row>
    <row r="1082" customFormat="false" ht="15" hidden="false" customHeight="false" outlineLevel="0" collapsed="false">
      <c r="A1082" s="12"/>
      <c r="B1082" s="13"/>
      <c r="C1082" s="13"/>
      <c r="D1082" s="14"/>
      <c r="E1082" s="15"/>
      <c r="F1082" s="15"/>
      <c r="G1082" s="15"/>
      <c r="H1082" s="15"/>
      <c r="I1082" s="15"/>
      <c r="J1082" s="15"/>
      <c r="K1082" s="16" t="str">
        <f aca="false">IF(A1082="","",F1082+G1082+H1082+I1082)</f>
        <v/>
      </c>
      <c r="L1082" s="17" t="str">
        <f aca="false">IF(OR(K1082="",E1082=0,E1082=""),"",K1082/E1082)</f>
        <v/>
      </c>
      <c r="M1082" s="18" t="str">
        <f aca="false">IF(OR(A1082="",E1082=""),"",E1082+ROW()/1000000)</f>
        <v/>
      </c>
    </row>
    <row r="1083" customFormat="false" ht="15" hidden="false" customHeight="false" outlineLevel="0" collapsed="false">
      <c r="A1083" s="12"/>
      <c r="B1083" s="13"/>
      <c r="C1083" s="13"/>
      <c r="D1083" s="14"/>
      <c r="E1083" s="15"/>
      <c r="F1083" s="15"/>
      <c r="G1083" s="15"/>
      <c r="H1083" s="15"/>
      <c r="I1083" s="15"/>
      <c r="J1083" s="15"/>
      <c r="K1083" s="16" t="str">
        <f aca="false">IF(A1083="","",F1083+G1083+H1083+I1083)</f>
        <v/>
      </c>
      <c r="L1083" s="17" t="str">
        <f aca="false">IF(OR(K1083="",E1083=0,E1083=""),"",K1083/E1083)</f>
        <v/>
      </c>
      <c r="M1083" s="18" t="str">
        <f aca="false">IF(OR(A1083="",E1083=""),"",E1083+ROW()/1000000)</f>
        <v/>
      </c>
    </row>
    <row r="1084" customFormat="false" ht="15" hidden="false" customHeight="false" outlineLevel="0" collapsed="false">
      <c r="A1084" s="12"/>
      <c r="B1084" s="13"/>
      <c r="C1084" s="13"/>
      <c r="D1084" s="14"/>
      <c r="E1084" s="15"/>
      <c r="F1084" s="15"/>
      <c r="G1084" s="15"/>
      <c r="H1084" s="15"/>
      <c r="I1084" s="15"/>
      <c r="J1084" s="15"/>
      <c r="K1084" s="16" t="str">
        <f aca="false">IF(A1084="","",F1084+G1084+H1084+I1084)</f>
        <v/>
      </c>
      <c r="L1084" s="17" t="str">
        <f aca="false">IF(OR(K1084="",E1084=0,E1084=""),"",K1084/E1084)</f>
        <v/>
      </c>
      <c r="M1084" s="18" t="str">
        <f aca="false">IF(OR(A1084="",E1084=""),"",E1084+ROW()/1000000)</f>
        <v/>
      </c>
    </row>
    <row r="1085" customFormat="false" ht="15" hidden="false" customHeight="false" outlineLevel="0" collapsed="false">
      <c r="A1085" s="12"/>
      <c r="B1085" s="13"/>
      <c r="C1085" s="13"/>
      <c r="D1085" s="14"/>
      <c r="E1085" s="15"/>
      <c r="F1085" s="15"/>
      <c r="G1085" s="15"/>
      <c r="H1085" s="15"/>
      <c r="I1085" s="15"/>
      <c r="J1085" s="15"/>
      <c r="K1085" s="16" t="str">
        <f aca="false">IF(A1085="","",F1085+G1085+H1085+I1085)</f>
        <v/>
      </c>
      <c r="L1085" s="17" t="str">
        <f aca="false">IF(OR(K1085="",E1085=0,E1085=""),"",K1085/E1085)</f>
        <v/>
      </c>
      <c r="M1085" s="18" t="str">
        <f aca="false">IF(OR(A1085="",E1085=""),"",E1085+ROW()/1000000)</f>
        <v/>
      </c>
    </row>
    <row r="1086" customFormat="false" ht="15" hidden="false" customHeight="false" outlineLevel="0" collapsed="false">
      <c r="A1086" s="12"/>
      <c r="B1086" s="13"/>
      <c r="C1086" s="13"/>
      <c r="D1086" s="14"/>
      <c r="E1086" s="15"/>
      <c r="F1086" s="15"/>
      <c r="G1086" s="15"/>
      <c r="H1086" s="15"/>
      <c r="I1086" s="15"/>
      <c r="J1086" s="15"/>
      <c r="K1086" s="16" t="str">
        <f aca="false">IF(A1086="","",F1086+G1086+H1086+I1086)</f>
        <v/>
      </c>
      <c r="L1086" s="17" t="str">
        <f aca="false">IF(OR(K1086="",E1086=0,E1086=""),"",K1086/E1086)</f>
        <v/>
      </c>
      <c r="M1086" s="18" t="str">
        <f aca="false">IF(OR(A1086="",E1086=""),"",E1086+ROW()/1000000)</f>
        <v/>
      </c>
    </row>
    <row r="1087" customFormat="false" ht="15" hidden="false" customHeight="false" outlineLevel="0" collapsed="false">
      <c r="A1087" s="12"/>
      <c r="B1087" s="13"/>
      <c r="C1087" s="13"/>
      <c r="D1087" s="14"/>
      <c r="E1087" s="15"/>
      <c r="F1087" s="15"/>
      <c r="G1087" s="15"/>
      <c r="H1087" s="15"/>
      <c r="I1087" s="15"/>
      <c r="J1087" s="15"/>
      <c r="K1087" s="16" t="str">
        <f aca="false">IF(A1087="","",F1087+G1087+H1087+I1087)</f>
        <v/>
      </c>
      <c r="L1087" s="17" t="str">
        <f aca="false">IF(OR(K1087="",E1087=0,E1087=""),"",K1087/E1087)</f>
        <v/>
      </c>
      <c r="M1087" s="18" t="str">
        <f aca="false">IF(OR(A1087="",E1087=""),"",E1087+ROW()/1000000)</f>
        <v/>
      </c>
    </row>
    <row r="1088" customFormat="false" ht="15" hidden="false" customHeight="false" outlineLevel="0" collapsed="false">
      <c r="A1088" s="12"/>
      <c r="B1088" s="13"/>
      <c r="C1088" s="13"/>
      <c r="D1088" s="14"/>
      <c r="E1088" s="15"/>
      <c r="F1088" s="15"/>
      <c r="G1088" s="15"/>
      <c r="H1088" s="15"/>
      <c r="I1088" s="15"/>
      <c r="J1088" s="15"/>
      <c r="K1088" s="16" t="str">
        <f aca="false">IF(A1088="","",F1088+G1088+H1088+I1088)</f>
        <v/>
      </c>
      <c r="L1088" s="17" t="str">
        <f aca="false">IF(OR(K1088="",E1088=0,E1088=""),"",K1088/E1088)</f>
        <v/>
      </c>
      <c r="M1088" s="18" t="str">
        <f aca="false">IF(OR(A1088="",E1088=""),"",E1088+ROW()/1000000)</f>
        <v/>
      </c>
    </row>
    <row r="1089" customFormat="false" ht="15" hidden="false" customHeight="false" outlineLevel="0" collapsed="false">
      <c r="A1089" s="12"/>
      <c r="B1089" s="13"/>
      <c r="C1089" s="13"/>
      <c r="D1089" s="14"/>
      <c r="E1089" s="15"/>
      <c r="F1089" s="15"/>
      <c r="G1089" s="15"/>
      <c r="H1089" s="15"/>
      <c r="I1089" s="15"/>
      <c r="J1089" s="15"/>
      <c r="K1089" s="16" t="str">
        <f aca="false">IF(A1089="","",F1089+G1089+H1089+I1089)</f>
        <v/>
      </c>
      <c r="L1089" s="17" t="str">
        <f aca="false">IF(OR(K1089="",E1089=0,E1089=""),"",K1089/E1089)</f>
        <v/>
      </c>
      <c r="M1089" s="18" t="str">
        <f aca="false">IF(OR(A1089="",E1089=""),"",E1089+ROW()/1000000)</f>
        <v/>
      </c>
    </row>
    <row r="1090" customFormat="false" ht="15" hidden="false" customHeight="false" outlineLevel="0" collapsed="false">
      <c r="A1090" s="12"/>
      <c r="B1090" s="13"/>
      <c r="C1090" s="13"/>
      <c r="D1090" s="14"/>
      <c r="E1090" s="15"/>
      <c r="F1090" s="15"/>
      <c r="G1090" s="15"/>
      <c r="H1090" s="15"/>
      <c r="I1090" s="15"/>
      <c r="J1090" s="15"/>
      <c r="K1090" s="16" t="str">
        <f aca="false">IF(A1090="","",F1090+G1090+H1090+I1090)</f>
        <v/>
      </c>
      <c r="L1090" s="17" t="str">
        <f aca="false">IF(OR(K1090="",E1090=0,E1090=""),"",K1090/E1090)</f>
        <v/>
      </c>
      <c r="M1090" s="18" t="str">
        <f aca="false">IF(OR(A1090="",E1090=""),"",E1090+ROW()/1000000)</f>
        <v/>
      </c>
    </row>
    <row r="1091" customFormat="false" ht="15" hidden="false" customHeight="false" outlineLevel="0" collapsed="false">
      <c r="A1091" s="12"/>
      <c r="B1091" s="13"/>
      <c r="C1091" s="13"/>
      <c r="D1091" s="14"/>
      <c r="E1091" s="15"/>
      <c r="F1091" s="15"/>
      <c r="G1091" s="15"/>
      <c r="H1091" s="15"/>
      <c r="I1091" s="15"/>
      <c r="J1091" s="15"/>
      <c r="K1091" s="16" t="str">
        <f aca="false">IF(A1091="","",F1091+G1091+H1091+I1091)</f>
        <v/>
      </c>
      <c r="L1091" s="17" t="str">
        <f aca="false">IF(OR(K1091="",E1091=0,E1091=""),"",K1091/E1091)</f>
        <v/>
      </c>
      <c r="M1091" s="18" t="str">
        <f aca="false">IF(OR(A1091="",E1091=""),"",E1091+ROW()/1000000)</f>
        <v/>
      </c>
    </row>
    <row r="1092" customFormat="false" ht="15" hidden="false" customHeight="false" outlineLevel="0" collapsed="false">
      <c r="A1092" s="12"/>
      <c r="B1092" s="13"/>
      <c r="C1092" s="13"/>
      <c r="D1092" s="14"/>
      <c r="E1092" s="15"/>
      <c r="F1092" s="15"/>
      <c r="G1092" s="15"/>
      <c r="H1092" s="15"/>
      <c r="I1092" s="15"/>
      <c r="J1092" s="15"/>
      <c r="K1092" s="16" t="str">
        <f aca="false">IF(A1092="","",F1092+G1092+H1092+I1092)</f>
        <v/>
      </c>
      <c r="L1092" s="17" t="str">
        <f aca="false">IF(OR(K1092="",E1092=0,E1092=""),"",K1092/E1092)</f>
        <v/>
      </c>
      <c r="M1092" s="18" t="str">
        <f aca="false">IF(OR(A1092="",E1092=""),"",E1092+ROW()/1000000)</f>
        <v/>
      </c>
    </row>
    <row r="1093" customFormat="false" ht="15" hidden="false" customHeight="false" outlineLevel="0" collapsed="false">
      <c r="A1093" s="12"/>
      <c r="B1093" s="13"/>
      <c r="C1093" s="13"/>
      <c r="D1093" s="14"/>
      <c r="E1093" s="15"/>
      <c r="F1093" s="15"/>
      <c r="G1093" s="15"/>
      <c r="H1093" s="15"/>
      <c r="I1093" s="15"/>
      <c r="J1093" s="15"/>
      <c r="K1093" s="16" t="str">
        <f aca="false">IF(A1093="","",F1093+G1093+H1093+I1093)</f>
        <v/>
      </c>
      <c r="L1093" s="17" t="str">
        <f aca="false">IF(OR(K1093="",E1093=0,E1093=""),"",K1093/E1093)</f>
        <v/>
      </c>
      <c r="M1093" s="18" t="str">
        <f aca="false">IF(OR(A1093="",E1093=""),"",E1093+ROW()/1000000)</f>
        <v/>
      </c>
    </row>
    <row r="1094" customFormat="false" ht="15" hidden="false" customHeight="false" outlineLevel="0" collapsed="false">
      <c r="A1094" s="12"/>
      <c r="B1094" s="13"/>
      <c r="C1094" s="13"/>
      <c r="D1094" s="14"/>
      <c r="E1094" s="15"/>
      <c r="F1094" s="15"/>
      <c r="G1094" s="15"/>
      <c r="H1094" s="15"/>
      <c r="I1094" s="15"/>
      <c r="J1094" s="15"/>
      <c r="K1094" s="16" t="str">
        <f aca="false">IF(A1094="","",F1094+G1094+H1094+I1094)</f>
        <v/>
      </c>
      <c r="L1094" s="17" t="str">
        <f aca="false">IF(OR(K1094="",E1094=0,E1094=""),"",K1094/E1094)</f>
        <v/>
      </c>
      <c r="M1094" s="18" t="str">
        <f aca="false">IF(OR(A1094="",E1094=""),"",E1094+ROW()/1000000)</f>
        <v/>
      </c>
    </row>
    <row r="1095" customFormat="false" ht="15" hidden="false" customHeight="false" outlineLevel="0" collapsed="false">
      <c r="A1095" s="12"/>
      <c r="B1095" s="13"/>
      <c r="C1095" s="13"/>
      <c r="D1095" s="14"/>
      <c r="E1095" s="15"/>
      <c r="F1095" s="15"/>
      <c r="G1095" s="15"/>
      <c r="H1095" s="15"/>
      <c r="I1095" s="15"/>
      <c r="J1095" s="15"/>
      <c r="K1095" s="16" t="str">
        <f aca="false">IF(A1095="","",F1095+G1095+H1095+I1095)</f>
        <v/>
      </c>
      <c r="L1095" s="17" t="str">
        <f aca="false">IF(OR(K1095="",E1095=0,E1095=""),"",K1095/E1095)</f>
        <v/>
      </c>
      <c r="M1095" s="18" t="str">
        <f aca="false">IF(OR(A1095="",E1095=""),"",E1095+ROW()/1000000)</f>
        <v/>
      </c>
    </row>
    <row r="1096" customFormat="false" ht="15" hidden="false" customHeight="false" outlineLevel="0" collapsed="false">
      <c r="A1096" s="12"/>
      <c r="B1096" s="13"/>
      <c r="C1096" s="13"/>
      <c r="D1096" s="14"/>
      <c r="E1096" s="15"/>
      <c r="F1096" s="15"/>
      <c r="G1096" s="15"/>
      <c r="H1096" s="15"/>
      <c r="I1096" s="15"/>
      <c r="J1096" s="15"/>
      <c r="K1096" s="16" t="str">
        <f aca="false">IF(A1096="","",F1096+G1096+H1096+I1096)</f>
        <v/>
      </c>
      <c r="L1096" s="17" t="str">
        <f aca="false">IF(OR(K1096="",E1096=0,E1096=""),"",K1096/E1096)</f>
        <v/>
      </c>
      <c r="M1096" s="18" t="str">
        <f aca="false">IF(OR(A1096="",E1096=""),"",E1096+ROW()/1000000)</f>
        <v/>
      </c>
    </row>
    <row r="1097" customFormat="false" ht="15" hidden="false" customHeight="false" outlineLevel="0" collapsed="false">
      <c r="A1097" s="12"/>
      <c r="B1097" s="13"/>
      <c r="C1097" s="13"/>
      <c r="D1097" s="14"/>
      <c r="E1097" s="15"/>
      <c r="F1097" s="15"/>
      <c r="G1097" s="15"/>
      <c r="H1097" s="15"/>
      <c r="I1097" s="15"/>
      <c r="J1097" s="15"/>
      <c r="K1097" s="16" t="str">
        <f aca="false">IF(A1097="","",F1097+G1097+H1097+I1097)</f>
        <v/>
      </c>
      <c r="L1097" s="17" t="str">
        <f aca="false">IF(OR(K1097="",E1097=0,E1097=""),"",K1097/E1097)</f>
        <v/>
      </c>
      <c r="M1097" s="18" t="str">
        <f aca="false">IF(OR(A1097="",E1097=""),"",E1097+ROW()/1000000)</f>
        <v/>
      </c>
    </row>
    <row r="1098" customFormat="false" ht="15" hidden="false" customHeight="false" outlineLevel="0" collapsed="false">
      <c r="A1098" s="12"/>
      <c r="B1098" s="13"/>
      <c r="C1098" s="13"/>
      <c r="D1098" s="14"/>
      <c r="E1098" s="15"/>
      <c r="F1098" s="15"/>
      <c r="G1098" s="15"/>
      <c r="H1098" s="15"/>
      <c r="I1098" s="15"/>
      <c r="J1098" s="15"/>
      <c r="K1098" s="16" t="str">
        <f aca="false">IF(A1098="","",F1098+G1098+H1098+I1098)</f>
        <v/>
      </c>
      <c r="L1098" s="17" t="str">
        <f aca="false">IF(OR(K1098="",E1098=0,E1098=""),"",K1098/E1098)</f>
        <v/>
      </c>
      <c r="M1098" s="18" t="str">
        <f aca="false">IF(OR(A1098="",E1098=""),"",E1098+ROW()/1000000)</f>
        <v/>
      </c>
    </row>
    <row r="1099" customFormat="false" ht="15" hidden="false" customHeight="false" outlineLevel="0" collapsed="false">
      <c r="A1099" s="12"/>
      <c r="B1099" s="13"/>
      <c r="C1099" s="13"/>
      <c r="D1099" s="14"/>
      <c r="E1099" s="15"/>
      <c r="F1099" s="15"/>
      <c r="G1099" s="15"/>
      <c r="H1099" s="15"/>
      <c r="I1099" s="15"/>
      <c r="J1099" s="15"/>
      <c r="K1099" s="16" t="str">
        <f aca="false">IF(A1099="","",F1099+G1099+H1099+I1099)</f>
        <v/>
      </c>
      <c r="L1099" s="17" t="str">
        <f aca="false">IF(OR(K1099="",E1099=0,E1099=""),"",K1099/E1099)</f>
        <v/>
      </c>
      <c r="M1099" s="18" t="str">
        <f aca="false">IF(OR(A1099="",E1099=""),"",E1099+ROW()/1000000)</f>
        <v/>
      </c>
    </row>
    <row r="1100" customFormat="false" ht="15" hidden="false" customHeight="false" outlineLevel="0" collapsed="false">
      <c r="A1100" s="12"/>
      <c r="B1100" s="13"/>
      <c r="C1100" s="13"/>
      <c r="D1100" s="14"/>
      <c r="E1100" s="15"/>
      <c r="F1100" s="15"/>
      <c r="G1100" s="15"/>
      <c r="H1100" s="15"/>
      <c r="I1100" s="15"/>
      <c r="J1100" s="15"/>
      <c r="K1100" s="16" t="str">
        <f aca="false">IF(A1100="","",F1100+G1100+H1100+I1100)</f>
        <v/>
      </c>
      <c r="L1100" s="17" t="str">
        <f aca="false">IF(OR(K1100="",E1100=0,E1100=""),"",K1100/E1100)</f>
        <v/>
      </c>
      <c r="M1100" s="18" t="str">
        <f aca="false">IF(OR(A1100="",E1100=""),"",E1100+ROW()/1000000)</f>
        <v/>
      </c>
    </row>
    <row r="1101" customFormat="false" ht="15" hidden="false" customHeight="false" outlineLevel="0" collapsed="false">
      <c r="A1101" s="12"/>
      <c r="B1101" s="13"/>
      <c r="C1101" s="13"/>
      <c r="D1101" s="14"/>
      <c r="E1101" s="15"/>
      <c r="F1101" s="15"/>
      <c r="G1101" s="15"/>
      <c r="H1101" s="15"/>
      <c r="I1101" s="15"/>
      <c r="J1101" s="15"/>
      <c r="K1101" s="16" t="str">
        <f aca="false">IF(A1101="","",F1101+G1101+H1101+I1101)</f>
        <v/>
      </c>
      <c r="L1101" s="17" t="str">
        <f aca="false">IF(OR(K1101="",E1101=0,E1101=""),"",K1101/E1101)</f>
        <v/>
      </c>
      <c r="M1101" s="18" t="str">
        <f aca="false">IF(OR(A1101="",E1101=""),"",E1101+ROW()/1000000)</f>
        <v/>
      </c>
    </row>
    <row r="1102" customFormat="false" ht="15" hidden="false" customHeight="false" outlineLevel="0" collapsed="false">
      <c r="A1102" s="12"/>
      <c r="B1102" s="13"/>
      <c r="C1102" s="13"/>
      <c r="D1102" s="14"/>
      <c r="E1102" s="15"/>
      <c r="F1102" s="15"/>
      <c r="G1102" s="15"/>
      <c r="H1102" s="15"/>
      <c r="I1102" s="15"/>
      <c r="J1102" s="15"/>
      <c r="K1102" s="16" t="str">
        <f aca="false">IF(A1102="","",F1102+G1102+H1102+I1102)</f>
        <v/>
      </c>
      <c r="L1102" s="17" t="str">
        <f aca="false">IF(OR(K1102="",E1102=0,E1102=""),"",K1102/E1102)</f>
        <v/>
      </c>
      <c r="M1102" s="18" t="str">
        <f aca="false">IF(OR(A1102="",E1102=""),"",E1102+ROW()/1000000)</f>
        <v/>
      </c>
    </row>
    <row r="1103" customFormat="false" ht="15" hidden="false" customHeight="false" outlineLevel="0" collapsed="false">
      <c r="A1103" s="12"/>
      <c r="B1103" s="13"/>
      <c r="C1103" s="13"/>
      <c r="D1103" s="14"/>
      <c r="E1103" s="15"/>
      <c r="F1103" s="15"/>
      <c r="G1103" s="15"/>
      <c r="H1103" s="15"/>
      <c r="I1103" s="15"/>
      <c r="J1103" s="15"/>
      <c r="K1103" s="16" t="str">
        <f aca="false">IF(A1103="","",F1103+G1103+H1103+I1103)</f>
        <v/>
      </c>
      <c r="L1103" s="17" t="str">
        <f aca="false">IF(OR(K1103="",E1103=0,E1103=""),"",K1103/E1103)</f>
        <v/>
      </c>
      <c r="M1103" s="18" t="str">
        <f aca="false">IF(OR(A1103="",E1103=""),"",E1103+ROW()/1000000)</f>
        <v/>
      </c>
    </row>
    <row r="1104" customFormat="false" ht="15" hidden="false" customHeight="false" outlineLevel="0" collapsed="false">
      <c r="A1104" s="12"/>
      <c r="B1104" s="13"/>
      <c r="C1104" s="13"/>
      <c r="D1104" s="14"/>
      <c r="E1104" s="15"/>
      <c r="F1104" s="15"/>
      <c r="G1104" s="15"/>
      <c r="H1104" s="15"/>
      <c r="I1104" s="15"/>
      <c r="J1104" s="15"/>
      <c r="K1104" s="16" t="str">
        <f aca="false">IF(A1104="","",F1104+G1104+H1104+I1104)</f>
        <v/>
      </c>
      <c r="L1104" s="17" t="str">
        <f aca="false">IF(OR(K1104="",E1104=0,E1104=""),"",K1104/E1104)</f>
        <v/>
      </c>
      <c r="M1104" s="18" t="str">
        <f aca="false">IF(OR(A1104="",E1104=""),"",E1104+ROW()/1000000)</f>
        <v/>
      </c>
    </row>
    <row r="1105" customFormat="false" ht="15" hidden="false" customHeight="false" outlineLevel="0" collapsed="false">
      <c r="A1105" s="12"/>
      <c r="B1105" s="13"/>
      <c r="C1105" s="13"/>
      <c r="D1105" s="14"/>
      <c r="E1105" s="15"/>
      <c r="F1105" s="15"/>
      <c r="G1105" s="15"/>
      <c r="H1105" s="15"/>
      <c r="I1105" s="15"/>
      <c r="J1105" s="15"/>
      <c r="K1105" s="16" t="str">
        <f aca="false">IF(A1105="","",F1105+G1105+H1105+I1105)</f>
        <v/>
      </c>
      <c r="L1105" s="17" t="str">
        <f aca="false">IF(OR(K1105="",E1105=0,E1105=""),"",K1105/E1105)</f>
        <v/>
      </c>
      <c r="M1105" s="18" t="str">
        <f aca="false">IF(OR(A1105="",E1105=""),"",E1105+ROW()/1000000)</f>
        <v/>
      </c>
    </row>
    <row r="1106" customFormat="false" ht="15" hidden="false" customHeight="false" outlineLevel="0" collapsed="false">
      <c r="A1106" s="12"/>
      <c r="B1106" s="13"/>
      <c r="C1106" s="13"/>
      <c r="D1106" s="14"/>
      <c r="E1106" s="15"/>
      <c r="F1106" s="15"/>
      <c r="G1106" s="15"/>
      <c r="H1106" s="15"/>
      <c r="I1106" s="15"/>
      <c r="J1106" s="15"/>
      <c r="K1106" s="16" t="str">
        <f aca="false">IF(A1106="","",F1106+G1106+H1106+I1106)</f>
        <v/>
      </c>
      <c r="L1106" s="17" t="str">
        <f aca="false">IF(OR(K1106="",E1106=0,E1106=""),"",K1106/E1106)</f>
        <v/>
      </c>
      <c r="M1106" s="18" t="str">
        <f aca="false">IF(OR(A1106="",E1106=""),"",E1106+ROW()/1000000)</f>
        <v/>
      </c>
    </row>
    <row r="1107" customFormat="false" ht="15" hidden="false" customHeight="false" outlineLevel="0" collapsed="false">
      <c r="A1107" s="12"/>
      <c r="B1107" s="13"/>
      <c r="C1107" s="13"/>
      <c r="D1107" s="14"/>
      <c r="E1107" s="15"/>
      <c r="F1107" s="15"/>
      <c r="G1107" s="15"/>
      <c r="H1107" s="15"/>
      <c r="I1107" s="15"/>
      <c r="J1107" s="15"/>
      <c r="K1107" s="16" t="str">
        <f aca="false">IF(A1107="","",F1107+G1107+H1107+I1107)</f>
        <v/>
      </c>
      <c r="L1107" s="17" t="str">
        <f aca="false">IF(OR(K1107="",E1107=0,E1107=""),"",K1107/E1107)</f>
        <v/>
      </c>
      <c r="M1107" s="18" t="str">
        <f aca="false">IF(OR(A1107="",E1107=""),"",E1107+ROW()/1000000)</f>
        <v/>
      </c>
    </row>
    <row r="1108" customFormat="false" ht="15" hidden="false" customHeight="false" outlineLevel="0" collapsed="false">
      <c r="A1108" s="12"/>
      <c r="B1108" s="13"/>
      <c r="C1108" s="13"/>
      <c r="D1108" s="14"/>
      <c r="E1108" s="15"/>
      <c r="F1108" s="15"/>
      <c r="G1108" s="15"/>
      <c r="H1108" s="15"/>
      <c r="I1108" s="15"/>
      <c r="J1108" s="15"/>
      <c r="K1108" s="16" t="str">
        <f aca="false">IF(A1108="","",F1108+G1108+H1108+I1108)</f>
        <v/>
      </c>
      <c r="L1108" s="17" t="str">
        <f aca="false">IF(OR(K1108="",E1108=0,E1108=""),"",K1108/E1108)</f>
        <v/>
      </c>
      <c r="M1108" s="18" t="str">
        <f aca="false">IF(OR(A1108="",E1108=""),"",E1108+ROW()/1000000)</f>
        <v/>
      </c>
    </row>
    <row r="1109" customFormat="false" ht="15" hidden="false" customHeight="false" outlineLevel="0" collapsed="false">
      <c r="A1109" s="12"/>
      <c r="B1109" s="13"/>
      <c r="C1109" s="13"/>
      <c r="D1109" s="14"/>
      <c r="E1109" s="15"/>
      <c r="F1109" s="15"/>
      <c r="G1109" s="15"/>
      <c r="H1109" s="15"/>
      <c r="I1109" s="15"/>
      <c r="J1109" s="15"/>
      <c r="K1109" s="16" t="str">
        <f aca="false">IF(A1109="","",F1109+G1109+H1109+I1109)</f>
        <v/>
      </c>
      <c r="L1109" s="17" t="str">
        <f aca="false">IF(OR(K1109="",E1109=0,E1109=""),"",K1109/E1109)</f>
        <v/>
      </c>
      <c r="M1109" s="18" t="str">
        <f aca="false">IF(OR(A1109="",E1109=""),"",E1109+ROW()/1000000)</f>
        <v/>
      </c>
    </row>
    <row r="1110" customFormat="false" ht="15" hidden="false" customHeight="false" outlineLevel="0" collapsed="false">
      <c r="A1110" s="12"/>
      <c r="B1110" s="13"/>
      <c r="C1110" s="13"/>
      <c r="D1110" s="14"/>
      <c r="E1110" s="15"/>
      <c r="F1110" s="15"/>
      <c r="G1110" s="15"/>
      <c r="H1110" s="15"/>
      <c r="I1110" s="15"/>
      <c r="J1110" s="15"/>
      <c r="K1110" s="16" t="str">
        <f aca="false">IF(A1110="","",F1110+G1110+H1110+I1110)</f>
        <v/>
      </c>
      <c r="L1110" s="17" t="str">
        <f aca="false">IF(OR(K1110="",E1110=0,E1110=""),"",K1110/E1110)</f>
        <v/>
      </c>
      <c r="M1110" s="18" t="str">
        <f aca="false">IF(OR(A1110="",E1110=""),"",E1110+ROW()/1000000)</f>
        <v/>
      </c>
    </row>
    <row r="1111" customFormat="false" ht="15" hidden="false" customHeight="false" outlineLevel="0" collapsed="false">
      <c r="A1111" s="12"/>
      <c r="B1111" s="13"/>
      <c r="C1111" s="13"/>
      <c r="D1111" s="14"/>
      <c r="E1111" s="15"/>
      <c r="F1111" s="15"/>
      <c r="G1111" s="15"/>
      <c r="H1111" s="15"/>
      <c r="I1111" s="15"/>
      <c r="J1111" s="15"/>
      <c r="K1111" s="16" t="str">
        <f aca="false">IF(A1111="","",F1111+G1111+H1111+I1111)</f>
        <v/>
      </c>
      <c r="L1111" s="17" t="str">
        <f aca="false">IF(OR(K1111="",E1111=0,E1111=""),"",K1111/E1111)</f>
        <v/>
      </c>
      <c r="M1111" s="18" t="str">
        <f aca="false">IF(OR(A1111="",E1111=""),"",E1111+ROW()/1000000)</f>
        <v/>
      </c>
    </row>
    <row r="1112" customFormat="false" ht="15" hidden="false" customHeight="false" outlineLevel="0" collapsed="false">
      <c r="A1112" s="12"/>
      <c r="B1112" s="13"/>
      <c r="C1112" s="13"/>
      <c r="D1112" s="14"/>
      <c r="E1112" s="15"/>
      <c r="F1112" s="15"/>
      <c r="G1112" s="15"/>
      <c r="H1112" s="15"/>
      <c r="I1112" s="15"/>
      <c r="J1112" s="15"/>
      <c r="K1112" s="16" t="str">
        <f aca="false">IF(A1112="","",F1112+G1112+H1112+I1112)</f>
        <v/>
      </c>
      <c r="L1112" s="17" t="str">
        <f aca="false">IF(OR(K1112="",E1112=0,E1112=""),"",K1112/E1112)</f>
        <v/>
      </c>
      <c r="M1112" s="18" t="str">
        <f aca="false">IF(OR(A1112="",E1112=""),"",E1112+ROW()/1000000)</f>
        <v/>
      </c>
    </row>
    <row r="1113" customFormat="false" ht="15" hidden="false" customHeight="false" outlineLevel="0" collapsed="false">
      <c r="A1113" s="12"/>
      <c r="B1113" s="13"/>
      <c r="C1113" s="13"/>
      <c r="D1113" s="14"/>
      <c r="E1113" s="15"/>
      <c r="F1113" s="15"/>
      <c r="G1113" s="15"/>
      <c r="H1113" s="15"/>
      <c r="I1113" s="15"/>
      <c r="J1113" s="15"/>
      <c r="K1113" s="16" t="str">
        <f aca="false">IF(A1113="","",F1113+G1113+H1113+I1113)</f>
        <v/>
      </c>
      <c r="L1113" s="17" t="str">
        <f aca="false">IF(OR(K1113="",E1113=0,E1113=""),"",K1113/E1113)</f>
        <v/>
      </c>
      <c r="M1113" s="18" t="str">
        <f aca="false">IF(OR(A1113="",E1113=""),"",E1113+ROW()/1000000)</f>
        <v/>
      </c>
    </row>
    <row r="1114" customFormat="false" ht="15" hidden="false" customHeight="false" outlineLevel="0" collapsed="false">
      <c r="A1114" s="12"/>
      <c r="B1114" s="13"/>
      <c r="C1114" s="13"/>
      <c r="D1114" s="14"/>
      <c r="E1114" s="15"/>
      <c r="F1114" s="15"/>
      <c r="G1114" s="15"/>
      <c r="H1114" s="15"/>
      <c r="I1114" s="15"/>
      <c r="J1114" s="15"/>
      <c r="K1114" s="16" t="str">
        <f aca="false">IF(A1114="","",F1114+G1114+H1114+I1114)</f>
        <v/>
      </c>
      <c r="L1114" s="17" t="str">
        <f aca="false">IF(OR(K1114="",E1114=0,E1114=""),"",K1114/E1114)</f>
        <v/>
      </c>
      <c r="M1114" s="18" t="str">
        <f aca="false">IF(OR(A1114="",E1114=""),"",E1114+ROW()/1000000)</f>
        <v/>
      </c>
    </row>
    <row r="1115" customFormat="false" ht="15" hidden="false" customHeight="false" outlineLevel="0" collapsed="false">
      <c r="A1115" s="12"/>
      <c r="B1115" s="13"/>
      <c r="C1115" s="13"/>
      <c r="D1115" s="14"/>
      <c r="E1115" s="15"/>
      <c r="F1115" s="15"/>
      <c r="G1115" s="15"/>
      <c r="H1115" s="15"/>
      <c r="I1115" s="15"/>
      <c r="J1115" s="15"/>
      <c r="K1115" s="16" t="str">
        <f aca="false">IF(A1115="","",F1115+G1115+H1115+I1115)</f>
        <v/>
      </c>
      <c r="L1115" s="17" t="str">
        <f aca="false">IF(OR(K1115="",E1115=0,E1115=""),"",K1115/E1115)</f>
        <v/>
      </c>
      <c r="M1115" s="18" t="str">
        <f aca="false">IF(OR(A1115="",E1115=""),"",E1115+ROW()/1000000)</f>
        <v/>
      </c>
    </row>
    <row r="1116" customFormat="false" ht="15" hidden="false" customHeight="false" outlineLevel="0" collapsed="false">
      <c r="A1116" s="12"/>
      <c r="B1116" s="13"/>
      <c r="C1116" s="13"/>
      <c r="D1116" s="14"/>
      <c r="E1116" s="15"/>
      <c r="F1116" s="15"/>
      <c r="G1116" s="15"/>
      <c r="H1116" s="15"/>
      <c r="I1116" s="15"/>
      <c r="J1116" s="15"/>
      <c r="K1116" s="16" t="str">
        <f aca="false">IF(A1116="","",F1116+G1116+H1116+I1116)</f>
        <v/>
      </c>
      <c r="L1116" s="17" t="str">
        <f aca="false">IF(OR(K1116="",E1116=0,E1116=""),"",K1116/E1116)</f>
        <v/>
      </c>
      <c r="M1116" s="18" t="str">
        <f aca="false">IF(OR(A1116="",E1116=""),"",E1116+ROW()/1000000)</f>
        <v/>
      </c>
    </row>
    <row r="1117" customFormat="false" ht="15" hidden="false" customHeight="false" outlineLevel="0" collapsed="false">
      <c r="A1117" s="12"/>
      <c r="B1117" s="13"/>
      <c r="C1117" s="13"/>
      <c r="D1117" s="14"/>
      <c r="E1117" s="15"/>
      <c r="F1117" s="15"/>
      <c r="G1117" s="15"/>
      <c r="H1117" s="15"/>
      <c r="I1117" s="15"/>
      <c r="J1117" s="15"/>
      <c r="K1117" s="16" t="str">
        <f aca="false">IF(A1117="","",F1117+G1117+H1117+I1117)</f>
        <v/>
      </c>
      <c r="L1117" s="17" t="str">
        <f aca="false">IF(OR(K1117="",E1117=0,E1117=""),"",K1117/E1117)</f>
        <v/>
      </c>
      <c r="M1117" s="18" t="str">
        <f aca="false">IF(OR(A1117="",E1117=""),"",E1117+ROW()/1000000)</f>
        <v/>
      </c>
    </row>
    <row r="1118" customFormat="false" ht="15" hidden="false" customHeight="false" outlineLevel="0" collapsed="false">
      <c r="A1118" s="12"/>
      <c r="B1118" s="13"/>
      <c r="C1118" s="13"/>
      <c r="D1118" s="14"/>
      <c r="E1118" s="15"/>
      <c r="F1118" s="15"/>
      <c r="G1118" s="15"/>
      <c r="H1118" s="15"/>
      <c r="I1118" s="15"/>
      <c r="J1118" s="15"/>
      <c r="K1118" s="16" t="str">
        <f aca="false">IF(A1118="","",F1118+G1118+H1118+I1118)</f>
        <v/>
      </c>
      <c r="L1118" s="17" t="str">
        <f aca="false">IF(OR(K1118="",E1118=0,E1118=""),"",K1118/E1118)</f>
        <v/>
      </c>
      <c r="M1118" s="18" t="str">
        <f aca="false">IF(OR(A1118="",E1118=""),"",E1118+ROW()/1000000)</f>
        <v/>
      </c>
    </row>
    <row r="1119" customFormat="false" ht="15" hidden="false" customHeight="false" outlineLevel="0" collapsed="false">
      <c r="A1119" s="12"/>
      <c r="B1119" s="13"/>
      <c r="C1119" s="13"/>
      <c r="D1119" s="14"/>
      <c r="E1119" s="15"/>
      <c r="F1119" s="15"/>
      <c r="G1119" s="15"/>
      <c r="H1119" s="15"/>
      <c r="I1119" s="15"/>
      <c r="J1119" s="15"/>
      <c r="K1119" s="16" t="str">
        <f aca="false">IF(A1119="","",F1119+G1119+H1119+I1119)</f>
        <v/>
      </c>
      <c r="L1119" s="17" t="str">
        <f aca="false">IF(OR(K1119="",E1119=0,E1119=""),"",K1119/E1119)</f>
        <v/>
      </c>
      <c r="M1119" s="18" t="str">
        <f aca="false">IF(OR(A1119="",E1119=""),"",E1119+ROW()/1000000)</f>
        <v/>
      </c>
    </row>
    <row r="1120" customFormat="false" ht="15" hidden="false" customHeight="false" outlineLevel="0" collapsed="false">
      <c r="A1120" s="12"/>
      <c r="B1120" s="13"/>
      <c r="C1120" s="13"/>
      <c r="D1120" s="14"/>
      <c r="E1120" s="15"/>
      <c r="F1120" s="15"/>
      <c r="G1120" s="15"/>
      <c r="H1120" s="15"/>
      <c r="I1120" s="15"/>
      <c r="J1120" s="15"/>
      <c r="K1120" s="16" t="str">
        <f aca="false">IF(A1120="","",F1120+G1120+H1120+I1120)</f>
        <v/>
      </c>
      <c r="L1120" s="17" t="str">
        <f aca="false">IF(OR(K1120="",E1120=0,E1120=""),"",K1120/E1120)</f>
        <v/>
      </c>
      <c r="M1120" s="18" t="str">
        <f aca="false">IF(OR(A1120="",E1120=""),"",E1120+ROW()/1000000)</f>
        <v/>
      </c>
    </row>
    <row r="1121" customFormat="false" ht="15" hidden="false" customHeight="false" outlineLevel="0" collapsed="false">
      <c r="A1121" s="12"/>
      <c r="B1121" s="13"/>
      <c r="C1121" s="13"/>
      <c r="D1121" s="14"/>
      <c r="E1121" s="15"/>
      <c r="F1121" s="15"/>
      <c r="G1121" s="15"/>
      <c r="H1121" s="15"/>
      <c r="I1121" s="15"/>
      <c r="J1121" s="15"/>
      <c r="K1121" s="16" t="str">
        <f aca="false">IF(A1121="","",F1121+G1121+H1121+I1121)</f>
        <v/>
      </c>
      <c r="L1121" s="17" t="str">
        <f aca="false">IF(OR(K1121="",E1121=0,E1121=""),"",K1121/E1121)</f>
        <v/>
      </c>
      <c r="M1121" s="18" t="str">
        <f aca="false">IF(OR(A1121="",E1121=""),"",E1121+ROW()/1000000)</f>
        <v/>
      </c>
    </row>
    <row r="1122" customFormat="false" ht="15" hidden="false" customHeight="false" outlineLevel="0" collapsed="false">
      <c r="A1122" s="12"/>
      <c r="B1122" s="13"/>
      <c r="C1122" s="13"/>
      <c r="D1122" s="14"/>
      <c r="E1122" s="15"/>
      <c r="F1122" s="15"/>
      <c r="G1122" s="15"/>
      <c r="H1122" s="15"/>
      <c r="I1122" s="15"/>
      <c r="J1122" s="15"/>
      <c r="K1122" s="16" t="str">
        <f aca="false">IF(A1122="","",F1122+G1122+H1122+I1122)</f>
        <v/>
      </c>
      <c r="L1122" s="17" t="str">
        <f aca="false">IF(OR(K1122="",E1122=0,E1122=""),"",K1122/E1122)</f>
        <v/>
      </c>
      <c r="M1122" s="18" t="str">
        <f aca="false">IF(OR(A1122="",E1122=""),"",E1122+ROW()/1000000)</f>
        <v/>
      </c>
    </row>
    <row r="1123" customFormat="false" ht="15" hidden="false" customHeight="false" outlineLevel="0" collapsed="false">
      <c r="A1123" s="12"/>
      <c r="B1123" s="13"/>
      <c r="C1123" s="13"/>
      <c r="D1123" s="14"/>
      <c r="E1123" s="15"/>
      <c r="F1123" s="15"/>
      <c r="G1123" s="15"/>
      <c r="H1123" s="15"/>
      <c r="I1123" s="15"/>
      <c r="J1123" s="15"/>
      <c r="K1123" s="16" t="str">
        <f aca="false">IF(A1123="","",F1123+G1123+H1123+I1123)</f>
        <v/>
      </c>
      <c r="L1123" s="17" t="str">
        <f aca="false">IF(OR(K1123="",E1123=0,E1123=""),"",K1123/E1123)</f>
        <v/>
      </c>
      <c r="M1123" s="18" t="str">
        <f aca="false">IF(OR(A1123="",E1123=""),"",E1123+ROW()/1000000)</f>
        <v/>
      </c>
    </row>
    <row r="1124" customFormat="false" ht="15" hidden="false" customHeight="false" outlineLevel="0" collapsed="false">
      <c r="A1124" s="12"/>
      <c r="B1124" s="13"/>
      <c r="C1124" s="13"/>
      <c r="D1124" s="14"/>
      <c r="E1124" s="15"/>
      <c r="F1124" s="15"/>
      <c r="G1124" s="15"/>
      <c r="H1124" s="15"/>
      <c r="I1124" s="15"/>
      <c r="J1124" s="15"/>
      <c r="K1124" s="16" t="str">
        <f aca="false">IF(A1124="","",F1124+G1124+H1124+I1124)</f>
        <v/>
      </c>
      <c r="L1124" s="17" t="str">
        <f aca="false">IF(OR(K1124="",E1124=0,E1124=""),"",K1124/E1124)</f>
        <v/>
      </c>
      <c r="M1124" s="18" t="str">
        <f aca="false">IF(OR(A1124="",E1124=""),"",E1124+ROW()/1000000)</f>
        <v/>
      </c>
    </row>
    <row r="1125" customFormat="false" ht="15" hidden="false" customHeight="false" outlineLevel="0" collapsed="false">
      <c r="A1125" s="12"/>
      <c r="B1125" s="13"/>
      <c r="C1125" s="13"/>
      <c r="D1125" s="14"/>
      <c r="E1125" s="15"/>
      <c r="F1125" s="15"/>
      <c r="G1125" s="15"/>
      <c r="H1125" s="15"/>
      <c r="I1125" s="15"/>
      <c r="J1125" s="15"/>
      <c r="K1125" s="16" t="str">
        <f aca="false">IF(A1125="","",F1125+G1125+H1125+I1125)</f>
        <v/>
      </c>
      <c r="L1125" s="17" t="str">
        <f aca="false">IF(OR(K1125="",E1125=0,E1125=""),"",K1125/E1125)</f>
        <v/>
      </c>
      <c r="M1125" s="18" t="str">
        <f aca="false">IF(OR(A1125="",E1125=""),"",E1125+ROW()/1000000)</f>
        <v/>
      </c>
    </row>
    <row r="1126" customFormat="false" ht="15" hidden="false" customHeight="false" outlineLevel="0" collapsed="false">
      <c r="A1126" s="12"/>
      <c r="B1126" s="13"/>
      <c r="C1126" s="13"/>
      <c r="D1126" s="14"/>
      <c r="E1126" s="15"/>
      <c r="F1126" s="15"/>
      <c r="G1126" s="15"/>
      <c r="H1126" s="15"/>
      <c r="I1126" s="15"/>
      <c r="J1126" s="15"/>
      <c r="K1126" s="16" t="str">
        <f aca="false">IF(A1126="","",F1126+G1126+H1126+I1126)</f>
        <v/>
      </c>
      <c r="L1126" s="17" t="str">
        <f aca="false">IF(OR(K1126="",E1126=0,E1126=""),"",K1126/E1126)</f>
        <v/>
      </c>
      <c r="M1126" s="18" t="str">
        <f aca="false">IF(OR(A1126="",E1126=""),"",E1126+ROW()/1000000)</f>
        <v/>
      </c>
    </row>
    <row r="1127" customFormat="false" ht="15" hidden="false" customHeight="false" outlineLevel="0" collapsed="false">
      <c r="A1127" s="12"/>
      <c r="B1127" s="13"/>
      <c r="C1127" s="13"/>
      <c r="D1127" s="14"/>
      <c r="E1127" s="15"/>
      <c r="F1127" s="15"/>
      <c r="G1127" s="15"/>
      <c r="H1127" s="15"/>
      <c r="I1127" s="15"/>
      <c r="J1127" s="15"/>
      <c r="K1127" s="16" t="str">
        <f aca="false">IF(A1127="","",F1127+G1127+H1127+I1127)</f>
        <v/>
      </c>
      <c r="L1127" s="17" t="str">
        <f aca="false">IF(OR(K1127="",E1127=0,E1127=""),"",K1127/E1127)</f>
        <v/>
      </c>
      <c r="M1127" s="18" t="str">
        <f aca="false">IF(OR(A1127="",E1127=""),"",E1127+ROW()/1000000)</f>
        <v/>
      </c>
    </row>
    <row r="1128" customFormat="false" ht="15" hidden="false" customHeight="false" outlineLevel="0" collapsed="false">
      <c r="A1128" s="12"/>
      <c r="B1128" s="13"/>
      <c r="C1128" s="13"/>
      <c r="D1128" s="14"/>
      <c r="E1128" s="15"/>
      <c r="F1128" s="15"/>
      <c r="G1128" s="15"/>
      <c r="H1128" s="15"/>
      <c r="I1128" s="15"/>
      <c r="J1128" s="15"/>
      <c r="K1128" s="16" t="str">
        <f aca="false">IF(A1128="","",F1128+G1128+H1128+I1128)</f>
        <v/>
      </c>
      <c r="L1128" s="17" t="str">
        <f aca="false">IF(OR(K1128="",E1128=0,E1128=""),"",K1128/E1128)</f>
        <v/>
      </c>
      <c r="M1128" s="18" t="str">
        <f aca="false">IF(OR(A1128="",E1128=""),"",E1128+ROW()/1000000)</f>
        <v/>
      </c>
    </row>
    <row r="1129" customFormat="false" ht="15" hidden="false" customHeight="false" outlineLevel="0" collapsed="false">
      <c r="A1129" s="12"/>
      <c r="B1129" s="13"/>
      <c r="C1129" s="13"/>
      <c r="D1129" s="14"/>
      <c r="E1129" s="15"/>
      <c r="F1129" s="15"/>
      <c r="G1129" s="15"/>
      <c r="H1129" s="15"/>
      <c r="I1129" s="15"/>
      <c r="J1129" s="15"/>
      <c r="K1129" s="16" t="str">
        <f aca="false">IF(A1129="","",F1129+G1129+H1129+I1129)</f>
        <v/>
      </c>
      <c r="L1129" s="17" t="str">
        <f aca="false">IF(OR(K1129="",E1129=0,E1129=""),"",K1129/E1129)</f>
        <v/>
      </c>
      <c r="M1129" s="18" t="str">
        <f aca="false">IF(OR(A1129="",E1129=""),"",E1129+ROW()/1000000)</f>
        <v/>
      </c>
    </row>
    <row r="1130" customFormat="false" ht="15" hidden="false" customHeight="false" outlineLevel="0" collapsed="false">
      <c r="A1130" s="12"/>
      <c r="B1130" s="13"/>
      <c r="C1130" s="13"/>
      <c r="D1130" s="14"/>
      <c r="E1130" s="15"/>
      <c r="F1130" s="15"/>
      <c r="G1130" s="15"/>
      <c r="H1130" s="15"/>
      <c r="I1130" s="15"/>
      <c r="J1130" s="15"/>
      <c r="K1130" s="16" t="str">
        <f aca="false">IF(A1130="","",F1130+G1130+H1130+I1130)</f>
        <v/>
      </c>
      <c r="L1130" s="17" t="str">
        <f aca="false">IF(OR(K1130="",E1130=0,E1130=""),"",K1130/E1130)</f>
        <v/>
      </c>
      <c r="M1130" s="18" t="str">
        <f aca="false">IF(OR(A1130="",E1130=""),"",E1130+ROW()/1000000)</f>
        <v/>
      </c>
    </row>
    <row r="1131" customFormat="false" ht="15" hidden="false" customHeight="false" outlineLevel="0" collapsed="false">
      <c r="A1131" s="12"/>
      <c r="B1131" s="13"/>
      <c r="C1131" s="13"/>
      <c r="D1131" s="14"/>
      <c r="E1131" s="15"/>
      <c r="F1131" s="15"/>
      <c r="G1131" s="15"/>
      <c r="H1131" s="15"/>
      <c r="I1131" s="15"/>
      <c r="J1131" s="15"/>
      <c r="K1131" s="16" t="str">
        <f aca="false">IF(A1131="","",F1131+G1131+H1131+I1131)</f>
        <v/>
      </c>
      <c r="L1131" s="17" t="str">
        <f aca="false">IF(OR(K1131="",E1131=0,E1131=""),"",K1131/E1131)</f>
        <v/>
      </c>
      <c r="M1131" s="18" t="str">
        <f aca="false">IF(OR(A1131="",E1131=""),"",E1131+ROW()/1000000)</f>
        <v/>
      </c>
    </row>
    <row r="1132" customFormat="false" ht="15" hidden="false" customHeight="false" outlineLevel="0" collapsed="false">
      <c r="A1132" s="12"/>
      <c r="B1132" s="13"/>
      <c r="C1132" s="13"/>
      <c r="D1132" s="14"/>
      <c r="E1132" s="15"/>
      <c r="F1132" s="15"/>
      <c r="G1132" s="15"/>
      <c r="H1132" s="15"/>
      <c r="I1132" s="15"/>
      <c r="J1132" s="15"/>
      <c r="K1132" s="16" t="str">
        <f aca="false">IF(A1132="","",F1132+G1132+H1132+I1132)</f>
        <v/>
      </c>
      <c r="L1132" s="17" t="str">
        <f aca="false">IF(OR(K1132="",E1132=0,E1132=""),"",K1132/E1132)</f>
        <v/>
      </c>
      <c r="M1132" s="18" t="str">
        <f aca="false">IF(OR(A1132="",E1132=""),"",E1132+ROW()/1000000)</f>
        <v/>
      </c>
    </row>
    <row r="1133" customFormat="false" ht="15" hidden="false" customHeight="false" outlineLevel="0" collapsed="false">
      <c r="A1133" s="12"/>
      <c r="B1133" s="13"/>
      <c r="C1133" s="13"/>
      <c r="D1133" s="14"/>
      <c r="E1133" s="15"/>
      <c r="F1133" s="15"/>
      <c r="G1133" s="15"/>
      <c r="H1133" s="15"/>
      <c r="I1133" s="15"/>
      <c r="J1133" s="15"/>
      <c r="K1133" s="16" t="str">
        <f aca="false">IF(A1133="","",F1133+G1133+H1133+I1133)</f>
        <v/>
      </c>
      <c r="L1133" s="17" t="str">
        <f aca="false">IF(OR(K1133="",E1133=0,E1133=""),"",K1133/E1133)</f>
        <v/>
      </c>
      <c r="M1133" s="18" t="str">
        <f aca="false">IF(OR(A1133="",E1133=""),"",E1133+ROW()/1000000)</f>
        <v/>
      </c>
    </row>
    <row r="1134" customFormat="false" ht="15" hidden="false" customHeight="false" outlineLevel="0" collapsed="false">
      <c r="A1134" s="12"/>
      <c r="B1134" s="13"/>
      <c r="C1134" s="13"/>
      <c r="D1134" s="14"/>
      <c r="E1134" s="15"/>
      <c r="F1134" s="15"/>
      <c r="G1134" s="15"/>
      <c r="H1134" s="15"/>
      <c r="I1134" s="15"/>
      <c r="J1134" s="15"/>
      <c r="K1134" s="16" t="str">
        <f aca="false">IF(A1134="","",F1134+G1134+H1134+I1134)</f>
        <v/>
      </c>
      <c r="L1134" s="17" t="str">
        <f aca="false">IF(OR(K1134="",E1134=0,E1134=""),"",K1134/E1134)</f>
        <v/>
      </c>
      <c r="M1134" s="18" t="str">
        <f aca="false">IF(OR(A1134="",E1134=""),"",E1134+ROW()/1000000)</f>
        <v/>
      </c>
    </row>
    <row r="1135" customFormat="false" ht="15" hidden="false" customHeight="false" outlineLevel="0" collapsed="false">
      <c r="A1135" s="12"/>
      <c r="B1135" s="13"/>
      <c r="C1135" s="13"/>
      <c r="D1135" s="14"/>
      <c r="E1135" s="15"/>
      <c r="F1135" s="15"/>
      <c r="G1135" s="15"/>
      <c r="H1135" s="15"/>
      <c r="I1135" s="15"/>
      <c r="J1135" s="15"/>
      <c r="K1135" s="16" t="str">
        <f aca="false">IF(A1135="","",F1135+G1135+H1135+I1135)</f>
        <v/>
      </c>
      <c r="L1135" s="17" t="str">
        <f aca="false">IF(OR(K1135="",E1135=0,E1135=""),"",K1135/E1135)</f>
        <v/>
      </c>
      <c r="M1135" s="18" t="str">
        <f aca="false">IF(OR(A1135="",E1135=""),"",E1135+ROW()/1000000)</f>
        <v/>
      </c>
    </row>
    <row r="1136" customFormat="false" ht="15" hidden="false" customHeight="false" outlineLevel="0" collapsed="false">
      <c r="A1136" s="12"/>
      <c r="B1136" s="13"/>
      <c r="C1136" s="13"/>
      <c r="D1136" s="14"/>
      <c r="E1136" s="15"/>
      <c r="F1136" s="15"/>
      <c r="G1136" s="15"/>
      <c r="H1136" s="15"/>
      <c r="I1136" s="15"/>
      <c r="J1136" s="15"/>
      <c r="K1136" s="16" t="str">
        <f aca="false">IF(A1136="","",F1136+G1136+H1136+I1136)</f>
        <v/>
      </c>
      <c r="L1136" s="17" t="str">
        <f aca="false">IF(OR(K1136="",E1136=0,E1136=""),"",K1136/E1136)</f>
        <v/>
      </c>
      <c r="M1136" s="18" t="str">
        <f aca="false">IF(OR(A1136="",E1136=""),"",E1136+ROW()/1000000)</f>
        <v/>
      </c>
    </row>
    <row r="1137" customFormat="false" ht="15" hidden="false" customHeight="false" outlineLevel="0" collapsed="false">
      <c r="A1137" s="12"/>
      <c r="B1137" s="13"/>
      <c r="C1137" s="13"/>
      <c r="D1137" s="14"/>
      <c r="E1137" s="15"/>
      <c r="F1137" s="15"/>
      <c r="G1137" s="15"/>
      <c r="H1137" s="15"/>
      <c r="I1137" s="15"/>
      <c r="J1137" s="15"/>
      <c r="K1137" s="16" t="str">
        <f aca="false">IF(A1137="","",F1137+G1137+H1137+I1137)</f>
        <v/>
      </c>
      <c r="L1137" s="17" t="str">
        <f aca="false">IF(OR(K1137="",E1137=0,E1137=""),"",K1137/E1137)</f>
        <v/>
      </c>
      <c r="M1137" s="18" t="str">
        <f aca="false">IF(OR(A1137="",E1137=""),"",E1137+ROW()/1000000)</f>
        <v/>
      </c>
    </row>
    <row r="1138" customFormat="false" ht="15" hidden="false" customHeight="false" outlineLevel="0" collapsed="false">
      <c r="A1138" s="12"/>
      <c r="B1138" s="13"/>
      <c r="C1138" s="13"/>
      <c r="D1138" s="14"/>
      <c r="E1138" s="15"/>
      <c r="F1138" s="15"/>
      <c r="G1138" s="15"/>
      <c r="H1138" s="15"/>
      <c r="I1138" s="15"/>
      <c r="J1138" s="15"/>
      <c r="K1138" s="16" t="str">
        <f aca="false">IF(A1138="","",F1138+G1138+H1138+I1138)</f>
        <v/>
      </c>
      <c r="L1138" s="17" t="str">
        <f aca="false">IF(OR(K1138="",E1138=0,E1138=""),"",K1138/E1138)</f>
        <v/>
      </c>
      <c r="M1138" s="18" t="str">
        <f aca="false">IF(OR(A1138="",E1138=""),"",E1138+ROW()/1000000)</f>
        <v/>
      </c>
    </row>
    <row r="1139" customFormat="false" ht="15" hidden="false" customHeight="false" outlineLevel="0" collapsed="false">
      <c r="A1139" s="12"/>
      <c r="B1139" s="13"/>
      <c r="C1139" s="13"/>
      <c r="D1139" s="14"/>
      <c r="E1139" s="15"/>
      <c r="F1139" s="15"/>
      <c r="G1139" s="15"/>
      <c r="H1139" s="15"/>
      <c r="I1139" s="15"/>
      <c r="J1139" s="15"/>
      <c r="K1139" s="16" t="str">
        <f aca="false">IF(A1139="","",F1139+G1139+H1139+I1139)</f>
        <v/>
      </c>
      <c r="L1139" s="17" t="str">
        <f aca="false">IF(OR(K1139="",E1139=0,E1139=""),"",K1139/E1139)</f>
        <v/>
      </c>
      <c r="M1139" s="18" t="str">
        <f aca="false">IF(OR(A1139="",E1139=""),"",E1139+ROW()/1000000)</f>
        <v/>
      </c>
    </row>
    <row r="1140" customFormat="false" ht="15" hidden="false" customHeight="false" outlineLevel="0" collapsed="false">
      <c r="A1140" s="12"/>
      <c r="B1140" s="13"/>
      <c r="C1140" s="13"/>
      <c r="D1140" s="14"/>
      <c r="E1140" s="15"/>
      <c r="F1140" s="15"/>
      <c r="G1140" s="15"/>
      <c r="H1140" s="15"/>
      <c r="I1140" s="15"/>
      <c r="J1140" s="15"/>
      <c r="K1140" s="16" t="str">
        <f aca="false">IF(A1140="","",F1140+G1140+H1140+I1140)</f>
        <v/>
      </c>
      <c r="L1140" s="17" t="str">
        <f aca="false">IF(OR(K1140="",E1140=0,E1140=""),"",K1140/E1140)</f>
        <v/>
      </c>
      <c r="M1140" s="18" t="str">
        <f aca="false">IF(OR(A1140="",E1140=""),"",E1140+ROW()/1000000)</f>
        <v/>
      </c>
    </row>
    <row r="1141" customFormat="false" ht="15" hidden="false" customHeight="false" outlineLevel="0" collapsed="false">
      <c r="A1141" s="12"/>
      <c r="B1141" s="13"/>
      <c r="C1141" s="13"/>
      <c r="D1141" s="14"/>
      <c r="E1141" s="15"/>
      <c r="F1141" s="15"/>
      <c r="G1141" s="15"/>
      <c r="H1141" s="15"/>
      <c r="I1141" s="15"/>
      <c r="J1141" s="15"/>
      <c r="K1141" s="16" t="str">
        <f aca="false">IF(A1141="","",F1141+G1141+H1141+I1141)</f>
        <v/>
      </c>
      <c r="L1141" s="17" t="str">
        <f aca="false">IF(OR(K1141="",E1141=0,E1141=""),"",K1141/E1141)</f>
        <v/>
      </c>
      <c r="M1141" s="18" t="str">
        <f aca="false">IF(OR(A1141="",E1141=""),"",E1141+ROW()/1000000)</f>
        <v/>
      </c>
    </row>
    <row r="1142" customFormat="false" ht="15" hidden="false" customHeight="false" outlineLevel="0" collapsed="false">
      <c r="A1142" s="12"/>
      <c r="B1142" s="13"/>
      <c r="C1142" s="13"/>
      <c r="D1142" s="14"/>
      <c r="E1142" s="15"/>
      <c r="F1142" s="15"/>
      <c r="G1142" s="15"/>
      <c r="H1142" s="15"/>
      <c r="I1142" s="15"/>
      <c r="J1142" s="15"/>
      <c r="K1142" s="16" t="str">
        <f aca="false">IF(A1142="","",F1142+G1142+H1142+I1142)</f>
        <v/>
      </c>
      <c r="L1142" s="17" t="str">
        <f aca="false">IF(OR(K1142="",E1142=0,E1142=""),"",K1142/E1142)</f>
        <v/>
      </c>
      <c r="M1142" s="18" t="str">
        <f aca="false">IF(OR(A1142="",E1142=""),"",E1142+ROW()/1000000)</f>
        <v/>
      </c>
    </row>
    <row r="1143" customFormat="false" ht="15" hidden="false" customHeight="false" outlineLevel="0" collapsed="false">
      <c r="A1143" s="12"/>
      <c r="B1143" s="13"/>
      <c r="C1143" s="13"/>
      <c r="D1143" s="14"/>
      <c r="E1143" s="15"/>
      <c r="F1143" s="15"/>
      <c r="G1143" s="15"/>
      <c r="H1143" s="15"/>
      <c r="I1143" s="15"/>
      <c r="J1143" s="15"/>
      <c r="K1143" s="16" t="str">
        <f aca="false">IF(A1143="","",F1143+G1143+H1143+I1143)</f>
        <v/>
      </c>
      <c r="L1143" s="17" t="str">
        <f aca="false">IF(OR(K1143="",E1143=0,E1143=""),"",K1143/E1143)</f>
        <v/>
      </c>
      <c r="M1143" s="18" t="str">
        <f aca="false">IF(OR(A1143="",E1143=""),"",E1143+ROW()/1000000)</f>
        <v/>
      </c>
    </row>
    <row r="1144" customFormat="false" ht="15" hidden="false" customHeight="false" outlineLevel="0" collapsed="false">
      <c r="A1144" s="12"/>
      <c r="B1144" s="13"/>
      <c r="C1144" s="13"/>
      <c r="D1144" s="14"/>
      <c r="E1144" s="15"/>
      <c r="F1144" s="15"/>
      <c r="G1144" s="15"/>
      <c r="H1144" s="15"/>
      <c r="I1144" s="15"/>
      <c r="J1144" s="15"/>
      <c r="K1144" s="16" t="str">
        <f aca="false">IF(A1144="","",F1144+G1144+H1144+I1144)</f>
        <v/>
      </c>
      <c r="L1144" s="17" t="str">
        <f aca="false">IF(OR(K1144="",E1144=0,E1144=""),"",K1144/E1144)</f>
        <v/>
      </c>
      <c r="M1144" s="18" t="str">
        <f aca="false">IF(OR(A1144="",E1144=""),"",E1144+ROW()/1000000)</f>
        <v/>
      </c>
    </row>
    <row r="1145" customFormat="false" ht="15" hidden="false" customHeight="false" outlineLevel="0" collapsed="false">
      <c r="A1145" s="12"/>
      <c r="B1145" s="13"/>
      <c r="C1145" s="13"/>
      <c r="D1145" s="14"/>
      <c r="E1145" s="15"/>
      <c r="F1145" s="15"/>
      <c r="G1145" s="15"/>
      <c r="H1145" s="15"/>
      <c r="I1145" s="15"/>
      <c r="J1145" s="15"/>
      <c r="K1145" s="16" t="str">
        <f aca="false">IF(A1145="","",F1145+G1145+H1145+I1145)</f>
        <v/>
      </c>
      <c r="L1145" s="17" t="str">
        <f aca="false">IF(OR(K1145="",E1145=0,E1145=""),"",K1145/E1145)</f>
        <v/>
      </c>
      <c r="M1145" s="18" t="str">
        <f aca="false">IF(OR(A1145="",E1145=""),"",E1145+ROW()/1000000)</f>
        <v/>
      </c>
    </row>
    <row r="1146" customFormat="false" ht="15" hidden="false" customHeight="false" outlineLevel="0" collapsed="false">
      <c r="A1146" s="12"/>
      <c r="B1146" s="13"/>
      <c r="C1146" s="13"/>
      <c r="D1146" s="14"/>
      <c r="E1146" s="15"/>
      <c r="F1146" s="15"/>
      <c r="G1146" s="15"/>
      <c r="H1146" s="15"/>
      <c r="I1146" s="15"/>
      <c r="J1146" s="15"/>
      <c r="K1146" s="16" t="str">
        <f aca="false">IF(A1146="","",F1146+G1146+H1146+I1146)</f>
        <v/>
      </c>
      <c r="L1146" s="17" t="str">
        <f aca="false">IF(OR(K1146="",E1146=0,E1146=""),"",K1146/E1146)</f>
        <v/>
      </c>
      <c r="M1146" s="18" t="str">
        <f aca="false">IF(OR(A1146="",E1146=""),"",E1146+ROW()/1000000)</f>
        <v/>
      </c>
    </row>
    <row r="1147" customFormat="false" ht="15" hidden="false" customHeight="false" outlineLevel="0" collapsed="false">
      <c r="A1147" s="12"/>
      <c r="B1147" s="13"/>
      <c r="C1147" s="13"/>
      <c r="D1147" s="14"/>
      <c r="E1147" s="15"/>
      <c r="F1147" s="15"/>
      <c r="G1147" s="15"/>
      <c r="H1147" s="15"/>
      <c r="I1147" s="15"/>
      <c r="J1147" s="15"/>
      <c r="K1147" s="16" t="str">
        <f aca="false">IF(A1147="","",F1147+G1147+H1147+I1147)</f>
        <v/>
      </c>
      <c r="L1147" s="17" t="str">
        <f aca="false">IF(OR(K1147="",E1147=0,E1147=""),"",K1147/E1147)</f>
        <v/>
      </c>
      <c r="M1147" s="18" t="str">
        <f aca="false">IF(OR(A1147="",E1147=""),"",E1147+ROW()/1000000)</f>
        <v/>
      </c>
    </row>
    <row r="1148" customFormat="false" ht="15" hidden="false" customHeight="false" outlineLevel="0" collapsed="false">
      <c r="A1148" s="12"/>
      <c r="B1148" s="13"/>
      <c r="C1148" s="13"/>
      <c r="D1148" s="14"/>
      <c r="E1148" s="15"/>
      <c r="F1148" s="15"/>
      <c r="G1148" s="15"/>
      <c r="H1148" s="15"/>
      <c r="I1148" s="15"/>
      <c r="J1148" s="15"/>
      <c r="K1148" s="16" t="str">
        <f aca="false">IF(A1148="","",F1148+G1148+H1148+I1148)</f>
        <v/>
      </c>
      <c r="L1148" s="17" t="str">
        <f aca="false">IF(OR(K1148="",E1148=0,E1148=""),"",K1148/E1148)</f>
        <v/>
      </c>
      <c r="M1148" s="18" t="str">
        <f aca="false">IF(OR(A1148="",E1148=""),"",E1148+ROW()/1000000)</f>
        <v/>
      </c>
    </row>
    <row r="1149" customFormat="false" ht="15" hidden="false" customHeight="false" outlineLevel="0" collapsed="false">
      <c r="A1149" s="12"/>
      <c r="B1149" s="13"/>
      <c r="C1149" s="13"/>
      <c r="D1149" s="14"/>
      <c r="E1149" s="15"/>
      <c r="F1149" s="15"/>
      <c r="G1149" s="15"/>
      <c r="H1149" s="15"/>
      <c r="I1149" s="15"/>
      <c r="J1149" s="15"/>
      <c r="K1149" s="16" t="str">
        <f aca="false">IF(A1149="","",F1149+G1149+H1149+I1149)</f>
        <v/>
      </c>
      <c r="L1149" s="17" t="str">
        <f aca="false">IF(OR(K1149="",E1149=0,E1149=""),"",K1149/E1149)</f>
        <v/>
      </c>
      <c r="M1149" s="18" t="str">
        <f aca="false">IF(OR(A1149="",E1149=""),"",E1149+ROW()/1000000)</f>
        <v/>
      </c>
    </row>
    <row r="1150" customFormat="false" ht="15" hidden="false" customHeight="false" outlineLevel="0" collapsed="false">
      <c r="A1150" s="12"/>
      <c r="B1150" s="13"/>
      <c r="C1150" s="13"/>
      <c r="D1150" s="14"/>
      <c r="E1150" s="15"/>
      <c r="F1150" s="15"/>
      <c r="G1150" s="15"/>
      <c r="H1150" s="15"/>
      <c r="I1150" s="15"/>
      <c r="J1150" s="15"/>
      <c r="K1150" s="16" t="str">
        <f aca="false">IF(A1150="","",F1150+G1150+H1150+I1150)</f>
        <v/>
      </c>
      <c r="L1150" s="17" t="str">
        <f aca="false">IF(OR(K1150="",E1150=0,E1150=""),"",K1150/E1150)</f>
        <v/>
      </c>
      <c r="M1150" s="18" t="str">
        <f aca="false">IF(OR(A1150="",E1150=""),"",E1150+ROW()/1000000)</f>
        <v/>
      </c>
    </row>
    <row r="1151" customFormat="false" ht="15" hidden="false" customHeight="false" outlineLevel="0" collapsed="false">
      <c r="A1151" s="12"/>
      <c r="B1151" s="13"/>
      <c r="C1151" s="13"/>
      <c r="D1151" s="14"/>
      <c r="E1151" s="15"/>
      <c r="F1151" s="15"/>
      <c r="G1151" s="15"/>
      <c r="H1151" s="15"/>
      <c r="I1151" s="15"/>
      <c r="J1151" s="15"/>
      <c r="K1151" s="16" t="str">
        <f aca="false">IF(A1151="","",F1151+G1151+H1151+I1151)</f>
        <v/>
      </c>
      <c r="L1151" s="17" t="str">
        <f aca="false">IF(OR(K1151="",E1151=0,E1151=""),"",K1151/E1151)</f>
        <v/>
      </c>
      <c r="M1151" s="18" t="str">
        <f aca="false">IF(OR(A1151="",E1151=""),"",E1151+ROW()/1000000)</f>
        <v/>
      </c>
    </row>
    <row r="1152" customFormat="false" ht="15" hidden="false" customHeight="false" outlineLevel="0" collapsed="false">
      <c r="A1152" s="12"/>
      <c r="B1152" s="13"/>
      <c r="C1152" s="13"/>
      <c r="D1152" s="14"/>
      <c r="E1152" s="15"/>
      <c r="F1152" s="15"/>
      <c r="G1152" s="15"/>
      <c r="H1152" s="15"/>
      <c r="I1152" s="15"/>
      <c r="J1152" s="15"/>
      <c r="K1152" s="16" t="str">
        <f aca="false">IF(A1152="","",F1152+G1152+H1152+I1152)</f>
        <v/>
      </c>
      <c r="L1152" s="17" t="str">
        <f aca="false">IF(OR(K1152="",E1152=0,E1152=""),"",K1152/E1152)</f>
        <v/>
      </c>
      <c r="M1152" s="18" t="str">
        <f aca="false">IF(OR(A1152="",E1152=""),"",E1152+ROW()/1000000)</f>
        <v/>
      </c>
    </row>
    <row r="1153" customFormat="false" ht="15" hidden="false" customHeight="false" outlineLevel="0" collapsed="false">
      <c r="A1153" s="12"/>
      <c r="B1153" s="13"/>
      <c r="C1153" s="13"/>
      <c r="D1153" s="14"/>
      <c r="E1153" s="15"/>
      <c r="F1153" s="15"/>
      <c r="G1153" s="15"/>
      <c r="H1153" s="15"/>
      <c r="I1153" s="15"/>
      <c r="J1153" s="15"/>
      <c r="K1153" s="16" t="str">
        <f aca="false">IF(A1153="","",F1153+G1153+H1153+I1153)</f>
        <v/>
      </c>
      <c r="L1153" s="17" t="str">
        <f aca="false">IF(OR(K1153="",E1153=0,E1153=""),"",K1153/E1153)</f>
        <v/>
      </c>
      <c r="M1153" s="18" t="str">
        <f aca="false">IF(OR(A1153="",E1153=""),"",E1153+ROW()/1000000)</f>
        <v/>
      </c>
    </row>
    <row r="1154" customFormat="false" ht="15" hidden="false" customHeight="false" outlineLevel="0" collapsed="false">
      <c r="A1154" s="12"/>
      <c r="B1154" s="13"/>
      <c r="C1154" s="13"/>
      <c r="D1154" s="14"/>
      <c r="E1154" s="15"/>
      <c r="F1154" s="15"/>
      <c r="G1154" s="15"/>
      <c r="H1154" s="15"/>
      <c r="I1154" s="15"/>
      <c r="J1154" s="15"/>
      <c r="K1154" s="16" t="str">
        <f aca="false">IF(A1154="","",F1154+G1154+H1154+I1154)</f>
        <v/>
      </c>
      <c r="L1154" s="17" t="str">
        <f aca="false">IF(OR(K1154="",E1154=0,E1154=""),"",K1154/E1154)</f>
        <v/>
      </c>
      <c r="M1154" s="18" t="str">
        <f aca="false">IF(OR(A1154="",E1154=""),"",E1154+ROW()/1000000)</f>
        <v/>
      </c>
    </row>
    <row r="1155" customFormat="false" ht="15" hidden="false" customHeight="false" outlineLevel="0" collapsed="false">
      <c r="A1155" s="12"/>
      <c r="B1155" s="13"/>
      <c r="C1155" s="13"/>
      <c r="D1155" s="14"/>
      <c r="E1155" s="15"/>
      <c r="F1155" s="15"/>
      <c r="G1155" s="15"/>
      <c r="H1155" s="15"/>
      <c r="I1155" s="15"/>
      <c r="J1155" s="15"/>
      <c r="K1155" s="16" t="str">
        <f aca="false">IF(A1155="","",F1155+G1155+H1155+I1155)</f>
        <v/>
      </c>
      <c r="L1155" s="17" t="str">
        <f aca="false">IF(OR(K1155="",E1155=0,E1155=""),"",K1155/E1155)</f>
        <v/>
      </c>
      <c r="M1155" s="18" t="str">
        <f aca="false">IF(OR(A1155="",E1155=""),"",E1155+ROW()/1000000)</f>
        <v/>
      </c>
    </row>
    <row r="1156" customFormat="false" ht="15" hidden="false" customHeight="false" outlineLevel="0" collapsed="false">
      <c r="A1156" s="12"/>
      <c r="B1156" s="13"/>
      <c r="C1156" s="13"/>
      <c r="D1156" s="14"/>
      <c r="E1156" s="15"/>
      <c r="F1156" s="15"/>
      <c r="G1156" s="15"/>
      <c r="H1156" s="15"/>
      <c r="I1156" s="15"/>
      <c r="J1156" s="15"/>
      <c r="K1156" s="16" t="str">
        <f aca="false">IF(A1156="","",F1156+G1156+H1156+I1156)</f>
        <v/>
      </c>
      <c r="L1156" s="17" t="str">
        <f aca="false">IF(OR(K1156="",E1156=0,E1156=""),"",K1156/E1156)</f>
        <v/>
      </c>
      <c r="M1156" s="18" t="str">
        <f aca="false">IF(OR(A1156="",E1156=""),"",E1156+ROW()/1000000)</f>
        <v/>
      </c>
    </row>
    <row r="1157" customFormat="false" ht="15" hidden="false" customHeight="false" outlineLevel="0" collapsed="false">
      <c r="A1157" s="12"/>
      <c r="B1157" s="13"/>
      <c r="C1157" s="13"/>
      <c r="D1157" s="14"/>
      <c r="E1157" s="15"/>
      <c r="F1157" s="15"/>
      <c r="G1157" s="15"/>
      <c r="H1157" s="15"/>
      <c r="I1157" s="15"/>
      <c r="J1157" s="15"/>
      <c r="K1157" s="16" t="str">
        <f aca="false">IF(A1157="","",F1157+G1157+H1157+I1157)</f>
        <v/>
      </c>
      <c r="L1157" s="17" t="str">
        <f aca="false">IF(OR(K1157="",E1157=0,E1157=""),"",K1157/E1157)</f>
        <v/>
      </c>
      <c r="M1157" s="18" t="str">
        <f aca="false">IF(OR(A1157="",E1157=""),"",E1157+ROW()/1000000)</f>
        <v/>
      </c>
    </row>
    <row r="1158" customFormat="false" ht="15" hidden="false" customHeight="false" outlineLevel="0" collapsed="false">
      <c r="A1158" s="12"/>
      <c r="B1158" s="13"/>
      <c r="C1158" s="13"/>
      <c r="D1158" s="14"/>
      <c r="E1158" s="15"/>
      <c r="F1158" s="15"/>
      <c r="G1158" s="15"/>
      <c r="H1158" s="15"/>
      <c r="I1158" s="15"/>
      <c r="J1158" s="15"/>
      <c r="K1158" s="16" t="str">
        <f aca="false">IF(A1158="","",F1158+G1158+H1158+I1158)</f>
        <v/>
      </c>
      <c r="L1158" s="17" t="str">
        <f aca="false">IF(OR(K1158="",E1158=0,E1158=""),"",K1158/E1158)</f>
        <v/>
      </c>
      <c r="M1158" s="18" t="str">
        <f aca="false">IF(OR(A1158="",E1158=""),"",E1158+ROW()/1000000)</f>
        <v/>
      </c>
    </row>
    <row r="1159" customFormat="false" ht="15" hidden="false" customHeight="false" outlineLevel="0" collapsed="false">
      <c r="A1159" s="12"/>
      <c r="B1159" s="13"/>
      <c r="C1159" s="13"/>
      <c r="D1159" s="14"/>
      <c r="E1159" s="15"/>
      <c r="F1159" s="15"/>
      <c r="G1159" s="15"/>
      <c r="H1159" s="15"/>
      <c r="I1159" s="15"/>
      <c r="J1159" s="15"/>
      <c r="K1159" s="16" t="str">
        <f aca="false">IF(A1159="","",F1159+G1159+H1159+I1159)</f>
        <v/>
      </c>
      <c r="L1159" s="17" t="str">
        <f aca="false">IF(OR(K1159="",E1159=0,E1159=""),"",K1159/E1159)</f>
        <v/>
      </c>
      <c r="M1159" s="18" t="str">
        <f aca="false">IF(OR(A1159="",E1159=""),"",E1159+ROW()/1000000)</f>
        <v/>
      </c>
    </row>
    <row r="1160" customFormat="false" ht="15" hidden="false" customHeight="false" outlineLevel="0" collapsed="false">
      <c r="A1160" s="12"/>
      <c r="B1160" s="13"/>
      <c r="C1160" s="13"/>
      <c r="D1160" s="14"/>
      <c r="E1160" s="15"/>
      <c r="F1160" s="15"/>
      <c r="G1160" s="15"/>
      <c r="H1160" s="15"/>
      <c r="I1160" s="15"/>
      <c r="J1160" s="15"/>
      <c r="K1160" s="16" t="str">
        <f aca="false">IF(A1160="","",F1160+G1160+H1160+I1160)</f>
        <v/>
      </c>
      <c r="L1160" s="17" t="str">
        <f aca="false">IF(OR(K1160="",E1160=0,E1160=""),"",K1160/E1160)</f>
        <v/>
      </c>
      <c r="M1160" s="18" t="str">
        <f aca="false">IF(OR(A1160="",E1160=""),"",E1160+ROW()/1000000)</f>
        <v/>
      </c>
    </row>
    <row r="1161" customFormat="false" ht="15" hidden="false" customHeight="false" outlineLevel="0" collapsed="false">
      <c r="A1161" s="12"/>
      <c r="B1161" s="13"/>
      <c r="C1161" s="13"/>
      <c r="D1161" s="14"/>
      <c r="E1161" s="15"/>
      <c r="F1161" s="15"/>
      <c r="G1161" s="15"/>
      <c r="H1161" s="15"/>
      <c r="I1161" s="15"/>
      <c r="J1161" s="15"/>
      <c r="K1161" s="16" t="str">
        <f aca="false">IF(A1161="","",F1161+G1161+H1161+I1161)</f>
        <v/>
      </c>
      <c r="L1161" s="17" t="str">
        <f aca="false">IF(OR(K1161="",E1161=0,E1161=""),"",K1161/E1161)</f>
        <v/>
      </c>
      <c r="M1161" s="18" t="str">
        <f aca="false">IF(OR(A1161="",E1161=""),"",E1161+ROW()/1000000)</f>
        <v/>
      </c>
    </row>
    <row r="1162" customFormat="false" ht="15" hidden="false" customHeight="false" outlineLevel="0" collapsed="false">
      <c r="A1162" s="12"/>
      <c r="B1162" s="13"/>
      <c r="C1162" s="13"/>
      <c r="D1162" s="14"/>
      <c r="E1162" s="15"/>
      <c r="F1162" s="15"/>
      <c r="G1162" s="15"/>
      <c r="H1162" s="15"/>
      <c r="I1162" s="15"/>
      <c r="J1162" s="15"/>
      <c r="K1162" s="16" t="str">
        <f aca="false">IF(A1162="","",F1162+G1162+H1162+I1162)</f>
        <v/>
      </c>
      <c r="L1162" s="17" t="str">
        <f aca="false">IF(OR(K1162="",E1162=0,E1162=""),"",K1162/E1162)</f>
        <v/>
      </c>
      <c r="M1162" s="18" t="str">
        <f aca="false">IF(OR(A1162="",E1162=""),"",E1162+ROW()/1000000)</f>
        <v/>
      </c>
    </row>
    <row r="1163" customFormat="false" ht="15" hidden="false" customHeight="false" outlineLevel="0" collapsed="false">
      <c r="A1163" s="12"/>
      <c r="B1163" s="13"/>
      <c r="C1163" s="13"/>
      <c r="D1163" s="14"/>
      <c r="E1163" s="15"/>
      <c r="F1163" s="15"/>
      <c r="G1163" s="15"/>
      <c r="H1163" s="15"/>
      <c r="I1163" s="15"/>
      <c r="J1163" s="15"/>
      <c r="K1163" s="16" t="str">
        <f aca="false">IF(A1163="","",F1163+G1163+H1163+I1163)</f>
        <v/>
      </c>
      <c r="L1163" s="17" t="str">
        <f aca="false">IF(OR(K1163="",E1163=0,E1163=""),"",K1163/E1163)</f>
        <v/>
      </c>
      <c r="M1163" s="18" t="str">
        <f aca="false">IF(OR(A1163="",E1163=""),"",E1163+ROW()/1000000)</f>
        <v/>
      </c>
    </row>
    <row r="1164" customFormat="false" ht="15" hidden="false" customHeight="false" outlineLevel="0" collapsed="false">
      <c r="A1164" s="12"/>
      <c r="B1164" s="13"/>
      <c r="C1164" s="13"/>
      <c r="D1164" s="14"/>
      <c r="E1164" s="15"/>
      <c r="F1164" s="15"/>
      <c r="G1164" s="15"/>
      <c r="H1164" s="15"/>
      <c r="I1164" s="15"/>
      <c r="J1164" s="15"/>
      <c r="K1164" s="16" t="str">
        <f aca="false">IF(A1164="","",F1164+G1164+H1164+I1164)</f>
        <v/>
      </c>
      <c r="L1164" s="17" t="str">
        <f aca="false">IF(OR(K1164="",E1164=0,E1164=""),"",K1164/E1164)</f>
        <v/>
      </c>
      <c r="M1164" s="18" t="str">
        <f aca="false">IF(OR(A1164="",E1164=""),"",E1164+ROW()/1000000)</f>
        <v/>
      </c>
    </row>
    <row r="1165" customFormat="false" ht="15" hidden="false" customHeight="false" outlineLevel="0" collapsed="false">
      <c r="A1165" s="12"/>
      <c r="B1165" s="13"/>
      <c r="C1165" s="13"/>
      <c r="D1165" s="14"/>
      <c r="E1165" s="15"/>
      <c r="F1165" s="15"/>
      <c r="G1165" s="15"/>
      <c r="H1165" s="15"/>
      <c r="I1165" s="15"/>
      <c r="J1165" s="15"/>
      <c r="K1165" s="16" t="str">
        <f aca="false">IF(A1165="","",F1165+G1165+H1165+I1165)</f>
        <v/>
      </c>
      <c r="L1165" s="17" t="str">
        <f aca="false">IF(OR(K1165="",E1165=0,E1165=""),"",K1165/E1165)</f>
        <v/>
      </c>
      <c r="M1165" s="18" t="str">
        <f aca="false">IF(OR(A1165="",E1165=""),"",E1165+ROW()/1000000)</f>
        <v/>
      </c>
    </row>
    <row r="1166" customFormat="false" ht="15" hidden="false" customHeight="false" outlineLevel="0" collapsed="false">
      <c r="A1166" s="12"/>
      <c r="B1166" s="13"/>
      <c r="C1166" s="13"/>
      <c r="D1166" s="14"/>
      <c r="E1166" s="15"/>
      <c r="F1166" s="15"/>
      <c r="G1166" s="15"/>
      <c r="H1166" s="15"/>
      <c r="I1166" s="15"/>
      <c r="J1166" s="15"/>
      <c r="K1166" s="16" t="str">
        <f aca="false">IF(A1166="","",F1166+G1166+H1166+I1166)</f>
        <v/>
      </c>
      <c r="L1166" s="17" t="str">
        <f aca="false">IF(OR(K1166="",E1166=0,E1166=""),"",K1166/E1166)</f>
        <v/>
      </c>
      <c r="M1166" s="18" t="str">
        <f aca="false">IF(OR(A1166="",E1166=""),"",E1166+ROW()/1000000)</f>
        <v/>
      </c>
    </row>
    <row r="1167" customFormat="false" ht="15" hidden="false" customHeight="false" outlineLevel="0" collapsed="false">
      <c r="A1167" s="12"/>
      <c r="B1167" s="13"/>
      <c r="C1167" s="13"/>
      <c r="D1167" s="14"/>
      <c r="E1167" s="15"/>
      <c r="F1167" s="15"/>
      <c r="G1167" s="15"/>
      <c r="H1167" s="15"/>
      <c r="I1167" s="15"/>
      <c r="J1167" s="15"/>
      <c r="K1167" s="16" t="str">
        <f aca="false">IF(A1167="","",F1167+G1167+H1167+I1167)</f>
        <v/>
      </c>
      <c r="L1167" s="17" t="str">
        <f aca="false">IF(OR(K1167="",E1167=0,E1167=""),"",K1167/E1167)</f>
        <v/>
      </c>
      <c r="M1167" s="18" t="str">
        <f aca="false">IF(OR(A1167="",E1167=""),"",E1167+ROW()/1000000)</f>
        <v/>
      </c>
    </row>
    <row r="1168" customFormat="false" ht="15" hidden="false" customHeight="false" outlineLevel="0" collapsed="false">
      <c r="A1168" s="12"/>
      <c r="B1168" s="13"/>
      <c r="C1168" s="13"/>
      <c r="D1168" s="14"/>
      <c r="E1168" s="15"/>
      <c r="F1168" s="15"/>
      <c r="G1168" s="15"/>
      <c r="H1168" s="15"/>
      <c r="I1168" s="15"/>
      <c r="J1168" s="15"/>
      <c r="K1168" s="16" t="str">
        <f aca="false">IF(A1168="","",F1168+G1168+H1168+I1168)</f>
        <v/>
      </c>
      <c r="L1168" s="17" t="str">
        <f aca="false">IF(OR(K1168="",E1168=0,E1168=""),"",K1168/E1168)</f>
        <v/>
      </c>
      <c r="M1168" s="18" t="str">
        <f aca="false">IF(OR(A1168="",E1168=""),"",E1168+ROW()/1000000)</f>
        <v/>
      </c>
    </row>
    <row r="1169" customFormat="false" ht="15" hidden="false" customHeight="false" outlineLevel="0" collapsed="false">
      <c r="A1169" s="12"/>
      <c r="B1169" s="13"/>
      <c r="C1169" s="13"/>
      <c r="D1169" s="14"/>
      <c r="E1169" s="15"/>
      <c r="F1169" s="15"/>
      <c r="G1169" s="15"/>
      <c r="H1169" s="15"/>
      <c r="I1169" s="15"/>
      <c r="J1169" s="15"/>
      <c r="K1169" s="16" t="str">
        <f aca="false">IF(A1169="","",F1169+G1169+H1169+I1169)</f>
        <v/>
      </c>
      <c r="L1169" s="17" t="str">
        <f aca="false">IF(OR(K1169="",E1169=0,E1169=""),"",K1169/E1169)</f>
        <v/>
      </c>
      <c r="M1169" s="18" t="str">
        <f aca="false">IF(OR(A1169="",E1169=""),"",E1169+ROW()/1000000)</f>
        <v/>
      </c>
    </row>
    <row r="1170" customFormat="false" ht="15" hidden="false" customHeight="false" outlineLevel="0" collapsed="false">
      <c r="A1170" s="12"/>
      <c r="B1170" s="13"/>
      <c r="C1170" s="13"/>
      <c r="D1170" s="14"/>
      <c r="E1170" s="15"/>
      <c r="F1170" s="15"/>
      <c r="G1170" s="15"/>
      <c r="H1170" s="15"/>
      <c r="I1170" s="15"/>
      <c r="J1170" s="15"/>
      <c r="K1170" s="16" t="str">
        <f aca="false">IF(A1170="","",F1170+G1170+H1170+I1170)</f>
        <v/>
      </c>
      <c r="L1170" s="17" t="str">
        <f aca="false">IF(OR(K1170="",E1170=0,E1170=""),"",K1170/E1170)</f>
        <v/>
      </c>
      <c r="M1170" s="18" t="str">
        <f aca="false">IF(OR(A1170="",E1170=""),"",E1170+ROW()/1000000)</f>
        <v/>
      </c>
    </row>
    <row r="1171" customFormat="false" ht="15" hidden="false" customHeight="false" outlineLevel="0" collapsed="false">
      <c r="A1171" s="12"/>
      <c r="B1171" s="13"/>
      <c r="C1171" s="13"/>
      <c r="D1171" s="14"/>
      <c r="E1171" s="15"/>
      <c r="F1171" s="15"/>
      <c r="G1171" s="15"/>
      <c r="H1171" s="15"/>
      <c r="I1171" s="15"/>
      <c r="J1171" s="15"/>
      <c r="K1171" s="16" t="str">
        <f aca="false">IF(A1171="","",F1171+G1171+H1171+I1171)</f>
        <v/>
      </c>
      <c r="L1171" s="17" t="str">
        <f aca="false">IF(OR(K1171="",E1171=0,E1171=""),"",K1171/E1171)</f>
        <v/>
      </c>
      <c r="M1171" s="18" t="str">
        <f aca="false">IF(OR(A1171="",E1171=""),"",E1171+ROW()/1000000)</f>
        <v/>
      </c>
    </row>
    <row r="1172" customFormat="false" ht="15" hidden="false" customHeight="false" outlineLevel="0" collapsed="false">
      <c r="A1172" s="12"/>
      <c r="B1172" s="13"/>
      <c r="C1172" s="13"/>
      <c r="D1172" s="14"/>
      <c r="E1172" s="15"/>
      <c r="F1172" s="15"/>
      <c r="G1172" s="15"/>
      <c r="H1172" s="15"/>
      <c r="I1172" s="15"/>
      <c r="J1172" s="15"/>
      <c r="K1172" s="16" t="str">
        <f aca="false">IF(A1172="","",F1172+G1172+H1172+I1172)</f>
        <v/>
      </c>
      <c r="L1172" s="17" t="str">
        <f aca="false">IF(OR(K1172="",E1172=0,E1172=""),"",K1172/E1172)</f>
        <v/>
      </c>
      <c r="M1172" s="18" t="str">
        <f aca="false">IF(OR(A1172="",E1172=""),"",E1172+ROW()/1000000)</f>
        <v/>
      </c>
    </row>
    <row r="1173" customFormat="false" ht="15" hidden="false" customHeight="false" outlineLevel="0" collapsed="false">
      <c r="A1173" s="12"/>
      <c r="B1173" s="13"/>
      <c r="C1173" s="13"/>
      <c r="D1173" s="14"/>
      <c r="E1173" s="15"/>
      <c r="F1173" s="15"/>
      <c r="G1173" s="15"/>
      <c r="H1173" s="15"/>
      <c r="I1173" s="15"/>
      <c r="J1173" s="15"/>
      <c r="K1173" s="16" t="str">
        <f aca="false">IF(A1173="","",F1173+G1173+H1173+I1173)</f>
        <v/>
      </c>
      <c r="L1173" s="17" t="str">
        <f aca="false">IF(OR(K1173="",E1173=0,E1173=""),"",K1173/E1173)</f>
        <v/>
      </c>
      <c r="M1173" s="18" t="str">
        <f aca="false">IF(OR(A1173="",E1173=""),"",E1173+ROW()/1000000)</f>
        <v/>
      </c>
    </row>
    <row r="1174" customFormat="false" ht="15" hidden="false" customHeight="false" outlineLevel="0" collapsed="false">
      <c r="A1174" s="12"/>
      <c r="B1174" s="13"/>
      <c r="C1174" s="13"/>
      <c r="D1174" s="14"/>
      <c r="E1174" s="15"/>
      <c r="F1174" s="15"/>
      <c r="G1174" s="15"/>
      <c r="H1174" s="15"/>
      <c r="I1174" s="15"/>
      <c r="J1174" s="15"/>
      <c r="K1174" s="16" t="str">
        <f aca="false">IF(A1174="","",F1174+G1174+H1174+I1174)</f>
        <v/>
      </c>
      <c r="L1174" s="17" t="str">
        <f aca="false">IF(OR(K1174="",E1174=0,E1174=""),"",K1174/E1174)</f>
        <v/>
      </c>
      <c r="M1174" s="18" t="str">
        <f aca="false">IF(OR(A1174="",E1174=""),"",E1174+ROW()/1000000)</f>
        <v/>
      </c>
    </row>
    <row r="1175" customFormat="false" ht="15" hidden="false" customHeight="false" outlineLevel="0" collapsed="false">
      <c r="A1175" s="12"/>
      <c r="B1175" s="13"/>
      <c r="C1175" s="13"/>
      <c r="D1175" s="14"/>
      <c r="E1175" s="15"/>
      <c r="F1175" s="15"/>
      <c r="G1175" s="15"/>
      <c r="H1175" s="15"/>
      <c r="I1175" s="15"/>
      <c r="J1175" s="15"/>
      <c r="K1175" s="16" t="str">
        <f aca="false">IF(A1175="","",F1175+G1175+H1175+I1175)</f>
        <v/>
      </c>
      <c r="L1175" s="17" t="str">
        <f aca="false">IF(OR(K1175="",E1175=0,E1175=""),"",K1175/E1175)</f>
        <v/>
      </c>
      <c r="M1175" s="18" t="str">
        <f aca="false">IF(OR(A1175="",E1175=""),"",E1175+ROW()/1000000)</f>
        <v/>
      </c>
    </row>
    <row r="1176" customFormat="false" ht="15" hidden="false" customHeight="false" outlineLevel="0" collapsed="false">
      <c r="A1176" s="12"/>
      <c r="B1176" s="13"/>
      <c r="C1176" s="13"/>
      <c r="D1176" s="14"/>
      <c r="E1176" s="15"/>
      <c r="F1176" s="15"/>
      <c r="G1176" s="15"/>
      <c r="H1176" s="15"/>
      <c r="I1176" s="15"/>
      <c r="J1176" s="15"/>
      <c r="K1176" s="16" t="str">
        <f aca="false">IF(A1176="","",F1176+G1176+H1176+I1176)</f>
        <v/>
      </c>
      <c r="L1176" s="17" t="str">
        <f aca="false">IF(OR(K1176="",E1176=0,E1176=""),"",K1176/E1176)</f>
        <v/>
      </c>
      <c r="M1176" s="18" t="str">
        <f aca="false">IF(OR(A1176="",E1176=""),"",E1176+ROW()/1000000)</f>
        <v/>
      </c>
    </row>
    <row r="1177" customFormat="false" ht="15" hidden="false" customHeight="false" outlineLevel="0" collapsed="false">
      <c r="A1177" s="12"/>
      <c r="B1177" s="13"/>
      <c r="C1177" s="13"/>
      <c r="D1177" s="14"/>
      <c r="E1177" s="15"/>
      <c r="F1177" s="15"/>
      <c r="G1177" s="15"/>
      <c r="H1177" s="15"/>
      <c r="I1177" s="15"/>
      <c r="J1177" s="15"/>
      <c r="K1177" s="16" t="str">
        <f aca="false">IF(A1177="","",F1177+G1177+H1177+I1177)</f>
        <v/>
      </c>
      <c r="L1177" s="17" t="str">
        <f aca="false">IF(OR(K1177="",E1177=0,E1177=""),"",K1177/E1177)</f>
        <v/>
      </c>
      <c r="M1177" s="18" t="str">
        <f aca="false">IF(OR(A1177="",E1177=""),"",E1177+ROW()/1000000)</f>
        <v/>
      </c>
    </row>
    <row r="1178" customFormat="false" ht="15" hidden="false" customHeight="false" outlineLevel="0" collapsed="false">
      <c r="A1178" s="12"/>
      <c r="B1178" s="13"/>
      <c r="C1178" s="13"/>
      <c r="D1178" s="14"/>
      <c r="E1178" s="15"/>
      <c r="F1178" s="15"/>
      <c r="G1178" s="15"/>
      <c r="H1178" s="15"/>
      <c r="I1178" s="15"/>
      <c r="J1178" s="15"/>
      <c r="K1178" s="16" t="str">
        <f aca="false">IF(A1178="","",F1178+G1178+H1178+I1178)</f>
        <v/>
      </c>
      <c r="L1178" s="17" t="str">
        <f aca="false">IF(OR(K1178="",E1178=0,E1178=""),"",K1178/E1178)</f>
        <v/>
      </c>
      <c r="M1178" s="18" t="str">
        <f aca="false">IF(OR(A1178="",E1178=""),"",E1178+ROW()/1000000)</f>
        <v/>
      </c>
    </row>
    <row r="1179" customFormat="false" ht="15" hidden="false" customHeight="false" outlineLevel="0" collapsed="false">
      <c r="A1179" s="12"/>
      <c r="B1179" s="13"/>
      <c r="C1179" s="13"/>
      <c r="D1179" s="14"/>
      <c r="E1179" s="15"/>
      <c r="F1179" s="15"/>
      <c r="G1179" s="15"/>
      <c r="H1179" s="15"/>
      <c r="I1179" s="15"/>
      <c r="J1179" s="15"/>
      <c r="K1179" s="16" t="str">
        <f aca="false">IF(A1179="","",F1179+G1179+H1179+I1179)</f>
        <v/>
      </c>
      <c r="L1179" s="17" t="str">
        <f aca="false">IF(OR(K1179="",E1179=0,E1179=""),"",K1179/E1179)</f>
        <v/>
      </c>
      <c r="M1179" s="18" t="str">
        <f aca="false">IF(OR(A1179="",E1179=""),"",E1179+ROW()/1000000)</f>
        <v/>
      </c>
    </row>
    <row r="1180" customFormat="false" ht="15" hidden="false" customHeight="false" outlineLevel="0" collapsed="false">
      <c r="A1180" s="12"/>
      <c r="B1180" s="13"/>
      <c r="C1180" s="13"/>
      <c r="D1180" s="14"/>
      <c r="E1180" s="15"/>
      <c r="F1180" s="15"/>
      <c r="G1180" s="15"/>
      <c r="H1180" s="15"/>
      <c r="I1180" s="15"/>
      <c r="J1180" s="15"/>
      <c r="K1180" s="16" t="str">
        <f aca="false">IF(A1180="","",F1180+G1180+H1180+I1180)</f>
        <v/>
      </c>
      <c r="L1180" s="17" t="str">
        <f aca="false">IF(OR(K1180="",E1180=0,E1180=""),"",K1180/E1180)</f>
        <v/>
      </c>
      <c r="M1180" s="18" t="str">
        <f aca="false">IF(OR(A1180="",E1180=""),"",E1180+ROW()/1000000)</f>
        <v/>
      </c>
    </row>
    <row r="1181" customFormat="false" ht="15" hidden="false" customHeight="false" outlineLevel="0" collapsed="false">
      <c r="A1181" s="12"/>
      <c r="B1181" s="13"/>
      <c r="C1181" s="13"/>
      <c r="D1181" s="14"/>
      <c r="E1181" s="15"/>
      <c r="F1181" s="15"/>
      <c r="G1181" s="15"/>
      <c r="H1181" s="15"/>
      <c r="I1181" s="15"/>
      <c r="J1181" s="15"/>
      <c r="K1181" s="16" t="str">
        <f aca="false">IF(A1181="","",F1181+G1181+H1181+I1181)</f>
        <v/>
      </c>
      <c r="L1181" s="17" t="str">
        <f aca="false">IF(OR(K1181="",E1181=0,E1181=""),"",K1181/E1181)</f>
        <v/>
      </c>
      <c r="M1181" s="18" t="str">
        <f aca="false">IF(OR(A1181="",E1181=""),"",E1181+ROW()/1000000)</f>
        <v/>
      </c>
    </row>
    <row r="1182" customFormat="false" ht="15" hidden="false" customHeight="false" outlineLevel="0" collapsed="false">
      <c r="A1182" s="12"/>
      <c r="B1182" s="13"/>
      <c r="C1182" s="13"/>
      <c r="D1182" s="14"/>
      <c r="E1182" s="15"/>
      <c r="F1182" s="15"/>
      <c r="G1182" s="15"/>
      <c r="H1182" s="15"/>
      <c r="I1182" s="15"/>
      <c r="J1182" s="15"/>
      <c r="K1182" s="16" t="str">
        <f aca="false">IF(A1182="","",F1182+G1182+H1182+I1182)</f>
        <v/>
      </c>
      <c r="L1182" s="17" t="str">
        <f aca="false">IF(OR(K1182="",E1182=0,E1182=""),"",K1182/E1182)</f>
        <v/>
      </c>
      <c r="M1182" s="18" t="str">
        <f aca="false">IF(OR(A1182="",E1182=""),"",E1182+ROW()/1000000)</f>
        <v/>
      </c>
    </row>
    <row r="1183" customFormat="false" ht="15" hidden="false" customHeight="false" outlineLevel="0" collapsed="false">
      <c r="A1183" s="12"/>
      <c r="B1183" s="13"/>
      <c r="C1183" s="13"/>
      <c r="D1183" s="14"/>
      <c r="E1183" s="15"/>
      <c r="F1183" s="15"/>
      <c r="G1183" s="15"/>
      <c r="H1183" s="15"/>
      <c r="I1183" s="15"/>
      <c r="J1183" s="15"/>
      <c r="K1183" s="16" t="str">
        <f aca="false">IF(A1183="","",F1183+G1183+H1183+I1183)</f>
        <v/>
      </c>
      <c r="L1183" s="17" t="str">
        <f aca="false">IF(OR(K1183="",E1183=0,E1183=""),"",K1183/E1183)</f>
        <v/>
      </c>
      <c r="M1183" s="18" t="str">
        <f aca="false">IF(OR(A1183="",E1183=""),"",E1183+ROW()/1000000)</f>
        <v/>
      </c>
    </row>
    <row r="1184" customFormat="false" ht="15" hidden="false" customHeight="false" outlineLevel="0" collapsed="false">
      <c r="A1184" s="12"/>
      <c r="B1184" s="13"/>
      <c r="C1184" s="13"/>
      <c r="D1184" s="14"/>
      <c r="E1184" s="15"/>
      <c r="F1184" s="15"/>
      <c r="G1184" s="15"/>
      <c r="H1184" s="15"/>
      <c r="I1184" s="15"/>
      <c r="J1184" s="15"/>
      <c r="K1184" s="16" t="str">
        <f aca="false">IF(A1184="","",F1184+G1184+H1184+I1184)</f>
        <v/>
      </c>
      <c r="L1184" s="17" t="str">
        <f aca="false">IF(OR(K1184="",E1184=0,E1184=""),"",K1184/E1184)</f>
        <v/>
      </c>
      <c r="M1184" s="18" t="str">
        <f aca="false">IF(OR(A1184="",E1184=""),"",E1184+ROW()/1000000)</f>
        <v/>
      </c>
    </row>
    <row r="1185" customFormat="false" ht="15" hidden="false" customHeight="false" outlineLevel="0" collapsed="false">
      <c r="A1185" s="12"/>
      <c r="B1185" s="13"/>
      <c r="C1185" s="13"/>
      <c r="D1185" s="14"/>
      <c r="E1185" s="15"/>
      <c r="F1185" s="15"/>
      <c r="G1185" s="15"/>
      <c r="H1185" s="15"/>
      <c r="I1185" s="15"/>
      <c r="J1185" s="15"/>
      <c r="K1185" s="16" t="str">
        <f aca="false">IF(A1185="","",F1185+G1185+H1185+I1185)</f>
        <v/>
      </c>
      <c r="L1185" s="17" t="str">
        <f aca="false">IF(OR(K1185="",E1185=0,E1185=""),"",K1185/E1185)</f>
        <v/>
      </c>
      <c r="M1185" s="18" t="str">
        <f aca="false">IF(OR(A1185="",E1185=""),"",E1185+ROW()/1000000)</f>
        <v/>
      </c>
    </row>
    <row r="1186" customFormat="false" ht="15" hidden="false" customHeight="false" outlineLevel="0" collapsed="false">
      <c r="A1186" s="12"/>
      <c r="B1186" s="13"/>
      <c r="C1186" s="13"/>
      <c r="D1186" s="14"/>
      <c r="E1186" s="15"/>
      <c r="F1186" s="15"/>
      <c r="G1186" s="15"/>
      <c r="H1186" s="15"/>
      <c r="I1186" s="15"/>
      <c r="J1186" s="15"/>
      <c r="K1186" s="16" t="str">
        <f aca="false">IF(A1186="","",F1186+G1186+H1186+I1186)</f>
        <v/>
      </c>
      <c r="L1186" s="17" t="str">
        <f aca="false">IF(OR(K1186="",E1186=0,E1186=""),"",K1186/E1186)</f>
        <v/>
      </c>
      <c r="M1186" s="18" t="str">
        <f aca="false">IF(OR(A1186="",E1186=""),"",E1186+ROW()/1000000)</f>
        <v/>
      </c>
    </row>
    <row r="1187" customFormat="false" ht="15" hidden="false" customHeight="false" outlineLevel="0" collapsed="false">
      <c r="A1187" s="12"/>
      <c r="B1187" s="13"/>
      <c r="C1187" s="13"/>
      <c r="D1187" s="14"/>
      <c r="E1187" s="15"/>
      <c r="F1187" s="15"/>
      <c r="G1187" s="15"/>
      <c r="H1187" s="15"/>
      <c r="I1187" s="15"/>
      <c r="J1187" s="15"/>
      <c r="K1187" s="16" t="str">
        <f aca="false">IF(A1187="","",F1187+G1187+H1187+I1187)</f>
        <v/>
      </c>
      <c r="L1187" s="17" t="str">
        <f aca="false">IF(OR(K1187="",E1187=0,E1187=""),"",K1187/E1187)</f>
        <v/>
      </c>
      <c r="M1187" s="18" t="str">
        <f aca="false">IF(OR(A1187="",E1187=""),"",E1187+ROW()/1000000)</f>
        <v/>
      </c>
    </row>
    <row r="1188" customFormat="false" ht="15" hidden="false" customHeight="false" outlineLevel="0" collapsed="false">
      <c r="A1188" s="12"/>
      <c r="B1188" s="13"/>
      <c r="C1188" s="13"/>
      <c r="D1188" s="14"/>
      <c r="E1188" s="15"/>
      <c r="F1188" s="15"/>
      <c r="G1188" s="15"/>
      <c r="H1188" s="15"/>
      <c r="I1188" s="15"/>
      <c r="J1188" s="15"/>
      <c r="K1188" s="16" t="str">
        <f aca="false">IF(A1188="","",F1188+G1188+H1188+I1188)</f>
        <v/>
      </c>
      <c r="L1188" s="17" t="str">
        <f aca="false">IF(OR(K1188="",E1188=0,E1188=""),"",K1188/E1188)</f>
        <v/>
      </c>
      <c r="M1188" s="18" t="str">
        <f aca="false">IF(OR(A1188="",E1188=""),"",E1188+ROW()/1000000)</f>
        <v/>
      </c>
    </row>
    <row r="1189" customFormat="false" ht="15" hidden="false" customHeight="false" outlineLevel="0" collapsed="false">
      <c r="A1189" s="12"/>
      <c r="B1189" s="13"/>
      <c r="C1189" s="13"/>
      <c r="D1189" s="14"/>
      <c r="E1189" s="15"/>
      <c r="F1189" s="15"/>
      <c r="G1189" s="15"/>
      <c r="H1189" s="15"/>
      <c r="I1189" s="15"/>
      <c r="J1189" s="15"/>
      <c r="K1189" s="16" t="str">
        <f aca="false">IF(A1189="","",F1189+G1189+H1189+I1189)</f>
        <v/>
      </c>
      <c r="L1189" s="17" t="str">
        <f aca="false">IF(OR(K1189="",E1189=0,E1189=""),"",K1189/E1189)</f>
        <v/>
      </c>
      <c r="M1189" s="18" t="str">
        <f aca="false">IF(OR(A1189="",E1189=""),"",E1189+ROW()/1000000)</f>
        <v/>
      </c>
    </row>
    <row r="1190" customFormat="false" ht="15" hidden="false" customHeight="false" outlineLevel="0" collapsed="false">
      <c r="A1190" s="12"/>
      <c r="B1190" s="13"/>
      <c r="C1190" s="13"/>
      <c r="D1190" s="14"/>
      <c r="E1190" s="15"/>
      <c r="F1190" s="15"/>
      <c r="G1190" s="15"/>
      <c r="H1190" s="15"/>
      <c r="I1190" s="15"/>
      <c r="J1190" s="15"/>
      <c r="K1190" s="16" t="str">
        <f aca="false">IF(A1190="","",F1190+G1190+H1190+I1190)</f>
        <v/>
      </c>
      <c r="L1190" s="17" t="str">
        <f aca="false">IF(OR(K1190="",E1190=0,E1190=""),"",K1190/E1190)</f>
        <v/>
      </c>
      <c r="M1190" s="18" t="str">
        <f aca="false">IF(OR(A1190="",E1190=""),"",E1190+ROW()/1000000)</f>
        <v/>
      </c>
    </row>
    <row r="1191" customFormat="false" ht="15" hidden="false" customHeight="false" outlineLevel="0" collapsed="false">
      <c r="A1191" s="12"/>
      <c r="B1191" s="13"/>
      <c r="C1191" s="13"/>
      <c r="D1191" s="14"/>
      <c r="E1191" s="15"/>
      <c r="F1191" s="15"/>
      <c r="G1191" s="15"/>
      <c r="H1191" s="15"/>
      <c r="I1191" s="15"/>
      <c r="J1191" s="15"/>
      <c r="K1191" s="16" t="str">
        <f aca="false">IF(A1191="","",F1191+G1191+H1191+I1191)</f>
        <v/>
      </c>
      <c r="L1191" s="17" t="str">
        <f aca="false">IF(OR(K1191="",E1191=0,E1191=""),"",K1191/E1191)</f>
        <v/>
      </c>
      <c r="M1191" s="18" t="str">
        <f aca="false">IF(OR(A1191="",E1191=""),"",E1191+ROW()/1000000)</f>
        <v/>
      </c>
    </row>
    <row r="1192" customFormat="false" ht="15" hidden="false" customHeight="false" outlineLevel="0" collapsed="false">
      <c r="A1192" s="12"/>
      <c r="B1192" s="13"/>
      <c r="C1192" s="13"/>
      <c r="D1192" s="14"/>
      <c r="E1192" s="15"/>
      <c r="F1192" s="15"/>
      <c r="G1192" s="15"/>
      <c r="H1192" s="15"/>
      <c r="I1192" s="15"/>
      <c r="J1192" s="15"/>
      <c r="K1192" s="16" t="str">
        <f aca="false">IF(A1192="","",F1192+G1192+H1192+I1192)</f>
        <v/>
      </c>
      <c r="L1192" s="17" t="str">
        <f aca="false">IF(OR(K1192="",E1192=0,E1192=""),"",K1192/E1192)</f>
        <v/>
      </c>
      <c r="M1192" s="18" t="str">
        <f aca="false">IF(OR(A1192="",E1192=""),"",E1192+ROW()/1000000)</f>
        <v/>
      </c>
    </row>
    <row r="1193" customFormat="false" ht="15" hidden="false" customHeight="false" outlineLevel="0" collapsed="false">
      <c r="A1193" s="12"/>
      <c r="B1193" s="13"/>
      <c r="C1193" s="13"/>
      <c r="D1193" s="14"/>
      <c r="E1193" s="15"/>
      <c r="F1193" s="15"/>
      <c r="G1193" s="15"/>
      <c r="H1193" s="15"/>
      <c r="I1193" s="15"/>
      <c r="J1193" s="15"/>
      <c r="K1193" s="16" t="str">
        <f aca="false">IF(A1193="","",F1193+G1193+H1193+I1193)</f>
        <v/>
      </c>
      <c r="L1193" s="17" t="str">
        <f aca="false">IF(OR(K1193="",E1193=0,E1193=""),"",K1193/E1193)</f>
        <v/>
      </c>
      <c r="M1193" s="18" t="str">
        <f aca="false">IF(OR(A1193="",E1193=""),"",E1193+ROW()/1000000)</f>
        <v/>
      </c>
    </row>
    <row r="1194" customFormat="false" ht="15" hidden="false" customHeight="false" outlineLevel="0" collapsed="false">
      <c r="A1194" s="12"/>
      <c r="B1194" s="13"/>
      <c r="C1194" s="13"/>
      <c r="D1194" s="14"/>
      <c r="E1194" s="15"/>
      <c r="F1194" s="15"/>
      <c r="G1194" s="15"/>
      <c r="H1194" s="15"/>
      <c r="I1194" s="15"/>
      <c r="J1194" s="15"/>
      <c r="K1194" s="16" t="str">
        <f aca="false">IF(A1194="","",F1194+G1194+H1194+I1194)</f>
        <v/>
      </c>
      <c r="L1194" s="17" t="str">
        <f aca="false">IF(OR(K1194="",E1194=0,E1194=""),"",K1194/E1194)</f>
        <v/>
      </c>
      <c r="M1194" s="18" t="str">
        <f aca="false">IF(OR(A1194="",E1194=""),"",E1194+ROW()/1000000)</f>
        <v/>
      </c>
    </row>
    <row r="1195" customFormat="false" ht="15" hidden="false" customHeight="false" outlineLevel="0" collapsed="false">
      <c r="A1195" s="12"/>
      <c r="B1195" s="13"/>
      <c r="C1195" s="13"/>
      <c r="D1195" s="14"/>
      <c r="E1195" s="15"/>
      <c r="F1195" s="15"/>
      <c r="G1195" s="15"/>
      <c r="H1195" s="15"/>
      <c r="I1195" s="15"/>
      <c r="J1195" s="15"/>
      <c r="K1195" s="16" t="str">
        <f aca="false">IF(A1195="","",F1195+G1195+H1195+I1195)</f>
        <v/>
      </c>
      <c r="L1195" s="17" t="str">
        <f aca="false">IF(OR(K1195="",E1195=0,E1195=""),"",K1195/E1195)</f>
        <v/>
      </c>
      <c r="M1195" s="18" t="str">
        <f aca="false">IF(OR(A1195="",E1195=""),"",E1195+ROW()/1000000)</f>
        <v/>
      </c>
    </row>
    <row r="1196" customFormat="false" ht="15" hidden="false" customHeight="false" outlineLevel="0" collapsed="false">
      <c r="A1196" s="12"/>
      <c r="B1196" s="13"/>
      <c r="C1196" s="13"/>
      <c r="D1196" s="14"/>
      <c r="E1196" s="15"/>
      <c r="F1196" s="15"/>
      <c r="G1196" s="15"/>
      <c r="H1196" s="15"/>
      <c r="I1196" s="15"/>
      <c r="J1196" s="15"/>
      <c r="K1196" s="16" t="str">
        <f aca="false">IF(A1196="","",F1196+G1196+H1196+I1196)</f>
        <v/>
      </c>
      <c r="L1196" s="17" t="str">
        <f aca="false">IF(OR(K1196="",E1196=0,E1196=""),"",K1196/E1196)</f>
        <v/>
      </c>
      <c r="M1196" s="18" t="str">
        <f aca="false">IF(OR(A1196="",E1196=""),"",E1196+ROW()/1000000)</f>
        <v/>
      </c>
    </row>
    <row r="1197" customFormat="false" ht="15" hidden="false" customHeight="false" outlineLevel="0" collapsed="false">
      <c r="A1197" s="12"/>
      <c r="B1197" s="13"/>
      <c r="C1197" s="13"/>
      <c r="D1197" s="14"/>
      <c r="E1197" s="15"/>
      <c r="F1197" s="15"/>
      <c r="G1197" s="15"/>
      <c r="H1197" s="15"/>
      <c r="I1197" s="15"/>
      <c r="J1197" s="15"/>
      <c r="K1197" s="16" t="str">
        <f aca="false">IF(A1197="","",F1197+G1197+H1197+I1197)</f>
        <v/>
      </c>
      <c r="L1197" s="17" t="str">
        <f aca="false">IF(OR(K1197="",E1197=0,E1197=""),"",K1197/E1197)</f>
        <v/>
      </c>
      <c r="M1197" s="18" t="str">
        <f aca="false">IF(OR(A1197="",E1197=""),"",E1197+ROW()/1000000)</f>
        <v/>
      </c>
    </row>
    <row r="1198" customFormat="false" ht="15" hidden="false" customHeight="false" outlineLevel="0" collapsed="false">
      <c r="A1198" s="12"/>
      <c r="B1198" s="13"/>
      <c r="C1198" s="13"/>
      <c r="D1198" s="14"/>
      <c r="E1198" s="15"/>
      <c r="F1198" s="15"/>
      <c r="G1198" s="15"/>
      <c r="H1198" s="15"/>
      <c r="I1198" s="15"/>
      <c r="J1198" s="15"/>
      <c r="K1198" s="16" t="str">
        <f aca="false">IF(A1198="","",F1198+G1198+H1198+I1198)</f>
        <v/>
      </c>
      <c r="L1198" s="17" t="str">
        <f aca="false">IF(OR(K1198="",E1198=0,E1198=""),"",K1198/E1198)</f>
        <v/>
      </c>
      <c r="M1198" s="18" t="str">
        <f aca="false">IF(OR(A1198="",E1198=""),"",E1198+ROW()/1000000)</f>
        <v/>
      </c>
    </row>
    <row r="1199" customFormat="false" ht="15" hidden="false" customHeight="false" outlineLevel="0" collapsed="false">
      <c r="A1199" s="12"/>
      <c r="B1199" s="13"/>
      <c r="C1199" s="13"/>
      <c r="D1199" s="14"/>
      <c r="E1199" s="15"/>
      <c r="F1199" s="15"/>
      <c r="G1199" s="15"/>
      <c r="H1199" s="15"/>
      <c r="I1199" s="15"/>
      <c r="J1199" s="15"/>
      <c r="K1199" s="16" t="str">
        <f aca="false">IF(A1199="","",F1199+G1199+H1199+I1199)</f>
        <v/>
      </c>
      <c r="L1199" s="17" t="str">
        <f aca="false">IF(OR(K1199="",E1199=0,E1199=""),"",K1199/E1199)</f>
        <v/>
      </c>
      <c r="M1199" s="18" t="str">
        <f aca="false">IF(OR(A1199="",E1199=""),"",E1199+ROW()/1000000)</f>
        <v/>
      </c>
    </row>
    <row r="1200" customFormat="false" ht="15" hidden="false" customHeight="false" outlineLevel="0" collapsed="false">
      <c r="A1200" s="12"/>
      <c r="B1200" s="13"/>
      <c r="C1200" s="13"/>
      <c r="D1200" s="14"/>
      <c r="E1200" s="15"/>
      <c r="F1200" s="15"/>
      <c r="G1200" s="15"/>
      <c r="H1200" s="15"/>
      <c r="I1200" s="15"/>
      <c r="J1200" s="15"/>
      <c r="K1200" s="16" t="str">
        <f aca="false">IF(A1200="","",F1200+G1200+H1200+I1200)</f>
        <v/>
      </c>
      <c r="L1200" s="17" t="str">
        <f aca="false">IF(OR(K1200="",E1200=0,E1200=""),"",K1200/E1200)</f>
        <v/>
      </c>
      <c r="M1200" s="18" t="str">
        <f aca="false">IF(OR(A1200="",E1200=""),"",E1200+ROW()/1000000)</f>
        <v/>
      </c>
    </row>
    <row r="1201" customFormat="false" ht="15" hidden="false" customHeight="false" outlineLevel="0" collapsed="false">
      <c r="A1201" s="12"/>
      <c r="B1201" s="13"/>
      <c r="C1201" s="13"/>
      <c r="D1201" s="14"/>
      <c r="E1201" s="15"/>
      <c r="F1201" s="15"/>
      <c r="G1201" s="15"/>
      <c r="H1201" s="15"/>
      <c r="I1201" s="15"/>
      <c r="J1201" s="15"/>
      <c r="K1201" s="16" t="str">
        <f aca="false">IF(A1201="","",F1201+G1201+H1201+I1201)</f>
        <v/>
      </c>
      <c r="L1201" s="17" t="str">
        <f aca="false">IF(OR(K1201="",E1201=0,E1201=""),"",K1201/E1201)</f>
        <v/>
      </c>
      <c r="M1201" s="18" t="str">
        <f aca="false">IF(OR(A1201="",E1201=""),"",E1201+ROW()/1000000)</f>
        <v/>
      </c>
    </row>
    <row r="1202" customFormat="false" ht="15" hidden="false" customHeight="false" outlineLevel="0" collapsed="false">
      <c r="A1202" s="12"/>
      <c r="B1202" s="13"/>
      <c r="C1202" s="13"/>
      <c r="D1202" s="14"/>
      <c r="E1202" s="15"/>
      <c r="F1202" s="15"/>
      <c r="G1202" s="15"/>
      <c r="H1202" s="15"/>
      <c r="I1202" s="15"/>
      <c r="J1202" s="15"/>
      <c r="K1202" s="16" t="str">
        <f aca="false">IF(A1202="","",F1202+G1202+H1202+I1202)</f>
        <v/>
      </c>
      <c r="L1202" s="17" t="str">
        <f aca="false">IF(OR(K1202="",E1202=0,E1202=""),"",K1202/E1202)</f>
        <v/>
      </c>
      <c r="M1202" s="18" t="str">
        <f aca="false">IF(OR(A1202="",E1202=""),"",E1202+ROW()/1000000)</f>
        <v/>
      </c>
    </row>
    <row r="1203" customFormat="false" ht="15" hidden="false" customHeight="false" outlineLevel="0" collapsed="false">
      <c r="A1203" s="12"/>
      <c r="B1203" s="13"/>
      <c r="C1203" s="13"/>
      <c r="D1203" s="14"/>
      <c r="E1203" s="15"/>
      <c r="F1203" s="15"/>
      <c r="G1203" s="15"/>
      <c r="H1203" s="15"/>
      <c r="I1203" s="15"/>
      <c r="J1203" s="15"/>
      <c r="K1203" s="16" t="str">
        <f aca="false">IF(A1203="","",F1203+G1203+H1203+I1203)</f>
        <v/>
      </c>
      <c r="L1203" s="17" t="str">
        <f aca="false">IF(OR(K1203="",E1203=0,E1203=""),"",K1203/E1203)</f>
        <v/>
      </c>
      <c r="M1203" s="18" t="str">
        <f aca="false">IF(OR(A1203="",E1203=""),"",E1203+ROW()/1000000)</f>
        <v/>
      </c>
    </row>
    <row r="1204" customFormat="false" ht="15" hidden="false" customHeight="false" outlineLevel="0" collapsed="false">
      <c r="A1204" s="12"/>
      <c r="B1204" s="13"/>
      <c r="C1204" s="13"/>
      <c r="D1204" s="14"/>
      <c r="E1204" s="15"/>
      <c r="F1204" s="15"/>
      <c r="G1204" s="15"/>
      <c r="H1204" s="15"/>
      <c r="I1204" s="15"/>
      <c r="J1204" s="15"/>
      <c r="K1204" s="16" t="str">
        <f aca="false">IF(A1204="","",F1204+G1204+H1204+I1204)</f>
        <v/>
      </c>
      <c r="L1204" s="17" t="str">
        <f aca="false">IF(OR(K1204="",E1204=0,E1204=""),"",K1204/E1204)</f>
        <v/>
      </c>
      <c r="M1204" s="18" t="str">
        <f aca="false">IF(OR(A1204="",E1204=""),"",E1204+ROW()/1000000)</f>
        <v/>
      </c>
    </row>
    <row r="1205" customFormat="false" ht="15" hidden="false" customHeight="false" outlineLevel="0" collapsed="false">
      <c r="A1205" s="12"/>
      <c r="B1205" s="13"/>
      <c r="C1205" s="13"/>
      <c r="D1205" s="14"/>
      <c r="E1205" s="15"/>
      <c r="F1205" s="15"/>
      <c r="G1205" s="15"/>
      <c r="H1205" s="15"/>
      <c r="I1205" s="15"/>
      <c r="J1205" s="15"/>
      <c r="K1205" s="16" t="str">
        <f aca="false">IF(A1205="","",F1205+G1205+H1205+I1205)</f>
        <v/>
      </c>
      <c r="L1205" s="17" t="str">
        <f aca="false">IF(OR(K1205="",E1205=0,E1205=""),"",K1205/E1205)</f>
        <v/>
      </c>
      <c r="M1205" s="18" t="str">
        <f aca="false">IF(OR(A1205="",E1205=""),"",E1205+ROW()/1000000)</f>
        <v/>
      </c>
    </row>
    <row r="1206" customFormat="false" ht="15" hidden="false" customHeight="false" outlineLevel="0" collapsed="false">
      <c r="A1206" s="12"/>
      <c r="B1206" s="13"/>
      <c r="C1206" s="13"/>
      <c r="D1206" s="14"/>
      <c r="E1206" s="15"/>
      <c r="F1206" s="15"/>
      <c r="G1206" s="15"/>
      <c r="H1206" s="15"/>
      <c r="I1206" s="15"/>
      <c r="J1206" s="15"/>
      <c r="K1206" s="16" t="str">
        <f aca="false">IF(A1206="","",F1206+G1206+H1206+I1206)</f>
        <v/>
      </c>
      <c r="L1206" s="17" t="str">
        <f aca="false">IF(OR(K1206="",E1206=0,E1206=""),"",K1206/E1206)</f>
        <v/>
      </c>
      <c r="M1206" s="18" t="str">
        <f aca="false">IF(OR(A1206="",E1206=""),"",E1206+ROW()/1000000)</f>
        <v/>
      </c>
    </row>
    <row r="1207" customFormat="false" ht="15" hidden="false" customHeight="false" outlineLevel="0" collapsed="false">
      <c r="A1207" s="12"/>
      <c r="B1207" s="13"/>
      <c r="C1207" s="13"/>
      <c r="D1207" s="14"/>
      <c r="E1207" s="15"/>
      <c r="F1207" s="15"/>
      <c r="G1207" s="15"/>
      <c r="H1207" s="15"/>
      <c r="I1207" s="15"/>
      <c r="J1207" s="15"/>
      <c r="K1207" s="16" t="str">
        <f aca="false">IF(A1207="","",F1207+G1207+H1207+I1207)</f>
        <v/>
      </c>
      <c r="L1207" s="17" t="str">
        <f aca="false">IF(OR(K1207="",E1207=0,E1207=""),"",K1207/E1207)</f>
        <v/>
      </c>
      <c r="M1207" s="18" t="str">
        <f aca="false">IF(OR(A1207="",E1207=""),"",E1207+ROW()/1000000)</f>
        <v/>
      </c>
    </row>
    <row r="1208" customFormat="false" ht="15" hidden="false" customHeight="false" outlineLevel="0" collapsed="false">
      <c r="A1208" s="12"/>
      <c r="B1208" s="13"/>
      <c r="C1208" s="13"/>
      <c r="D1208" s="14"/>
      <c r="E1208" s="15"/>
      <c r="F1208" s="15"/>
      <c r="G1208" s="15"/>
      <c r="H1208" s="15"/>
      <c r="I1208" s="15"/>
      <c r="J1208" s="15"/>
      <c r="K1208" s="16" t="str">
        <f aca="false">IF(A1208="","",F1208+G1208+H1208+I1208)</f>
        <v/>
      </c>
      <c r="L1208" s="17" t="str">
        <f aca="false">IF(OR(K1208="",E1208=0,E1208=""),"",K1208/E1208)</f>
        <v/>
      </c>
      <c r="M1208" s="18" t="str">
        <f aca="false">IF(OR(A1208="",E1208=""),"",E1208+ROW()/1000000)</f>
        <v/>
      </c>
    </row>
    <row r="1209" customFormat="false" ht="15" hidden="false" customHeight="false" outlineLevel="0" collapsed="false">
      <c r="A1209" s="12"/>
      <c r="B1209" s="13"/>
      <c r="C1209" s="13"/>
      <c r="D1209" s="14"/>
      <c r="E1209" s="15"/>
      <c r="F1209" s="15"/>
      <c r="G1209" s="15"/>
      <c r="H1209" s="15"/>
      <c r="I1209" s="15"/>
      <c r="J1209" s="15"/>
      <c r="K1209" s="16" t="str">
        <f aca="false">IF(A1209="","",F1209+G1209+H1209+I1209)</f>
        <v/>
      </c>
      <c r="L1209" s="17" t="str">
        <f aca="false">IF(OR(K1209="",E1209=0,E1209=""),"",K1209/E1209)</f>
        <v/>
      </c>
      <c r="M1209" s="18" t="str">
        <f aca="false">IF(OR(A1209="",E1209=""),"",E1209+ROW()/1000000)</f>
        <v/>
      </c>
    </row>
    <row r="1210" customFormat="false" ht="15" hidden="false" customHeight="false" outlineLevel="0" collapsed="false">
      <c r="A1210" s="12"/>
      <c r="B1210" s="13"/>
      <c r="C1210" s="13"/>
      <c r="D1210" s="14"/>
      <c r="E1210" s="15"/>
      <c r="F1210" s="15"/>
      <c r="G1210" s="15"/>
      <c r="H1210" s="15"/>
      <c r="I1210" s="15"/>
      <c r="J1210" s="15"/>
      <c r="K1210" s="16" t="str">
        <f aca="false">IF(A1210="","",F1210+G1210+H1210+I1210)</f>
        <v/>
      </c>
      <c r="L1210" s="17" t="str">
        <f aca="false">IF(OR(K1210="",E1210=0,E1210=""),"",K1210/E1210)</f>
        <v/>
      </c>
      <c r="M1210" s="18" t="str">
        <f aca="false">IF(OR(A1210="",E1210=""),"",E1210+ROW()/1000000)</f>
        <v/>
      </c>
    </row>
    <row r="1211" customFormat="false" ht="15" hidden="false" customHeight="false" outlineLevel="0" collapsed="false">
      <c r="A1211" s="12"/>
      <c r="B1211" s="13"/>
      <c r="C1211" s="13"/>
      <c r="D1211" s="14"/>
      <c r="E1211" s="15"/>
      <c r="F1211" s="15"/>
      <c r="G1211" s="15"/>
      <c r="H1211" s="15"/>
      <c r="I1211" s="15"/>
      <c r="J1211" s="15"/>
      <c r="K1211" s="16" t="str">
        <f aca="false">IF(A1211="","",F1211+G1211+H1211+I1211)</f>
        <v/>
      </c>
      <c r="L1211" s="17" t="str">
        <f aca="false">IF(OR(K1211="",E1211=0,E1211=""),"",K1211/E1211)</f>
        <v/>
      </c>
      <c r="M1211" s="18" t="str">
        <f aca="false">IF(OR(A1211="",E1211=""),"",E1211+ROW()/1000000)</f>
        <v/>
      </c>
    </row>
    <row r="1212" customFormat="false" ht="15" hidden="false" customHeight="false" outlineLevel="0" collapsed="false">
      <c r="A1212" s="12"/>
      <c r="B1212" s="13"/>
      <c r="C1212" s="13"/>
      <c r="D1212" s="14"/>
      <c r="E1212" s="15"/>
      <c r="F1212" s="15"/>
      <c r="G1212" s="15"/>
      <c r="H1212" s="15"/>
      <c r="I1212" s="15"/>
      <c r="J1212" s="15"/>
      <c r="K1212" s="16" t="str">
        <f aca="false">IF(A1212="","",F1212+G1212+H1212+I1212)</f>
        <v/>
      </c>
      <c r="L1212" s="17" t="str">
        <f aca="false">IF(OR(K1212="",E1212=0,E1212=""),"",K1212/E1212)</f>
        <v/>
      </c>
      <c r="M1212" s="18" t="str">
        <f aca="false">IF(OR(A1212="",E1212=""),"",E1212+ROW()/1000000)</f>
        <v/>
      </c>
    </row>
    <row r="1213" customFormat="false" ht="15" hidden="false" customHeight="false" outlineLevel="0" collapsed="false">
      <c r="A1213" s="12"/>
      <c r="B1213" s="13"/>
      <c r="C1213" s="13"/>
      <c r="D1213" s="14"/>
      <c r="E1213" s="15"/>
      <c r="F1213" s="15"/>
      <c r="G1213" s="15"/>
      <c r="H1213" s="15"/>
      <c r="I1213" s="15"/>
      <c r="J1213" s="15"/>
      <c r="K1213" s="16" t="str">
        <f aca="false">IF(A1213="","",F1213+G1213+H1213+I1213)</f>
        <v/>
      </c>
      <c r="L1213" s="17" t="str">
        <f aca="false">IF(OR(K1213="",E1213=0,E1213=""),"",K1213/E1213)</f>
        <v/>
      </c>
      <c r="M1213" s="18" t="str">
        <f aca="false">IF(OR(A1213="",E1213=""),"",E1213+ROW()/1000000)</f>
        <v/>
      </c>
    </row>
    <row r="1214" customFormat="false" ht="15" hidden="false" customHeight="false" outlineLevel="0" collapsed="false">
      <c r="A1214" s="12"/>
      <c r="B1214" s="13"/>
      <c r="C1214" s="13"/>
      <c r="D1214" s="14"/>
      <c r="E1214" s="15"/>
      <c r="F1214" s="15"/>
      <c r="G1214" s="15"/>
      <c r="H1214" s="15"/>
      <c r="I1214" s="15"/>
      <c r="J1214" s="15"/>
      <c r="K1214" s="16" t="str">
        <f aca="false">IF(A1214="","",F1214+G1214+H1214+I1214)</f>
        <v/>
      </c>
      <c r="L1214" s="17" t="str">
        <f aca="false">IF(OR(K1214="",E1214=0,E1214=""),"",K1214/E1214)</f>
        <v/>
      </c>
      <c r="M1214" s="18" t="str">
        <f aca="false">IF(OR(A1214="",E1214=""),"",E1214+ROW()/1000000)</f>
        <v/>
      </c>
    </row>
    <row r="1215" customFormat="false" ht="15" hidden="false" customHeight="false" outlineLevel="0" collapsed="false">
      <c r="A1215" s="12"/>
      <c r="B1215" s="13"/>
      <c r="C1215" s="13"/>
      <c r="D1215" s="14"/>
      <c r="E1215" s="15"/>
      <c r="F1215" s="15"/>
      <c r="G1215" s="15"/>
      <c r="H1215" s="15"/>
      <c r="I1215" s="15"/>
      <c r="J1215" s="15"/>
      <c r="K1215" s="16" t="str">
        <f aca="false">IF(A1215="","",F1215+G1215+H1215+I1215)</f>
        <v/>
      </c>
      <c r="L1215" s="17" t="str">
        <f aca="false">IF(OR(K1215="",E1215=0,E1215=""),"",K1215/E1215)</f>
        <v/>
      </c>
      <c r="M1215" s="18" t="str">
        <f aca="false">IF(OR(A1215="",E1215=""),"",E1215+ROW()/1000000)</f>
        <v/>
      </c>
    </row>
    <row r="1216" customFormat="false" ht="15" hidden="false" customHeight="false" outlineLevel="0" collapsed="false">
      <c r="A1216" s="12"/>
      <c r="B1216" s="13"/>
      <c r="C1216" s="13"/>
      <c r="D1216" s="14"/>
      <c r="E1216" s="15"/>
      <c r="F1216" s="15"/>
      <c r="G1216" s="15"/>
      <c r="H1216" s="15"/>
      <c r="I1216" s="15"/>
      <c r="J1216" s="15"/>
      <c r="K1216" s="16" t="str">
        <f aca="false">IF(A1216="","",F1216+G1216+H1216+I1216)</f>
        <v/>
      </c>
      <c r="L1216" s="17" t="str">
        <f aca="false">IF(OR(K1216="",E1216=0,E1216=""),"",K1216/E1216)</f>
        <v/>
      </c>
      <c r="M1216" s="18" t="str">
        <f aca="false">IF(OR(A1216="",E1216=""),"",E1216+ROW()/1000000)</f>
        <v/>
      </c>
    </row>
    <row r="1217" customFormat="false" ht="15" hidden="false" customHeight="false" outlineLevel="0" collapsed="false">
      <c r="A1217" s="12"/>
      <c r="B1217" s="13"/>
      <c r="C1217" s="13"/>
      <c r="D1217" s="14"/>
      <c r="E1217" s="15"/>
      <c r="F1217" s="15"/>
      <c r="G1217" s="15"/>
      <c r="H1217" s="15"/>
      <c r="I1217" s="15"/>
      <c r="J1217" s="15"/>
      <c r="K1217" s="16" t="str">
        <f aca="false">IF(A1217="","",F1217+G1217+H1217+I1217)</f>
        <v/>
      </c>
      <c r="L1217" s="17" t="str">
        <f aca="false">IF(OR(K1217="",E1217=0,E1217=""),"",K1217/E1217)</f>
        <v/>
      </c>
      <c r="M1217" s="18" t="str">
        <f aca="false">IF(OR(A1217="",E1217=""),"",E1217+ROW()/1000000)</f>
        <v/>
      </c>
    </row>
    <row r="1218" customFormat="false" ht="15" hidden="false" customHeight="false" outlineLevel="0" collapsed="false">
      <c r="A1218" s="12"/>
      <c r="B1218" s="13"/>
      <c r="C1218" s="13"/>
      <c r="D1218" s="14"/>
      <c r="E1218" s="15"/>
      <c r="F1218" s="15"/>
      <c r="G1218" s="15"/>
      <c r="H1218" s="15"/>
      <c r="I1218" s="15"/>
      <c r="J1218" s="15"/>
      <c r="K1218" s="16" t="str">
        <f aca="false">IF(A1218="","",F1218+G1218+H1218+I1218)</f>
        <v/>
      </c>
      <c r="L1218" s="17" t="str">
        <f aca="false">IF(OR(K1218="",E1218=0,E1218=""),"",K1218/E1218)</f>
        <v/>
      </c>
      <c r="M1218" s="18" t="str">
        <f aca="false">IF(OR(A1218="",E1218=""),"",E1218+ROW()/1000000)</f>
        <v/>
      </c>
    </row>
    <row r="1219" customFormat="false" ht="15" hidden="false" customHeight="false" outlineLevel="0" collapsed="false">
      <c r="A1219" s="12"/>
      <c r="B1219" s="13"/>
      <c r="C1219" s="13"/>
      <c r="D1219" s="14"/>
      <c r="E1219" s="15"/>
      <c r="F1219" s="15"/>
      <c r="G1219" s="15"/>
      <c r="H1219" s="15"/>
      <c r="I1219" s="15"/>
      <c r="J1219" s="15"/>
      <c r="K1219" s="16" t="str">
        <f aca="false">IF(A1219="","",F1219+G1219+H1219+I1219)</f>
        <v/>
      </c>
      <c r="L1219" s="17" t="str">
        <f aca="false">IF(OR(K1219="",E1219=0,E1219=""),"",K1219/E1219)</f>
        <v/>
      </c>
      <c r="M1219" s="18" t="str">
        <f aca="false">IF(OR(A1219="",E1219=""),"",E1219+ROW()/1000000)</f>
        <v/>
      </c>
    </row>
    <row r="1220" customFormat="false" ht="15" hidden="false" customHeight="false" outlineLevel="0" collapsed="false">
      <c r="A1220" s="12"/>
      <c r="B1220" s="13"/>
      <c r="C1220" s="13"/>
      <c r="D1220" s="14"/>
      <c r="E1220" s="15"/>
      <c r="F1220" s="15"/>
      <c r="G1220" s="15"/>
      <c r="H1220" s="15"/>
      <c r="I1220" s="15"/>
      <c r="J1220" s="15"/>
      <c r="K1220" s="16" t="str">
        <f aca="false">IF(A1220="","",F1220+G1220+H1220+I1220)</f>
        <v/>
      </c>
      <c r="L1220" s="17" t="str">
        <f aca="false">IF(OR(K1220="",E1220=0,E1220=""),"",K1220/E1220)</f>
        <v/>
      </c>
      <c r="M1220" s="18" t="str">
        <f aca="false">IF(OR(A1220="",E1220=""),"",E1220+ROW()/1000000)</f>
        <v/>
      </c>
    </row>
    <row r="1221" customFormat="false" ht="15" hidden="false" customHeight="false" outlineLevel="0" collapsed="false">
      <c r="A1221" s="12"/>
      <c r="B1221" s="13"/>
      <c r="C1221" s="13"/>
      <c r="D1221" s="14"/>
      <c r="E1221" s="15"/>
      <c r="F1221" s="15"/>
      <c r="G1221" s="15"/>
      <c r="H1221" s="15"/>
      <c r="I1221" s="15"/>
      <c r="J1221" s="15"/>
      <c r="K1221" s="16" t="str">
        <f aca="false">IF(A1221="","",F1221+G1221+H1221+I1221)</f>
        <v/>
      </c>
      <c r="L1221" s="17" t="str">
        <f aca="false">IF(OR(K1221="",E1221=0,E1221=""),"",K1221/E1221)</f>
        <v/>
      </c>
      <c r="M1221" s="18" t="str">
        <f aca="false">IF(OR(A1221="",E1221=""),"",E1221+ROW()/1000000)</f>
        <v/>
      </c>
    </row>
    <row r="1222" customFormat="false" ht="15" hidden="false" customHeight="false" outlineLevel="0" collapsed="false">
      <c r="A1222" s="12"/>
      <c r="B1222" s="13"/>
      <c r="C1222" s="13"/>
      <c r="D1222" s="14"/>
      <c r="E1222" s="15"/>
      <c r="F1222" s="15"/>
      <c r="G1222" s="15"/>
      <c r="H1222" s="15"/>
      <c r="I1222" s="15"/>
      <c r="J1222" s="15"/>
      <c r="K1222" s="16" t="str">
        <f aca="false">IF(A1222="","",F1222+G1222+H1222+I1222)</f>
        <v/>
      </c>
      <c r="L1222" s="17" t="str">
        <f aca="false">IF(OR(K1222="",E1222=0,E1222=""),"",K1222/E1222)</f>
        <v/>
      </c>
      <c r="M1222" s="18" t="str">
        <f aca="false">IF(OR(A1222="",E1222=""),"",E1222+ROW()/1000000)</f>
        <v/>
      </c>
    </row>
    <row r="1223" customFormat="false" ht="15" hidden="false" customHeight="false" outlineLevel="0" collapsed="false">
      <c r="A1223" s="12"/>
      <c r="B1223" s="13"/>
      <c r="C1223" s="13"/>
      <c r="D1223" s="14"/>
      <c r="E1223" s="15"/>
      <c r="F1223" s="15"/>
      <c r="G1223" s="15"/>
      <c r="H1223" s="15"/>
      <c r="I1223" s="15"/>
      <c r="J1223" s="15"/>
      <c r="K1223" s="16" t="str">
        <f aca="false">IF(A1223="","",F1223+G1223+H1223+I1223)</f>
        <v/>
      </c>
      <c r="L1223" s="17" t="str">
        <f aca="false">IF(OR(K1223="",E1223=0,E1223=""),"",K1223/E1223)</f>
        <v/>
      </c>
      <c r="M1223" s="18" t="str">
        <f aca="false">IF(OR(A1223="",E1223=""),"",E1223+ROW()/1000000)</f>
        <v/>
      </c>
    </row>
    <row r="1224" customFormat="false" ht="15" hidden="false" customHeight="false" outlineLevel="0" collapsed="false">
      <c r="A1224" s="12"/>
      <c r="B1224" s="13"/>
      <c r="C1224" s="13"/>
      <c r="D1224" s="14"/>
      <c r="E1224" s="15"/>
      <c r="F1224" s="15"/>
      <c r="G1224" s="15"/>
      <c r="H1224" s="15"/>
      <c r="I1224" s="15"/>
      <c r="J1224" s="15"/>
      <c r="K1224" s="16" t="str">
        <f aca="false">IF(A1224="","",F1224+G1224+H1224+I1224)</f>
        <v/>
      </c>
      <c r="L1224" s="17" t="str">
        <f aca="false">IF(OR(K1224="",E1224=0,E1224=""),"",K1224/E1224)</f>
        <v/>
      </c>
      <c r="M1224" s="18" t="str">
        <f aca="false">IF(OR(A1224="",E1224=""),"",E1224+ROW()/1000000)</f>
        <v/>
      </c>
    </row>
    <row r="1225" customFormat="false" ht="15" hidden="false" customHeight="false" outlineLevel="0" collapsed="false">
      <c r="A1225" s="12"/>
      <c r="B1225" s="13"/>
      <c r="C1225" s="13"/>
      <c r="D1225" s="14"/>
      <c r="E1225" s="15"/>
      <c r="F1225" s="15"/>
      <c r="G1225" s="15"/>
      <c r="H1225" s="15"/>
      <c r="I1225" s="15"/>
      <c r="J1225" s="15"/>
      <c r="K1225" s="16" t="str">
        <f aca="false">IF(A1225="","",F1225+G1225+H1225+I1225)</f>
        <v/>
      </c>
      <c r="L1225" s="17" t="str">
        <f aca="false">IF(OR(K1225="",E1225=0,E1225=""),"",K1225/E1225)</f>
        <v/>
      </c>
      <c r="M1225" s="18" t="str">
        <f aca="false">IF(OR(A1225="",E1225=""),"",E1225+ROW()/1000000)</f>
        <v/>
      </c>
    </row>
    <row r="1226" customFormat="false" ht="15" hidden="false" customHeight="false" outlineLevel="0" collapsed="false">
      <c r="A1226" s="12"/>
      <c r="B1226" s="13"/>
      <c r="C1226" s="13"/>
      <c r="D1226" s="14"/>
      <c r="E1226" s="15"/>
      <c r="F1226" s="15"/>
      <c r="G1226" s="15"/>
      <c r="H1226" s="15"/>
      <c r="I1226" s="15"/>
      <c r="J1226" s="15"/>
      <c r="K1226" s="16" t="str">
        <f aca="false">IF(A1226="","",F1226+G1226+H1226+I1226)</f>
        <v/>
      </c>
      <c r="L1226" s="17" t="str">
        <f aca="false">IF(OR(K1226="",E1226=0,E1226=""),"",K1226/E1226)</f>
        <v/>
      </c>
      <c r="M1226" s="18" t="str">
        <f aca="false">IF(OR(A1226="",E1226=""),"",E1226+ROW()/1000000)</f>
        <v/>
      </c>
    </row>
    <row r="1227" customFormat="false" ht="15" hidden="false" customHeight="false" outlineLevel="0" collapsed="false">
      <c r="A1227" s="12"/>
      <c r="B1227" s="13"/>
      <c r="C1227" s="13"/>
      <c r="D1227" s="14"/>
      <c r="E1227" s="15"/>
      <c r="F1227" s="15"/>
      <c r="G1227" s="15"/>
      <c r="H1227" s="15"/>
      <c r="I1227" s="15"/>
      <c r="J1227" s="15"/>
      <c r="K1227" s="16" t="str">
        <f aca="false">IF(A1227="","",F1227+G1227+H1227+I1227)</f>
        <v/>
      </c>
      <c r="L1227" s="17" t="str">
        <f aca="false">IF(OR(K1227="",E1227=0,E1227=""),"",K1227/E1227)</f>
        <v/>
      </c>
      <c r="M1227" s="18" t="str">
        <f aca="false">IF(OR(A1227="",E1227=""),"",E1227+ROW()/1000000)</f>
        <v/>
      </c>
    </row>
    <row r="1228" customFormat="false" ht="15" hidden="false" customHeight="false" outlineLevel="0" collapsed="false">
      <c r="A1228" s="12"/>
      <c r="B1228" s="13"/>
      <c r="C1228" s="13"/>
      <c r="D1228" s="14"/>
      <c r="E1228" s="15"/>
      <c r="F1228" s="15"/>
      <c r="G1228" s="15"/>
      <c r="H1228" s="15"/>
      <c r="I1228" s="15"/>
      <c r="J1228" s="15"/>
      <c r="K1228" s="16" t="str">
        <f aca="false">IF(A1228="","",F1228+G1228+H1228+I1228)</f>
        <v/>
      </c>
      <c r="L1228" s="17" t="str">
        <f aca="false">IF(OR(K1228="",E1228=0,E1228=""),"",K1228/E1228)</f>
        <v/>
      </c>
      <c r="M1228" s="18" t="str">
        <f aca="false">IF(OR(A1228="",E1228=""),"",E1228+ROW()/1000000)</f>
        <v/>
      </c>
    </row>
    <row r="1229" customFormat="false" ht="15" hidden="false" customHeight="false" outlineLevel="0" collapsed="false">
      <c r="A1229" s="12"/>
      <c r="B1229" s="13"/>
      <c r="C1229" s="13"/>
      <c r="D1229" s="14"/>
      <c r="E1229" s="15"/>
      <c r="F1229" s="15"/>
      <c r="G1229" s="15"/>
      <c r="H1229" s="15"/>
      <c r="I1229" s="15"/>
      <c r="J1229" s="15"/>
      <c r="K1229" s="16" t="str">
        <f aca="false">IF(A1229="","",F1229+G1229+H1229+I1229)</f>
        <v/>
      </c>
      <c r="L1229" s="17" t="str">
        <f aca="false">IF(OR(K1229="",E1229=0,E1229=""),"",K1229/E1229)</f>
        <v/>
      </c>
      <c r="M1229" s="18" t="str">
        <f aca="false">IF(OR(A1229="",E1229=""),"",E1229+ROW()/1000000)</f>
        <v/>
      </c>
    </row>
    <row r="1230" customFormat="false" ht="15" hidden="false" customHeight="false" outlineLevel="0" collapsed="false">
      <c r="A1230" s="12"/>
      <c r="B1230" s="13"/>
      <c r="C1230" s="13"/>
      <c r="D1230" s="14"/>
      <c r="E1230" s="15"/>
      <c r="F1230" s="15"/>
      <c r="G1230" s="15"/>
      <c r="H1230" s="15"/>
      <c r="I1230" s="15"/>
      <c r="J1230" s="15"/>
      <c r="K1230" s="16" t="str">
        <f aca="false">IF(A1230="","",F1230+G1230+H1230+I1230)</f>
        <v/>
      </c>
      <c r="L1230" s="17" t="str">
        <f aca="false">IF(OR(K1230="",E1230=0,E1230=""),"",K1230/E1230)</f>
        <v/>
      </c>
      <c r="M1230" s="18" t="str">
        <f aca="false">IF(OR(A1230="",E1230=""),"",E1230+ROW()/1000000)</f>
        <v/>
      </c>
    </row>
    <row r="1231" customFormat="false" ht="15" hidden="false" customHeight="false" outlineLevel="0" collapsed="false">
      <c r="A1231" s="12"/>
      <c r="B1231" s="13"/>
      <c r="C1231" s="13"/>
      <c r="D1231" s="14"/>
      <c r="E1231" s="15"/>
      <c r="F1231" s="15"/>
      <c r="G1231" s="15"/>
      <c r="H1231" s="15"/>
      <c r="I1231" s="15"/>
      <c r="J1231" s="15"/>
      <c r="K1231" s="16" t="str">
        <f aca="false">IF(A1231="","",F1231+G1231+H1231+I1231)</f>
        <v/>
      </c>
      <c r="L1231" s="17" t="str">
        <f aca="false">IF(OR(K1231="",E1231=0,E1231=""),"",K1231/E1231)</f>
        <v/>
      </c>
      <c r="M1231" s="18" t="str">
        <f aca="false">IF(OR(A1231="",E1231=""),"",E1231+ROW()/1000000)</f>
        <v/>
      </c>
    </row>
    <row r="1232" customFormat="false" ht="15" hidden="false" customHeight="false" outlineLevel="0" collapsed="false">
      <c r="A1232" s="12"/>
      <c r="B1232" s="13"/>
      <c r="C1232" s="13"/>
      <c r="D1232" s="14"/>
      <c r="E1232" s="15"/>
      <c r="F1232" s="15"/>
      <c r="G1232" s="15"/>
      <c r="H1232" s="15"/>
      <c r="I1232" s="15"/>
      <c r="J1232" s="15"/>
      <c r="K1232" s="16" t="str">
        <f aca="false">IF(A1232="","",F1232+G1232+H1232+I1232)</f>
        <v/>
      </c>
      <c r="L1232" s="17" t="str">
        <f aca="false">IF(OR(K1232="",E1232=0,E1232=""),"",K1232/E1232)</f>
        <v/>
      </c>
      <c r="M1232" s="18" t="str">
        <f aca="false">IF(OR(A1232="",E1232=""),"",E1232+ROW()/1000000)</f>
        <v/>
      </c>
    </row>
    <row r="1233" customFormat="false" ht="15" hidden="false" customHeight="false" outlineLevel="0" collapsed="false">
      <c r="A1233" s="12"/>
      <c r="B1233" s="13"/>
      <c r="C1233" s="13"/>
      <c r="D1233" s="14"/>
      <c r="E1233" s="15"/>
      <c r="F1233" s="15"/>
      <c r="G1233" s="15"/>
      <c r="H1233" s="15"/>
      <c r="I1233" s="15"/>
      <c r="J1233" s="15"/>
      <c r="K1233" s="16" t="str">
        <f aca="false">IF(A1233="","",F1233+G1233+H1233+I1233)</f>
        <v/>
      </c>
      <c r="L1233" s="17" t="str">
        <f aca="false">IF(OR(K1233="",E1233=0,E1233=""),"",K1233/E1233)</f>
        <v/>
      </c>
      <c r="M1233" s="18" t="str">
        <f aca="false">IF(OR(A1233="",E1233=""),"",E1233+ROW()/1000000)</f>
        <v/>
      </c>
    </row>
    <row r="1234" customFormat="false" ht="15" hidden="false" customHeight="false" outlineLevel="0" collapsed="false">
      <c r="A1234" s="12"/>
      <c r="B1234" s="13"/>
      <c r="C1234" s="13"/>
      <c r="D1234" s="14"/>
      <c r="E1234" s="15"/>
      <c r="F1234" s="15"/>
      <c r="G1234" s="15"/>
      <c r="H1234" s="15"/>
      <c r="I1234" s="15"/>
      <c r="J1234" s="15"/>
      <c r="K1234" s="16" t="str">
        <f aca="false">IF(A1234="","",F1234+G1234+H1234+I1234)</f>
        <v/>
      </c>
      <c r="L1234" s="17" t="str">
        <f aca="false">IF(OR(K1234="",E1234=0,E1234=""),"",K1234/E1234)</f>
        <v/>
      </c>
      <c r="M1234" s="18" t="str">
        <f aca="false">IF(OR(A1234="",E1234=""),"",E1234+ROW()/1000000)</f>
        <v/>
      </c>
    </row>
    <row r="1235" customFormat="false" ht="15" hidden="false" customHeight="false" outlineLevel="0" collapsed="false">
      <c r="A1235" s="12"/>
      <c r="B1235" s="13"/>
      <c r="C1235" s="13"/>
      <c r="D1235" s="14"/>
      <c r="E1235" s="15"/>
      <c r="F1235" s="15"/>
      <c r="G1235" s="15"/>
      <c r="H1235" s="15"/>
      <c r="I1235" s="15"/>
      <c r="J1235" s="15"/>
      <c r="K1235" s="16" t="str">
        <f aca="false">IF(A1235="","",F1235+G1235+H1235+I1235)</f>
        <v/>
      </c>
      <c r="L1235" s="17" t="str">
        <f aca="false">IF(OR(K1235="",E1235=0,E1235=""),"",K1235/E1235)</f>
        <v/>
      </c>
      <c r="M1235" s="18" t="str">
        <f aca="false">IF(OR(A1235="",E1235=""),"",E1235+ROW()/1000000)</f>
        <v/>
      </c>
    </row>
    <row r="1236" customFormat="false" ht="15" hidden="false" customHeight="false" outlineLevel="0" collapsed="false">
      <c r="A1236" s="12"/>
      <c r="B1236" s="13"/>
      <c r="C1236" s="13"/>
      <c r="D1236" s="14"/>
      <c r="E1236" s="15"/>
      <c r="F1236" s="15"/>
      <c r="G1236" s="15"/>
      <c r="H1236" s="15"/>
      <c r="I1236" s="15"/>
      <c r="J1236" s="15"/>
      <c r="K1236" s="16" t="str">
        <f aca="false">IF(A1236="","",F1236+G1236+H1236+I1236)</f>
        <v/>
      </c>
      <c r="L1236" s="17" t="str">
        <f aca="false">IF(OR(K1236="",E1236=0,E1236=""),"",K1236/E1236)</f>
        <v/>
      </c>
      <c r="M1236" s="18" t="str">
        <f aca="false">IF(OR(A1236="",E1236=""),"",E1236+ROW()/1000000)</f>
        <v/>
      </c>
    </row>
    <row r="1237" customFormat="false" ht="15" hidden="false" customHeight="false" outlineLevel="0" collapsed="false">
      <c r="A1237" s="12"/>
      <c r="B1237" s="13"/>
      <c r="C1237" s="13"/>
      <c r="D1237" s="14"/>
      <c r="E1237" s="15"/>
      <c r="F1237" s="15"/>
      <c r="G1237" s="15"/>
      <c r="H1237" s="15"/>
      <c r="I1237" s="15"/>
      <c r="J1237" s="15"/>
      <c r="K1237" s="16" t="str">
        <f aca="false">IF(A1237="","",F1237+G1237+H1237+I1237)</f>
        <v/>
      </c>
      <c r="L1237" s="17" t="str">
        <f aca="false">IF(OR(K1237="",E1237=0,E1237=""),"",K1237/E1237)</f>
        <v/>
      </c>
      <c r="M1237" s="18" t="str">
        <f aca="false">IF(OR(A1237="",E1237=""),"",E1237+ROW()/1000000)</f>
        <v/>
      </c>
    </row>
    <row r="1238" customFormat="false" ht="15" hidden="false" customHeight="false" outlineLevel="0" collapsed="false">
      <c r="A1238" s="12"/>
      <c r="B1238" s="13"/>
      <c r="C1238" s="13"/>
      <c r="D1238" s="14"/>
      <c r="E1238" s="15"/>
      <c r="F1238" s="15"/>
      <c r="G1238" s="15"/>
      <c r="H1238" s="15"/>
      <c r="I1238" s="15"/>
      <c r="J1238" s="15"/>
      <c r="K1238" s="16" t="str">
        <f aca="false">IF(A1238="","",F1238+G1238+H1238+I1238)</f>
        <v/>
      </c>
      <c r="L1238" s="17" t="str">
        <f aca="false">IF(OR(K1238="",E1238=0,E1238=""),"",K1238/E1238)</f>
        <v/>
      </c>
      <c r="M1238" s="18" t="str">
        <f aca="false">IF(OR(A1238="",E1238=""),"",E1238+ROW()/1000000)</f>
        <v/>
      </c>
    </row>
    <row r="1239" customFormat="false" ht="15" hidden="false" customHeight="false" outlineLevel="0" collapsed="false">
      <c r="A1239" s="12"/>
      <c r="B1239" s="13"/>
      <c r="C1239" s="13"/>
      <c r="D1239" s="14"/>
      <c r="E1239" s="15"/>
      <c r="F1239" s="15"/>
      <c r="G1239" s="15"/>
      <c r="H1239" s="15"/>
      <c r="I1239" s="15"/>
      <c r="J1239" s="15"/>
      <c r="K1239" s="16" t="str">
        <f aca="false">IF(A1239="","",F1239+G1239+H1239+I1239)</f>
        <v/>
      </c>
      <c r="L1239" s="17" t="str">
        <f aca="false">IF(OR(K1239="",E1239=0,E1239=""),"",K1239/E1239)</f>
        <v/>
      </c>
      <c r="M1239" s="18" t="str">
        <f aca="false">IF(OR(A1239="",E1239=""),"",E1239+ROW()/1000000)</f>
        <v/>
      </c>
    </row>
    <row r="1240" customFormat="false" ht="15" hidden="false" customHeight="false" outlineLevel="0" collapsed="false">
      <c r="A1240" s="12"/>
      <c r="B1240" s="13"/>
      <c r="C1240" s="13"/>
      <c r="D1240" s="14"/>
      <c r="E1240" s="15"/>
      <c r="F1240" s="15"/>
      <c r="G1240" s="15"/>
      <c r="H1240" s="15"/>
      <c r="I1240" s="15"/>
      <c r="J1240" s="15"/>
      <c r="K1240" s="16" t="str">
        <f aca="false">IF(A1240="","",F1240+G1240+H1240+I1240)</f>
        <v/>
      </c>
      <c r="L1240" s="17" t="str">
        <f aca="false">IF(OR(K1240="",E1240=0,E1240=""),"",K1240/E1240)</f>
        <v/>
      </c>
      <c r="M1240" s="18" t="str">
        <f aca="false">IF(OR(A1240="",E1240=""),"",E1240+ROW()/1000000)</f>
        <v/>
      </c>
    </row>
    <row r="1241" customFormat="false" ht="15" hidden="false" customHeight="false" outlineLevel="0" collapsed="false">
      <c r="A1241" s="12"/>
      <c r="B1241" s="13"/>
      <c r="C1241" s="13"/>
      <c r="D1241" s="14"/>
      <c r="E1241" s="15"/>
      <c r="F1241" s="15"/>
      <c r="G1241" s="15"/>
      <c r="H1241" s="15"/>
      <c r="I1241" s="15"/>
      <c r="J1241" s="15"/>
      <c r="K1241" s="16" t="str">
        <f aca="false">IF(A1241="","",F1241+G1241+H1241+I1241)</f>
        <v/>
      </c>
      <c r="L1241" s="17" t="str">
        <f aca="false">IF(OR(K1241="",E1241=0,E1241=""),"",K1241/E1241)</f>
        <v/>
      </c>
      <c r="M1241" s="18" t="str">
        <f aca="false">IF(OR(A1241="",E1241=""),"",E1241+ROW()/1000000)</f>
        <v/>
      </c>
    </row>
    <row r="1242" customFormat="false" ht="15" hidden="false" customHeight="false" outlineLevel="0" collapsed="false">
      <c r="A1242" s="12"/>
      <c r="B1242" s="13"/>
      <c r="C1242" s="13"/>
      <c r="D1242" s="14"/>
      <c r="E1242" s="15"/>
      <c r="F1242" s="15"/>
      <c r="G1242" s="15"/>
      <c r="H1242" s="15"/>
      <c r="I1242" s="15"/>
      <c r="J1242" s="15"/>
      <c r="K1242" s="16" t="str">
        <f aca="false">IF(A1242="","",F1242+G1242+H1242+I1242)</f>
        <v/>
      </c>
      <c r="L1242" s="17" t="str">
        <f aca="false">IF(OR(K1242="",E1242=0,E1242=""),"",K1242/E1242)</f>
        <v/>
      </c>
      <c r="M1242" s="18" t="str">
        <f aca="false">IF(OR(A1242="",E1242=""),"",E1242+ROW()/1000000)</f>
        <v/>
      </c>
    </row>
    <row r="1243" customFormat="false" ht="15" hidden="false" customHeight="false" outlineLevel="0" collapsed="false">
      <c r="A1243" s="12"/>
      <c r="B1243" s="13"/>
      <c r="C1243" s="13"/>
      <c r="D1243" s="14"/>
      <c r="E1243" s="15"/>
      <c r="F1243" s="15"/>
      <c r="G1243" s="15"/>
      <c r="H1243" s="15"/>
      <c r="I1243" s="15"/>
      <c r="J1243" s="15"/>
      <c r="K1243" s="16" t="str">
        <f aca="false">IF(A1243="","",F1243+G1243+H1243+I1243)</f>
        <v/>
      </c>
      <c r="L1243" s="17" t="str">
        <f aca="false">IF(OR(K1243="",E1243=0,E1243=""),"",K1243/E1243)</f>
        <v/>
      </c>
      <c r="M1243" s="18" t="str">
        <f aca="false">IF(OR(A1243="",E1243=""),"",E1243+ROW()/1000000)</f>
        <v/>
      </c>
    </row>
    <row r="1244" customFormat="false" ht="15" hidden="false" customHeight="false" outlineLevel="0" collapsed="false">
      <c r="A1244" s="12"/>
      <c r="B1244" s="13"/>
      <c r="C1244" s="13"/>
      <c r="D1244" s="14"/>
      <c r="E1244" s="15"/>
      <c r="F1244" s="15"/>
      <c r="G1244" s="15"/>
      <c r="H1244" s="15"/>
      <c r="I1244" s="15"/>
      <c r="J1244" s="15"/>
      <c r="K1244" s="16" t="str">
        <f aca="false">IF(A1244="","",F1244+G1244+H1244+I1244)</f>
        <v/>
      </c>
      <c r="L1244" s="17" t="str">
        <f aca="false">IF(OR(K1244="",E1244=0,E1244=""),"",K1244/E1244)</f>
        <v/>
      </c>
      <c r="M1244" s="18" t="str">
        <f aca="false">IF(OR(A1244="",E1244=""),"",E1244+ROW()/1000000)</f>
        <v/>
      </c>
    </row>
    <row r="1245" customFormat="false" ht="15" hidden="false" customHeight="false" outlineLevel="0" collapsed="false">
      <c r="A1245" s="12"/>
      <c r="B1245" s="13"/>
      <c r="C1245" s="13"/>
      <c r="D1245" s="14"/>
      <c r="E1245" s="15"/>
      <c r="F1245" s="15"/>
      <c r="G1245" s="15"/>
      <c r="H1245" s="15"/>
      <c r="I1245" s="15"/>
      <c r="J1245" s="15"/>
      <c r="K1245" s="16" t="str">
        <f aca="false">IF(A1245="","",F1245+G1245+H1245+I1245)</f>
        <v/>
      </c>
      <c r="L1245" s="17" t="str">
        <f aca="false">IF(OR(K1245="",E1245=0,E1245=""),"",K1245/E1245)</f>
        <v/>
      </c>
      <c r="M1245" s="18" t="str">
        <f aca="false">IF(OR(A1245="",E1245=""),"",E1245+ROW()/1000000)</f>
        <v/>
      </c>
    </row>
    <row r="1246" customFormat="false" ht="15" hidden="false" customHeight="false" outlineLevel="0" collapsed="false">
      <c r="A1246" s="12"/>
      <c r="B1246" s="13"/>
      <c r="C1246" s="13"/>
      <c r="D1246" s="14"/>
      <c r="E1246" s="15"/>
      <c r="F1246" s="15"/>
      <c r="G1246" s="15"/>
      <c r="H1246" s="15"/>
      <c r="I1246" s="15"/>
      <c r="J1246" s="15"/>
      <c r="K1246" s="16" t="str">
        <f aca="false">IF(A1246="","",F1246+G1246+H1246+I1246)</f>
        <v/>
      </c>
      <c r="L1246" s="17" t="str">
        <f aca="false">IF(OR(K1246="",E1246=0,E1246=""),"",K1246/E1246)</f>
        <v/>
      </c>
      <c r="M1246" s="18" t="str">
        <f aca="false">IF(OR(A1246="",E1246=""),"",E1246+ROW()/1000000)</f>
        <v/>
      </c>
    </row>
    <row r="1247" customFormat="false" ht="15" hidden="false" customHeight="false" outlineLevel="0" collapsed="false">
      <c r="A1247" s="12"/>
      <c r="B1247" s="13"/>
      <c r="C1247" s="13"/>
      <c r="D1247" s="14"/>
      <c r="E1247" s="15"/>
      <c r="F1247" s="15"/>
      <c r="G1247" s="15"/>
      <c r="H1247" s="15"/>
      <c r="I1247" s="15"/>
      <c r="J1247" s="15"/>
      <c r="K1247" s="16" t="str">
        <f aca="false">IF(A1247="","",F1247+G1247+H1247+I1247)</f>
        <v/>
      </c>
      <c r="L1247" s="17" t="str">
        <f aca="false">IF(OR(K1247="",E1247=0,E1247=""),"",K1247/E1247)</f>
        <v/>
      </c>
      <c r="M1247" s="18" t="str">
        <f aca="false">IF(OR(A1247="",E1247=""),"",E1247+ROW()/1000000)</f>
        <v/>
      </c>
    </row>
    <row r="1248" customFormat="false" ht="15" hidden="false" customHeight="false" outlineLevel="0" collapsed="false">
      <c r="A1248" s="12"/>
      <c r="B1248" s="13"/>
      <c r="C1248" s="13"/>
      <c r="D1248" s="14"/>
      <c r="E1248" s="15"/>
      <c r="F1248" s="15"/>
      <c r="G1248" s="15"/>
      <c r="H1248" s="15"/>
      <c r="I1248" s="15"/>
      <c r="J1248" s="15"/>
      <c r="K1248" s="16" t="str">
        <f aca="false">IF(A1248="","",F1248+G1248+H1248+I1248)</f>
        <v/>
      </c>
      <c r="L1248" s="17" t="str">
        <f aca="false">IF(OR(K1248="",E1248=0,E1248=""),"",K1248/E1248)</f>
        <v/>
      </c>
      <c r="M1248" s="18" t="str">
        <f aca="false">IF(OR(A1248="",E1248=""),"",E1248+ROW()/1000000)</f>
        <v/>
      </c>
    </row>
    <row r="1249" customFormat="false" ht="15" hidden="false" customHeight="false" outlineLevel="0" collapsed="false">
      <c r="A1249" s="12"/>
      <c r="B1249" s="13"/>
      <c r="C1249" s="13"/>
      <c r="D1249" s="14"/>
      <c r="E1249" s="15"/>
      <c r="F1249" s="15"/>
      <c r="G1249" s="15"/>
      <c r="H1249" s="15"/>
      <c r="I1249" s="15"/>
      <c r="J1249" s="15"/>
      <c r="K1249" s="16" t="str">
        <f aca="false">IF(A1249="","",F1249+G1249+H1249+I1249)</f>
        <v/>
      </c>
      <c r="L1249" s="17" t="str">
        <f aca="false">IF(OR(K1249="",E1249=0,E1249=""),"",K1249/E1249)</f>
        <v/>
      </c>
      <c r="M1249" s="18" t="str">
        <f aca="false">IF(OR(A1249="",E1249=""),"",E1249+ROW()/1000000)</f>
        <v/>
      </c>
    </row>
    <row r="1250" customFormat="false" ht="15" hidden="false" customHeight="false" outlineLevel="0" collapsed="false">
      <c r="A1250" s="12"/>
      <c r="B1250" s="13"/>
      <c r="C1250" s="13"/>
      <c r="D1250" s="14"/>
      <c r="E1250" s="15"/>
      <c r="F1250" s="15"/>
      <c r="G1250" s="15"/>
      <c r="H1250" s="15"/>
      <c r="I1250" s="15"/>
      <c r="J1250" s="15"/>
      <c r="K1250" s="16" t="str">
        <f aca="false">IF(A1250="","",F1250+G1250+H1250+I1250)</f>
        <v/>
      </c>
      <c r="L1250" s="17" t="str">
        <f aca="false">IF(OR(K1250="",E1250=0,E1250=""),"",K1250/E1250)</f>
        <v/>
      </c>
      <c r="M1250" s="18" t="str">
        <f aca="false">IF(OR(A1250="",E1250=""),"",E1250+ROW()/1000000)</f>
        <v/>
      </c>
    </row>
    <row r="1251" customFormat="false" ht="15" hidden="false" customHeight="false" outlineLevel="0" collapsed="false">
      <c r="A1251" s="12"/>
      <c r="B1251" s="13"/>
      <c r="C1251" s="13"/>
      <c r="D1251" s="14"/>
      <c r="E1251" s="15"/>
      <c r="F1251" s="15"/>
      <c r="G1251" s="15"/>
      <c r="H1251" s="15"/>
      <c r="I1251" s="15"/>
      <c r="J1251" s="15"/>
      <c r="K1251" s="16" t="str">
        <f aca="false">IF(A1251="","",F1251+G1251+H1251+I1251)</f>
        <v/>
      </c>
      <c r="L1251" s="17" t="str">
        <f aca="false">IF(OR(K1251="",E1251=0,E1251=""),"",K1251/E1251)</f>
        <v/>
      </c>
      <c r="M1251" s="18" t="str">
        <f aca="false">IF(OR(A1251="",E1251=""),"",E1251+ROW()/1000000)</f>
        <v/>
      </c>
    </row>
    <row r="1252" customFormat="false" ht="15" hidden="false" customHeight="false" outlineLevel="0" collapsed="false">
      <c r="A1252" s="12"/>
      <c r="B1252" s="13"/>
      <c r="C1252" s="13"/>
      <c r="D1252" s="14"/>
      <c r="E1252" s="15"/>
      <c r="F1252" s="15"/>
      <c r="G1252" s="15"/>
      <c r="H1252" s="15"/>
      <c r="I1252" s="15"/>
      <c r="J1252" s="15"/>
      <c r="K1252" s="16" t="str">
        <f aca="false">IF(A1252="","",F1252+G1252+H1252+I1252)</f>
        <v/>
      </c>
      <c r="L1252" s="17" t="str">
        <f aca="false">IF(OR(K1252="",E1252=0,E1252=""),"",K1252/E1252)</f>
        <v/>
      </c>
      <c r="M1252" s="18" t="str">
        <f aca="false">IF(OR(A1252="",E1252=""),"",E1252+ROW()/1000000)</f>
        <v/>
      </c>
    </row>
    <row r="1253" customFormat="false" ht="15" hidden="false" customHeight="false" outlineLevel="0" collapsed="false">
      <c r="A1253" s="12"/>
      <c r="B1253" s="13"/>
      <c r="C1253" s="13"/>
      <c r="D1253" s="14"/>
      <c r="E1253" s="15"/>
      <c r="F1253" s="15"/>
      <c r="G1253" s="15"/>
      <c r="H1253" s="15"/>
      <c r="I1253" s="15"/>
      <c r="J1253" s="15"/>
      <c r="K1253" s="16" t="str">
        <f aca="false">IF(A1253="","",F1253+G1253+H1253+I1253)</f>
        <v/>
      </c>
      <c r="L1253" s="17" t="str">
        <f aca="false">IF(OR(K1253="",E1253=0,E1253=""),"",K1253/E1253)</f>
        <v/>
      </c>
      <c r="M1253" s="18" t="str">
        <f aca="false">IF(OR(A1253="",E1253=""),"",E1253+ROW()/1000000)</f>
        <v/>
      </c>
    </row>
    <row r="1254" customFormat="false" ht="15" hidden="false" customHeight="false" outlineLevel="0" collapsed="false">
      <c r="A1254" s="12"/>
      <c r="B1254" s="13"/>
      <c r="C1254" s="13"/>
      <c r="D1254" s="14"/>
      <c r="E1254" s="15"/>
      <c r="F1254" s="15"/>
      <c r="G1254" s="15"/>
      <c r="H1254" s="15"/>
      <c r="I1254" s="15"/>
      <c r="J1254" s="15"/>
      <c r="K1254" s="16" t="str">
        <f aca="false">IF(A1254="","",F1254+G1254+H1254+I1254)</f>
        <v/>
      </c>
      <c r="L1254" s="17" t="str">
        <f aca="false">IF(OR(K1254="",E1254=0,E1254=""),"",K1254/E1254)</f>
        <v/>
      </c>
      <c r="M1254" s="18" t="str">
        <f aca="false">IF(OR(A1254="",E1254=""),"",E1254+ROW()/1000000)</f>
        <v/>
      </c>
    </row>
    <row r="1255" customFormat="false" ht="15" hidden="false" customHeight="false" outlineLevel="0" collapsed="false">
      <c r="A1255" s="12"/>
      <c r="B1255" s="13"/>
      <c r="C1255" s="13"/>
      <c r="D1255" s="14"/>
      <c r="E1255" s="15"/>
      <c r="F1255" s="15"/>
      <c r="G1255" s="15"/>
      <c r="H1255" s="15"/>
      <c r="I1255" s="15"/>
      <c r="J1255" s="15"/>
      <c r="K1255" s="16" t="str">
        <f aca="false">IF(A1255="","",F1255+G1255+H1255+I1255)</f>
        <v/>
      </c>
      <c r="L1255" s="17" t="str">
        <f aca="false">IF(OR(K1255="",E1255=0,E1255=""),"",K1255/E1255)</f>
        <v/>
      </c>
      <c r="M1255" s="18" t="str">
        <f aca="false">IF(OR(A1255="",E1255=""),"",E1255+ROW()/1000000)</f>
        <v/>
      </c>
    </row>
    <row r="1256" customFormat="false" ht="15" hidden="false" customHeight="false" outlineLevel="0" collapsed="false">
      <c r="A1256" s="12"/>
      <c r="B1256" s="13"/>
      <c r="C1256" s="13"/>
      <c r="D1256" s="14"/>
      <c r="E1256" s="15"/>
      <c r="F1256" s="15"/>
      <c r="G1256" s="15"/>
      <c r="H1256" s="15"/>
      <c r="I1256" s="15"/>
      <c r="J1256" s="15"/>
      <c r="K1256" s="16" t="str">
        <f aca="false">IF(A1256="","",F1256+G1256+H1256+I1256)</f>
        <v/>
      </c>
      <c r="L1256" s="17" t="str">
        <f aca="false">IF(OR(K1256="",E1256=0,E1256=""),"",K1256/E1256)</f>
        <v/>
      </c>
      <c r="M1256" s="18" t="str">
        <f aca="false">IF(OR(A1256="",E1256=""),"",E1256+ROW()/1000000)</f>
        <v/>
      </c>
    </row>
    <row r="1257" customFormat="false" ht="15" hidden="false" customHeight="false" outlineLevel="0" collapsed="false">
      <c r="A1257" s="12"/>
      <c r="B1257" s="13"/>
      <c r="C1257" s="13"/>
      <c r="D1257" s="14"/>
      <c r="E1257" s="15"/>
      <c r="F1257" s="15"/>
      <c r="G1257" s="15"/>
      <c r="H1257" s="15"/>
      <c r="I1257" s="15"/>
      <c r="J1257" s="15"/>
      <c r="K1257" s="16" t="str">
        <f aca="false">IF(A1257="","",F1257+G1257+H1257+I1257)</f>
        <v/>
      </c>
      <c r="L1257" s="17" t="str">
        <f aca="false">IF(OR(K1257="",E1257=0,E1257=""),"",K1257/E1257)</f>
        <v/>
      </c>
      <c r="M1257" s="18" t="str">
        <f aca="false">IF(OR(A1257="",E1257=""),"",E1257+ROW()/1000000)</f>
        <v/>
      </c>
    </row>
    <row r="1258" customFormat="false" ht="15" hidden="false" customHeight="false" outlineLevel="0" collapsed="false">
      <c r="A1258" s="12"/>
      <c r="B1258" s="13"/>
      <c r="C1258" s="13"/>
      <c r="D1258" s="14"/>
      <c r="E1258" s="15"/>
      <c r="F1258" s="15"/>
      <c r="G1258" s="15"/>
      <c r="H1258" s="15"/>
      <c r="I1258" s="15"/>
      <c r="J1258" s="15"/>
      <c r="K1258" s="16" t="str">
        <f aca="false">IF(A1258="","",F1258+G1258+H1258+I1258)</f>
        <v/>
      </c>
      <c r="L1258" s="17" t="str">
        <f aca="false">IF(OR(K1258="",E1258=0,E1258=""),"",K1258/E1258)</f>
        <v/>
      </c>
      <c r="M1258" s="18" t="str">
        <f aca="false">IF(OR(A1258="",E1258=""),"",E1258+ROW()/1000000)</f>
        <v/>
      </c>
    </row>
    <row r="1259" customFormat="false" ht="15" hidden="false" customHeight="false" outlineLevel="0" collapsed="false">
      <c r="A1259" s="12"/>
      <c r="B1259" s="13"/>
      <c r="C1259" s="13"/>
      <c r="D1259" s="14"/>
      <c r="E1259" s="15"/>
      <c r="F1259" s="15"/>
      <c r="G1259" s="15"/>
      <c r="H1259" s="15"/>
      <c r="I1259" s="15"/>
      <c r="J1259" s="15"/>
      <c r="K1259" s="16" t="str">
        <f aca="false">IF(A1259="","",F1259+G1259+H1259+I1259)</f>
        <v/>
      </c>
      <c r="L1259" s="17" t="str">
        <f aca="false">IF(OR(K1259="",E1259=0,E1259=""),"",K1259/E1259)</f>
        <v/>
      </c>
      <c r="M1259" s="18" t="str">
        <f aca="false">IF(OR(A1259="",E1259=""),"",E1259+ROW()/1000000)</f>
        <v/>
      </c>
    </row>
    <row r="1260" customFormat="false" ht="15" hidden="false" customHeight="false" outlineLevel="0" collapsed="false">
      <c r="A1260" s="12"/>
      <c r="B1260" s="13"/>
      <c r="C1260" s="13"/>
      <c r="D1260" s="14"/>
      <c r="E1260" s="15"/>
      <c r="F1260" s="15"/>
      <c r="G1260" s="15"/>
      <c r="H1260" s="15"/>
      <c r="I1260" s="15"/>
      <c r="J1260" s="15"/>
      <c r="K1260" s="16" t="str">
        <f aca="false">IF(A1260="","",F1260+G1260+H1260+I1260)</f>
        <v/>
      </c>
      <c r="L1260" s="17" t="str">
        <f aca="false">IF(OR(K1260="",E1260=0,E1260=""),"",K1260/E1260)</f>
        <v/>
      </c>
      <c r="M1260" s="18" t="str">
        <f aca="false">IF(OR(A1260="",E1260=""),"",E1260+ROW()/1000000)</f>
        <v/>
      </c>
    </row>
    <row r="1261" customFormat="false" ht="15" hidden="false" customHeight="false" outlineLevel="0" collapsed="false">
      <c r="A1261" s="12"/>
      <c r="B1261" s="13"/>
      <c r="C1261" s="13"/>
      <c r="D1261" s="14"/>
      <c r="E1261" s="15"/>
      <c r="F1261" s="15"/>
      <c r="G1261" s="15"/>
      <c r="H1261" s="15"/>
      <c r="I1261" s="15"/>
      <c r="J1261" s="15"/>
      <c r="K1261" s="16" t="str">
        <f aca="false">IF(A1261="","",F1261+G1261+H1261+I1261)</f>
        <v/>
      </c>
      <c r="L1261" s="17" t="str">
        <f aca="false">IF(OR(K1261="",E1261=0,E1261=""),"",K1261/E1261)</f>
        <v/>
      </c>
      <c r="M1261" s="18" t="str">
        <f aca="false">IF(OR(A1261="",E1261=""),"",E1261+ROW()/1000000)</f>
        <v/>
      </c>
    </row>
    <row r="1262" customFormat="false" ht="15" hidden="false" customHeight="false" outlineLevel="0" collapsed="false">
      <c r="A1262" s="12"/>
      <c r="B1262" s="13"/>
      <c r="C1262" s="13"/>
      <c r="D1262" s="14"/>
      <c r="E1262" s="15"/>
      <c r="F1262" s="15"/>
      <c r="G1262" s="15"/>
      <c r="H1262" s="15"/>
      <c r="I1262" s="15"/>
      <c r="J1262" s="15"/>
      <c r="K1262" s="16" t="str">
        <f aca="false">IF(A1262="","",F1262+G1262+H1262+I1262)</f>
        <v/>
      </c>
      <c r="L1262" s="17" t="str">
        <f aca="false">IF(OR(K1262="",E1262=0,E1262=""),"",K1262/E1262)</f>
        <v/>
      </c>
      <c r="M1262" s="18" t="str">
        <f aca="false">IF(OR(A1262="",E1262=""),"",E1262+ROW()/1000000)</f>
        <v/>
      </c>
    </row>
    <row r="1263" customFormat="false" ht="15" hidden="false" customHeight="false" outlineLevel="0" collapsed="false">
      <c r="A1263" s="12"/>
      <c r="B1263" s="13"/>
      <c r="C1263" s="13"/>
      <c r="D1263" s="14"/>
      <c r="E1263" s="15"/>
      <c r="F1263" s="15"/>
      <c r="G1263" s="15"/>
      <c r="H1263" s="15"/>
      <c r="I1263" s="15"/>
      <c r="J1263" s="15"/>
      <c r="K1263" s="16" t="str">
        <f aca="false">IF(A1263="","",F1263+G1263+H1263+I1263)</f>
        <v/>
      </c>
      <c r="L1263" s="17" t="str">
        <f aca="false">IF(OR(K1263="",E1263=0,E1263=""),"",K1263/E1263)</f>
        <v/>
      </c>
      <c r="M1263" s="18" t="str">
        <f aca="false">IF(OR(A1263="",E1263=""),"",E1263+ROW()/1000000)</f>
        <v/>
      </c>
    </row>
    <row r="1264" customFormat="false" ht="15" hidden="false" customHeight="false" outlineLevel="0" collapsed="false">
      <c r="A1264" s="12"/>
      <c r="B1264" s="13"/>
      <c r="C1264" s="13"/>
      <c r="D1264" s="14"/>
      <c r="E1264" s="15"/>
      <c r="F1264" s="15"/>
      <c r="G1264" s="15"/>
      <c r="H1264" s="15"/>
      <c r="I1264" s="15"/>
      <c r="J1264" s="15"/>
      <c r="K1264" s="16" t="str">
        <f aca="false">IF(A1264="","",F1264+G1264+H1264+I1264)</f>
        <v/>
      </c>
      <c r="L1264" s="17" t="str">
        <f aca="false">IF(OR(K1264="",E1264=0,E1264=""),"",K1264/E1264)</f>
        <v/>
      </c>
      <c r="M1264" s="18" t="str">
        <f aca="false">IF(OR(A1264="",E1264=""),"",E1264+ROW()/1000000)</f>
        <v/>
      </c>
    </row>
    <row r="1265" customFormat="false" ht="15" hidden="false" customHeight="false" outlineLevel="0" collapsed="false">
      <c r="A1265" s="12"/>
      <c r="B1265" s="13"/>
      <c r="C1265" s="13"/>
      <c r="D1265" s="14"/>
      <c r="E1265" s="15"/>
      <c r="F1265" s="15"/>
      <c r="G1265" s="15"/>
      <c r="H1265" s="15"/>
      <c r="I1265" s="15"/>
      <c r="J1265" s="15"/>
      <c r="K1265" s="16" t="str">
        <f aca="false">IF(A1265="","",F1265+G1265+H1265+I1265)</f>
        <v/>
      </c>
      <c r="L1265" s="17" t="str">
        <f aca="false">IF(OR(K1265="",E1265=0,E1265=""),"",K1265/E1265)</f>
        <v/>
      </c>
      <c r="M1265" s="18" t="str">
        <f aca="false">IF(OR(A1265="",E1265=""),"",E1265+ROW()/1000000)</f>
        <v/>
      </c>
    </row>
    <row r="1266" customFormat="false" ht="15" hidden="false" customHeight="false" outlineLevel="0" collapsed="false">
      <c r="A1266" s="12"/>
      <c r="B1266" s="13"/>
      <c r="C1266" s="13"/>
      <c r="D1266" s="14"/>
      <c r="E1266" s="15"/>
      <c r="F1266" s="15"/>
      <c r="G1266" s="15"/>
      <c r="H1266" s="15"/>
      <c r="I1266" s="15"/>
      <c r="J1266" s="15"/>
      <c r="K1266" s="16" t="str">
        <f aca="false">IF(A1266="","",F1266+G1266+H1266+I1266)</f>
        <v/>
      </c>
      <c r="L1266" s="17" t="str">
        <f aca="false">IF(OR(K1266="",E1266=0,E1266=""),"",K1266/E1266)</f>
        <v/>
      </c>
      <c r="M1266" s="18" t="str">
        <f aca="false">IF(OR(A1266="",E1266=""),"",E1266+ROW()/1000000)</f>
        <v/>
      </c>
    </row>
    <row r="1267" customFormat="false" ht="15" hidden="false" customHeight="false" outlineLevel="0" collapsed="false">
      <c r="A1267" s="12"/>
      <c r="B1267" s="13"/>
      <c r="C1267" s="13"/>
      <c r="D1267" s="14"/>
      <c r="E1267" s="15"/>
      <c r="F1267" s="15"/>
      <c r="G1267" s="15"/>
      <c r="H1267" s="15"/>
      <c r="I1267" s="15"/>
      <c r="J1267" s="15"/>
      <c r="K1267" s="16" t="str">
        <f aca="false">IF(A1267="","",F1267+G1267+H1267+I1267)</f>
        <v/>
      </c>
      <c r="L1267" s="17" t="str">
        <f aca="false">IF(OR(K1267="",E1267=0,E1267=""),"",K1267/E1267)</f>
        <v/>
      </c>
      <c r="M1267" s="18" t="str">
        <f aca="false">IF(OR(A1267="",E1267=""),"",E1267+ROW()/1000000)</f>
        <v/>
      </c>
    </row>
    <row r="1268" customFormat="false" ht="15" hidden="false" customHeight="false" outlineLevel="0" collapsed="false">
      <c r="A1268" s="12"/>
      <c r="B1268" s="13"/>
      <c r="C1268" s="13"/>
      <c r="D1268" s="14"/>
      <c r="E1268" s="15"/>
      <c r="F1268" s="15"/>
      <c r="G1268" s="15"/>
      <c r="H1268" s="15"/>
      <c r="I1268" s="15"/>
      <c r="J1268" s="15"/>
      <c r="K1268" s="16" t="str">
        <f aca="false">IF(A1268="","",F1268+G1268+H1268+I1268)</f>
        <v/>
      </c>
      <c r="L1268" s="17" t="str">
        <f aca="false">IF(OR(K1268="",E1268=0,E1268=""),"",K1268/E1268)</f>
        <v/>
      </c>
      <c r="M1268" s="18" t="str">
        <f aca="false">IF(OR(A1268="",E1268=""),"",E1268+ROW()/1000000)</f>
        <v/>
      </c>
    </row>
    <row r="1269" customFormat="false" ht="15" hidden="false" customHeight="false" outlineLevel="0" collapsed="false">
      <c r="A1269" s="12"/>
      <c r="B1269" s="13"/>
      <c r="C1269" s="13"/>
      <c r="D1269" s="14"/>
      <c r="E1269" s="15"/>
      <c r="F1269" s="15"/>
      <c r="G1269" s="15"/>
      <c r="H1269" s="15"/>
      <c r="I1269" s="15"/>
      <c r="J1269" s="15"/>
      <c r="K1269" s="16" t="str">
        <f aca="false">IF(A1269="","",F1269+G1269+H1269+I1269)</f>
        <v/>
      </c>
      <c r="L1269" s="17" t="str">
        <f aca="false">IF(OR(K1269="",E1269=0,E1269=""),"",K1269/E1269)</f>
        <v/>
      </c>
      <c r="M1269" s="18" t="str">
        <f aca="false">IF(OR(A1269="",E1269=""),"",E1269+ROW()/1000000)</f>
        <v/>
      </c>
    </row>
    <row r="1270" customFormat="false" ht="15" hidden="false" customHeight="false" outlineLevel="0" collapsed="false">
      <c r="A1270" s="12"/>
      <c r="B1270" s="13"/>
      <c r="C1270" s="13"/>
      <c r="D1270" s="14"/>
      <c r="E1270" s="15"/>
      <c r="F1270" s="15"/>
      <c r="G1270" s="15"/>
      <c r="H1270" s="15"/>
      <c r="I1270" s="15"/>
      <c r="J1270" s="15"/>
      <c r="K1270" s="16" t="str">
        <f aca="false">IF(A1270="","",F1270+G1270+H1270+I1270)</f>
        <v/>
      </c>
      <c r="L1270" s="17" t="str">
        <f aca="false">IF(OR(K1270="",E1270=0,E1270=""),"",K1270/E1270)</f>
        <v/>
      </c>
      <c r="M1270" s="18" t="str">
        <f aca="false">IF(OR(A1270="",E1270=""),"",E1270+ROW()/1000000)</f>
        <v/>
      </c>
    </row>
    <row r="1271" customFormat="false" ht="15" hidden="false" customHeight="false" outlineLevel="0" collapsed="false">
      <c r="A1271" s="12"/>
      <c r="B1271" s="13"/>
      <c r="C1271" s="13"/>
      <c r="D1271" s="14"/>
      <c r="E1271" s="15"/>
      <c r="F1271" s="15"/>
      <c r="G1271" s="15"/>
      <c r="H1271" s="15"/>
      <c r="I1271" s="15"/>
      <c r="J1271" s="15"/>
      <c r="K1271" s="16" t="str">
        <f aca="false">IF(A1271="","",F1271+G1271+H1271+I1271)</f>
        <v/>
      </c>
      <c r="L1271" s="17" t="str">
        <f aca="false">IF(OR(K1271="",E1271=0,E1271=""),"",K1271/E1271)</f>
        <v/>
      </c>
      <c r="M1271" s="18" t="str">
        <f aca="false">IF(OR(A1271="",E1271=""),"",E1271+ROW()/1000000)</f>
        <v/>
      </c>
    </row>
    <row r="1272" customFormat="false" ht="15" hidden="false" customHeight="false" outlineLevel="0" collapsed="false">
      <c r="A1272" s="12"/>
      <c r="B1272" s="13"/>
      <c r="C1272" s="13"/>
      <c r="D1272" s="14"/>
      <c r="E1272" s="15"/>
      <c r="F1272" s="15"/>
      <c r="G1272" s="15"/>
      <c r="H1272" s="15"/>
      <c r="I1272" s="15"/>
      <c r="J1272" s="15"/>
      <c r="K1272" s="16" t="str">
        <f aca="false">IF(A1272="","",F1272+G1272+H1272+I1272)</f>
        <v/>
      </c>
      <c r="L1272" s="17" t="str">
        <f aca="false">IF(OR(K1272="",E1272=0,E1272=""),"",K1272/E1272)</f>
        <v/>
      </c>
      <c r="M1272" s="18" t="str">
        <f aca="false">IF(OR(A1272="",E1272=""),"",E1272+ROW()/1000000)</f>
        <v/>
      </c>
    </row>
    <row r="1273" customFormat="false" ht="15" hidden="false" customHeight="false" outlineLevel="0" collapsed="false">
      <c r="A1273" s="12"/>
      <c r="B1273" s="13"/>
      <c r="C1273" s="13"/>
      <c r="D1273" s="14"/>
      <c r="E1273" s="15"/>
      <c r="F1273" s="15"/>
      <c r="G1273" s="15"/>
      <c r="H1273" s="15"/>
      <c r="I1273" s="15"/>
      <c r="J1273" s="15"/>
      <c r="K1273" s="16" t="str">
        <f aca="false">IF(A1273="","",F1273+G1273+H1273+I1273)</f>
        <v/>
      </c>
      <c r="L1273" s="17" t="str">
        <f aca="false">IF(OR(K1273="",E1273=0,E1273=""),"",K1273/E1273)</f>
        <v/>
      </c>
      <c r="M1273" s="18" t="str">
        <f aca="false">IF(OR(A1273="",E1273=""),"",E1273+ROW()/1000000)</f>
        <v/>
      </c>
    </row>
    <row r="1274" customFormat="false" ht="15" hidden="false" customHeight="false" outlineLevel="0" collapsed="false">
      <c r="A1274" s="12"/>
      <c r="B1274" s="13"/>
      <c r="C1274" s="13"/>
      <c r="D1274" s="14"/>
      <c r="E1274" s="15"/>
      <c r="F1274" s="15"/>
      <c r="G1274" s="15"/>
      <c r="H1274" s="15"/>
      <c r="I1274" s="15"/>
      <c r="J1274" s="15"/>
      <c r="K1274" s="16" t="str">
        <f aca="false">IF(A1274="","",F1274+G1274+H1274+I1274)</f>
        <v/>
      </c>
      <c r="L1274" s="17" t="str">
        <f aca="false">IF(OR(K1274="",E1274=0,E1274=""),"",K1274/E1274)</f>
        <v/>
      </c>
      <c r="M1274" s="18" t="str">
        <f aca="false">IF(OR(A1274="",E1274=""),"",E1274+ROW()/1000000)</f>
        <v/>
      </c>
    </row>
    <row r="1275" customFormat="false" ht="15" hidden="false" customHeight="false" outlineLevel="0" collapsed="false">
      <c r="A1275" s="12"/>
      <c r="B1275" s="13"/>
      <c r="C1275" s="13"/>
      <c r="D1275" s="14"/>
      <c r="E1275" s="15"/>
      <c r="F1275" s="15"/>
      <c r="G1275" s="15"/>
      <c r="H1275" s="15"/>
      <c r="I1275" s="15"/>
      <c r="J1275" s="15"/>
      <c r="K1275" s="16" t="str">
        <f aca="false">IF(A1275="","",F1275+G1275+H1275+I1275)</f>
        <v/>
      </c>
      <c r="L1275" s="17" t="str">
        <f aca="false">IF(OR(K1275="",E1275=0,E1275=""),"",K1275/E1275)</f>
        <v/>
      </c>
      <c r="M1275" s="18" t="str">
        <f aca="false">IF(OR(A1275="",E1275=""),"",E1275+ROW()/1000000)</f>
        <v/>
      </c>
    </row>
    <row r="1276" customFormat="false" ht="15" hidden="false" customHeight="false" outlineLevel="0" collapsed="false">
      <c r="A1276" s="12"/>
      <c r="B1276" s="13"/>
      <c r="C1276" s="13"/>
      <c r="D1276" s="14"/>
      <c r="E1276" s="15"/>
      <c r="F1276" s="15"/>
      <c r="G1276" s="15"/>
      <c r="H1276" s="15"/>
      <c r="I1276" s="15"/>
      <c r="J1276" s="15"/>
      <c r="K1276" s="16" t="str">
        <f aca="false">IF(A1276="","",F1276+G1276+H1276+I1276)</f>
        <v/>
      </c>
      <c r="L1276" s="17" t="str">
        <f aca="false">IF(OR(K1276="",E1276=0,E1276=""),"",K1276/E1276)</f>
        <v/>
      </c>
      <c r="M1276" s="18" t="str">
        <f aca="false">IF(OR(A1276="",E1276=""),"",E1276+ROW()/1000000)</f>
        <v/>
      </c>
    </row>
    <row r="1277" customFormat="false" ht="15" hidden="false" customHeight="false" outlineLevel="0" collapsed="false">
      <c r="A1277" s="12"/>
      <c r="B1277" s="13"/>
      <c r="C1277" s="13"/>
      <c r="D1277" s="14"/>
      <c r="E1277" s="15"/>
      <c r="F1277" s="15"/>
      <c r="G1277" s="15"/>
      <c r="H1277" s="15"/>
      <c r="I1277" s="15"/>
      <c r="J1277" s="15"/>
      <c r="K1277" s="16" t="str">
        <f aca="false">IF(A1277="","",F1277+G1277+H1277+I1277)</f>
        <v/>
      </c>
      <c r="L1277" s="17" t="str">
        <f aca="false">IF(OR(K1277="",E1277=0,E1277=""),"",K1277/E1277)</f>
        <v/>
      </c>
      <c r="M1277" s="18" t="str">
        <f aca="false">IF(OR(A1277="",E1277=""),"",E1277+ROW()/1000000)</f>
        <v/>
      </c>
    </row>
    <row r="1278" customFormat="false" ht="15" hidden="false" customHeight="false" outlineLevel="0" collapsed="false">
      <c r="A1278" s="12"/>
      <c r="B1278" s="13"/>
      <c r="C1278" s="13"/>
      <c r="D1278" s="14"/>
      <c r="E1278" s="15"/>
      <c r="F1278" s="15"/>
      <c r="G1278" s="15"/>
      <c r="H1278" s="15"/>
      <c r="I1278" s="15"/>
      <c r="J1278" s="15"/>
      <c r="K1278" s="16" t="str">
        <f aca="false">IF(A1278="","",F1278+G1278+H1278+I1278)</f>
        <v/>
      </c>
      <c r="L1278" s="17" t="str">
        <f aca="false">IF(OR(K1278="",E1278=0,E1278=""),"",K1278/E1278)</f>
        <v/>
      </c>
      <c r="M1278" s="18" t="str">
        <f aca="false">IF(OR(A1278="",E1278=""),"",E1278+ROW()/1000000)</f>
        <v/>
      </c>
    </row>
    <row r="1279" customFormat="false" ht="15" hidden="false" customHeight="false" outlineLevel="0" collapsed="false">
      <c r="A1279" s="12"/>
      <c r="B1279" s="13"/>
      <c r="C1279" s="13"/>
      <c r="D1279" s="14"/>
      <c r="E1279" s="15"/>
      <c r="F1279" s="15"/>
      <c r="G1279" s="15"/>
      <c r="H1279" s="15"/>
      <c r="I1279" s="15"/>
      <c r="J1279" s="15"/>
      <c r="K1279" s="16" t="str">
        <f aca="false">IF(A1279="","",F1279+G1279+H1279+I1279)</f>
        <v/>
      </c>
      <c r="L1279" s="17" t="str">
        <f aca="false">IF(OR(K1279="",E1279=0,E1279=""),"",K1279/E1279)</f>
        <v/>
      </c>
      <c r="M1279" s="18" t="str">
        <f aca="false">IF(OR(A1279="",E1279=""),"",E1279+ROW()/1000000)</f>
        <v/>
      </c>
    </row>
    <row r="1280" customFormat="false" ht="15" hidden="false" customHeight="false" outlineLevel="0" collapsed="false">
      <c r="A1280" s="12"/>
      <c r="B1280" s="13"/>
      <c r="C1280" s="13"/>
      <c r="D1280" s="14"/>
      <c r="E1280" s="15"/>
      <c r="F1280" s="15"/>
      <c r="G1280" s="15"/>
      <c r="H1280" s="15"/>
      <c r="I1280" s="15"/>
      <c r="J1280" s="15"/>
      <c r="K1280" s="16" t="str">
        <f aca="false">IF(A1280="","",F1280+G1280+H1280+I1280)</f>
        <v/>
      </c>
      <c r="L1280" s="17" t="str">
        <f aca="false">IF(OR(K1280="",E1280=0,E1280=""),"",K1280/E1280)</f>
        <v/>
      </c>
      <c r="M1280" s="18" t="str">
        <f aca="false">IF(OR(A1280="",E1280=""),"",E1280+ROW()/1000000)</f>
        <v/>
      </c>
    </row>
    <row r="1281" customFormat="false" ht="15" hidden="false" customHeight="false" outlineLevel="0" collapsed="false">
      <c r="A1281" s="12"/>
      <c r="B1281" s="13"/>
      <c r="C1281" s="13"/>
      <c r="D1281" s="14"/>
      <c r="E1281" s="15"/>
      <c r="F1281" s="15"/>
      <c r="G1281" s="15"/>
      <c r="H1281" s="15"/>
      <c r="I1281" s="15"/>
      <c r="J1281" s="15"/>
      <c r="K1281" s="16" t="str">
        <f aca="false">IF(A1281="","",F1281+G1281+H1281+I1281)</f>
        <v/>
      </c>
      <c r="L1281" s="17" t="str">
        <f aca="false">IF(OR(K1281="",E1281=0,E1281=""),"",K1281/E1281)</f>
        <v/>
      </c>
      <c r="M1281" s="18" t="str">
        <f aca="false">IF(OR(A1281="",E1281=""),"",E1281+ROW()/1000000)</f>
        <v/>
      </c>
    </row>
    <row r="1282" customFormat="false" ht="15" hidden="false" customHeight="false" outlineLevel="0" collapsed="false">
      <c r="A1282" s="12"/>
      <c r="B1282" s="13"/>
      <c r="C1282" s="13"/>
      <c r="D1282" s="14"/>
      <c r="E1282" s="15"/>
      <c r="F1282" s="15"/>
      <c r="G1282" s="15"/>
      <c r="H1282" s="15"/>
      <c r="I1282" s="15"/>
      <c r="J1282" s="15"/>
      <c r="K1282" s="16" t="str">
        <f aca="false">IF(A1282="","",F1282+G1282+H1282+I1282)</f>
        <v/>
      </c>
      <c r="L1282" s="17" t="str">
        <f aca="false">IF(OR(K1282="",E1282=0,E1282=""),"",K1282/E1282)</f>
        <v/>
      </c>
      <c r="M1282" s="18" t="str">
        <f aca="false">IF(OR(A1282="",E1282=""),"",E1282+ROW()/1000000)</f>
        <v/>
      </c>
    </row>
    <row r="1283" customFormat="false" ht="15" hidden="false" customHeight="false" outlineLevel="0" collapsed="false">
      <c r="A1283" s="12"/>
      <c r="B1283" s="13"/>
      <c r="C1283" s="13"/>
      <c r="D1283" s="14"/>
      <c r="E1283" s="15"/>
      <c r="F1283" s="15"/>
      <c r="G1283" s="15"/>
      <c r="H1283" s="15"/>
      <c r="I1283" s="15"/>
      <c r="J1283" s="15"/>
      <c r="K1283" s="16" t="str">
        <f aca="false">IF(A1283="","",F1283+G1283+H1283+I1283)</f>
        <v/>
      </c>
      <c r="L1283" s="17" t="str">
        <f aca="false">IF(OR(K1283="",E1283=0,E1283=""),"",K1283/E1283)</f>
        <v/>
      </c>
      <c r="M1283" s="18" t="str">
        <f aca="false">IF(OR(A1283="",E1283=""),"",E1283+ROW()/1000000)</f>
        <v/>
      </c>
    </row>
    <row r="1284" customFormat="false" ht="15" hidden="false" customHeight="false" outlineLevel="0" collapsed="false">
      <c r="A1284" s="12"/>
      <c r="B1284" s="13"/>
      <c r="C1284" s="13"/>
      <c r="D1284" s="14"/>
      <c r="E1284" s="15"/>
      <c r="F1284" s="15"/>
      <c r="G1284" s="15"/>
      <c r="H1284" s="15"/>
      <c r="I1284" s="15"/>
      <c r="J1284" s="15"/>
      <c r="K1284" s="16" t="str">
        <f aca="false">IF(A1284="","",F1284+G1284+H1284+I1284)</f>
        <v/>
      </c>
      <c r="L1284" s="17" t="str">
        <f aca="false">IF(OR(K1284="",E1284=0,E1284=""),"",K1284/E1284)</f>
        <v/>
      </c>
      <c r="M1284" s="18" t="str">
        <f aca="false">IF(OR(A1284="",E1284=""),"",E1284+ROW()/1000000)</f>
        <v/>
      </c>
    </row>
    <row r="1285" customFormat="false" ht="15" hidden="false" customHeight="false" outlineLevel="0" collapsed="false">
      <c r="A1285" s="12"/>
      <c r="B1285" s="13"/>
      <c r="C1285" s="13"/>
      <c r="D1285" s="14"/>
      <c r="E1285" s="15"/>
      <c r="F1285" s="15"/>
      <c r="G1285" s="15"/>
      <c r="H1285" s="15"/>
      <c r="I1285" s="15"/>
      <c r="J1285" s="15"/>
      <c r="K1285" s="16" t="str">
        <f aca="false">IF(A1285="","",F1285+G1285+H1285+I1285)</f>
        <v/>
      </c>
      <c r="L1285" s="17" t="str">
        <f aca="false">IF(OR(K1285="",E1285=0,E1285=""),"",K1285/E1285)</f>
        <v/>
      </c>
      <c r="M1285" s="18" t="str">
        <f aca="false">IF(OR(A1285="",E1285=""),"",E1285+ROW()/1000000)</f>
        <v/>
      </c>
    </row>
    <row r="1286" customFormat="false" ht="15" hidden="false" customHeight="false" outlineLevel="0" collapsed="false">
      <c r="A1286" s="12"/>
      <c r="B1286" s="13"/>
      <c r="C1286" s="13"/>
      <c r="D1286" s="14"/>
      <c r="E1286" s="15"/>
      <c r="F1286" s="15"/>
      <c r="G1286" s="15"/>
      <c r="H1286" s="15"/>
      <c r="I1286" s="15"/>
      <c r="J1286" s="15"/>
      <c r="K1286" s="16" t="str">
        <f aca="false">IF(A1286="","",F1286+G1286+H1286+I1286)</f>
        <v/>
      </c>
      <c r="L1286" s="17" t="str">
        <f aca="false">IF(OR(K1286="",E1286=0,E1286=""),"",K1286/E1286)</f>
        <v/>
      </c>
      <c r="M1286" s="18" t="str">
        <f aca="false">IF(OR(A1286="",E1286=""),"",E1286+ROW()/1000000)</f>
        <v/>
      </c>
    </row>
    <row r="1287" customFormat="false" ht="15" hidden="false" customHeight="false" outlineLevel="0" collapsed="false">
      <c r="A1287" s="12"/>
      <c r="B1287" s="13"/>
      <c r="C1287" s="13"/>
      <c r="D1287" s="14"/>
      <c r="E1287" s="15"/>
      <c r="F1287" s="15"/>
      <c r="G1287" s="15"/>
      <c r="H1287" s="15"/>
      <c r="I1287" s="15"/>
      <c r="J1287" s="15"/>
      <c r="K1287" s="16" t="str">
        <f aca="false">IF(A1287="","",F1287+G1287+H1287+I1287)</f>
        <v/>
      </c>
      <c r="L1287" s="17" t="str">
        <f aca="false">IF(OR(K1287="",E1287=0,E1287=""),"",K1287/E1287)</f>
        <v/>
      </c>
      <c r="M1287" s="18" t="str">
        <f aca="false">IF(OR(A1287="",E1287=""),"",E1287+ROW()/1000000)</f>
        <v/>
      </c>
    </row>
    <row r="1288" customFormat="false" ht="15" hidden="false" customHeight="false" outlineLevel="0" collapsed="false">
      <c r="A1288" s="12"/>
      <c r="B1288" s="13"/>
      <c r="C1288" s="13"/>
      <c r="D1288" s="14"/>
      <c r="E1288" s="15"/>
      <c r="F1288" s="15"/>
      <c r="G1288" s="15"/>
      <c r="H1288" s="15"/>
      <c r="I1288" s="15"/>
      <c r="J1288" s="15"/>
      <c r="K1288" s="16" t="str">
        <f aca="false">IF(A1288="","",F1288+G1288+H1288+I1288)</f>
        <v/>
      </c>
      <c r="L1288" s="17" t="str">
        <f aca="false">IF(OR(K1288="",E1288=0,E1288=""),"",K1288/E1288)</f>
        <v/>
      </c>
      <c r="M1288" s="18" t="str">
        <f aca="false">IF(OR(A1288="",E1288=""),"",E1288+ROW()/1000000)</f>
        <v/>
      </c>
    </row>
    <row r="1289" customFormat="false" ht="15" hidden="false" customHeight="false" outlineLevel="0" collapsed="false">
      <c r="A1289" s="12"/>
      <c r="B1289" s="13"/>
      <c r="C1289" s="13"/>
      <c r="D1289" s="14"/>
      <c r="E1289" s="15"/>
      <c r="F1289" s="15"/>
      <c r="G1289" s="15"/>
      <c r="H1289" s="15"/>
      <c r="I1289" s="15"/>
      <c r="J1289" s="15"/>
      <c r="K1289" s="16" t="str">
        <f aca="false">IF(A1289="","",F1289+G1289+H1289+I1289)</f>
        <v/>
      </c>
      <c r="L1289" s="17" t="str">
        <f aca="false">IF(OR(K1289="",E1289=0,E1289=""),"",K1289/E1289)</f>
        <v/>
      </c>
      <c r="M1289" s="18" t="str">
        <f aca="false">IF(OR(A1289="",E1289=""),"",E1289+ROW()/1000000)</f>
        <v/>
      </c>
    </row>
    <row r="1290" customFormat="false" ht="15" hidden="false" customHeight="false" outlineLevel="0" collapsed="false">
      <c r="A1290" s="12"/>
      <c r="B1290" s="13"/>
      <c r="C1290" s="13"/>
      <c r="D1290" s="14"/>
      <c r="E1290" s="15"/>
      <c r="F1290" s="15"/>
      <c r="G1290" s="15"/>
      <c r="H1290" s="15"/>
      <c r="I1290" s="15"/>
      <c r="J1290" s="15"/>
      <c r="K1290" s="16" t="str">
        <f aca="false">IF(A1290="","",F1290+G1290+H1290+I1290)</f>
        <v/>
      </c>
      <c r="L1290" s="17" t="str">
        <f aca="false">IF(OR(K1290="",E1290=0,E1290=""),"",K1290/E1290)</f>
        <v/>
      </c>
      <c r="M1290" s="18" t="str">
        <f aca="false">IF(OR(A1290="",E1290=""),"",E1290+ROW()/1000000)</f>
        <v/>
      </c>
    </row>
    <row r="1291" customFormat="false" ht="15" hidden="false" customHeight="false" outlineLevel="0" collapsed="false">
      <c r="A1291" s="12"/>
      <c r="B1291" s="13"/>
      <c r="C1291" s="13"/>
      <c r="D1291" s="14"/>
      <c r="E1291" s="15"/>
      <c r="F1291" s="15"/>
      <c r="G1291" s="15"/>
      <c r="H1291" s="15"/>
      <c r="I1291" s="15"/>
      <c r="J1291" s="15"/>
      <c r="K1291" s="16" t="str">
        <f aca="false">IF(A1291="","",F1291+G1291+H1291+I1291)</f>
        <v/>
      </c>
      <c r="L1291" s="17" t="str">
        <f aca="false">IF(OR(K1291="",E1291=0,E1291=""),"",K1291/E1291)</f>
        <v/>
      </c>
      <c r="M1291" s="18" t="str">
        <f aca="false">IF(OR(A1291="",E1291=""),"",E1291+ROW()/1000000)</f>
        <v/>
      </c>
    </row>
    <row r="1292" customFormat="false" ht="15" hidden="false" customHeight="false" outlineLevel="0" collapsed="false">
      <c r="A1292" s="12"/>
      <c r="B1292" s="13"/>
      <c r="C1292" s="13"/>
      <c r="D1292" s="14"/>
      <c r="E1292" s="15"/>
      <c r="F1292" s="15"/>
      <c r="G1292" s="15"/>
      <c r="H1292" s="15"/>
      <c r="I1292" s="15"/>
      <c r="J1292" s="15"/>
      <c r="K1292" s="16" t="str">
        <f aca="false">IF(A1292="","",F1292+G1292+H1292+I1292)</f>
        <v/>
      </c>
      <c r="L1292" s="17" t="str">
        <f aca="false">IF(OR(K1292="",E1292=0,E1292=""),"",K1292/E1292)</f>
        <v/>
      </c>
      <c r="M1292" s="18" t="str">
        <f aca="false">IF(OR(A1292="",E1292=""),"",E1292+ROW()/1000000)</f>
        <v/>
      </c>
    </row>
    <row r="1293" customFormat="false" ht="15" hidden="false" customHeight="false" outlineLevel="0" collapsed="false">
      <c r="A1293" s="12"/>
      <c r="B1293" s="13"/>
      <c r="C1293" s="13"/>
      <c r="D1293" s="14"/>
      <c r="E1293" s="15"/>
      <c r="F1293" s="15"/>
      <c r="G1293" s="15"/>
      <c r="H1293" s="15"/>
      <c r="I1293" s="15"/>
      <c r="J1293" s="15"/>
      <c r="K1293" s="16" t="str">
        <f aca="false">IF(A1293="","",F1293+G1293+H1293+I1293)</f>
        <v/>
      </c>
      <c r="L1293" s="17" t="str">
        <f aca="false">IF(OR(K1293="",E1293=0,E1293=""),"",K1293/E1293)</f>
        <v/>
      </c>
      <c r="M1293" s="18" t="str">
        <f aca="false">IF(OR(A1293="",E1293=""),"",E1293+ROW()/1000000)</f>
        <v/>
      </c>
    </row>
    <row r="1294" customFormat="false" ht="15" hidden="false" customHeight="false" outlineLevel="0" collapsed="false">
      <c r="A1294" s="12"/>
      <c r="B1294" s="13"/>
      <c r="C1294" s="13"/>
      <c r="D1294" s="14"/>
      <c r="E1294" s="15"/>
      <c r="F1294" s="15"/>
      <c r="G1294" s="15"/>
      <c r="H1294" s="15"/>
      <c r="I1294" s="15"/>
      <c r="J1294" s="15"/>
      <c r="K1294" s="16" t="str">
        <f aca="false">IF(A1294="","",F1294+G1294+H1294+I1294)</f>
        <v/>
      </c>
      <c r="L1294" s="17" t="str">
        <f aca="false">IF(OR(K1294="",E1294=0,E1294=""),"",K1294/E1294)</f>
        <v/>
      </c>
      <c r="M1294" s="18" t="str">
        <f aca="false">IF(OR(A1294="",E1294=""),"",E1294+ROW()/1000000)</f>
        <v/>
      </c>
    </row>
    <row r="1295" customFormat="false" ht="15" hidden="false" customHeight="false" outlineLevel="0" collapsed="false">
      <c r="A1295" s="12"/>
      <c r="B1295" s="13"/>
      <c r="C1295" s="13"/>
      <c r="D1295" s="14"/>
      <c r="E1295" s="15"/>
      <c r="F1295" s="15"/>
      <c r="G1295" s="15"/>
      <c r="H1295" s="15"/>
      <c r="I1295" s="15"/>
      <c r="J1295" s="15"/>
      <c r="K1295" s="16" t="str">
        <f aca="false">IF(A1295="","",F1295+G1295+H1295+I1295)</f>
        <v/>
      </c>
      <c r="L1295" s="17" t="str">
        <f aca="false">IF(OR(K1295="",E1295=0,E1295=""),"",K1295/E1295)</f>
        <v/>
      </c>
      <c r="M1295" s="18" t="str">
        <f aca="false">IF(OR(A1295="",E1295=""),"",E1295+ROW()/1000000)</f>
        <v/>
      </c>
    </row>
    <row r="1296" customFormat="false" ht="15" hidden="false" customHeight="false" outlineLevel="0" collapsed="false">
      <c r="A1296" s="12"/>
      <c r="B1296" s="13"/>
      <c r="C1296" s="13"/>
      <c r="D1296" s="14"/>
      <c r="E1296" s="15"/>
      <c r="F1296" s="15"/>
      <c r="G1296" s="15"/>
      <c r="H1296" s="15"/>
      <c r="I1296" s="15"/>
      <c r="J1296" s="15"/>
      <c r="K1296" s="16" t="str">
        <f aca="false">IF(A1296="","",F1296+G1296+H1296+I1296)</f>
        <v/>
      </c>
      <c r="L1296" s="17" t="str">
        <f aca="false">IF(OR(K1296="",E1296=0,E1296=""),"",K1296/E1296)</f>
        <v/>
      </c>
      <c r="M1296" s="18" t="str">
        <f aca="false">IF(OR(A1296="",E1296=""),"",E1296+ROW()/1000000)</f>
        <v/>
      </c>
    </row>
    <row r="1297" customFormat="false" ht="15" hidden="false" customHeight="false" outlineLevel="0" collapsed="false">
      <c r="A1297" s="12"/>
      <c r="B1297" s="13"/>
      <c r="C1297" s="13"/>
      <c r="D1297" s="14"/>
      <c r="E1297" s="15"/>
      <c r="F1297" s="15"/>
      <c r="G1297" s="15"/>
      <c r="H1297" s="15"/>
      <c r="I1297" s="15"/>
      <c r="J1297" s="15"/>
      <c r="K1297" s="16" t="str">
        <f aca="false">IF(A1297="","",F1297+G1297+H1297+I1297)</f>
        <v/>
      </c>
      <c r="L1297" s="17" t="str">
        <f aca="false">IF(OR(K1297="",E1297=0,E1297=""),"",K1297/E1297)</f>
        <v/>
      </c>
      <c r="M1297" s="18" t="str">
        <f aca="false">IF(OR(A1297="",E1297=""),"",E1297+ROW()/1000000)</f>
        <v/>
      </c>
    </row>
    <row r="1298" customFormat="false" ht="15" hidden="false" customHeight="false" outlineLevel="0" collapsed="false">
      <c r="A1298" s="12"/>
      <c r="B1298" s="13"/>
      <c r="C1298" s="13"/>
      <c r="D1298" s="14"/>
      <c r="E1298" s="15"/>
      <c r="F1298" s="15"/>
      <c r="G1298" s="15"/>
      <c r="H1298" s="15"/>
      <c r="I1298" s="15"/>
      <c r="J1298" s="15"/>
      <c r="K1298" s="16" t="str">
        <f aca="false">IF(A1298="","",F1298+G1298+H1298+I1298)</f>
        <v/>
      </c>
      <c r="L1298" s="17" t="str">
        <f aca="false">IF(OR(K1298="",E1298=0,E1298=""),"",K1298/E1298)</f>
        <v/>
      </c>
      <c r="M1298" s="18" t="str">
        <f aca="false">IF(OR(A1298="",E1298=""),"",E1298+ROW()/1000000)</f>
        <v/>
      </c>
    </row>
    <row r="1299" customFormat="false" ht="15" hidden="false" customHeight="false" outlineLevel="0" collapsed="false">
      <c r="A1299" s="12"/>
      <c r="B1299" s="13"/>
      <c r="C1299" s="13"/>
      <c r="D1299" s="14"/>
      <c r="E1299" s="15"/>
      <c r="F1299" s="15"/>
      <c r="G1299" s="15"/>
      <c r="H1299" s="15"/>
      <c r="I1299" s="15"/>
      <c r="J1299" s="15"/>
      <c r="K1299" s="16" t="str">
        <f aca="false">IF(A1299="","",F1299+G1299+H1299+I1299)</f>
        <v/>
      </c>
      <c r="L1299" s="17" t="str">
        <f aca="false">IF(OR(K1299="",E1299=0,E1299=""),"",K1299/E1299)</f>
        <v/>
      </c>
      <c r="M1299" s="18" t="str">
        <f aca="false">IF(OR(A1299="",E1299=""),"",E1299+ROW()/1000000)</f>
        <v/>
      </c>
    </row>
    <row r="1300" customFormat="false" ht="15" hidden="false" customHeight="false" outlineLevel="0" collapsed="false">
      <c r="A1300" s="12"/>
      <c r="B1300" s="13"/>
      <c r="C1300" s="13"/>
      <c r="D1300" s="14"/>
      <c r="E1300" s="15"/>
      <c r="F1300" s="15"/>
      <c r="G1300" s="15"/>
      <c r="H1300" s="15"/>
      <c r="I1300" s="15"/>
      <c r="J1300" s="15"/>
      <c r="K1300" s="16" t="str">
        <f aca="false">IF(A1300="","",F1300+G1300+H1300+I1300)</f>
        <v/>
      </c>
      <c r="L1300" s="17" t="str">
        <f aca="false">IF(OR(K1300="",E1300=0,E1300=""),"",K1300/E1300)</f>
        <v/>
      </c>
      <c r="M1300" s="18" t="str">
        <f aca="false">IF(OR(A1300="",E1300=""),"",E1300+ROW()/1000000)</f>
        <v/>
      </c>
    </row>
    <row r="1301" customFormat="false" ht="15" hidden="false" customHeight="false" outlineLevel="0" collapsed="false">
      <c r="A1301" s="12"/>
      <c r="B1301" s="13"/>
      <c r="C1301" s="13"/>
      <c r="D1301" s="14"/>
      <c r="E1301" s="15"/>
      <c r="F1301" s="15"/>
      <c r="G1301" s="15"/>
      <c r="H1301" s="15"/>
      <c r="I1301" s="15"/>
      <c r="J1301" s="15"/>
      <c r="K1301" s="16" t="str">
        <f aca="false">IF(A1301="","",F1301+G1301+H1301+I1301)</f>
        <v/>
      </c>
      <c r="L1301" s="17" t="str">
        <f aca="false">IF(OR(K1301="",E1301=0,E1301=""),"",K1301/E1301)</f>
        <v/>
      </c>
      <c r="M1301" s="18" t="str">
        <f aca="false">IF(OR(A1301="",E1301=""),"",E1301+ROW()/1000000)</f>
        <v/>
      </c>
    </row>
    <row r="1302" customFormat="false" ht="15" hidden="false" customHeight="false" outlineLevel="0" collapsed="false">
      <c r="A1302" s="12"/>
      <c r="B1302" s="13"/>
      <c r="C1302" s="13"/>
      <c r="D1302" s="14"/>
      <c r="E1302" s="15"/>
      <c r="F1302" s="15"/>
      <c r="G1302" s="15"/>
      <c r="H1302" s="15"/>
      <c r="I1302" s="15"/>
      <c r="J1302" s="15"/>
      <c r="K1302" s="16" t="str">
        <f aca="false">IF(A1302="","",F1302+G1302+H1302+I1302)</f>
        <v/>
      </c>
      <c r="L1302" s="17" t="str">
        <f aca="false">IF(OR(K1302="",E1302=0,E1302=""),"",K1302/E1302)</f>
        <v/>
      </c>
      <c r="M1302" s="18" t="str">
        <f aca="false">IF(OR(A1302="",E1302=""),"",E1302+ROW()/1000000)</f>
        <v/>
      </c>
    </row>
    <row r="1303" customFormat="false" ht="15" hidden="false" customHeight="false" outlineLevel="0" collapsed="false">
      <c r="A1303" s="12"/>
      <c r="B1303" s="13"/>
      <c r="C1303" s="13"/>
      <c r="D1303" s="14"/>
      <c r="E1303" s="15"/>
      <c r="F1303" s="15"/>
      <c r="G1303" s="15"/>
      <c r="H1303" s="15"/>
      <c r="I1303" s="15"/>
      <c r="J1303" s="15"/>
      <c r="K1303" s="16" t="str">
        <f aca="false">IF(A1303="","",F1303+G1303+H1303+I1303)</f>
        <v/>
      </c>
      <c r="L1303" s="17" t="str">
        <f aca="false">IF(OR(K1303="",E1303=0,E1303=""),"",K1303/E1303)</f>
        <v/>
      </c>
      <c r="M1303" s="18" t="str">
        <f aca="false">IF(OR(A1303="",E1303=""),"",E1303+ROW()/1000000)</f>
        <v/>
      </c>
    </row>
    <row r="1304" customFormat="false" ht="15" hidden="false" customHeight="false" outlineLevel="0" collapsed="false">
      <c r="A1304" s="12"/>
      <c r="B1304" s="13"/>
      <c r="C1304" s="13"/>
      <c r="D1304" s="14"/>
      <c r="E1304" s="15"/>
      <c r="F1304" s="15"/>
      <c r="G1304" s="15"/>
      <c r="H1304" s="15"/>
      <c r="I1304" s="15"/>
      <c r="J1304" s="15"/>
      <c r="K1304" s="16" t="str">
        <f aca="false">IF(A1304="","",F1304+G1304+H1304+I1304)</f>
        <v/>
      </c>
      <c r="L1304" s="17" t="str">
        <f aca="false">IF(OR(K1304="",E1304=0,E1304=""),"",K1304/E1304)</f>
        <v/>
      </c>
      <c r="M1304" s="18" t="str">
        <f aca="false">IF(OR(A1304="",E1304=""),"",E1304+ROW()/1000000)</f>
        <v/>
      </c>
    </row>
    <row r="1305" customFormat="false" ht="15" hidden="false" customHeight="false" outlineLevel="0" collapsed="false">
      <c r="A1305" s="12"/>
      <c r="B1305" s="13"/>
      <c r="C1305" s="13"/>
      <c r="D1305" s="14"/>
      <c r="E1305" s="15"/>
      <c r="F1305" s="15"/>
      <c r="G1305" s="15"/>
      <c r="H1305" s="15"/>
      <c r="I1305" s="15"/>
      <c r="J1305" s="15"/>
      <c r="K1305" s="16" t="str">
        <f aca="false">IF(A1305="","",F1305+G1305+H1305+I1305)</f>
        <v/>
      </c>
      <c r="L1305" s="17" t="str">
        <f aca="false">IF(OR(K1305="",E1305=0,E1305=""),"",K1305/E1305)</f>
        <v/>
      </c>
      <c r="M1305" s="18" t="str">
        <f aca="false">IF(OR(A1305="",E1305=""),"",E1305+ROW()/1000000)</f>
        <v/>
      </c>
    </row>
    <row r="1306" customFormat="false" ht="15" hidden="false" customHeight="false" outlineLevel="0" collapsed="false">
      <c r="A1306" s="12"/>
      <c r="B1306" s="13"/>
      <c r="C1306" s="13"/>
      <c r="D1306" s="14"/>
      <c r="E1306" s="15"/>
      <c r="F1306" s="15"/>
      <c r="G1306" s="15"/>
      <c r="H1306" s="15"/>
      <c r="I1306" s="15"/>
      <c r="J1306" s="15"/>
      <c r="K1306" s="16" t="str">
        <f aca="false">IF(A1306="","",F1306+G1306+H1306+I1306)</f>
        <v/>
      </c>
      <c r="L1306" s="17" t="str">
        <f aca="false">IF(OR(K1306="",E1306=0,E1306=""),"",K1306/E1306)</f>
        <v/>
      </c>
      <c r="M1306" s="18" t="str">
        <f aca="false">IF(OR(A1306="",E1306=""),"",E1306+ROW()/1000000)</f>
        <v/>
      </c>
    </row>
    <row r="1307" customFormat="false" ht="15" hidden="false" customHeight="false" outlineLevel="0" collapsed="false">
      <c r="A1307" s="12"/>
      <c r="B1307" s="13"/>
      <c r="C1307" s="13"/>
      <c r="D1307" s="14"/>
      <c r="E1307" s="15"/>
      <c r="F1307" s="15"/>
      <c r="G1307" s="15"/>
      <c r="H1307" s="15"/>
      <c r="I1307" s="15"/>
      <c r="J1307" s="15"/>
      <c r="K1307" s="16" t="str">
        <f aca="false">IF(A1307="","",F1307+G1307+H1307+I1307)</f>
        <v/>
      </c>
      <c r="L1307" s="17" t="str">
        <f aca="false">IF(OR(K1307="",E1307=0,E1307=""),"",K1307/E1307)</f>
        <v/>
      </c>
      <c r="M1307" s="18" t="str">
        <f aca="false">IF(OR(A1307="",E1307=""),"",E1307+ROW()/1000000)</f>
        <v/>
      </c>
    </row>
    <row r="1308" customFormat="false" ht="15" hidden="false" customHeight="false" outlineLevel="0" collapsed="false">
      <c r="A1308" s="12"/>
      <c r="B1308" s="13"/>
      <c r="C1308" s="13"/>
      <c r="D1308" s="14"/>
      <c r="E1308" s="15"/>
      <c r="F1308" s="15"/>
      <c r="G1308" s="15"/>
      <c r="H1308" s="15"/>
      <c r="I1308" s="15"/>
      <c r="J1308" s="15"/>
      <c r="K1308" s="16" t="str">
        <f aca="false">IF(A1308="","",F1308+G1308+H1308+I1308)</f>
        <v/>
      </c>
      <c r="L1308" s="17" t="str">
        <f aca="false">IF(OR(K1308="",E1308=0,E1308=""),"",K1308/E1308)</f>
        <v/>
      </c>
      <c r="M1308" s="18" t="str">
        <f aca="false">IF(OR(A1308="",E1308=""),"",E1308+ROW()/1000000)</f>
        <v/>
      </c>
    </row>
    <row r="1309" customFormat="false" ht="15" hidden="false" customHeight="false" outlineLevel="0" collapsed="false">
      <c r="A1309" s="12"/>
      <c r="B1309" s="13"/>
      <c r="C1309" s="13"/>
      <c r="D1309" s="14"/>
      <c r="E1309" s="15"/>
      <c r="F1309" s="15"/>
      <c r="G1309" s="15"/>
      <c r="H1309" s="15"/>
      <c r="I1309" s="15"/>
      <c r="J1309" s="15"/>
      <c r="K1309" s="16" t="str">
        <f aca="false">IF(A1309="","",F1309+G1309+H1309+I1309)</f>
        <v/>
      </c>
      <c r="L1309" s="17" t="str">
        <f aca="false">IF(OR(K1309="",E1309=0,E1309=""),"",K1309/E1309)</f>
        <v/>
      </c>
      <c r="M1309" s="18" t="str">
        <f aca="false">IF(OR(A1309="",E1309=""),"",E1309+ROW()/1000000)</f>
        <v/>
      </c>
    </row>
    <row r="1310" customFormat="false" ht="15" hidden="false" customHeight="false" outlineLevel="0" collapsed="false">
      <c r="A1310" s="12"/>
      <c r="B1310" s="13"/>
      <c r="C1310" s="13"/>
      <c r="D1310" s="14"/>
      <c r="E1310" s="15"/>
      <c r="F1310" s="15"/>
      <c r="G1310" s="15"/>
      <c r="H1310" s="15"/>
      <c r="I1310" s="15"/>
      <c r="J1310" s="15"/>
      <c r="K1310" s="16" t="str">
        <f aca="false">IF(A1310="","",F1310+G1310+H1310+I1310)</f>
        <v/>
      </c>
      <c r="L1310" s="17" t="str">
        <f aca="false">IF(OR(K1310="",E1310=0,E1310=""),"",K1310/E1310)</f>
        <v/>
      </c>
      <c r="M1310" s="18" t="str">
        <f aca="false">IF(OR(A1310="",E1310=""),"",E1310+ROW()/1000000)</f>
        <v/>
      </c>
    </row>
    <row r="1311" customFormat="false" ht="15" hidden="false" customHeight="false" outlineLevel="0" collapsed="false">
      <c r="A1311" s="12"/>
      <c r="B1311" s="13"/>
      <c r="C1311" s="13"/>
      <c r="D1311" s="14"/>
      <c r="E1311" s="15"/>
      <c r="F1311" s="15"/>
      <c r="G1311" s="15"/>
      <c r="H1311" s="15"/>
      <c r="I1311" s="15"/>
      <c r="J1311" s="15"/>
      <c r="K1311" s="16" t="str">
        <f aca="false">IF(A1311="","",F1311+G1311+H1311+I1311)</f>
        <v/>
      </c>
      <c r="L1311" s="17" t="str">
        <f aca="false">IF(OR(K1311="",E1311=0,E1311=""),"",K1311/E1311)</f>
        <v/>
      </c>
      <c r="M1311" s="18" t="str">
        <f aca="false">IF(OR(A1311="",E1311=""),"",E1311+ROW()/1000000)</f>
        <v/>
      </c>
    </row>
    <row r="1312" customFormat="false" ht="15" hidden="false" customHeight="false" outlineLevel="0" collapsed="false">
      <c r="A1312" s="12"/>
      <c r="B1312" s="13"/>
      <c r="C1312" s="13"/>
      <c r="D1312" s="14"/>
      <c r="E1312" s="15"/>
      <c r="F1312" s="15"/>
      <c r="G1312" s="15"/>
      <c r="H1312" s="15"/>
      <c r="I1312" s="15"/>
      <c r="J1312" s="15"/>
      <c r="K1312" s="16" t="str">
        <f aca="false">IF(A1312="","",F1312+G1312+H1312+I1312)</f>
        <v/>
      </c>
      <c r="L1312" s="17" t="str">
        <f aca="false">IF(OR(K1312="",E1312=0,E1312=""),"",K1312/E1312)</f>
        <v/>
      </c>
      <c r="M1312" s="18" t="str">
        <f aca="false">IF(OR(A1312="",E1312=""),"",E1312+ROW()/1000000)</f>
        <v/>
      </c>
    </row>
    <row r="1313" customFormat="false" ht="15" hidden="false" customHeight="false" outlineLevel="0" collapsed="false">
      <c r="A1313" s="12"/>
      <c r="B1313" s="13"/>
      <c r="C1313" s="13"/>
      <c r="D1313" s="14"/>
      <c r="E1313" s="15"/>
      <c r="F1313" s="15"/>
      <c r="G1313" s="15"/>
      <c r="H1313" s="15"/>
      <c r="I1313" s="15"/>
      <c r="J1313" s="15"/>
      <c r="K1313" s="16" t="str">
        <f aca="false">IF(A1313="","",F1313+G1313+H1313+I1313)</f>
        <v/>
      </c>
      <c r="L1313" s="17" t="str">
        <f aca="false">IF(OR(K1313="",E1313=0,E1313=""),"",K1313/E1313)</f>
        <v/>
      </c>
      <c r="M1313" s="18" t="str">
        <f aca="false">IF(OR(A1313="",E1313=""),"",E1313+ROW()/1000000)</f>
        <v/>
      </c>
    </row>
    <row r="1314" customFormat="false" ht="15" hidden="false" customHeight="false" outlineLevel="0" collapsed="false">
      <c r="A1314" s="12"/>
      <c r="B1314" s="13"/>
      <c r="C1314" s="13"/>
      <c r="D1314" s="14"/>
      <c r="E1314" s="15"/>
      <c r="F1314" s="15"/>
      <c r="G1314" s="15"/>
      <c r="H1314" s="15"/>
      <c r="I1314" s="15"/>
      <c r="J1314" s="15"/>
      <c r="K1314" s="16" t="str">
        <f aca="false">IF(A1314="","",F1314+G1314+H1314+I1314)</f>
        <v/>
      </c>
      <c r="L1314" s="17" t="str">
        <f aca="false">IF(OR(K1314="",E1314=0,E1314=""),"",K1314/E1314)</f>
        <v/>
      </c>
      <c r="M1314" s="18" t="str">
        <f aca="false">IF(OR(A1314="",E1314=""),"",E1314+ROW()/1000000)</f>
        <v/>
      </c>
    </row>
    <row r="1315" customFormat="false" ht="15" hidden="false" customHeight="false" outlineLevel="0" collapsed="false">
      <c r="A1315" s="12"/>
      <c r="B1315" s="13"/>
      <c r="C1315" s="13"/>
      <c r="D1315" s="14"/>
      <c r="E1315" s="15"/>
      <c r="F1315" s="15"/>
      <c r="G1315" s="15"/>
      <c r="H1315" s="15"/>
      <c r="I1315" s="15"/>
      <c r="J1315" s="15"/>
      <c r="K1315" s="16" t="str">
        <f aca="false">IF(A1315="","",F1315+G1315+H1315+I1315)</f>
        <v/>
      </c>
      <c r="L1315" s="17" t="str">
        <f aca="false">IF(OR(K1315="",E1315=0,E1315=""),"",K1315/E1315)</f>
        <v/>
      </c>
      <c r="M1315" s="18" t="str">
        <f aca="false">IF(OR(A1315="",E1315=""),"",E1315+ROW()/1000000)</f>
        <v/>
      </c>
    </row>
    <row r="1316" customFormat="false" ht="15" hidden="false" customHeight="false" outlineLevel="0" collapsed="false">
      <c r="A1316" s="12"/>
      <c r="B1316" s="13"/>
      <c r="C1316" s="13"/>
      <c r="D1316" s="14"/>
      <c r="E1316" s="15"/>
      <c r="F1316" s="15"/>
      <c r="G1316" s="15"/>
      <c r="H1316" s="15"/>
      <c r="I1316" s="15"/>
      <c r="J1316" s="15"/>
      <c r="K1316" s="16" t="str">
        <f aca="false">IF(A1316="","",F1316+G1316+H1316+I1316)</f>
        <v/>
      </c>
      <c r="L1316" s="17" t="str">
        <f aca="false">IF(OR(K1316="",E1316=0,E1316=""),"",K1316/E1316)</f>
        <v/>
      </c>
      <c r="M1316" s="18" t="str">
        <f aca="false">IF(OR(A1316="",E1316=""),"",E1316+ROW()/1000000)</f>
        <v/>
      </c>
    </row>
    <row r="1317" customFormat="false" ht="15" hidden="false" customHeight="false" outlineLevel="0" collapsed="false">
      <c r="A1317" s="12"/>
      <c r="B1317" s="13"/>
      <c r="C1317" s="13"/>
      <c r="D1317" s="14"/>
      <c r="E1317" s="15"/>
      <c r="F1317" s="15"/>
      <c r="G1317" s="15"/>
      <c r="H1317" s="15"/>
      <c r="I1317" s="15"/>
      <c r="J1317" s="15"/>
      <c r="K1317" s="16" t="str">
        <f aca="false">IF(A1317="","",F1317+G1317+H1317+I1317)</f>
        <v/>
      </c>
      <c r="L1317" s="17" t="str">
        <f aca="false">IF(OR(K1317="",E1317=0,E1317=""),"",K1317/E1317)</f>
        <v/>
      </c>
      <c r="M1317" s="18" t="str">
        <f aca="false">IF(OR(A1317="",E1317=""),"",E1317+ROW()/1000000)</f>
        <v/>
      </c>
    </row>
    <row r="1318" customFormat="false" ht="15" hidden="false" customHeight="false" outlineLevel="0" collapsed="false">
      <c r="A1318" s="12"/>
      <c r="B1318" s="13"/>
      <c r="C1318" s="13"/>
      <c r="D1318" s="14"/>
      <c r="E1318" s="15"/>
      <c r="F1318" s="15"/>
      <c r="G1318" s="15"/>
      <c r="H1318" s="15"/>
      <c r="I1318" s="15"/>
      <c r="J1318" s="15"/>
      <c r="K1318" s="16" t="str">
        <f aca="false">IF(A1318="","",F1318+G1318+H1318+I1318)</f>
        <v/>
      </c>
      <c r="L1318" s="17" t="str">
        <f aca="false">IF(OR(K1318="",E1318=0,E1318=""),"",K1318/E1318)</f>
        <v/>
      </c>
      <c r="M1318" s="18" t="str">
        <f aca="false">IF(OR(A1318="",E1318=""),"",E1318+ROW()/1000000)</f>
        <v/>
      </c>
    </row>
    <row r="1319" customFormat="false" ht="15" hidden="false" customHeight="false" outlineLevel="0" collapsed="false">
      <c r="A1319" s="12"/>
      <c r="B1319" s="13"/>
      <c r="C1319" s="13"/>
      <c r="D1319" s="14"/>
      <c r="E1319" s="15"/>
      <c r="F1319" s="15"/>
      <c r="G1319" s="15"/>
      <c r="H1319" s="15"/>
      <c r="I1319" s="15"/>
      <c r="J1319" s="15"/>
      <c r="K1319" s="16" t="str">
        <f aca="false">IF(A1319="","",F1319+G1319+H1319+I1319)</f>
        <v/>
      </c>
      <c r="L1319" s="17" t="str">
        <f aca="false">IF(OR(K1319="",E1319=0,E1319=""),"",K1319/E1319)</f>
        <v/>
      </c>
      <c r="M1319" s="18" t="str">
        <f aca="false">IF(OR(A1319="",E1319=""),"",E1319+ROW()/1000000)</f>
        <v/>
      </c>
    </row>
    <row r="1320" customFormat="false" ht="15" hidden="false" customHeight="false" outlineLevel="0" collapsed="false">
      <c r="A1320" s="12"/>
      <c r="B1320" s="13"/>
      <c r="C1320" s="13"/>
      <c r="D1320" s="14"/>
      <c r="E1320" s="15"/>
      <c r="F1320" s="15"/>
      <c r="G1320" s="15"/>
      <c r="H1320" s="15"/>
      <c r="I1320" s="15"/>
      <c r="J1320" s="15"/>
      <c r="K1320" s="16" t="str">
        <f aca="false">IF(A1320="","",F1320+G1320+H1320+I1320)</f>
        <v/>
      </c>
      <c r="L1320" s="17" t="str">
        <f aca="false">IF(OR(K1320="",E1320=0,E1320=""),"",K1320/E1320)</f>
        <v/>
      </c>
      <c r="M1320" s="18" t="str">
        <f aca="false">IF(OR(A1320="",E1320=""),"",E1320+ROW()/1000000)</f>
        <v/>
      </c>
    </row>
    <row r="1321" customFormat="false" ht="15" hidden="false" customHeight="false" outlineLevel="0" collapsed="false">
      <c r="A1321" s="12"/>
      <c r="B1321" s="13"/>
      <c r="C1321" s="13"/>
      <c r="D1321" s="14"/>
      <c r="E1321" s="15"/>
      <c r="F1321" s="15"/>
      <c r="G1321" s="15"/>
      <c r="H1321" s="15"/>
      <c r="I1321" s="15"/>
      <c r="J1321" s="15"/>
      <c r="K1321" s="16" t="str">
        <f aca="false">IF(A1321="","",F1321+G1321+H1321+I1321)</f>
        <v/>
      </c>
      <c r="L1321" s="17" t="str">
        <f aca="false">IF(OR(K1321="",E1321=0,E1321=""),"",K1321/E1321)</f>
        <v/>
      </c>
      <c r="M1321" s="18" t="str">
        <f aca="false">IF(OR(A1321="",E1321=""),"",E1321+ROW()/1000000)</f>
        <v/>
      </c>
    </row>
    <row r="1322" customFormat="false" ht="15" hidden="false" customHeight="false" outlineLevel="0" collapsed="false">
      <c r="A1322" s="12"/>
      <c r="B1322" s="13"/>
      <c r="C1322" s="13"/>
      <c r="D1322" s="14"/>
      <c r="E1322" s="15"/>
      <c r="F1322" s="15"/>
      <c r="G1322" s="15"/>
      <c r="H1322" s="15"/>
      <c r="I1322" s="15"/>
      <c r="J1322" s="15"/>
      <c r="K1322" s="16" t="str">
        <f aca="false">IF(A1322="","",F1322+G1322+H1322+I1322)</f>
        <v/>
      </c>
      <c r="L1322" s="17" t="str">
        <f aca="false">IF(OR(K1322="",E1322=0,E1322=""),"",K1322/E1322)</f>
        <v/>
      </c>
      <c r="M1322" s="18" t="str">
        <f aca="false">IF(OR(A1322="",E1322=""),"",E1322+ROW()/1000000)</f>
        <v/>
      </c>
    </row>
    <row r="1323" customFormat="false" ht="15" hidden="false" customHeight="false" outlineLevel="0" collapsed="false">
      <c r="A1323" s="12"/>
      <c r="B1323" s="13"/>
      <c r="C1323" s="13"/>
      <c r="D1323" s="14"/>
      <c r="E1323" s="15"/>
      <c r="F1323" s="15"/>
      <c r="G1323" s="15"/>
      <c r="H1323" s="15"/>
      <c r="I1323" s="15"/>
      <c r="J1323" s="15"/>
      <c r="K1323" s="16" t="str">
        <f aca="false">IF(A1323="","",F1323+G1323+H1323+I1323)</f>
        <v/>
      </c>
      <c r="L1323" s="17" t="str">
        <f aca="false">IF(OR(K1323="",E1323=0,E1323=""),"",K1323/E1323)</f>
        <v/>
      </c>
      <c r="M1323" s="18" t="str">
        <f aca="false">IF(OR(A1323="",E1323=""),"",E1323+ROW()/1000000)</f>
        <v/>
      </c>
    </row>
    <row r="1324" customFormat="false" ht="15" hidden="false" customHeight="false" outlineLevel="0" collapsed="false">
      <c r="A1324" s="12"/>
      <c r="B1324" s="13"/>
      <c r="C1324" s="13"/>
      <c r="D1324" s="14"/>
      <c r="E1324" s="15"/>
      <c r="F1324" s="15"/>
      <c r="G1324" s="15"/>
      <c r="H1324" s="15"/>
      <c r="I1324" s="15"/>
      <c r="J1324" s="15"/>
      <c r="K1324" s="16" t="str">
        <f aca="false">IF(A1324="","",F1324+G1324+H1324+I1324)</f>
        <v/>
      </c>
      <c r="L1324" s="17" t="str">
        <f aca="false">IF(OR(K1324="",E1324=0,E1324=""),"",K1324/E1324)</f>
        <v/>
      </c>
      <c r="M1324" s="18" t="str">
        <f aca="false">IF(OR(A1324="",E1324=""),"",E1324+ROW()/1000000)</f>
        <v/>
      </c>
    </row>
    <row r="1325" customFormat="false" ht="15" hidden="false" customHeight="false" outlineLevel="0" collapsed="false">
      <c r="A1325" s="12"/>
      <c r="B1325" s="13"/>
      <c r="C1325" s="13"/>
      <c r="D1325" s="14"/>
      <c r="E1325" s="15"/>
      <c r="F1325" s="15"/>
      <c r="G1325" s="15"/>
      <c r="H1325" s="15"/>
      <c r="I1325" s="15"/>
      <c r="J1325" s="15"/>
      <c r="K1325" s="16" t="str">
        <f aca="false">IF(A1325="","",F1325+G1325+H1325+I1325)</f>
        <v/>
      </c>
      <c r="L1325" s="17" t="str">
        <f aca="false">IF(OR(K1325="",E1325=0,E1325=""),"",K1325/E1325)</f>
        <v/>
      </c>
      <c r="M1325" s="18" t="str">
        <f aca="false">IF(OR(A1325="",E1325=""),"",E1325+ROW()/1000000)</f>
        <v/>
      </c>
    </row>
    <row r="1326" customFormat="false" ht="15" hidden="false" customHeight="false" outlineLevel="0" collapsed="false">
      <c r="A1326" s="12"/>
      <c r="B1326" s="13"/>
      <c r="C1326" s="13"/>
      <c r="D1326" s="14"/>
      <c r="E1326" s="15"/>
      <c r="F1326" s="15"/>
      <c r="G1326" s="15"/>
      <c r="H1326" s="15"/>
      <c r="I1326" s="15"/>
      <c r="J1326" s="15"/>
      <c r="K1326" s="16" t="str">
        <f aca="false">IF(A1326="","",F1326+G1326+H1326+I1326)</f>
        <v/>
      </c>
      <c r="L1326" s="17" t="str">
        <f aca="false">IF(OR(K1326="",E1326=0,E1326=""),"",K1326/E1326)</f>
        <v/>
      </c>
      <c r="M1326" s="18" t="str">
        <f aca="false">IF(OR(A1326="",E1326=""),"",E1326+ROW()/1000000)</f>
        <v/>
      </c>
    </row>
    <row r="1327" customFormat="false" ht="15" hidden="false" customHeight="false" outlineLevel="0" collapsed="false">
      <c r="A1327" s="12"/>
      <c r="B1327" s="13"/>
      <c r="C1327" s="13"/>
      <c r="D1327" s="14"/>
      <c r="E1327" s="15"/>
      <c r="F1327" s="15"/>
      <c r="G1327" s="15"/>
      <c r="H1327" s="15"/>
      <c r="I1327" s="15"/>
      <c r="J1327" s="15"/>
      <c r="K1327" s="16" t="str">
        <f aca="false">IF(A1327="","",F1327+G1327+H1327+I1327)</f>
        <v/>
      </c>
      <c r="L1327" s="17" t="str">
        <f aca="false">IF(OR(K1327="",E1327=0,E1327=""),"",K1327/E1327)</f>
        <v/>
      </c>
      <c r="M1327" s="18" t="str">
        <f aca="false">IF(OR(A1327="",E1327=""),"",E1327+ROW()/1000000)</f>
        <v/>
      </c>
    </row>
    <row r="1328" customFormat="false" ht="15" hidden="false" customHeight="false" outlineLevel="0" collapsed="false">
      <c r="A1328" s="12"/>
      <c r="B1328" s="13"/>
      <c r="C1328" s="13"/>
      <c r="D1328" s="14"/>
      <c r="E1328" s="15"/>
      <c r="F1328" s="15"/>
      <c r="G1328" s="15"/>
      <c r="H1328" s="15"/>
      <c r="I1328" s="15"/>
      <c r="J1328" s="15"/>
      <c r="K1328" s="16" t="str">
        <f aca="false">IF(A1328="","",F1328+G1328+H1328+I1328)</f>
        <v/>
      </c>
      <c r="L1328" s="17" t="str">
        <f aca="false">IF(OR(K1328="",E1328=0,E1328=""),"",K1328/E1328)</f>
        <v/>
      </c>
      <c r="M1328" s="18" t="str">
        <f aca="false">IF(OR(A1328="",E1328=""),"",E1328+ROW()/1000000)</f>
        <v/>
      </c>
    </row>
    <row r="1329" customFormat="false" ht="15" hidden="false" customHeight="false" outlineLevel="0" collapsed="false">
      <c r="A1329" s="12"/>
      <c r="B1329" s="13"/>
      <c r="C1329" s="13"/>
      <c r="D1329" s="14"/>
      <c r="E1329" s="15"/>
      <c r="F1329" s="15"/>
      <c r="G1329" s="15"/>
      <c r="H1329" s="15"/>
      <c r="I1329" s="15"/>
      <c r="J1329" s="15"/>
      <c r="K1329" s="16" t="str">
        <f aca="false">IF(A1329="","",F1329+G1329+H1329+I1329)</f>
        <v/>
      </c>
      <c r="L1329" s="17" t="str">
        <f aca="false">IF(OR(K1329="",E1329=0,E1329=""),"",K1329/E1329)</f>
        <v/>
      </c>
      <c r="M1329" s="18" t="str">
        <f aca="false">IF(OR(A1329="",E1329=""),"",E1329+ROW()/1000000)</f>
        <v/>
      </c>
    </row>
    <row r="1330" customFormat="false" ht="15" hidden="false" customHeight="false" outlineLevel="0" collapsed="false">
      <c r="A1330" s="12"/>
      <c r="B1330" s="13"/>
      <c r="C1330" s="13"/>
      <c r="D1330" s="14"/>
      <c r="E1330" s="15"/>
      <c r="F1330" s="15"/>
      <c r="G1330" s="15"/>
      <c r="H1330" s="15"/>
      <c r="I1330" s="15"/>
      <c r="J1330" s="15"/>
      <c r="K1330" s="16" t="str">
        <f aca="false">IF(A1330="","",F1330+G1330+H1330+I1330)</f>
        <v/>
      </c>
      <c r="L1330" s="17" t="str">
        <f aca="false">IF(OR(K1330="",E1330=0,E1330=""),"",K1330/E1330)</f>
        <v/>
      </c>
      <c r="M1330" s="18" t="str">
        <f aca="false">IF(OR(A1330="",E1330=""),"",E1330+ROW()/1000000)</f>
        <v/>
      </c>
    </row>
    <row r="1331" customFormat="false" ht="15" hidden="false" customHeight="false" outlineLevel="0" collapsed="false">
      <c r="A1331" s="12"/>
      <c r="B1331" s="13"/>
      <c r="C1331" s="13"/>
      <c r="D1331" s="14"/>
      <c r="E1331" s="15"/>
      <c r="F1331" s="15"/>
      <c r="G1331" s="15"/>
      <c r="H1331" s="15"/>
      <c r="I1331" s="15"/>
      <c r="J1331" s="15"/>
      <c r="K1331" s="16" t="str">
        <f aca="false">IF(A1331="","",F1331+G1331+H1331+I1331)</f>
        <v/>
      </c>
      <c r="L1331" s="17" t="str">
        <f aca="false">IF(OR(K1331="",E1331=0,E1331=""),"",K1331/E1331)</f>
        <v/>
      </c>
      <c r="M1331" s="18" t="str">
        <f aca="false">IF(OR(A1331="",E1331=""),"",E1331+ROW()/1000000)</f>
        <v/>
      </c>
    </row>
    <row r="1332" customFormat="false" ht="15" hidden="false" customHeight="false" outlineLevel="0" collapsed="false">
      <c r="A1332" s="12"/>
      <c r="B1332" s="13"/>
      <c r="C1332" s="13"/>
      <c r="D1332" s="14"/>
      <c r="E1332" s="15"/>
      <c r="F1332" s="15"/>
      <c r="G1332" s="15"/>
      <c r="H1332" s="15"/>
      <c r="I1332" s="15"/>
      <c r="J1332" s="15"/>
      <c r="K1332" s="16" t="str">
        <f aca="false">IF(A1332="","",F1332+G1332+H1332+I1332)</f>
        <v/>
      </c>
      <c r="L1332" s="17" t="str">
        <f aca="false">IF(OR(K1332="",E1332=0,E1332=""),"",K1332/E1332)</f>
        <v/>
      </c>
      <c r="M1332" s="18" t="str">
        <f aca="false">IF(OR(A1332="",E1332=""),"",E1332+ROW()/1000000)</f>
        <v/>
      </c>
    </row>
    <row r="1333" customFormat="false" ht="15" hidden="false" customHeight="false" outlineLevel="0" collapsed="false">
      <c r="A1333" s="12"/>
      <c r="B1333" s="13"/>
      <c r="C1333" s="13"/>
      <c r="D1333" s="14"/>
      <c r="E1333" s="15"/>
      <c r="F1333" s="15"/>
      <c r="G1333" s="15"/>
      <c r="H1333" s="15"/>
      <c r="I1333" s="15"/>
      <c r="J1333" s="15"/>
      <c r="K1333" s="16" t="str">
        <f aca="false">IF(A1333="","",F1333+G1333+H1333+I1333)</f>
        <v/>
      </c>
      <c r="L1333" s="17" t="str">
        <f aca="false">IF(OR(K1333="",E1333=0,E1333=""),"",K1333/E1333)</f>
        <v/>
      </c>
      <c r="M1333" s="18" t="str">
        <f aca="false">IF(OR(A1333="",E1333=""),"",E1333+ROW()/1000000)</f>
        <v/>
      </c>
    </row>
    <row r="1334" customFormat="false" ht="15" hidden="false" customHeight="false" outlineLevel="0" collapsed="false">
      <c r="A1334" s="12"/>
      <c r="B1334" s="13"/>
      <c r="C1334" s="13"/>
      <c r="D1334" s="14"/>
      <c r="E1334" s="15"/>
      <c r="F1334" s="15"/>
      <c r="G1334" s="15"/>
      <c r="H1334" s="15"/>
      <c r="I1334" s="15"/>
      <c r="J1334" s="15"/>
      <c r="K1334" s="16" t="str">
        <f aca="false">IF(A1334="","",F1334+G1334+H1334+I1334)</f>
        <v/>
      </c>
      <c r="L1334" s="17" t="str">
        <f aca="false">IF(OR(K1334="",E1334=0,E1334=""),"",K1334/E1334)</f>
        <v/>
      </c>
      <c r="M1334" s="18" t="str">
        <f aca="false">IF(OR(A1334="",E1334=""),"",E1334+ROW()/1000000)</f>
        <v/>
      </c>
    </row>
    <row r="1335" customFormat="false" ht="15" hidden="false" customHeight="false" outlineLevel="0" collapsed="false">
      <c r="A1335" s="12"/>
      <c r="B1335" s="13"/>
      <c r="C1335" s="13"/>
      <c r="D1335" s="14"/>
      <c r="E1335" s="15"/>
      <c r="F1335" s="15"/>
      <c r="G1335" s="15"/>
      <c r="H1335" s="15"/>
      <c r="I1335" s="15"/>
      <c r="J1335" s="15"/>
      <c r="K1335" s="16" t="str">
        <f aca="false">IF(A1335="","",F1335+G1335+H1335+I1335)</f>
        <v/>
      </c>
      <c r="L1335" s="17" t="str">
        <f aca="false">IF(OR(K1335="",E1335=0,E1335=""),"",K1335/E1335)</f>
        <v/>
      </c>
      <c r="M1335" s="18" t="str">
        <f aca="false">IF(OR(A1335="",E1335=""),"",E1335+ROW()/1000000)</f>
        <v/>
      </c>
    </row>
    <row r="1336" customFormat="false" ht="15" hidden="false" customHeight="false" outlineLevel="0" collapsed="false">
      <c r="A1336" s="12"/>
      <c r="B1336" s="13"/>
      <c r="C1336" s="13"/>
      <c r="D1336" s="14"/>
      <c r="E1336" s="15"/>
      <c r="F1336" s="15"/>
      <c r="G1336" s="15"/>
      <c r="H1336" s="15"/>
      <c r="I1336" s="15"/>
      <c r="J1336" s="15"/>
      <c r="K1336" s="16" t="str">
        <f aca="false">IF(A1336="","",F1336+G1336+H1336+I1336)</f>
        <v/>
      </c>
      <c r="L1336" s="17" t="str">
        <f aca="false">IF(OR(K1336="",E1336=0,E1336=""),"",K1336/E1336)</f>
        <v/>
      </c>
      <c r="M1336" s="18" t="str">
        <f aca="false">IF(OR(A1336="",E1336=""),"",E1336+ROW()/1000000)</f>
        <v/>
      </c>
    </row>
    <row r="1337" customFormat="false" ht="15" hidden="false" customHeight="false" outlineLevel="0" collapsed="false">
      <c r="A1337" s="12"/>
      <c r="B1337" s="13"/>
      <c r="C1337" s="13"/>
      <c r="D1337" s="14"/>
      <c r="E1337" s="15"/>
      <c r="F1337" s="15"/>
      <c r="G1337" s="15"/>
      <c r="H1337" s="15"/>
      <c r="I1337" s="15"/>
      <c r="J1337" s="15"/>
      <c r="K1337" s="16" t="str">
        <f aca="false">IF(A1337="","",F1337+G1337+H1337+I1337)</f>
        <v/>
      </c>
      <c r="L1337" s="17" t="str">
        <f aca="false">IF(OR(K1337="",E1337=0,E1337=""),"",K1337/E1337)</f>
        <v/>
      </c>
      <c r="M1337" s="18" t="str">
        <f aca="false">IF(OR(A1337="",E1337=""),"",E1337+ROW()/1000000)</f>
        <v/>
      </c>
    </row>
    <row r="1338" customFormat="false" ht="15" hidden="false" customHeight="false" outlineLevel="0" collapsed="false">
      <c r="A1338" s="12"/>
      <c r="B1338" s="13"/>
      <c r="C1338" s="13"/>
      <c r="D1338" s="14"/>
      <c r="E1338" s="15"/>
      <c r="F1338" s="15"/>
      <c r="G1338" s="15"/>
      <c r="H1338" s="15"/>
      <c r="I1338" s="15"/>
      <c r="J1338" s="15"/>
      <c r="K1338" s="16" t="str">
        <f aca="false">IF(A1338="","",F1338+G1338+H1338+I1338)</f>
        <v/>
      </c>
      <c r="L1338" s="17" t="str">
        <f aca="false">IF(OR(K1338="",E1338=0,E1338=""),"",K1338/E1338)</f>
        <v/>
      </c>
      <c r="M1338" s="18" t="str">
        <f aca="false">IF(OR(A1338="",E1338=""),"",E1338+ROW()/1000000)</f>
        <v/>
      </c>
    </row>
    <row r="1339" customFormat="false" ht="15" hidden="false" customHeight="false" outlineLevel="0" collapsed="false">
      <c r="A1339" s="12"/>
      <c r="B1339" s="13"/>
      <c r="C1339" s="13"/>
      <c r="D1339" s="14"/>
      <c r="E1339" s="15"/>
      <c r="F1339" s="15"/>
      <c r="G1339" s="15"/>
      <c r="H1339" s="15"/>
      <c r="I1339" s="15"/>
      <c r="J1339" s="15"/>
      <c r="K1339" s="16" t="str">
        <f aca="false">IF(A1339="","",F1339+G1339+H1339+I1339)</f>
        <v/>
      </c>
      <c r="L1339" s="17" t="str">
        <f aca="false">IF(OR(K1339="",E1339=0,E1339=""),"",K1339/E1339)</f>
        <v/>
      </c>
      <c r="M1339" s="18" t="str">
        <f aca="false">IF(OR(A1339="",E1339=""),"",E1339+ROW()/1000000)</f>
        <v/>
      </c>
    </row>
    <row r="1340" customFormat="false" ht="15" hidden="false" customHeight="false" outlineLevel="0" collapsed="false">
      <c r="A1340" s="12"/>
      <c r="B1340" s="13"/>
      <c r="C1340" s="13"/>
      <c r="D1340" s="14"/>
      <c r="E1340" s="15"/>
      <c r="F1340" s="15"/>
      <c r="G1340" s="15"/>
      <c r="H1340" s="15"/>
      <c r="I1340" s="15"/>
      <c r="J1340" s="15"/>
      <c r="K1340" s="16" t="str">
        <f aca="false">IF(A1340="","",F1340+G1340+H1340+I1340)</f>
        <v/>
      </c>
      <c r="L1340" s="17" t="str">
        <f aca="false">IF(OR(K1340="",E1340=0,E1340=""),"",K1340/E1340)</f>
        <v/>
      </c>
      <c r="M1340" s="18" t="str">
        <f aca="false">IF(OR(A1340="",E1340=""),"",E1340+ROW()/1000000)</f>
        <v/>
      </c>
    </row>
    <row r="1341" customFormat="false" ht="15" hidden="false" customHeight="false" outlineLevel="0" collapsed="false">
      <c r="A1341" s="12"/>
      <c r="B1341" s="13"/>
      <c r="C1341" s="13"/>
      <c r="D1341" s="14"/>
      <c r="E1341" s="15"/>
      <c r="F1341" s="15"/>
      <c r="G1341" s="15"/>
      <c r="H1341" s="15"/>
      <c r="I1341" s="15"/>
      <c r="J1341" s="15"/>
      <c r="K1341" s="16" t="str">
        <f aca="false">IF(A1341="","",F1341+G1341+H1341+I1341)</f>
        <v/>
      </c>
      <c r="L1341" s="17" t="str">
        <f aca="false">IF(OR(K1341="",E1341=0,E1341=""),"",K1341/E1341)</f>
        <v/>
      </c>
      <c r="M1341" s="18" t="str">
        <f aca="false">IF(OR(A1341="",E1341=""),"",E1341+ROW()/1000000)</f>
        <v/>
      </c>
    </row>
    <row r="1342" customFormat="false" ht="15" hidden="false" customHeight="false" outlineLevel="0" collapsed="false">
      <c r="A1342" s="12"/>
      <c r="B1342" s="13"/>
      <c r="C1342" s="13"/>
      <c r="D1342" s="14"/>
      <c r="E1342" s="15"/>
      <c r="F1342" s="15"/>
      <c r="G1342" s="15"/>
      <c r="H1342" s="15"/>
      <c r="I1342" s="15"/>
      <c r="J1342" s="15"/>
      <c r="K1342" s="16" t="str">
        <f aca="false">IF(A1342="","",F1342+G1342+H1342+I1342)</f>
        <v/>
      </c>
      <c r="L1342" s="17" t="str">
        <f aca="false">IF(OR(K1342="",E1342=0,E1342=""),"",K1342/E1342)</f>
        <v/>
      </c>
      <c r="M1342" s="18" t="str">
        <f aca="false">IF(OR(A1342="",E1342=""),"",E1342+ROW()/1000000)</f>
        <v/>
      </c>
    </row>
    <row r="1343" customFormat="false" ht="15" hidden="false" customHeight="false" outlineLevel="0" collapsed="false">
      <c r="A1343" s="12"/>
      <c r="B1343" s="13"/>
      <c r="C1343" s="13"/>
      <c r="D1343" s="14"/>
      <c r="E1343" s="15"/>
      <c r="F1343" s="15"/>
      <c r="G1343" s="15"/>
      <c r="H1343" s="15"/>
      <c r="I1343" s="15"/>
      <c r="J1343" s="15"/>
      <c r="K1343" s="16" t="str">
        <f aca="false">IF(A1343="","",F1343+G1343+H1343+I1343)</f>
        <v/>
      </c>
      <c r="L1343" s="17" t="str">
        <f aca="false">IF(OR(K1343="",E1343=0,E1343=""),"",K1343/E1343)</f>
        <v/>
      </c>
      <c r="M1343" s="18" t="str">
        <f aca="false">IF(OR(A1343="",E1343=""),"",E1343+ROW()/1000000)</f>
        <v/>
      </c>
    </row>
    <row r="1344" customFormat="false" ht="15" hidden="false" customHeight="false" outlineLevel="0" collapsed="false">
      <c r="A1344" s="12"/>
      <c r="B1344" s="13"/>
      <c r="C1344" s="13"/>
      <c r="D1344" s="14"/>
      <c r="E1344" s="15"/>
      <c r="F1344" s="15"/>
      <c r="G1344" s="15"/>
      <c r="H1344" s="15"/>
      <c r="I1344" s="15"/>
      <c r="J1344" s="15"/>
      <c r="K1344" s="16" t="str">
        <f aca="false">IF(A1344="","",F1344+G1344+H1344+I1344)</f>
        <v/>
      </c>
      <c r="L1344" s="17" t="str">
        <f aca="false">IF(OR(K1344="",E1344=0,E1344=""),"",K1344/E1344)</f>
        <v/>
      </c>
      <c r="M1344" s="18" t="str">
        <f aca="false">IF(OR(A1344="",E1344=""),"",E1344+ROW()/1000000)</f>
        <v/>
      </c>
    </row>
    <row r="1345" customFormat="false" ht="15" hidden="false" customHeight="false" outlineLevel="0" collapsed="false">
      <c r="A1345" s="12"/>
      <c r="B1345" s="13"/>
      <c r="C1345" s="13"/>
      <c r="D1345" s="14"/>
      <c r="E1345" s="15"/>
      <c r="F1345" s="15"/>
      <c r="G1345" s="15"/>
      <c r="H1345" s="15"/>
      <c r="I1345" s="15"/>
      <c r="J1345" s="15"/>
      <c r="K1345" s="16" t="str">
        <f aca="false">IF(A1345="","",F1345+G1345+H1345+I1345)</f>
        <v/>
      </c>
      <c r="L1345" s="17" t="str">
        <f aca="false">IF(OR(K1345="",E1345=0,E1345=""),"",K1345/E1345)</f>
        <v/>
      </c>
      <c r="M1345" s="18" t="str">
        <f aca="false">IF(OR(A1345="",E1345=""),"",E1345+ROW()/1000000)</f>
        <v/>
      </c>
    </row>
    <row r="1346" customFormat="false" ht="15" hidden="false" customHeight="false" outlineLevel="0" collapsed="false">
      <c r="A1346" s="12"/>
      <c r="B1346" s="13"/>
      <c r="C1346" s="13"/>
      <c r="D1346" s="14"/>
      <c r="E1346" s="15"/>
      <c r="F1346" s="15"/>
      <c r="G1346" s="15"/>
      <c r="H1346" s="15"/>
      <c r="I1346" s="15"/>
      <c r="J1346" s="15"/>
      <c r="K1346" s="16" t="str">
        <f aca="false">IF(A1346="","",F1346+G1346+H1346+I1346)</f>
        <v/>
      </c>
      <c r="L1346" s="17" t="str">
        <f aca="false">IF(OR(K1346="",E1346=0,E1346=""),"",K1346/E1346)</f>
        <v/>
      </c>
      <c r="M1346" s="18" t="str">
        <f aca="false">IF(OR(A1346="",E1346=""),"",E1346+ROW()/1000000)</f>
        <v/>
      </c>
    </row>
    <row r="1347" customFormat="false" ht="15" hidden="false" customHeight="false" outlineLevel="0" collapsed="false">
      <c r="A1347" s="12"/>
      <c r="B1347" s="13"/>
      <c r="C1347" s="13"/>
      <c r="D1347" s="14"/>
      <c r="E1347" s="15"/>
      <c r="F1347" s="15"/>
      <c r="G1347" s="15"/>
      <c r="H1347" s="15"/>
      <c r="I1347" s="15"/>
      <c r="J1347" s="15"/>
      <c r="K1347" s="16" t="str">
        <f aca="false">IF(A1347="","",F1347+G1347+H1347+I1347)</f>
        <v/>
      </c>
      <c r="L1347" s="17" t="str">
        <f aca="false">IF(OR(K1347="",E1347=0,E1347=""),"",K1347/E1347)</f>
        <v/>
      </c>
      <c r="M1347" s="18" t="str">
        <f aca="false">IF(OR(A1347="",E1347=""),"",E1347+ROW()/1000000)</f>
        <v/>
      </c>
    </row>
    <row r="1348" customFormat="false" ht="15" hidden="false" customHeight="false" outlineLevel="0" collapsed="false">
      <c r="A1348" s="12"/>
      <c r="B1348" s="13"/>
      <c r="C1348" s="13"/>
      <c r="D1348" s="14"/>
      <c r="E1348" s="15"/>
      <c r="F1348" s="15"/>
      <c r="G1348" s="15"/>
      <c r="H1348" s="15"/>
      <c r="I1348" s="15"/>
      <c r="J1348" s="15"/>
      <c r="K1348" s="16" t="str">
        <f aca="false">IF(A1348="","",F1348+G1348+H1348+I1348)</f>
        <v/>
      </c>
      <c r="L1348" s="17" t="str">
        <f aca="false">IF(OR(K1348="",E1348=0,E1348=""),"",K1348/E1348)</f>
        <v/>
      </c>
      <c r="M1348" s="18" t="str">
        <f aca="false">IF(OR(A1348="",E1348=""),"",E1348+ROW()/1000000)</f>
        <v/>
      </c>
    </row>
    <row r="1349" customFormat="false" ht="15" hidden="false" customHeight="false" outlineLevel="0" collapsed="false">
      <c r="A1349" s="12"/>
      <c r="B1349" s="13"/>
      <c r="C1349" s="13"/>
      <c r="D1349" s="14"/>
      <c r="E1349" s="15"/>
      <c r="F1349" s="15"/>
      <c r="G1349" s="15"/>
      <c r="H1349" s="15"/>
      <c r="I1349" s="15"/>
      <c r="J1349" s="15"/>
      <c r="K1349" s="16" t="str">
        <f aca="false">IF(A1349="","",F1349+G1349+H1349+I1349)</f>
        <v/>
      </c>
      <c r="L1349" s="17" t="str">
        <f aca="false">IF(OR(K1349="",E1349=0,E1349=""),"",K1349/E1349)</f>
        <v/>
      </c>
      <c r="M1349" s="18" t="str">
        <f aca="false">IF(OR(A1349="",E1349=""),"",E1349+ROW()/1000000)</f>
        <v/>
      </c>
    </row>
    <row r="1350" customFormat="false" ht="15" hidden="false" customHeight="false" outlineLevel="0" collapsed="false">
      <c r="A1350" s="12"/>
      <c r="B1350" s="13"/>
      <c r="C1350" s="13"/>
      <c r="D1350" s="14"/>
      <c r="E1350" s="15"/>
      <c r="F1350" s="15"/>
      <c r="G1350" s="15"/>
      <c r="H1350" s="15"/>
      <c r="I1350" s="15"/>
      <c r="J1350" s="15"/>
      <c r="K1350" s="16" t="str">
        <f aca="false">IF(A1350="","",F1350+G1350+H1350+I1350)</f>
        <v/>
      </c>
      <c r="L1350" s="17" t="str">
        <f aca="false">IF(OR(K1350="",E1350=0,E1350=""),"",K1350/E1350)</f>
        <v/>
      </c>
      <c r="M1350" s="18" t="str">
        <f aca="false">IF(OR(A1350="",E1350=""),"",E1350+ROW()/1000000)</f>
        <v/>
      </c>
    </row>
    <row r="1351" customFormat="false" ht="15" hidden="false" customHeight="false" outlineLevel="0" collapsed="false">
      <c r="A1351" s="12"/>
      <c r="B1351" s="13"/>
      <c r="C1351" s="13"/>
      <c r="D1351" s="14"/>
      <c r="E1351" s="15"/>
      <c r="F1351" s="15"/>
      <c r="G1351" s="15"/>
      <c r="H1351" s="15"/>
      <c r="I1351" s="15"/>
      <c r="J1351" s="15"/>
      <c r="K1351" s="16" t="str">
        <f aca="false">IF(A1351="","",F1351+G1351+H1351+I1351)</f>
        <v/>
      </c>
      <c r="L1351" s="17" t="str">
        <f aca="false">IF(OR(K1351="",E1351=0,E1351=""),"",K1351/E1351)</f>
        <v/>
      </c>
      <c r="M1351" s="18" t="str">
        <f aca="false">IF(OR(A1351="",E1351=""),"",E1351+ROW()/1000000)</f>
        <v/>
      </c>
    </row>
    <row r="1352" customFormat="false" ht="15" hidden="false" customHeight="false" outlineLevel="0" collapsed="false">
      <c r="A1352" s="12"/>
      <c r="B1352" s="13"/>
      <c r="C1352" s="13"/>
      <c r="D1352" s="14"/>
      <c r="E1352" s="15"/>
      <c r="F1352" s="15"/>
      <c r="G1352" s="15"/>
      <c r="H1352" s="15"/>
      <c r="I1352" s="15"/>
      <c r="J1352" s="15"/>
      <c r="K1352" s="16" t="str">
        <f aca="false">IF(A1352="","",F1352+G1352+H1352+I1352)</f>
        <v/>
      </c>
      <c r="L1352" s="17" t="str">
        <f aca="false">IF(OR(K1352="",E1352=0,E1352=""),"",K1352/E1352)</f>
        <v/>
      </c>
      <c r="M1352" s="18" t="str">
        <f aca="false">IF(OR(A1352="",E1352=""),"",E1352+ROW()/1000000)</f>
        <v/>
      </c>
    </row>
    <row r="1353" customFormat="false" ht="15" hidden="false" customHeight="false" outlineLevel="0" collapsed="false">
      <c r="A1353" s="12"/>
      <c r="B1353" s="13"/>
      <c r="C1353" s="13"/>
      <c r="D1353" s="14"/>
      <c r="E1353" s="15"/>
      <c r="F1353" s="15"/>
      <c r="G1353" s="15"/>
      <c r="H1353" s="15"/>
      <c r="I1353" s="15"/>
      <c r="J1353" s="15"/>
      <c r="K1353" s="16" t="str">
        <f aca="false">IF(A1353="","",F1353+G1353+H1353+I1353)</f>
        <v/>
      </c>
      <c r="L1353" s="17" t="str">
        <f aca="false">IF(OR(K1353="",E1353=0,E1353=""),"",K1353/E1353)</f>
        <v/>
      </c>
      <c r="M1353" s="18" t="str">
        <f aca="false">IF(OR(A1353="",E1353=""),"",E1353+ROW()/1000000)</f>
        <v/>
      </c>
    </row>
    <row r="1354" customFormat="false" ht="15" hidden="false" customHeight="false" outlineLevel="0" collapsed="false">
      <c r="A1354" s="12"/>
      <c r="B1354" s="13"/>
      <c r="C1354" s="13"/>
      <c r="D1354" s="14"/>
      <c r="E1354" s="15"/>
      <c r="F1354" s="15"/>
      <c r="G1354" s="15"/>
      <c r="H1354" s="15"/>
      <c r="I1354" s="15"/>
      <c r="J1354" s="15"/>
      <c r="K1354" s="16" t="str">
        <f aca="false">IF(A1354="","",F1354+G1354+H1354+I1354)</f>
        <v/>
      </c>
      <c r="L1354" s="17" t="str">
        <f aca="false">IF(OR(K1354="",E1354=0,E1354=""),"",K1354/E1354)</f>
        <v/>
      </c>
      <c r="M1354" s="18" t="str">
        <f aca="false">IF(OR(A1354="",E1354=""),"",E1354+ROW()/1000000)</f>
        <v/>
      </c>
    </row>
    <row r="1355" customFormat="false" ht="15" hidden="false" customHeight="false" outlineLevel="0" collapsed="false">
      <c r="A1355" s="12"/>
      <c r="B1355" s="13"/>
      <c r="C1355" s="13"/>
      <c r="D1355" s="14"/>
      <c r="E1355" s="15"/>
      <c r="F1355" s="15"/>
      <c r="G1355" s="15"/>
      <c r="H1355" s="15"/>
      <c r="I1355" s="15"/>
      <c r="J1355" s="15"/>
      <c r="K1355" s="16" t="str">
        <f aca="false">IF(A1355="","",F1355+G1355+H1355+I1355)</f>
        <v/>
      </c>
      <c r="L1355" s="17" t="str">
        <f aca="false">IF(OR(K1355="",E1355=0,E1355=""),"",K1355/E1355)</f>
        <v/>
      </c>
      <c r="M1355" s="18" t="str">
        <f aca="false">IF(OR(A1355="",E1355=""),"",E1355+ROW()/1000000)</f>
        <v/>
      </c>
    </row>
    <row r="1356" customFormat="false" ht="15" hidden="false" customHeight="false" outlineLevel="0" collapsed="false">
      <c r="A1356" s="12"/>
      <c r="B1356" s="13"/>
      <c r="C1356" s="13"/>
      <c r="D1356" s="14"/>
      <c r="E1356" s="15"/>
      <c r="F1356" s="15"/>
      <c r="G1356" s="15"/>
      <c r="H1356" s="15"/>
      <c r="I1356" s="15"/>
      <c r="J1356" s="15"/>
      <c r="K1356" s="16" t="str">
        <f aca="false">IF(A1356="","",F1356+G1356+H1356+I1356)</f>
        <v/>
      </c>
      <c r="L1356" s="17" t="str">
        <f aca="false">IF(OR(K1356="",E1356=0,E1356=""),"",K1356/E1356)</f>
        <v/>
      </c>
      <c r="M1356" s="18" t="str">
        <f aca="false">IF(OR(A1356="",E1356=""),"",E1356+ROW()/1000000)</f>
        <v/>
      </c>
    </row>
    <row r="1357" customFormat="false" ht="15" hidden="false" customHeight="false" outlineLevel="0" collapsed="false">
      <c r="A1357" s="12"/>
      <c r="B1357" s="13"/>
      <c r="C1357" s="13"/>
      <c r="D1357" s="14"/>
      <c r="E1357" s="15"/>
      <c r="F1357" s="15"/>
      <c r="G1357" s="15"/>
      <c r="H1357" s="15"/>
      <c r="I1357" s="15"/>
      <c r="J1357" s="15"/>
      <c r="K1357" s="16" t="str">
        <f aca="false">IF(A1357="","",F1357+G1357+H1357+I1357)</f>
        <v/>
      </c>
      <c r="L1357" s="17" t="str">
        <f aca="false">IF(OR(K1357="",E1357=0,E1357=""),"",K1357/E1357)</f>
        <v/>
      </c>
      <c r="M1357" s="18" t="str">
        <f aca="false">IF(OR(A1357="",E1357=""),"",E1357+ROW()/1000000)</f>
        <v/>
      </c>
    </row>
    <row r="1358" customFormat="false" ht="15" hidden="false" customHeight="false" outlineLevel="0" collapsed="false">
      <c r="A1358" s="12"/>
      <c r="B1358" s="13"/>
      <c r="C1358" s="13"/>
      <c r="D1358" s="14"/>
      <c r="E1358" s="15"/>
      <c r="F1358" s="15"/>
      <c r="G1358" s="15"/>
      <c r="H1358" s="15"/>
      <c r="I1358" s="15"/>
      <c r="J1358" s="15"/>
      <c r="K1358" s="16" t="str">
        <f aca="false">IF(A1358="","",F1358+G1358+H1358+I1358)</f>
        <v/>
      </c>
      <c r="L1358" s="17" t="str">
        <f aca="false">IF(OR(K1358="",E1358=0,E1358=""),"",K1358/E1358)</f>
        <v/>
      </c>
      <c r="M1358" s="18" t="str">
        <f aca="false">IF(OR(A1358="",E1358=""),"",E1358+ROW()/1000000)</f>
        <v/>
      </c>
    </row>
    <row r="1359" customFormat="false" ht="15" hidden="false" customHeight="false" outlineLevel="0" collapsed="false">
      <c r="A1359" s="12"/>
      <c r="B1359" s="13"/>
      <c r="C1359" s="13"/>
      <c r="D1359" s="14"/>
      <c r="E1359" s="15"/>
      <c r="F1359" s="15"/>
      <c r="G1359" s="15"/>
      <c r="H1359" s="15"/>
      <c r="I1359" s="15"/>
      <c r="J1359" s="15"/>
      <c r="K1359" s="16" t="str">
        <f aca="false">IF(A1359="","",F1359+G1359+H1359+I1359)</f>
        <v/>
      </c>
      <c r="L1359" s="17" t="str">
        <f aca="false">IF(OR(K1359="",E1359=0,E1359=""),"",K1359/E1359)</f>
        <v/>
      </c>
      <c r="M1359" s="18" t="str">
        <f aca="false">IF(OR(A1359="",E1359=""),"",E1359+ROW()/1000000)</f>
        <v/>
      </c>
    </row>
    <row r="1360" customFormat="false" ht="15" hidden="false" customHeight="false" outlineLevel="0" collapsed="false">
      <c r="A1360" s="12"/>
      <c r="B1360" s="13"/>
      <c r="C1360" s="13"/>
      <c r="D1360" s="14"/>
      <c r="E1360" s="15"/>
      <c r="F1360" s="15"/>
      <c r="G1360" s="15"/>
      <c r="H1360" s="15"/>
      <c r="I1360" s="15"/>
      <c r="J1360" s="15"/>
      <c r="K1360" s="16" t="str">
        <f aca="false">IF(A1360="","",F1360+G1360+H1360+I1360)</f>
        <v/>
      </c>
      <c r="L1360" s="17" t="str">
        <f aca="false">IF(OR(K1360="",E1360=0,E1360=""),"",K1360/E1360)</f>
        <v/>
      </c>
      <c r="M1360" s="18" t="str">
        <f aca="false">IF(OR(A1360="",E1360=""),"",E1360+ROW()/1000000)</f>
        <v/>
      </c>
    </row>
    <row r="1361" customFormat="false" ht="15" hidden="false" customHeight="false" outlineLevel="0" collapsed="false">
      <c r="A1361" s="12"/>
      <c r="B1361" s="13"/>
      <c r="C1361" s="13"/>
      <c r="D1361" s="14"/>
      <c r="E1361" s="15"/>
      <c r="F1361" s="15"/>
      <c r="G1361" s="15"/>
      <c r="H1361" s="15"/>
      <c r="I1361" s="15"/>
      <c r="J1361" s="15"/>
      <c r="K1361" s="16" t="str">
        <f aca="false">IF(A1361="","",F1361+G1361+H1361+I1361)</f>
        <v/>
      </c>
      <c r="L1361" s="17" t="str">
        <f aca="false">IF(OR(K1361="",E1361=0,E1361=""),"",K1361/E1361)</f>
        <v/>
      </c>
      <c r="M1361" s="18" t="str">
        <f aca="false">IF(OR(A1361="",E1361=""),"",E1361+ROW()/1000000)</f>
        <v/>
      </c>
    </row>
    <row r="1362" customFormat="false" ht="15" hidden="false" customHeight="false" outlineLevel="0" collapsed="false">
      <c r="A1362" s="12"/>
      <c r="B1362" s="13"/>
      <c r="C1362" s="13"/>
      <c r="D1362" s="14"/>
      <c r="E1362" s="15"/>
      <c r="F1362" s="15"/>
      <c r="G1362" s="15"/>
      <c r="H1362" s="15"/>
      <c r="I1362" s="15"/>
      <c r="J1362" s="15"/>
      <c r="K1362" s="16" t="str">
        <f aca="false">IF(A1362="","",F1362+G1362+H1362+I1362)</f>
        <v/>
      </c>
      <c r="L1362" s="17" t="str">
        <f aca="false">IF(OR(K1362="",E1362=0,E1362=""),"",K1362/E1362)</f>
        <v/>
      </c>
      <c r="M1362" s="18" t="str">
        <f aca="false">IF(OR(A1362="",E1362=""),"",E1362+ROW()/1000000)</f>
        <v/>
      </c>
    </row>
    <row r="1363" customFormat="false" ht="15" hidden="false" customHeight="false" outlineLevel="0" collapsed="false">
      <c r="A1363" s="12"/>
      <c r="B1363" s="13"/>
      <c r="C1363" s="13"/>
      <c r="D1363" s="14"/>
      <c r="E1363" s="15"/>
      <c r="F1363" s="15"/>
      <c r="G1363" s="15"/>
      <c r="H1363" s="15"/>
      <c r="I1363" s="15"/>
      <c r="J1363" s="15"/>
      <c r="K1363" s="16" t="str">
        <f aca="false">IF(A1363="","",F1363+G1363+H1363+I1363)</f>
        <v/>
      </c>
      <c r="L1363" s="17" t="str">
        <f aca="false">IF(OR(K1363="",E1363=0,E1363=""),"",K1363/E1363)</f>
        <v/>
      </c>
      <c r="M1363" s="18" t="str">
        <f aca="false">IF(OR(A1363="",E1363=""),"",E1363+ROW()/1000000)</f>
        <v/>
      </c>
    </row>
    <row r="1364" customFormat="false" ht="15" hidden="false" customHeight="false" outlineLevel="0" collapsed="false">
      <c r="A1364" s="12"/>
      <c r="B1364" s="13"/>
      <c r="C1364" s="13"/>
      <c r="D1364" s="14"/>
      <c r="E1364" s="15"/>
      <c r="F1364" s="15"/>
      <c r="G1364" s="15"/>
      <c r="H1364" s="15"/>
      <c r="I1364" s="15"/>
      <c r="J1364" s="15"/>
      <c r="K1364" s="16" t="str">
        <f aca="false">IF(A1364="","",F1364+G1364+H1364+I1364)</f>
        <v/>
      </c>
      <c r="L1364" s="17" t="str">
        <f aca="false">IF(OR(K1364="",E1364=0,E1364=""),"",K1364/E1364)</f>
        <v/>
      </c>
      <c r="M1364" s="18" t="str">
        <f aca="false">IF(OR(A1364="",E1364=""),"",E1364+ROW()/1000000)</f>
        <v/>
      </c>
    </row>
    <row r="1365" customFormat="false" ht="15" hidden="false" customHeight="false" outlineLevel="0" collapsed="false">
      <c r="A1365" s="12"/>
      <c r="B1365" s="13"/>
      <c r="C1365" s="13"/>
      <c r="D1365" s="14"/>
      <c r="E1365" s="15"/>
      <c r="F1365" s="15"/>
      <c r="G1365" s="15"/>
      <c r="H1365" s="15"/>
      <c r="I1365" s="15"/>
      <c r="J1365" s="15"/>
      <c r="K1365" s="16" t="str">
        <f aca="false">IF(A1365="","",F1365+G1365+H1365+I1365)</f>
        <v/>
      </c>
      <c r="L1365" s="17" t="str">
        <f aca="false">IF(OR(K1365="",E1365=0,E1365=""),"",K1365/E1365)</f>
        <v/>
      </c>
      <c r="M1365" s="18" t="str">
        <f aca="false">IF(OR(A1365="",E1365=""),"",E1365+ROW()/1000000)</f>
        <v/>
      </c>
    </row>
    <row r="1366" customFormat="false" ht="15" hidden="false" customHeight="false" outlineLevel="0" collapsed="false">
      <c r="A1366" s="12"/>
      <c r="B1366" s="13"/>
      <c r="C1366" s="13"/>
      <c r="D1366" s="14"/>
      <c r="E1366" s="15"/>
      <c r="F1366" s="15"/>
      <c r="G1366" s="15"/>
      <c r="H1366" s="15"/>
      <c r="I1366" s="15"/>
      <c r="J1366" s="15"/>
      <c r="K1366" s="16" t="str">
        <f aca="false">IF(A1366="","",F1366+G1366+H1366+I1366)</f>
        <v/>
      </c>
      <c r="L1366" s="17" t="str">
        <f aca="false">IF(OR(K1366="",E1366=0,E1366=""),"",K1366/E1366)</f>
        <v/>
      </c>
      <c r="M1366" s="18" t="str">
        <f aca="false">IF(OR(A1366="",E1366=""),"",E1366+ROW()/1000000)</f>
        <v/>
      </c>
    </row>
    <row r="1367" customFormat="false" ht="15" hidden="false" customHeight="false" outlineLevel="0" collapsed="false">
      <c r="A1367" s="12"/>
      <c r="B1367" s="13"/>
      <c r="C1367" s="13"/>
      <c r="D1367" s="14"/>
      <c r="E1367" s="15"/>
      <c r="F1367" s="15"/>
      <c r="G1367" s="15"/>
      <c r="H1367" s="15"/>
      <c r="I1367" s="15"/>
      <c r="J1367" s="15"/>
      <c r="K1367" s="16" t="str">
        <f aca="false">IF(A1367="","",F1367+G1367+H1367+I1367)</f>
        <v/>
      </c>
      <c r="L1367" s="17" t="str">
        <f aca="false">IF(OR(K1367="",E1367=0,E1367=""),"",K1367/E1367)</f>
        <v/>
      </c>
      <c r="M1367" s="18" t="str">
        <f aca="false">IF(OR(A1367="",E1367=""),"",E1367+ROW()/1000000)</f>
        <v/>
      </c>
    </row>
    <row r="1368" customFormat="false" ht="15" hidden="false" customHeight="false" outlineLevel="0" collapsed="false">
      <c r="A1368" s="12"/>
      <c r="B1368" s="13"/>
      <c r="C1368" s="13"/>
      <c r="D1368" s="14"/>
      <c r="E1368" s="15"/>
      <c r="F1368" s="15"/>
      <c r="G1368" s="15"/>
      <c r="H1368" s="15"/>
      <c r="I1368" s="15"/>
      <c r="J1368" s="15"/>
      <c r="K1368" s="16" t="str">
        <f aca="false">IF(A1368="","",F1368+G1368+H1368+I1368)</f>
        <v/>
      </c>
      <c r="L1368" s="17" t="str">
        <f aca="false">IF(OR(K1368="",E1368=0,E1368=""),"",K1368/E1368)</f>
        <v/>
      </c>
      <c r="M1368" s="18" t="str">
        <f aca="false">IF(OR(A1368="",E1368=""),"",E1368+ROW()/1000000)</f>
        <v/>
      </c>
    </row>
    <row r="1369" customFormat="false" ht="15" hidden="false" customHeight="false" outlineLevel="0" collapsed="false">
      <c r="A1369" s="12"/>
      <c r="B1369" s="13"/>
      <c r="C1369" s="13"/>
      <c r="D1369" s="14"/>
      <c r="E1369" s="15"/>
      <c r="F1369" s="15"/>
      <c r="G1369" s="15"/>
      <c r="H1369" s="15"/>
      <c r="I1369" s="15"/>
      <c r="J1369" s="15"/>
      <c r="K1369" s="16" t="str">
        <f aca="false">IF(A1369="","",F1369+G1369+H1369+I1369)</f>
        <v/>
      </c>
      <c r="L1369" s="17" t="str">
        <f aca="false">IF(OR(K1369="",E1369=0,E1369=""),"",K1369/E1369)</f>
        <v/>
      </c>
      <c r="M1369" s="18" t="str">
        <f aca="false">IF(OR(A1369="",E1369=""),"",E1369+ROW()/1000000)</f>
        <v/>
      </c>
    </row>
    <row r="1370" customFormat="false" ht="15" hidden="false" customHeight="false" outlineLevel="0" collapsed="false">
      <c r="A1370" s="12"/>
      <c r="B1370" s="13"/>
      <c r="C1370" s="13"/>
      <c r="D1370" s="14"/>
      <c r="E1370" s="15"/>
      <c r="F1370" s="15"/>
      <c r="G1370" s="15"/>
      <c r="H1370" s="15"/>
      <c r="I1370" s="15"/>
      <c r="J1370" s="15"/>
      <c r="K1370" s="16" t="str">
        <f aca="false">IF(A1370="","",F1370+G1370+H1370+I1370)</f>
        <v/>
      </c>
      <c r="L1370" s="17" t="str">
        <f aca="false">IF(OR(K1370="",E1370=0,E1370=""),"",K1370/E1370)</f>
        <v/>
      </c>
      <c r="M1370" s="18" t="str">
        <f aca="false">IF(OR(A1370="",E1370=""),"",E1370+ROW()/1000000)</f>
        <v/>
      </c>
    </row>
    <row r="1371" customFormat="false" ht="15" hidden="false" customHeight="false" outlineLevel="0" collapsed="false">
      <c r="A1371" s="12"/>
      <c r="B1371" s="13"/>
      <c r="C1371" s="13"/>
      <c r="D1371" s="14"/>
      <c r="E1371" s="15"/>
      <c r="F1371" s="15"/>
      <c r="G1371" s="15"/>
      <c r="H1371" s="15"/>
      <c r="I1371" s="15"/>
      <c r="J1371" s="15"/>
      <c r="K1371" s="16" t="str">
        <f aca="false">IF(A1371="","",F1371+G1371+H1371+I1371)</f>
        <v/>
      </c>
      <c r="L1371" s="17" t="str">
        <f aca="false">IF(OR(K1371="",E1371=0,E1371=""),"",K1371/E1371)</f>
        <v/>
      </c>
      <c r="M1371" s="18" t="str">
        <f aca="false">IF(OR(A1371="",E1371=""),"",E1371+ROW()/1000000)</f>
        <v/>
      </c>
    </row>
    <row r="1372" customFormat="false" ht="15" hidden="false" customHeight="false" outlineLevel="0" collapsed="false">
      <c r="A1372" s="12"/>
      <c r="B1372" s="13"/>
      <c r="C1372" s="13"/>
      <c r="D1372" s="14"/>
      <c r="E1372" s="15"/>
      <c r="F1372" s="15"/>
      <c r="G1372" s="15"/>
      <c r="H1372" s="15"/>
      <c r="I1372" s="15"/>
      <c r="J1372" s="15"/>
      <c r="K1372" s="16" t="str">
        <f aca="false">IF(A1372="","",F1372+G1372+H1372+I1372)</f>
        <v/>
      </c>
      <c r="L1372" s="17" t="str">
        <f aca="false">IF(OR(K1372="",E1372=0,E1372=""),"",K1372/E1372)</f>
        <v/>
      </c>
      <c r="M1372" s="18" t="str">
        <f aca="false">IF(OR(A1372="",E1372=""),"",E1372+ROW()/1000000)</f>
        <v/>
      </c>
    </row>
    <row r="1373" customFormat="false" ht="15" hidden="false" customHeight="false" outlineLevel="0" collapsed="false">
      <c r="A1373" s="12"/>
      <c r="B1373" s="13"/>
      <c r="C1373" s="13"/>
      <c r="D1373" s="14"/>
      <c r="E1373" s="15"/>
      <c r="F1373" s="15"/>
      <c r="G1373" s="15"/>
      <c r="H1373" s="15"/>
      <c r="I1373" s="15"/>
      <c r="J1373" s="15"/>
      <c r="K1373" s="16" t="str">
        <f aca="false">IF(A1373="","",F1373+G1373+H1373+I1373)</f>
        <v/>
      </c>
      <c r="L1373" s="17" t="str">
        <f aca="false">IF(OR(K1373="",E1373=0,E1373=""),"",K1373/E1373)</f>
        <v/>
      </c>
      <c r="M1373" s="18" t="str">
        <f aca="false">IF(OR(A1373="",E1373=""),"",E1373+ROW()/1000000)</f>
        <v/>
      </c>
    </row>
    <row r="1374" customFormat="false" ht="15" hidden="false" customHeight="false" outlineLevel="0" collapsed="false">
      <c r="A1374" s="12"/>
      <c r="B1374" s="13"/>
      <c r="C1374" s="13"/>
      <c r="D1374" s="14"/>
      <c r="E1374" s="15"/>
      <c r="F1374" s="15"/>
      <c r="G1374" s="15"/>
      <c r="H1374" s="15"/>
      <c r="I1374" s="15"/>
      <c r="J1374" s="15"/>
      <c r="K1374" s="16" t="str">
        <f aca="false">IF(A1374="","",F1374+G1374+H1374+I1374)</f>
        <v/>
      </c>
      <c r="L1374" s="17" t="str">
        <f aca="false">IF(OR(K1374="",E1374=0,E1374=""),"",K1374/E1374)</f>
        <v/>
      </c>
      <c r="M1374" s="18" t="str">
        <f aca="false">IF(OR(A1374="",E1374=""),"",E1374+ROW()/1000000)</f>
        <v/>
      </c>
    </row>
    <row r="1375" customFormat="false" ht="15" hidden="false" customHeight="false" outlineLevel="0" collapsed="false">
      <c r="A1375" s="12"/>
      <c r="B1375" s="13"/>
      <c r="C1375" s="13"/>
      <c r="D1375" s="14"/>
      <c r="E1375" s="15"/>
      <c r="F1375" s="15"/>
      <c r="G1375" s="15"/>
      <c r="H1375" s="15"/>
      <c r="I1375" s="15"/>
      <c r="J1375" s="15"/>
      <c r="K1375" s="16" t="str">
        <f aca="false">IF(A1375="","",F1375+G1375+H1375+I1375)</f>
        <v/>
      </c>
      <c r="L1375" s="17" t="str">
        <f aca="false">IF(OR(K1375="",E1375=0,E1375=""),"",K1375/E1375)</f>
        <v/>
      </c>
      <c r="M1375" s="18" t="str">
        <f aca="false">IF(OR(A1375="",E1375=""),"",E1375+ROW()/1000000)</f>
        <v/>
      </c>
    </row>
    <row r="1376" customFormat="false" ht="15" hidden="false" customHeight="false" outlineLevel="0" collapsed="false">
      <c r="A1376" s="12"/>
      <c r="B1376" s="13"/>
      <c r="C1376" s="13"/>
      <c r="D1376" s="14"/>
      <c r="E1376" s="15"/>
      <c r="F1376" s="15"/>
      <c r="G1376" s="15"/>
      <c r="H1376" s="15"/>
      <c r="I1376" s="15"/>
      <c r="J1376" s="15"/>
      <c r="K1376" s="16" t="str">
        <f aca="false">IF(A1376="","",F1376+G1376+H1376+I1376)</f>
        <v/>
      </c>
      <c r="L1376" s="17" t="str">
        <f aca="false">IF(OR(K1376="",E1376=0,E1376=""),"",K1376/E1376)</f>
        <v/>
      </c>
      <c r="M1376" s="18" t="str">
        <f aca="false">IF(OR(A1376="",E1376=""),"",E1376+ROW()/1000000)</f>
        <v/>
      </c>
    </row>
    <row r="1377" customFormat="false" ht="15" hidden="false" customHeight="false" outlineLevel="0" collapsed="false">
      <c r="A1377" s="12"/>
      <c r="B1377" s="13"/>
      <c r="C1377" s="13"/>
      <c r="D1377" s="14"/>
      <c r="E1377" s="15"/>
      <c r="F1377" s="15"/>
      <c r="G1377" s="15"/>
      <c r="H1377" s="15"/>
      <c r="I1377" s="15"/>
      <c r="J1377" s="15"/>
      <c r="K1377" s="16" t="str">
        <f aca="false">IF(A1377="","",F1377+G1377+H1377+I1377)</f>
        <v/>
      </c>
      <c r="L1377" s="17" t="str">
        <f aca="false">IF(OR(K1377="",E1377=0,E1377=""),"",K1377/E1377)</f>
        <v/>
      </c>
      <c r="M1377" s="18" t="str">
        <f aca="false">IF(OR(A1377="",E1377=""),"",E1377+ROW()/1000000)</f>
        <v/>
      </c>
    </row>
    <row r="1378" customFormat="false" ht="15" hidden="false" customHeight="false" outlineLevel="0" collapsed="false">
      <c r="A1378" s="12"/>
      <c r="B1378" s="13"/>
      <c r="C1378" s="13"/>
      <c r="D1378" s="14"/>
      <c r="E1378" s="15"/>
      <c r="F1378" s="15"/>
      <c r="G1378" s="15"/>
      <c r="H1378" s="15"/>
      <c r="I1378" s="15"/>
      <c r="J1378" s="15"/>
      <c r="K1378" s="16" t="str">
        <f aca="false">IF(A1378="","",F1378+G1378+H1378+I1378)</f>
        <v/>
      </c>
      <c r="L1378" s="17" t="str">
        <f aca="false">IF(OR(K1378="",E1378=0,E1378=""),"",K1378/E1378)</f>
        <v/>
      </c>
      <c r="M1378" s="18" t="str">
        <f aca="false">IF(OR(A1378="",E1378=""),"",E1378+ROW()/1000000)</f>
        <v/>
      </c>
    </row>
    <row r="1379" customFormat="false" ht="15" hidden="false" customHeight="false" outlineLevel="0" collapsed="false">
      <c r="A1379" s="12"/>
      <c r="B1379" s="13"/>
      <c r="C1379" s="13"/>
      <c r="D1379" s="14"/>
      <c r="E1379" s="15"/>
      <c r="F1379" s="15"/>
      <c r="G1379" s="15"/>
      <c r="H1379" s="15"/>
      <c r="I1379" s="15"/>
      <c r="J1379" s="15"/>
      <c r="K1379" s="16" t="str">
        <f aca="false">IF(A1379="","",F1379+G1379+H1379+I1379)</f>
        <v/>
      </c>
      <c r="L1379" s="17" t="str">
        <f aca="false">IF(OR(K1379="",E1379=0,E1379=""),"",K1379/E1379)</f>
        <v/>
      </c>
      <c r="M1379" s="18" t="str">
        <f aca="false">IF(OR(A1379="",E1379=""),"",E1379+ROW()/1000000)</f>
        <v/>
      </c>
    </row>
    <row r="1380" customFormat="false" ht="15" hidden="false" customHeight="false" outlineLevel="0" collapsed="false">
      <c r="A1380" s="12"/>
      <c r="B1380" s="13"/>
      <c r="C1380" s="13"/>
      <c r="D1380" s="14"/>
      <c r="E1380" s="15"/>
      <c r="F1380" s="15"/>
      <c r="G1380" s="15"/>
      <c r="H1380" s="15"/>
      <c r="I1380" s="15"/>
      <c r="J1380" s="15"/>
      <c r="K1380" s="16" t="str">
        <f aca="false">IF(A1380="","",F1380+G1380+H1380+I1380)</f>
        <v/>
      </c>
      <c r="L1380" s="17" t="str">
        <f aca="false">IF(OR(K1380="",E1380=0,E1380=""),"",K1380/E1380)</f>
        <v/>
      </c>
      <c r="M1380" s="18" t="str">
        <f aca="false">IF(OR(A1380="",E1380=""),"",E1380+ROW()/1000000)</f>
        <v/>
      </c>
    </row>
    <row r="1381" customFormat="false" ht="15" hidden="false" customHeight="false" outlineLevel="0" collapsed="false">
      <c r="A1381" s="12"/>
      <c r="B1381" s="13"/>
      <c r="C1381" s="13"/>
      <c r="D1381" s="14"/>
      <c r="E1381" s="15"/>
      <c r="F1381" s="15"/>
      <c r="G1381" s="15"/>
      <c r="H1381" s="15"/>
      <c r="I1381" s="15"/>
      <c r="J1381" s="15"/>
      <c r="K1381" s="16" t="str">
        <f aca="false">IF(A1381="","",F1381+G1381+H1381+I1381)</f>
        <v/>
      </c>
      <c r="L1381" s="17" t="str">
        <f aca="false">IF(OR(K1381="",E1381=0,E1381=""),"",K1381/E1381)</f>
        <v/>
      </c>
      <c r="M1381" s="18" t="str">
        <f aca="false">IF(OR(A1381="",E1381=""),"",E1381+ROW()/1000000)</f>
        <v/>
      </c>
    </row>
    <row r="1382" customFormat="false" ht="15" hidden="false" customHeight="false" outlineLevel="0" collapsed="false">
      <c r="A1382" s="12"/>
      <c r="B1382" s="13"/>
      <c r="C1382" s="13"/>
      <c r="D1382" s="14"/>
      <c r="E1382" s="15"/>
      <c r="F1382" s="15"/>
      <c r="G1382" s="15"/>
      <c r="H1382" s="15"/>
      <c r="I1382" s="15"/>
      <c r="J1382" s="15"/>
      <c r="K1382" s="16" t="str">
        <f aca="false">IF(A1382="","",F1382+G1382+H1382+I1382)</f>
        <v/>
      </c>
      <c r="L1382" s="17" t="str">
        <f aca="false">IF(OR(K1382="",E1382=0,E1382=""),"",K1382/E1382)</f>
        <v/>
      </c>
      <c r="M1382" s="18" t="str">
        <f aca="false">IF(OR(A1382="",E1382=""),"",E1382+ROW()/1000000)</f>
        <v/>
      </c>
    </row>
    <row r="1383" customFormat="false" ht="15" hidden="false" customHeight="false" outlineLevel="0" collapsed="false">
      <c r="A1383" s="12"/>
      <c r="B1383" s="13"/>
      <c r="C1383" s="13"/>
      <c r="D1383" s="14"/>
      <c r="E1383" s="15"/>
      <c r="F1383" s="15"/>
      <c r="G1383" s="15"/>
      <c r="H1383" s="15"/>
      <c r="I1383" s="15"/>
      <c r="J1383" s="15"/>
      <c r="K1383" s="16" t="str">
        <f aca="false">IF(A1383="","",F1383+G1383+H1383+I1383)</f>
        <v/>
      </c>
      <c r="L1383" s="17" t="str">
        <f aca="false">IF(OR(K1383="",E1383=0,E1383=""),"",K1383/E1383)</f>
        <v/>
      </c>
      <c r="M1383" s="18" t="str">
        <f aca="false">IF(OR(A1383="",E1383=""),"",E1383+ROW()/1000000)</f>
        <v/>
      </c>
    </row>
    <row r="1384" customFormat="false" ht="15" hidden="false" customHeight="false" outlineLevel="0" collapsed="false">
      <c r="A1384" s="12"/>
      <c r="B1384" s="13"/>
      <c r="C1384" s="13"/>
      <c r="D1384" s="14"/>
      <c r="E1384" s="15"/>
      <c r="F1384" s="15"/>
      <c r="G1384" s="15"/>
      <c r="H1384" s="15"/>
      <c r="I1384" s="15"/>
      <c r="J1384" s="15"/>
      <c r="K1384" s="16" t="str">
        <f aca="false">IF(A1384="","",F1384+G1384+H1384+I1384)</f>
        <v/>
      </c>
      <c r="L1384" s="17" t="str">
        <f aca="false">IF(OR(K1384="",E1384=0,E1384=""),"",K1384/E1384)</f>
        <v/>
      </c>
      <c r="M1384" s="18" t="str">
        <f aca="false">IF(OR(A1384="",E1384=""),"",E1384+ROW()/1000000)</f>
        <v/>
      </c>
    </row>
    <row r="1385" customFormat="false" ht="15" hidden="false" customHeight="false" outlineLevel="0" collapsed="false">
      <c r="A1385" s="12"/>
      <c r="B1385" s="13"/>
      <c r="C1385" s="13"/>
      <c r="D1385" s="14"/>
      <c r="E1385" s="15"/>
      <c r="F1385" s="15"/>
      <c r="G1385" s="15"/>
      <c r="H1385" s="15"/>
      <c r="I1385" s="15"/>
      <c r="J1385" s="15"/>
      <c r="K1385" s="16" t="str">
        <f aca="false">IF(A1385="","",F1385+G1385+H1385+I1385)</f>
        <v/>
      </c>
      <c r="L1385" s="17" t="str">
        <f aca="false">IF(OR(K1385="",E1385=0,E1385=""),"",K1385/E1385)</f>
        <v/>
      </c>
      <c r="M1385" s="18" t="str">
        <f aca="false">IF(OR(A1385="",E1385=""),"",E1385+ROW()/1000000)</f>
        <v/>
      </c>
    </row>
    <row r="1386" customFormat="false" ht="15" hidden="false" customHeight="false" outlineLevel="0" collapsed="false">
      <c r="A1386" s="12"/>
      <c r="B1386" s="13"/>
      <c r="C1386" s="13"/>
      <c r="D1386" s="14"/>
      <c r="E1386" s="15"/>
      <c r="F1386" s="15"/>
      <c r="G1386" s="15"/>
      <c r="H1386" s="15"/>
      <c r="I1386" s="15"/>
      <c r="J1386" s="15"/>
      <c r="K1386" s="16" t="str">
        <f aca="false">IF(A1386="","",F1386+G1386+H1386+I1386)</f>
        <v/>
      </c>
      <c r="L1386" s="17" t="str">
        <f aca="false">IF(OR(K1386="",E1386=0,E1386=""),"",K1386/E1386)</f>
        <v/>
      </c>
      <c r="M1386" s="18" t="str">
        <f aca="false">IF(OR(A1386="",E1386=""),"",E1386+ROW()/1000000)</f>
        <v/>
      </c>
    </row>
    <row r="1387" customFormat="false" ht="15" hidden="false" customHeight="false" outlineLevel="0" collapsed="false">
      <c r="A1387" s="12"/>
      <c r="B1387" s="13"/>
      <c r="C1387" s="13"/>
      <c r="D1387" s="14"/>
      <c r="E1387" s="15"/>
      <c r="F1387" s="15"/>
      <c r="G1387" s="15"/>
      <c r="H1387" s="15"/>
      <c r="I1387" s="15"/>
      <c r="J1387" s="15"/>
      <c r="K1387" s="16" t="str">
        <f aca="false">IF(A1387="","",F1387+G1387+H1387+I1387)</f>
        <v/>
      </c>
      <c r="L1387" s="17" t="str">
        <f aca="false">IF(OR(K1387="",E1387=0,E1387=""),"",K1387/E1387)</f>
        <v/>
      </c>
      <c r="M1387" s="18" t="str">
        <f aca="false">IF(OR(A1387="",E1387=""),"",E1387+ROW()/1000000)</f>
        <v/>
      </c>
    </row>
    <row r="1388" customFormat="false" ht="15" hidden="false" customHeight="false" outlineLevel="0" collapsed="false">
      <c r="A1388" s="12"/>
      <c r="B1388" s="13"/>
      <c r="C1388" s="13"/>
      <c r="D1388" s="14"/>
      <c r="E1388" s="15"/>
      <c r="F1388" s="15"/>
      <c r="G1388" s="15"/>
      <c r="H1388" s="15"/>
      <c r="I1388" s="15"/>
      <c r="J1388" s="15"/>
      <c r="K1388" s="16" t="str">
        <f aca="false">IF(A1388="","",F1388+G1388+H1388+I1388)</f>
        <v/>
      </c>
      <c r="L1388" s="17" t="str">
        <f aca="false">IF(OR(K1388="",E1388=0,E1388=""),"",K1388/E1388)</f>
        <v/>
      </c>
      <c r="M1388" s="18" t="str">
        <f aca="false">IF(OR(A1388="",E1388=""),"",E1388+ROW()/1000000)</f>
        <v/>
      </c>
    </row>
    <row r="1389" customFormat="false" ht="15" hidden="false" customHeight="false" outlineLevel="0" collapsed="false">
      <c r="A1389" s="12"/>
      <c r="B1389" s="13"/>
      <c r="C1389" s="13"/>
      <c r="D1389" s="14"/>
      <c r="E1389" s="15"/>
      <c r="F1389" s="15"/>
      <c r="G1389" s="15"/>
      <c r="H1389" s="15"/>
      <c r="I1389" s="15"/>
      <c r="J1389" s="15"/>
      <c r="K1389" s="16" t="str">
        <f aca="false">IF(A1389="","",F1389+G1389+H1389+I1389)</f>
        <v/>
      </c>
      <c r="L1389" s="17" t="str">
        <f aca="false">IF(OR(K1389="",E1389=0,E1389=""),"",K1389/E1389)</f>
        <v/>
      </c>
      <c r="M1389" s="18" t="str">
        <f aca="false">IF(OR(A1389="",E1389=""),"",E1389+ROW()/1000000)</f>
        <v/>
      </c>
    </row>
    <row r="1390" customFormat="false" ht="15" hidden="false" customHeight="false" outlineLevel="0" collapsed="false">
      <c r="A1390" s="12"/>
      <c r="B1390" s="13"/>
      <c r="C1390" s="13"/>
      <c r="D1390" s="14"/>
      <c r="E1390" s="15"/>
      <c r="F1390" s="15"/>
      <c r="G1390" s="15"/>
      <c r="H1390" s="15"/>
      <c r="I1390" s="15"/>
      <c r="J1390" s="15"/>
      <c r="K1390" s="16" t="str">
        <f aca="false">IF(A1390="","",F1390+G1390+H1390+I1390)</f>
        <v/>
      </c>
      <c r="L1390" s="17" t="str">
        <f aca="false">IF(OR(K1390="",E1390=0,E1390=""),"",K1390/E1390)</f>
        <v/>
      </c>
      <c r="M1390" s="18" t="str">
        <f aca="false">IF(OR(A1390="",E1390=""),"",E1390+ROW()/1000000)</f>
        <v/>
      </c>
    </row>
    <row r="1391" customFormat="false" ht="15" hidden="false" customHeight="false" outlineLevel="0" collapsed="false">
      <c r="A1391" s="12"/>
      <c r="B1391" s="13"/>
      <c r="C1391" s="13"/>
      <c r="D1391" s="14"/>
      <c r="E1391" s="15"/>
      <c r="F1391" s="15"/>
      <c r="G1391" s="15"/>
      <c r="H1391" s="15"/>
      <c r="I1391" s="15"/>
      <c r="J1391" s="15"/>
      <c r="K1391" s="16" t="str">
        <f aca="false">IF(A1391="","",F1391+G1391+H1391+I1391)</f>
        <v/>
      </c>
      <c r="L1391" s="17" t="str">
        <f aca="false">IF(OR(K1391="",E1391=0,E1391=""),"",K1391/E1391)</f>
        <v/>
      </c>
      <c r="M1391" s="18" t="str">
        <f aca="false">IF(OR(A1391="",E1391=""),"",E1391+ROW()/1000000)</f>
        <v/>
      </c>
    </row>
    <row r="1392" customFormat="false" ht="15" hidden="false" customHeight="false" outlineLevel="0" collapsed="false">
      <c r="A1392" s="12"/>
      <c r="B1392" s="13"/>
      <c r="C1392" s="13"/>
      <c r="D1392" s="14"/>
      <c r="E1392" s="15"/>
      <c r="F1392" s="15"/>
      <c r="G1392" s="15"/>
      <c r="H1392" s="15"/>
      <c r="I1392" s="15"/>
      <c r="J1392" s="15"/>
      <c r="K1392" s="16" t="str">
        <f aca="false">IF(A1392="","",F1392+G1392+H1392+I1392)</f>
        <v/>
      </c>
      <c r="L1392" s="17" t="str">
        <f aca="false">IF(OR(K1392="",E1392=0,E1392=""),"",K1392/E1392)</f>
        <v/>
      </c>
      <c r="M1392" s="18" t="str">
        <f aca="false">IF(OR(A1392="",E1392=""),"",E1392+ROW()/1000000)</f>
        <v/>
      </c>
    </row>
    <row r="1393" customFormat="false" ht="15" hidden="false" customHeight="false" outlineLevel="0" collapsed="false">
      <c r="A1393" s="12"/>
      <c r="B1393" s="13"/>
      <c r="C1393" s="13"/>
      <c r="D1393" s="14"/>
      <c r="E1393" s="15"/>
      <c r="F1393" s="15"/>
      <c r="G1393" s="15"/>
      <c r="H1393" s="15"/>
      <c r="I1393" s="15"/>
      <c r="J1393" s="15"/>
      <c r="K1393" s="16" t="str">
        <f aca="false">IF(A1393="","",F1393+G1393+H1393+I1393)</f>
        <v/>
      </c>
      <c r="L1393" s="17" t="str">
        <f aca="false">IF(OR(K1393="",E1393=0,E1393=""),"",K1393/E1393)</f>
        <v/>
      </c>
      <c r="M1393" s="18" t="str">
        <f aca="false">IF(OR(A1393="",E1393=""),"",E1393+ROW()/1000000)</f>
        <v/>
      </c>
    </row>
    <row r="1394" customFormat="false" ht="15" hidden="false" customHeight="false" outlineLevel="0" collapsed="false">
      <c r="A1394" s="12"/>
      <c r="B1394" s="13"/>
      <c r="C1394" s="13"/>
      <c r="D1394" s="14"/>
      <c r="E1394" s="15"/>
      <c r="F1394" s="15"/>
      <c r="G1394" s="15"/>
      <c r="H1394" s="15"/>
      <c r="I1394" s="15"/>
      <c r="J1394" s="15"/>
      <c r="K1394" s="16" t="str">
        <f aca="false">IF(A1394="","",F1394+G1394+H1394+I1394)</f>
        <v/>
      </c>
      <c r="L1394" s="17" t="str">
        <f aca="false">IF(OR(K1394="",E1394=0,E1394=""),"",K1394/E1394)</f>
        <v/>
      </c>
      <c r="M1394" s="18" t="str">
        <f aca="false">IF(OR(A1394="",E1394=""),"",E1394+ROW()/1000000)</f>
        <v/>
      </c>
    </row>
    <row r="1395" customFormat="false" ht="15" hidden="false" customHeight="false" outlineLevel="0" collapsed="false">
      <c r="A1395" s="12"/>
      <c r="B1395" s="13"/>
      <c r="C1395" s="13"/>
      <c r="D1395" s="14"/>
      <c r="E1395" s="15"/>
      <c r="F1395" s="15"/>
      <c r="G1395" s="15"/>
      <c r="H1395" s="15"/>
      <c r="I1395" s="15"/>
      <c r="J1395" s="15"/>
      <c r="K1395" s="16" t="str">
        <f aca="false">IF(A1395="","",F1395+G1395+H1395+I1395)</f>
        <v/>
      </c>
      <c r="L1395" s="17" t="str">
        <f aca="false">IF(OR(K1395="",E1395=0,E1395=""),"",K1395/E1395)</f>
        <v/>
      </c>
      <c r="M1395" s="18" t="str">
        <f aca="false">IF(OR(A1395="",E1395=""),"",E1395+ROW()/1000000)</f>
        <v/>
      </c>
    </row>
    <row r="1396" customFormat="false" ht="15" hidden="false" customHeight="false" outlineLevel="0" collapsed="false">
      <c r="A1396" s="12"/>
      <c r="B1396" s="13"/>
      <c r="C1396" s="13"/>
      <c r="D1396" s="14"/>
      <c r="E1396" s="15"/>
      <c r="F1396" s="15"/>
      <c r="G1396" s="15"/>
      <c r="H1396" s="15"/>
      <c r="I1396" s="15"/>
      <c r="J1396" s="15"/>
      <c r="K1396" s="16" t="str">
        <f aca="false">IF(A1396="","",F1396+G1396+H1396+I1396)</f>
        <v/>
      </c>
      <c r="L1396" s="17" t="str">
        <f aca="false">IF(OR(K1396="",E1396=0,E1396=""),"",K1396/E1396)</f>
        <v/>
      </c>
      <c r="M1396" s="18" t="str">
        <f aca="false">IF(OR(A1396="",E1396=""),"",E1396+ROW()/1000000)</f>
        <v/>
      </c>
    </row>
    <row r="1397" customFormat="false" ht="15" hidden="false" customHeight="false" outlineLevel="0" collapsed="false">
      <c r="A1397" s="12"/>
      <c r="B1397" s="13"/>
      <c r="C1397" s="13"/>
      <c r="D1397" s="14"/>
      <c r="E1397" s="15"/>
      <c r="F1397" s="15"/>
      <c r="G1397" s="15"/>
      <c r="H1397" s="15"/>
      <c r="I1397" s="15"/>
      <c r="J1397" s="15"/>
      <c r="K1397" s="16" t="str">
        <f aca="false">IF(A1397="","",F1397+G1397+H1397+I1397)</f>
        <v/>
      </c>
      <c r="L1397" s="17" t="str">
        <f aca="false">IF(OR(K1397="",E1397=0,E1397=""),"",K1397/E1397)</f>
        <v/>
      </c>
      <c r="M1397" s="18" t="str">
        <f aca="false">IF(OR(A1397="",E1397=""),"",E1397+ROW()/1000000)</f>
        <v/>
      </c>
    </row>
    <row r="1398" customFormat="false" ht="15" hidden="false" customHeight="false" outlineLevel="0" collapsed="false">
      <c r="A1398" s="12"/>
      <c r="B1398" s="13"/>
      <c r="C1398" s="13"/>
      <c r="D1398" s="14"/>
      <c r="E1398" s="15"/>
      <c r="F1398" s="15"/>
      <c r="G1398" s="15"/>
      <c r="H1398" s="15"/>
      <c r="I1398" s="15"/>
      <c r="J1398" s="15"/>
      <c r="K1398" s="16" t="str">
        <f aca="false">IF(A1398="","",F1398+G1398+H1398+I1398)</f>
        <v/>
      </c>
      <c r="L1398" s="17" t="str">
        <f aca="false">IF(OR(K1398="",E1398=0,E1398=""),"",K1398/E1398)</f>
        <v/>
      </c>
      <c r="M1398" s="18" t="str">
        <f aca="false">IF(OR(A1398="",E1398=""),"",E1398+ROW()/1000000)</f>
        <v/>
      </c>
    </row>
    <row r="1399" customFormat="false" ht="15" hidden="false" customHeight="false" outlineLevel="0" collapsed="false">
      <c r="A1399" s="12"/>
      <c r="B1399" s="13"/>
      <c r="C1399" s="13"/>
      <c r="D1399" s="14"/>
      <c r="E1399" s="15"/>
      <c r="F1399" s="15"/>
      <c r="G1399" s="15"/>
      <c r="H1399" s="15"/>
      <c r="I1399" s="15"/>
      <c r="J1399" s="15"/>
      <c r="K1399" s="16" t="str">
        <f aca="false">IF(A1399="","",F1399+G1399+H1399+I1399)</f>
        <v/>
      </c>
      <c r="L1399" s="17" t="str">
        <f aca="false">IF(OR(K1399="",E1399=0,E1399=""),"",K1399/E1399)</f>
        <v/>
      </c>
      <c r="M1399" s="18" t="str">
        <f aca="false">IF(OR(A1399="",E1399=""),"",E1399+ROW()/1000000)</f>
        <v/>
      </c>
    </row>
    <row r="1400" customFormat="false" ht="15" hidden="false" customHeight="false" outlineLevel="0" collapsed="false">
      <c r="A1400" s="12"/>
      <c r="B1400" s="13"/>
      <c r="C1400" s="13"/>
      <c r="D1400" s="14"/>
      <c r="E1400" s="15"/>
      <c r="F1400" s="15"/>
      <c r="G1400" s="15"/>
      <c r="H1400" s="15"/>
      <c r="I1400" s="15"/>
      <c r="J1400" s="15"/>
      <c r="K1400" s="16" t="str">
        <f aca="false">IF(A1400="","",F1400+G1400+H1400+I1400)</f>
        <v/>
      </c>
      <c r="L1400" s="17" t="str">
        <f aca="false">IF(OR(K1400="",E1400=0,E1400=""),"",K1400/E1400)</f>
        <v/>
      </c>
      <c r="M1400" s="18" t="str">
        <f aca="false">IF(OR(A1400="",E1400=""),"",E1400+ROW()/1000000)</f>
        <v/>
      </c>
    </row>
    <row r="1401" customFormat="false" ht="15" hidden="false" customHeight="false" outlineLevel="0" collapsed="false">
      <c r="A1401" s="12"/>
      <c r="B1401" s="13"/>
      <c r="C1401" s="13"/>
      <c r="D1401" s="14"/>
      <c r="E1401" s="15"/>
      <c r="F1401" s="15"/>
      <c r="G1401" s="15"/>
      <c r="H1401" s="15"/>
      <c r="I1401" s="15"/>
      <c r="J1401" s="15"/>
      <c r="K1401" s="16" t="str">
        <f aca="false">IF(A1401="","",F1401+G1401+H1401+I1401)</f>
        <v/>
      </c>
      <c r="L1401" s="17" t="str">
        <f aca="false">IF(OR(K1401="",E1401=0,E1401=""),"",K1401/E1401)</f>
        <v/>
      </c>
      <c r="M1401" s="18" t="str">
        <f aca="false">IF(OR(A1401="",E1401=""),"",E1401+ROW()/1000000)</f>
        <v/>
      </c>
    </row>
    <row r="1402" customFormat="false" ht="15" hidden="false" customHeight="false" outlineLevel="0" collapsed="false">
      <c r="A1402" s="12"/>
      <c r="B1402" s="13"/>
      <c r="C1402" s="13"/>
      <c r="D1402" s="14"/>
      <c r="E1402" s="15"/>
      <c r="F1402" s="15"/>
      <c r="G1402" s="15"/>
      <c r="H1402" s="15"/>
      <c r="I1402" s="15"/>
      <c r="J1402" s="15"/>
      <c r="K1402" s="16" t="str">
        <f aca="false">IF(A1402="","",F1402+G1402+H1402+I1402)</f>
        <v/>
      </c>
      <c r="L1402" s="17" t="str">
        <f aca="false">IF(OR(K1402="",E1402=0,E1402=""),"",K1402/E1402)</f>
        <v/>
      </c>
      <c r="M1402" s="18" t="str">
        <f aca="false">IF(OR(A1402="",E1402=""),"",E1402+ROW()/1000000)</f>
        <v/>
      </c>
    </row>
    <row r="1403" customFormat="false" ht="15" hidden="false" customHeight="false" outlineLevel="0" collapsed="false">
      <c r="A1403" s="12"/>
      <c r="B1403" s="13"/>
      <c r="C1403" s="13"/>
      <c r="D1403" s="14"/>
      <c r="E1403" s="15"/>
      <c r="F1403" s="15"/>
      <c r="G1403" s="15"/>
      <c r="H1403" s="15"/>
      <c r="I1403" s="15"/>
      <c r="J1403" s="15"/>
      <c r="K1403" s="16" t="str">
        <f aca="false">IF(A1403="","",F1403+G1403+H1403+I1403)</f>
        <v/>
      </c>
      <c r="L1403" s="17" t="str">
        <f aca="false">IF(OR(K1403="",E1403=0,E1403=""),"",K1403/E1403)</f>
        <v/>
      </c>
      <c r="M1403" s="18" t="str">
        <f aca="false">IF(OR(A1403="",E1403=""),"",E1403+ROW()/1000000)</f>
        <v/>
      </c>
    </row>
    <row r="1404" customFormat="false" ht="15" hidden="false" customHeight="false" outlineLevel="0" collapsed="false">
      <c r="A1404" s="12"/>
      <c r="B1404" s="13"/>
      <c r="C1404" s="13"/>
      <c r="D1404" s="14"/>
      <c r="E1404" s="15"/>
      <c r="F1404" s="15"/>
      <c r="G1404" s="15"/>
      <c r="H1404" s="15"/>
      <c r="I1404" s="15"/>
      <c r="J1404" s="15"/>
      <c r="K1404" s="16" t="str">
        <f aca="false">IF(A1404="","",F1404+G1404+H1404+I1404)</f>
        <v/>
      </c>
      <c r="L1404" s="17" t="str">
        <f aca="false">IF(OR(K1404="",E1404=0,E1404=""),"",K1404/E1404)</f>
        <v/>
      </c>
      <c r="M1404" s="18" t="str">
        <f aca="false">IF(OR(A1404="",E1404=""),"",E1404+ROW()/1000000)</f>
        <v/>
      </c>
    </row>
    <row r="1405" customFormat="false" ht="15" hidden="false" customHeight="false" outlineLevel="0" collapsed="false">
      <c r="A1405" s="12"/>
      <c r="B1405" s="13"/>
      <c r="C1405" s="13"/>
      <c r="D1405" s="14"/>
      <c r="E1405" s="15"/>
      <c r="F1405" s="15"/>
      <c r="G1405" s="15"/>
      <c r="H1405" s="15"/>
      <c r="I1405" s="15"/>
      <c r="J1405" s="15"/>
      <c r="K1405" s="16" t="str">
        <f aca="false">IF(A1405="","",F1405+G1405+H1405+I1405)</f>
        <v/>
      </c>
      <c r="L1405" s="17" t="str">
        <f aca="false">IF(OR(K1405="",E1405=0,E1405=""),"",K1405/E1405)</f>
        <v/>
      </c>
      <c r="M1405" s="18" t="str">
        <f aca="false">IF(OR(A1405="",E1405=""),"",E1405+ROW()/1000000)</f>
        <v/>
      </c>
    </row>
    <row r="1406" customFormat="false" ht="15" hidden="false" customHeight="false" outlineLevel="0" collapsed="false">
      <c r="A1406" s="12"/>
      <c r="B1406" s="13"/>
      <c r="C1406" s="13"/>
      <c r="D1406" s="14"/>
      <c r="E1406" s="15"/>
      <c r="F1406" s="15"/>
      <c r="G1406" s="15"/>
      <c r="H1406" s="15"/>
      <c r="I1406" s="15"/>
      <c r="J1406" s="15"/>
      <c r="K1406" s="16" t="str">
        <f aca="false">IF(A1406="","",F1406+G1406+H1406+I1406)</f>
        <v/>
      </c>
      <c r="L1406" s="17" t="str">
        <f aca="false">IF(OR(K1406="",E1406=0,E1406=""),"",K1406/E1406)</f>
        <v/>
      </c>
      <c r="M1406" s="18" t="str">
        <f aca="false">IF(OR(A1406="",E1406=""),"",E1406+ROW()/1000000)</f>
        <v/>
      </c>
    </row>
    <row r="1407" customFormat="false" ht="15" hidden="false" customHeight="false" outlineLevel="0" collapsed="false">
      <c r="A1407" s="12"/>
      <c r="B1407" s="13"/>
      <c r="C1407" s="13"/>
      <c r="D1407" s="14"/>
      <c r="E1407" s="15"/>
      <c r="F1407" s="15"/>
      <c r="G1407" s="15"/>
      <c r="H1407" s="15"/>
      <c r="I1407" s="15"/>
      <c r="J1407" s="15"/>
      <c r="K1407" s="16" t="str">
        <f aca="false">IF(A1407="","",F1407+G1407+H1407+I1407)</f>
        <v/>
      </c>
      <c r="L1407" s="17" t="str">
        <f aca="false">IF(OR(K1407="",E1407=0,E1407=""),"",K1407/E1407)</f>
        <v/>
      </c>
      <c r="M1407" s="18" t="str">
        <f aca="false">IF(OR(A1407="",E1407=""),"",E1407+ROW()/1000000)</f>
        <v/>
      </c>
    </row>
    <row r="1408" customFormat="false" ht="15" hidden="false" customHeight="false" outlineLevel="0" collapsed="false">
      <c r="A1408" s="12"/>
      <c r="B1408" s="13"/>
      <c r="C1408" s="13"/>
      <c r="D1408" s="14"/>
      <c r="E1408" s="15"/>
      <c r="F1408" s="15"/>
      <c r="G1408" s="15"/>
      <c r="H1408" s="15"/>
      <c r="I1408" s="15"/>
      <c r="J1408" s="15"/>
      <c r="K1408" s="16" t="str">
        <f aca="false">IF(A1408="","",F1408+G1408+H1408+I1408)</f>
        <v/>
      </c>
      <c r="L1408" s="17" t="str">
        <f aca="false">IF(OR(K1408="",E1408=0,E1408=""),"",K1408/E1408)</f>
        <v/>
      </c>
      <c r="M1408" s="18" t="str">
        <f aca="false">IF(OR(A1408="",E1408=""),"",E1408+ROW()/1000000)</f>
        <v/>
      </c>
    </row>
    <row r="1409" customFormat="false" ht="15" hidden="false" customHeight="false" outlineLevel="0" collapsed="false">
      <c r="A1409" s="12"/>
      <c r="B1409" s="13"/>
      <c r="C1409" s="13"/>
      <c r="D1409" s="14"/>
      <c r="E1409" s="15"/>
      <c r="F1409" s="15"/>
      <c r="G1409" s="15"/>
      <c r="H1409" s="15"/>
      <c r="I1409" s="15"/>
      <c r="J1409" s="15"/>
      <c r="K1409" s="16" t="str">
        <f aca="false">IF(A1409="","",F1409+G1409+H1409+I1409)</f>
        <v/>
      </c>
      <c r="L1409" s="17" t="str">
        <f aca="false">IF(OR(K1409="",E1409=0,E1409=""),"",K1409/E1409)</f>
        <v/>
      </c>
      <c r="M1409" s="18" t="str">
        <f aca="false">IF(OR(A1409="",E1409=""),"",E1409+ROW()/1000000)</f>
        <v/>
      </c>
    </row>
    <row r="1410" customFormat="false" ht="15" hidden="false" customHeight="false" outlineLevel="0" collapsed="false">
      <c r="A1410" s="12"/>
      <c r="B1410" s="13"/>
      <c r="C1410" s="13"/>
      <c r="D1410" s="14"/>
      <c r="E1410" s="15"/>
      <c r="F1410" s="15"/>
      <c r="G1410" s="15"/>
      <c r="H1410" s="15"/>
      <c r="I1410" s="15"/>
      <c r="J1410" s="15"/>
      <c r="K1410" s="16" t="str">
        <f aca="false">IF(A1410="","",F1410+G1410+H1410+I1410)</f>
        <v/>
      </c>
      <c r="L1410" s="17" t="str">
        <f aca="false">IF(OR(K1410="",E1410=0,E1410=""),"",K1410/E1410)</f>
        <v/>
      </c>
      <c r="M1410" s="18" t="str">
        <f aca="false">IF(OR(A1410="",E1410=""),"",E1410+ROW()/1000000)</f>
        <v/>
      </c>
    </row>
    <row r="1411" customFormat="false" ht="15" hidden="false" customHeight="false" outlineLevel="0" collapsed="false">
      <c r="A1411" s="12"/>
      <c r="B1411" s="13"/>
      <c r="C1411" s="13"/>
      <c r="D1411" s="14"/>
      <c r="E1411" s="15"/>
      <c r="F1411" s="15"/>
      <c r="G1411" s="15"/>
      <c r="H1411" s="15"/>
      <c r="I1411" s="15"/>
      <c r="J1411" s="15"/>
      <c r="K1411" s="16" t="str">
        <f aca="false">IF(A1411="","",F1411+G1411+H1411+I1411)</f>
        <v/>
      </c>
      <c r="L1411" s="17" t="str">
        <f aca="false">IF(OR(K1411="",E1411=0,E1411=""),"",K1411/E1411)</f>
        <v/>
      </c>
      <c r="M1411" s="18" t="str">
        <f aca="false">IF(OR(A1411="",E1411=""),"",E1411+ROW()/1000000)</f>
        <v/>
      </c>
    </row>
    <row r="1412" customFormat="false" ht="15" hidden="false" customHeight="false" outlineLevel="0" collapsed="false">
      <c r="A1412" s="12"/>
      <c r="B1412" s="13"/>
      <c r="C1412" s="13"/>
      <c r="D1412" s="14"/>
      <c r="E1412" s="15"/>
      <c r="F1412" s="15"/>
      <c r="G1412" s="15"/>
      <c r="H1412" s="15"/>
      <c r="I1412" s="15"/>
      <c r="J1412" s="15"/>
      <c r="K1412" s="16" t="str">
        <f aca="false">IF(A1412="","",F1412+G1412+H1412+I1412)</f>
        <v/>
      </c>
      <c r="L1412" s="17" t="str">
        <f aca="false">IF(OR(K1412="",E1412=0,E1412=""),"",K1412/E1412)</f>
        <v/>
      </c>
      <c r="M1412" s="18" t="str">
        <f aca="false">IF(OR(A1412="",E1412=""),"",E1412+ROW()/1000000)</f>
        <v/>
      </c>
    </row>
    <row r="1413" customFormat="false" ht="15" hidden="false" customHeight="false" outlineLevel="0" collapsed="false">
      <c r="A1413" s="12"/>
      <c r="B1413" s="13"/>
      <c r="C1413" s="13"/>
      <c r="D1413" s="14"/>
      <c r="E1413" s="15"/>
      <c r="F1413" s="15"/>
      <c r="G1413" s="15"/>
      <c r="H1413" s="15"/>
      <c r="I1413" s="15"/>
      <c r="J1413" s="15"/>
      <c r="K1413" s="16" t="str">
        <f aca="false">IF(A1413="","",F1413+G1413+H1413+I1413)</f>
        <v/>
      </c>
      <c r="L1413" s="17" t="str">
        <f aca="false">IF(OR(K1413="",E1413=0,E1413=""),"",K1413/E1413)</f>
        <v/>
      </c>
      <c r="M1413" s="18" t="str">
        <f aca="false">IF(OR(A1413="",E1413=""),"",E1413+ROW()/1000000)</f>
        <v/>
      </c>
    </row>
    <row r="1414" customFormat="false" ht="15" hidden="false" customHeight="false" outlineLevel="0" collapsed="false">
      <c r="A1414" s="12"/>
      <c r="B1414" s="13"/>
      <c r="C1414" s="13"/>
      <c r="D1414" s="14"/>
      <c r="E1414" s="15"/>
      <c r="F1414" s="15"/>
      <c r="G1414" s="15"/>
      <c r="H1414" s="15"/>
      <c r="I1414" s="15"/>
      <c r="J1414" s="15"/>
      <c r="K1414" s="16" t="str">
        <f aca="false">IF(A1414="","",F1414+G1414+H1414+I1414)</f>
        <v/>
      </c>
      <c r="L1414" s="17" t="str">
        <f aca="false">IF(OR(K1414="",E1414=0,E1414=""),"",K1414/E1414)</f>
        <v/>
      </c>
      <c r="M1414" s="18" t="str">
        <f aca="false">IF(OR(A1414="",E1414=""),"",E1414+ROW()/1000000)</f>
        <v/>
      </c>
    </row>
    <row r="1415" customFormat="false" ht="15" hidden="false" customHeight="false" outlineLevel="0" collapsed="false">
      <c r="A1415" s="12"/>
      <c r="B1415" s="13"/>
      <c r="C1415" s="13"/>
      <c r="D1415" s="14"/>
      <c r="E1415" s="15"/>
      <c r="F1415" s="15"/>
      <c r="G1415" s="15"/>
      <c r="H1415" s="15"/>
      <c r="I1415" s="15"/>
      <c r="J1415" s="15"/>
      <c r="K1415" s="16" t="str">
        <f aca="false">IF(A1415="","",F1415+G1415+H1415+I1415)</f>
        <v/>
      </c>
      <c r="L1415" s="17" t="str">
        <f aca="false">IF(OR(K1415="",E1415=0,E1415=""),"",K1415/E1415)</f>
        <v/>
      </c>
      <c r="M1415" s="18" t="str">
        <f aca="false">IF(OR(A1415="",E1415=""),"",E1415+ROW()/1000000)</f>
        <v/>
      </c>
    </row>
    <row r="1416" customFormat="false" ht="15" hidden="false" customHeight="false" outlineLevel="0" collapsed="false">
      <c r="A1416" s="12"/>
      <c r="B1416" s="13"/>
      <c r="C1416" s="13"/>
      <c r="D1416" s="14"/>
      <c r="E1416" s="15"/>
      <c r="F1416" s="15"/>
      <c r="G1416" s="15"/>
      <c r="H1416" s="15"/>
      <c r="I1416" s="15"/>
      <c r="J1416" s="15"/>
      <c r="K1416" s="16" t="str">
        <f aca="false">IF(A1416="","",F1416+G1416+H1416+I1416)</f>
        <v/>
      </c>
      <c r="L1416" s="17" t="str">
        <f aca="false">IF(OR(K1416="",E1416=0,E1416=""),"",K1416/E1416)</f>
        <v/>
      </c>
      <c r="M1416" s="18" t="str">
        <f aca="false">IF(OR(A1416="",E1416=""),"",E1416+ROW()/1000000)</f>
        <v/>
      </c>
    </row>
    <row r="1417" customFormat="false" ht="15" hidden="false" customHeight="false" outlineLevel="0" collapsed="false">
      <c r="A1417" s="12"/>
      <c r="B1417" s="13"/>
      <c r="C1417" s="13"/>
      <c r="D1417" s="14"/>
      <c r="E1417" s="15"/>
      <c r="F1417" s="15"/>
      <c r="G1417" s="15"/>
      <c r="H1417" s="15"/>
      <c r="I1417" s="15"/>
      <c r="J1417" s="15"/>
      <c r="K1417" s="16" t="str">
        <f aca="false">IF(A1417="","",F1417+G1417+H1417+I1417)</f>
        <v/>
      </c>
      <c r="L1417" s="17" t="str">
        <f aca="false">IF(OR(K1417="",E1417=0,E1417=""),"",K1417/E1417)</f>
        <v/>
      </c>
      <c r="M1417" s="18" t="str">
        <f aca="false">IF(OR(A1417="",E1417=""),"",E1417+ROW()/1000000)</f>
        <v/>
      </c>
    </row>
    <row r="1418" customFormat="false" ht="15" hidden="false" customHeight="false" outlineLevel="0" collapsed="false">
      <c r="A1418" s="12"/>
      <c r="B1418" s="13"/>
      <c r="C1418" s="13"/>
      <c r="D1418" s="14"/>
      <c r="E1418" s="15"/>
      <c r="F1418" s="15"/>
      <c r="G1418" s="15"/>
      <c r="H1418" s="15"/>
      <c r="I1418" s="15"/>
      <c r="J1418" s="15"/>
      <c r="K1418" s="16" t="str">
        <f aca="false">IF(A1418="","",F1418+G1418+H1418+I1418)</f>
        <v/>
      </c>
      <c r="L1418" s="17" t="str">
        <f aca="false">IF(OR(K1418="",E1418=0,E1418=""),"",K1418/E1418)</f>
        <v/>
      </c>
      <c r="M1418" s="18" t="str">
        <f aca="false">IF(OR(A1418="",E1418=""),"",E1418+ROW()/1000000)</f>
        <v/>
      </c>
    </row>
    <row r="1419" customFormat="false" ht="15" hidden="false" customHeight="false" outlineLevel="0" collapsed="false">
      <c r="A1419" s="12"/>
      <c r="B1419" s="13"/>
      <c r="C1419" s="13"/>
      <c r="D1419" s="14"/>
      <c r="E1419" s="15"/>
      <c r="F1419" s="15"/>
      <c r="G1419" s="15"/>
      <c r="H1419" s="15"/>
      <c r="I1419" s="15"/>
      <c r="J1419" s="15"/>
      <c r="K1419" s="16" t="str">
        <f aca="false">IF(A1419="","",F1419+G1419+H1419+I1419)</f>
        <v/>
      </c>
      <c r="L1419" s="17" t="str">
        <f aca="false">IF(OR(K1419="",E1419=0,E1419=""),"",K1419/E1419)</f>
        <v/>
      </c>
      <c r="M1419" s="18" t="str">
        <f aca="false">IF(OR(A1419="",E1419=""),"",E1419+ROW()/1000000)</f>
        <v/>
      </c>
    </row>
    <row r="1420" customFormat="false" ht="15" hidden="false" customHeight="false" outlineLevel="0" collapsed="false">
      <c r="A1420" s="12"/>
      <c r="B1420" s="13"/>
      <c r="C1420" s="13"/>
      <c r="D1420" s="14"/>
      <c r="E1420" s="15"/>
      <c r="F1420" s="15"/>
      <c r="G1420" s="15"/>
      <c r="H1420" s="15"/>
      <c r="I1420" s="15"/>
      <c r="J1420" s="15"/>
      <c r="K1420" s="16" t="str">
        <f aca="false">IF(A1420="","",F1420+G1420+H1420+I1420)</f>
        <v/>
      </c>
      <c r="L1420" s="17" t="str">
        <f aca="false">IF(OR(K1420="",E1420=0,E1420=""),"",K1420/E1420)</f>
        <v/>
      </c>
      <c r="M1420" s="18" t="str">
        <f aca="false">IF(OR(A1420="",E1420=""),"",E1420+ROW()/1000000)</f>
        <v/>
      </c>
    </row>
    <row r="1421" customFormat="false" ht="15" hidden="false" customHeight="false" outlineLevel="0" collapsed="false">
      <c r="A1421" s="12"/>
      <c r="B1421" s="13"/>
      <c r="C1421" s="13"/>
      <c r="D1421" s="14"/>
      <c r="E1421" s="15"/>
      <c r="F1421" s="15"/>
      <c r="G1421" s="15"/>
      <c r="H1421" s="15"/>
      <c r="I1421" s="15"/>
      <c r="J1421" s="15"/>
      <c r="K1421" s="16" t="str">
        <f aca="false">IF(A1421="","",F1421+G1421+H1421+I1421)</f>
        <v/>
      </c>
      <c r="L1421" s="17" t="str">
        <f aca="false">IF(OR(K1421="",E1421=0,E1421=""),"",K1421/E1421)</f>
        <v/>
      </c>
      <c r="M1421" s="18" t="str">
        <f aca="false">IF(OR(A1421="",E1421=""),"",E1421+ROW()/1000000)</f>
        <v/>
      </c>
    </row>
    <row r="1422" customFormat="false" ht="15" hidden="false" customHeight="false" outlineLevel="0" collapsed="false">
      <c r="A1422" s="12"/>
      <c r="B1422" s="13"/>
      <c r="C1422" s="13"/>
      <c r="D1422" s="14"/>
      <c r="E1422" s="15"/>
      <c r="F1422" s="15"/>
      <c r="G1422" s="15"/>
      <c r="H1422" s="15"/>
      <c r="I1422" s="15"/>
      <c r="J1422" s="15"/>
      <c r="K1422" s="16" t="str">
        <f aca="false">IF(A1422="","",F1422+G1422+H1422+I1422)</f>
        <v/>
      </c>
      <c r="L1422" s="17" t="str">
        <f aca="false">IF(OR(K1422="",E1422=0,E1422=""),"",K1422/E1422)</f>
        <v/>
      </c>
      <c r="M1422" s="18" t="str">
        <f aca="false">IF(OR(A1422="",E1422=""),"",E1422+ROW()/1000000)</f>
        <v/>
      </c>
    </row>
    <row r="1423" customFormat="false" ht="15" hidden="false" customHeight="false" outlineLevel="0" collapsed="false">
      <c r="A1423" s="12"/>
      <c r="B1423" s="13"/>
      <c r="C1423" s="13"/>
      <c r="D1423" s="14"/>
      <c r="E1423" s="15"/>
      <c r="F1423" s="15"/>
      <c r="G1423" s="15"/>
      <c r="H1423" s="15"/>
      <c r="I1423" s="15"/>
      <c r="J1423" s="15"/>
      <c r="K1423" s="16" t="str">
        <f aca="false">IF(A1423="","",F1423+G1423+H1423+I1423)</f>
        <v/>
      </c>
      <c r="L1423" s="17" t="str">
        <f aca="false">IF(OR(K1423="",E1423=0,E1423=""),"",K1423/E1423)</f>
        <v/>
      </c>
      <c r="M1423" s="18" t="str">
        <f aca="false">IF(OR(A1423="",E1423=""),"",E1423+ROW()/1000000)</f>
        <v/>
      </c>
    </row>
    <row r="1424" customFormat="false" ht="15" hidden="false" customHeight="false" outlineLevel="0" collapsed="false">
      <c r="A1424" s="12"/>
      <c r="B1424" s="13"/>
      <c r="C1424" s="13"/>
      <c r="D1424" s="14"/>
      <c r="E1424" s="15"/>
      <c r="F1424" s="15"/>
      <c r="G1424" s="15"/>
      <c r="H1424" s="15"/>
      <c r="I1424" s="15"/>
      <c r="J1424" s="15"/>
      <c r="K1424" s="16" t="str">
        <f aca="false">IF(A1424="","",F1424+G1424+H1424+I1424)</f>
        <v/>
      </c>
      <c r="L1424" s="17" t="str">
        <f aca="false">IF(OR(K1424="",E1424=0,E1424=""),"",K1424/E1424)</f>
        <v/>
      </c>
      <c r="M1424" s="18" t="str">
        <f aca="false">IF(OR(A1424="",E1424=""),"",E1424+ROW()/1000000)</f>
        <v/>
      </c>
    </row>
    <row r="1425" customFormat="false" ht="15" hidden="false" customHeight="false" outlineLevel="0" collapsed="false">
      <c r="A1425" s="12"/>
      <c r="B1425" s="13"/>
      <c r="C1425" s="13"/>
      <c r="D1425" s="14"/>
      <c r="E1425" s="15"/>
      <c r="F1425" s="15"/>
      <c r="G1425" s="15"/>
      <c r="H1425" s="15"/>
      <c r="I1425" s="15"/>
      <c r="J1425" s="15"/>
      <c r="K1425" s="16" t="str">
        <f aca="false">IF(A1425="","",F1425+G1425+H1425+I1425)</f>
        <v/>
      </c>
      <c r="L1425" s="17" t="str">
        <f aca="false">IF(OR(K1425="",E1425=0,E1425=""),"",K1425/E1425)</f>
        <v/>
      </c>
      <c r="M1425" s="18" t="str">
        <f aca="false">IF(OR(A1425="",E1425=""),"",E1425+ROW()/1000000)</f>
        <v/>
      </c>
    </row>
    <row r="1426" customFormat="false" ht="15" hidden="false" customHeight="false" outlineLevel="0" collapsed="false">
      <c r="A1426" s="12"/>
      <c r="B1426" s="13"/>
      <c r="C1426" s="13"/>
      <c r="D1426" s="14"/>
      <c r="E1426" s="15"/>
      <c r="F1426" s="15"/>
      <c r="G1426" s="15"/>
      <c r="H1426" s="15"/>
      <c r="I1426" s="15"/>
      <c r="J1426" s="15"/>
      <c r="K1426" s="16" t="str">
        <f aca="false">IF(A1426="","",F1426+G1426+H1426+I1426)</f>
        <v/>
      </c>
      <c r="L1426" s="17" t="str">
        <f aca="false">IF(OR(K1426="",E1426=0,E1426=""),"",K1426/E1426)</f>
        <v/>
      </c>
      <c r="M1426" s="18" t="str">
        <f aca="false">IF(OR(A1426="",E1426=""),"",E1426+ROW()/1000000)</f>
        <v/>
      </c>
    </row>
    <row r="1427" customFormat="false" ht="15" hidden="false" customHeight="false" outlineLevel="0" collapsed="false">
      <c r="A1427" s="12"/>
      <c r="B1427" s="13"/>
      <c r="C1427" s="13"/>
      <c r="D1427" s="14"/>
      <c r="E1427" s="15"/>
      <c r="F1427" s="15"/>
      <c r="G1427" s="15"/>
      <c r="H1427" s="15"/>
      <c r="I1427" s="15"/>
      <c r="J1427" s="15"/>
      <c r="K1427" s="16" t="str">
        <f aca="false">IF(A1427="","",F1427+G1427+H1427+I1427)</f>
        <v/>
      </c>
      <c r="L1427" s="17" t="str">
        <f aca="false">IF(OR(K1427="",E1427=0,E1427=""),"",K1427/E1427)</f>
        <v/>
      </c>
      <c r="M1427" s="18" t="str">
        <f aca="false">IF(OR(A1427="",E1427=""),"",E1427+ROW()/1000000)</f>
        <v/>
      </c>
    </row>
    <row r="1428" customFormat="false" ht="15" hidden="false" customHeight="false" outlineLevel="0" collapsed="false">
      <c r="A1428" s="12"/>
      <c r="B1428" s="13"/>
      <c r="C1428" s="13"/>
      <c r="D1428" s="14"/>
      <c r="E1428" s="15"/>
      <c r="F1428" s="15"/>
      <c r="G1428" s="15"/>
      <c r="H1428" s="15"/>
      <c r="I1428" s="15"/>
      <c r="J1428" s="15"/>
      <c r="K1428" s="16" t="str">
        <f aca="false">IF(A1428="","",F1428+G1428+H1428+I1428)</f>
        <v/>
      </c>
      <c r="L1428" s="17" t="str">
        <f aca="false">IF(OR(K1428="",E1428=0,E1428=""),"",K1428/E1428)</f>
        <v/>
      </c>
      <c r="M1428" s="18" t="str">
        <f aca="false">IF(OR(A1428="",E1428=""),"",E1428+ROW()/1000000)</f>
        <v/>
      </c>
    </row>
    <row r="1429" customFormat="false" ht="15" hidden="false" customHeight="false" outlineLevel="0" collapsed="false">
      <c r="A1429" s="12"/>
      <c r="B1429" s="13"/>
      <c r="C1429" s="13"/>
      <c r="D1429" s="14"/>
      <c r="E1429" s="15"/>
      <c r="F1429" s="15"/>
      <c r="G1429" s="15"/>
      <c r="H1429" s="15"/>
      <c r="I1429" s="15"/>
      <c r="J1429" s="15"/>
      <c r="K1429" s="16" t="str">
        <f aca="false">IF(A1429="","",F1429+G1429+H1429+I1429)</f>
        <v/>
      </c>
      <c r="L1429" s="17" t="str">
        <f aca="false">IF(OR(K1429="",E1429=0,E1429=""),"",K1429/E1429)</f>
        <v/>
      </c>
      <c r="M1429" s="18" t="str">
        <f aca="false">IF(OR(A1429="",E1429=""),"",E1429+ROW()/1000000)</f>
        <v/>
      </c>
    </row>
    <row r="1430" customFormat="false" ht="15" hidden="false" customHeight="false" outlineLevel="0" collapsed="false">
      <c r="A1430" s="12"/>
      <c r="B1430" s="13"/>
      <c r="C1430" s="13"/>
      <c r="D1430" s="14"/>
      <c r="E1430" s="15"/>
      <c r="F1430" s="15"/>
      <c r="G1430" s="15"/>
      <c r="H1430" s="15"/>
      <c r="I1430" s="15"/>
      <c r="J1430" s="15"/>
      <c r="K1430" s="16" t="str">
        <f aca="false">IF(A1430="","",F1430+G1430+H1430+I1430)</f>
        <v/>
      </c>
      <c r="L1430" s="17" t="str">
        <f aca="false">IF(OR(K1430="",E1430=0,E1430=""),"",K1430/E1430)</f>
        <v/>
      </c>
      <c r="M1430" s="18" t="str">
        <f aca="false">IF(OR(A1430="",E1430=""),"",E1430+ROW()/1000000)</f>
        <v/>
      </c>
    </row>
    <row r="1431" customFormat="false" ht="15" hidden="false" customHeight="false" outlineLevel="0" collapsed="false">
      <c r="A1431" s="12"/>
      <c r="B1431" s="13"/>
      <c r="C1431" s="13"/>
      <c r="D1431" s="14"/>
      <c r="E1431" s="15"/>
      <c r="F1431" s="15"/>
      <c r="G1431" s="15"/>
      <c r="H1431" s="15"/>
      <c r="I1431" s="15"/>
      <c r="J1431" s="15"/>
      <c r="K1431" s="16" t="str">
        <f aca="false">IF(A1431="","",F1431+G1431+H1431+I1431)</f>
        <v/>
      </c>
      <c r="L1431" s="17" t="str">
        <f aca="false">IF(OR(K1431="",E1431=0,E1431=""),"",K1431/E1431)</f>
        <v/>
      </c>
      <c r="M1431" s="18" t="str">
        <f aca="false">IF(OR(A1431="",E1431=""),"",E1431+ROW()/1000000)</f>
        <v/>
      </c>
    </row>
    <row r="1432" customFormat="false" ht="15" hidden="false" customHeight="false" outlineLevel="0" collapsed="false">
      <c r="A1432" s="12"/>
      <c r="B1432" s="13"/>
      <c r="C1432" s="13"/>
      <c r="D1432" s="14"/>
      <c r="E1432" s="15"/>
      <c r="F1432" s="15"/>
      <c r="G1432" s="15"/>
      <c r="H1432" s="15"/>
      <c r="I1432" s="15"/>
      <c r="J1432" s="15"/>
      <c r="K1432" s="16" t="str">
        <f aca="false">IF(A1432="","",F1432+G1432+H1432+I1432)</f>
        <v/>
      </c>
      <c r="L1432" s="17" t="str">
        <f aca="false">IF(OR(K1432="",E1432=0,E1432=""),"",K1432/E1432)</f>
        <v/>
      </c>
      <c r="M1432" s="18" t="str">
        <f aca="false">IF(OR(A1432="",E1432=""),"",E1432+ROW()/1000000)</f>
        <v/>
      </c>
    </row>
    <row r="1433" customFormat="false" ht="15" hidden="false" customHeight="false" outlineLevel="0" collapsed="false">
      <c r="A1433" s="12"/>
      <c r="B1433" s="13"/>
      <c r="C1433" s="13"/>
      <c r="D1433" s="14"/>
      <c r="E1433" s="15"/>
      <c r="F1433" s="15"/>
      <c r="G1433" s="15"/>
      <c r="H1433" s="15"/>
      <c r="I1433" s="15"/>
      <c r="J1433" s="15"/>
      <c r="K1433" s="16" t="str">
        <f aca="false">IF(A1433="","",F1433+G1433+H1433+I1433)</f>
        <v/>
      </c>
      <c r="L1433" s="17" t="str">
        <f aca="false">IF(OR(K1433="",E1433=0,E1433=""),"",K1433/E1433)</f>
        <v/>
      </c>
      <c r="M1433" s="18" t="str">
        <f aca="false">IF(OR(A1433="",E1433=""),"",E1433+ROW()/1000000)</f>
        <v/>
      </c>
    </row>
    <row r="1434" customFormat="false" ht="15" hidden="false" customHeight="false" outlineLevel="0" collapsed="false">
      <c r="A1434" s="12"/>
      <c r="B1434" s="13"/>
      <c r="C1434" s="13"/>
      <c r="D1434" s="14"/>
      <c r="E1434" s="15"/>
      <c r="F1434" s="15"/>
      <c r="G1434" s="15"/>
      <c r="H1434" s="15"/>
      <c r="I1434" s="15"/>
      <c r="J1434" s="15"/>
      <c r="K1434" s="16" t="str">
        <f aca="false">IF(A1434="","",F1434+G1434+H1434+I1434)</f>
        <v/>
      </c>
      <c r="L1434" s="17" t="str">
        <f aca="false">IF(OR(K1434="",E1434=0,E1434=""),"",K1434/E1434)</f>
        <v/>
      </c>
      <c r="M1434" s="18" t="str">
        <f aca="false">IF(OR(A1434="",E1434=""),"",E1434+ROW()/1000000)</f>
        <v/>
      </c>
    </row>
    <row r="1435" customFormat="false" ht="15" hidden="false" customHeight="false" outlineLevel="0" collapsed="false">
      <c r="A1435" s="12"/>
      <c r="B1435" s="13"/>
      <c r="C1435" s="13"/>
      <c r="D1435" s="14"/>
      <c r="E1435" s="15"/>
      <c r="F1435" s="15"/>
      <c r="G1435" s="15"/>
      <c r="H1435" s="15"/>
      <c r="I1435" s="15"/>
      <c r="J1435" s="15"/>
      <c r="K1435" s="16" t="str">
        <f aca="false">IF(A1435="","",F1435+G1435+H1435+I1435)</f>
        <v/>
      </c>
      <c r="L1435" s="17" t="str">
        <f aca="false">IF(OR(K1435="",E1435=0,E1435=""),"",K1435/E1435)</f>
        <v/>
      </c>
      <c r="M1435" s="18" t="str">
        <f aca="false">IF(OR(A1435="",E1435=""),"",E1435+ROW()/1000000)</f>
        <v/>
      </c>
    </row>
    <row r="1436" customFormat="false" ht="15" hidden="false" customHeight="false" outlineLevel="0" collapsed="false">
      <c r="A1436" s="12"/>
      <c r="B1436" s="13"/>
      <c r="C1436" s="13"/>
      <c r="D1436" s="14"/>
      <c r="E1436" s="15"/>
      <c r="F1436" s="15"/>
      <c r="G1436" s="15"/>
      <c r="H1436" s="15"/>
      <c r="I1436" s="15"/>
      <c r="J1436" s="15"/>
      <c r="K1436" s="16" t="str">
        <f aca="false">IF(A1436="","",F1436+G1436+H1436+I1436)</f>
        <v/>
      </c>
      <c r="L1436" s="17" t="str">
        <f aca="false">IF(OR(K1436="",E1436=0,E1436=""),"",K1436/E1436)</f>
        <v/>
      </c>
      <c r="M1436" s="18" t="str">
        <f aca="false">IF(OR(A1436="",E1436=""),"",E1436+ROW()/1000000)</f>
        <v/>
      </c>
    </row>
    <row r="1437" customFormat="false" ht="15" hidden="false" customHeight="false" outlineLevel="0" collapsed="false">
      <c r="A1437" s="12"/>
      <c r="B1437" s="13"/>
      <c r="C1437" s="13"/>
      <c r="D1437" s="14"/>
      <c r="E1437" s="15"/>
      <c r="F1437" s="15"/>
      <c r="G1437" s="15"/>
      <c r="H1437" s="15"/>
      <c r="I1437" s="15"/>
      <c r="J1437" s="15"/>
      <c r="K1437" s="16" t="str">
        <f aca="false">IF(A1437="","",F1437+G1437+H1437+I1437)</f>
        <v/>
      </c>
      <c r="L1437" s="17" t="str">
        <f aca="false">IF(OR(K1437="",E1437=0,E1437=""),"",K1437/E1437)</f>
        <v/>
      </c>
      <c r="M1437" s="18" t="str">
        <f aca="false">IF(OR(A1437="",E1437=""),"",E1437+ROW()/1000000)</f>
        <v/>
      </c>
    </row>
    <row r="1438" customFormat="false" ht="15" hidden="false" customHeight="false" outlineLevel="0" collapsed="false">
      <c r="A1438" s="12"/>
      <c r="B1438" s="13"/>
      <c r="C1438" s="13"/>
      <c r="D1438" s="14"/>
      <c r="E1438" s="15"/>
      <c r="F1438" s="15"/>
      <c r="G1438" s="15"/>
      <c r="H1438" s="15"/>
      <c r="I1438" s="15"/>
      <c r="J1438" s="15"/>
      <c r="K1438" s="16" t="str">
        <f aca="false">IF(A1438="","",F1438+G1438+H1438+I1438)</f>
        <v/>
      </c>
      <c r="L1438" s="17" t="str">
        <f aca="false">IF(OR(K1438="",E1438=0,E1438=""),"",K1438/E1438)</f>
        <v/>
      </c>
      <c r="M1438" s="18" t="str">
        <f aca="false">IF(OR(A1438="",E1438=""),"",E1438+ROW()/1000000)</f>
        <v/>
      </c>
    </row>
    <row r="1439" customFormat="false" ht="15" hidden="false" customHeight="false" outlineLevel="0" collapsed="false">
      <c r="A1439" s="12"/>
      <c r="B1439" s="13"/>
      <c r="C1439" s="13"/>
      <c r="D1439" s="14"/>
      <c r="E1439" s="15"/>
      <c r="F1439" s="15"/>
      <c r="G1439" s="15"/>
      <c r="H1439" s="15"/>
      <c r="I1439" s="15"/>
      <c r="J1439" s="15"/>
      <c r="K1439" s="16" t="str">
        <f aca="false">IF(A1439="","",F1439+G1439+H1439+I1439)</f>
        <v/>
      </c>
      <c r="L1439" s="17" t="str">
        <f aca="false">IF(OR(K1439="",E1439=0,E1439=""),"",K1439/E1439)</f>
        <v/>
      </c>
      <c r="M1439" s="18" t="str">
        <f aca="false">IF(OR(A1439="",E1439=""),"",E1439+ROW()/1000000)</f>
        <v/>
      </c>
    </row>
    <row r="1440" customFormat="false" ht="15" hidden="false" customHeight="false" outlineLevel="0" collapsed="false">
      <c r="A1440" s="12"/>
      <c r="B1440" s="13"/>
      <c r="C1440" s="13"/>
      <c r="D1440" s="14"/>
      <c r="E1440" s="15"/>
      <c r="F1440" s="15"/>
      <c r="G1440" s="15"/>
      <c r="H1440" s="15"/>
      <c r="I1440" s="15"/>
      <c r="J1440" s="15"/>
      <c r="K1440" s="16" t="str">
        <f aca="false">IF(A1440="","",F1440+G1440+H1440+I1440)</f>
        <v/>
      </c>
      <c r="L1440" s="17" t="str">
        <f aca="false">IF(OR(K1440="",E1440=0,E1440=""),"",K1440/E1440)</f>
        <v/>
      </c>
      <c r="M1440" s="18" t="str">
        <f aca="false">IF(OR(A1440="",E1440=""),"",E1440+ROW()/1000000)</f>
        <v/>
      </c>
    </row>
    <row r="1441" customFormat="false" ht="15" hidden="false" customHeight="false" outlineLevel="0" collapsed="false">
      <c r="A1441" s="12"/>
      <c r="B1441" s="13"/>
      <c r="C1441" s="13"/>
      <c r="D1441" s="14"/>
      <c r="E1441" s="15"/>
      <c r="F1441" s="15"/>
      <c r="G1441" s="15"/>
      <c r="H1441" s="15"/>
      <c r="I1441" s="15"/>
      <c r="J1441" s="15"/>
      <c r="K1441" s="16" t="str">
        <f aca="false">IF(A1441="","",F1441+G1441+H1441+I1441)</f>
        <v/>
      </c>
      <c r="L1441" s="17" t="str">
        <f aca="false">IF(OR(K1441="",E1441=0,E1441=""),"",K1441/E1441)</f>
        <v/>
      </c>
      <c r="M1441" s="18" t="str">
        <f aca="false">IF(OR(A1441="",E1441=""),"",E1441+ROW()/1000000)</f>
        <v/>
      </c>
    </row>
    <row r="1442" customFormat="false" ht="15" hidden="false" customHeight="false" outlineLevel="0" collapsed="false">
      <c r="A1442" s="12"/>
      <c r="B1442" s="13"/>
      <c r="C1442" s="13"/>
      <c r="D1442" s="14"/>
      <c r="E1442" s="15"/>
      <c r="F1442" s="15"/>
      <c r="G1442" s="15"/>
      <c r="H1442" s="15"/>
      <c r="I1442" s="15"/>
      <c r="J1442" s="15"/>
      <c r="K1442" s="16" t="str">
        <f aca="false">IF(A1442="","",F1442+G1442+H1442+I1442)</f>
        <v/>
      </c>
      <c r="L1442" s="17" t="str">
        <f aca="false">IF(OR(K1442="",E1442=0,E1442=""),"",K1442/E1442)</f>
        <v/>
      </c>
      <c r="M1442" s="18" t="str">
        <f aca="false">IF(OR(A1442="",E1442=""),"",E1442+ROW()/1000000)</f>
        <v/>
      </c>
    </row>
    <row r="1443" customFormat="false" ht="15" hidden="false" customHeight="false" outlineLevel="0" collapsed="false">
      <c r="A1443" s="12"/>
      <c r="B1443" s="13"/>
      <c r="C1443" s="13"/>
      <c r="D1443" s="14"/>
      <c r="E1443" s="15"/>
      <c r="F1443" s="15"/>
      <c r="G1443" s="15"/>
      <c r="H1443" s="15"/>
      <c r="I1443" s="15"/>
      <c r="J1443" s="15"/>
      <c r="K1443" s="16" t="str">
        <f aca="false">IF(A1443="","",F1443+G1443+H1443+I1443)</f>
        <v/>
      </c>
      <c r="L1443" s="17" t="str">
        <f aca="false">IF(OR(K1443="",E1443=0,E1443=""),"",K1443/E1443)</f>
        <v/>
      </c>
      <c r="M1443" s="18" t="str">
        <f aca="false">IF(OR(A1443="",E1443=""),"",E1443+ROW()/1000000)</f>
        <v/>
      </c>
    </row>
    <row r="1444" customFormat="false" ht="15" hidden="false" customHeight="false" outlineLevel="0" collapsed="false">
      <c r="A1444" s="12"/>
      <c r="B1444" s="13"/>
      <c r="C1444" s="13"/>
      <c r="D1444" s="14"/>
      <c r="E1444" s="15"/>
      <c r="F1444" s="15"/>
      <c r="G1444" s="15"/>
      <c r="H1444" s="15"/>
      <c r="I1444" s="15"/>
      <c r="J1444" s="15"/>
      <c r="K1444" s="16" t="str">
        <f aca="false">IF(A1444="","",F1444+G1444+H1444+I1444)</f>
        <v/>
      </c>
      <c r="L1444" s="17" t="str">
        <f aca="false">IF(OR(K1444="",E1444=0,E1444=""),"",K1444/E1444)</f>
        <v/>
      </c>
      <c r="M1444" s="18" t="str">
        <f aca="false">IF(OR(A1444="",E1444=""),"",E1444+ROW()/1000000)</f>
        <v/>
      </c>
    </row>
    <row r="1445" customFormat="false" ht="15" hidden="false" customHeight="false" outlineLevel="0" collapsed="false">
      <c r="A1445" s="12"/>
      <c r="B1445" s="13"/>
      <c r="C1445" s="13"/>
      <c r="D1445" s="14"/>
      <c r="E1445" s="15"/>
      <c r="F1445" s="15"/>
      <c r="G1445" s="15"/>
      <c r="H1445" s="15"/>
      <c r="I1445" s="15"/>
      <c r="J1445" s="15"/>
      <c r="K1445" s="16" t="str">
        <f aca="false">IF(A1445="","",F1445+G1445+H1445+I1445)</f>
        <v/>
      </c>
      <c r="L1445" s="17" t="str">
        <f aca="false">IF(OR(K1445="",E1445=0,E1445=""),"",K1445/E1445)</f>
        <v/>
      </c>
      <c r="M1445" s="18" t="str">
        <f aca="false">IF(OR(A1445="",E1445=""),"",E1445+ROW()/1000000)</f>
        <v/>
      </c>
    </row>
    <row r="1446" customFormat="false" ht="15" hidden="false" customHeight="false" outlineLevel="0" collapsed="false">
      <c r="A1446" s="12"/>
      <c r="B1446" s="13"/>
      <c r="C1446" s="13"/>
      <c r="D1446" s="14"/>
      <c r="E1446" s="15"/>
      <c r="F1446" s="15"/>
      <c r="G1446" s="15"/>
      <c r="H1446" s="15"/>
      <c r="I1446" s="15"/>
      <c r="J1446" s="15"/>
      <c r="K1446" s="16" t="str">
        <f aca="false">IF(A1446="","",F1446+G1446+H1446+I1446)</f>
        <v/>
      </c>
      <c r="L1446" s="17" t="str">
        <f aca="false">IF(OR(K1446="",E1446=0,E1446=""),"",K1446/E1446)</f>
        <v/>
      </c>
      <c r="M1446" s="18" t="str">
        <f aca="false">IF(OR(A1446="",E1446=""),"",E1446+ROW()/1000000)</f>
        <v/>
      </c>
    </row>
    <row r="1447" customFormat="false" ht="15" hidden="false" customHeight="false" outlineLevel="0" collapsed="false">
      <c r="A1447" s="12"/>
      <c r="B1447" s="13"/>
      <c r="C1447" s="13"/>
      <c r="D1447" s="14"/>
      <c r="E1447" s="15"/>
      <c r="F1447" s="15"/>
      <c r="G1447" s="15"/>
      <c r="H1447" s="15"/>
      <c r="I1447" s="15"/>
      <c r="J1447" s="15"/>
      <c r="K1447" s="16" t="str">
        <f aca="false">IF(A1447="","",F1447+G1447+H1447+I1447)</f>
        <v/>
      </c>
      <c r="L1447" s="17" t="str">
        <f aca="false">IF(OR(K1447="",E1447=0,E1447=""),"",K1447/E1447)</f>
        <v/>
      </c>
      <c r="M1447" s="18" t="str">
        <f aca="false">IF(OR(A1447="",E1447=""),"",E1447+ROW()/1000000)</f>
        <v/>
      </c>
    </row>
    <row r="1448" customFormat="false" ht="15" hidden="false" customHeight="false" outlineLevel="0" collapsed="false">
      <c r="A1448" s="12"/>
      <c r="B1448" s="13"/>
      <c r="C1448" s="13"/>
      <c r="D1448" s="14"/>
      <c r="E1448" s="15"/>
      <c r="F1448" s="15"/>
      <c r="G1448" s="15"/>
      <c r="H1448" s="15"/>
      <c r="I1448" s="15"/>
      <c r="J1448" s="15"/>
      <c r="K1448" s="16" t="str">
        <f aca="false">IF(A1448="","",F1448+G1448+H1448+I1448)</f>
        <v/>
      </c>
      <c r="L1448" s="17" t="str">
        <f aca="false">IF(OR(K1448="",E1448=0,E1448=""),"",K1448/E1448)</f>
        <v/>
      </c>
      <c r="M1448" s="18" t="str">
        <f aca="false">IF(OR(A1448="",E1448=""),"",E1448+ROW()/1000000)</f>
        <v/>
      </c>
    </row>
    <row r="1449" customFormat="false" ht="15" hidden="false" customHeight="false" outlineLevel="0" collapsed="false">
      <c r="A1449" s="12"/>
      <c r="B1449" s="13"/>
      <c r="C1449" s="13"/>
      <c r="D1449" s="14"/>
      <c r="E1449" s="15"/>
      <c r="F1449" s="15"/>
      <c r="G1449" s="15"/>
      <c r="H1449" s="15"/>
      <c r="I1449" s="15"/>
      <c r="J1449" s="15"/>
      <c r="K1449" s="16" t="str">
        <f aca="false">IF(A1449="","",F1449+G1449+H1449+I1449)</f>
        <v/>
      </c>
      <c r="L1449" s="17" t="str">
        <f aca="false">IF(OR(K1449="",E1449=0,E1449=""),"",K1449/E1449)</f>
        <v/>
      </c>
      <c r="M1449" s="18" t="str">
        <f aca="false">IF(OR(A1449="",E1449=""),"",E1449+ROW()/1000000)</f>
        <v/>
      </c>
    </row>
    <row r="1450" customFormat="false" ht="15" hidden="false" customHeight="false" outlineLevel="0" collapsed="false">
      <c r="A1450" s="12"/>
      <c r="B1450" s="13"/>
      <c r="C1450" s="13"/>
      <c r="D1450" s="14"/>
      <c r="E1450" s="15"/>
      <c r="F1450" s="15"/>
      <c r="G1450" s="15"/>
      <c r="H1450" s="15"/>
      <c r="I1450" s="15"/>
      <c r="J1450" s="15"/>
      <c r="K1450" s="16" t="str">
        <f aca="false">IF(A1450="","",F1450+G1450+H1450+I1450)</f>
        <v/>
      </c>
      <c r="L1450" s="17" t="str">
        <f aca="false">IF(OR(K1450="",E1450=0,E1450=""),"",K1450/E1450)</f>
        <v/>
      </c>
      <c r="M1450" s="18" t="str">
        <f aca="false">IF(OR(A1450="",E1450=""),"",E1450+ROW()/1000000)</f>
        <v/>
      </c>
    </row>
    <row r="1451" customFormat="false" ht="15" hidden="false" customHeight="false" outlineLevel="0" collapsed="false">
      <c r="A1451" s="12"/>
      <c r="B1451" s="13"/>
      <c r="C1451" s="13"/>
      <c r="D1451" s="14"/>
      <c r="E1451" s="15"/>
      <c r="F1451" s="15"/>
      <c r="G1451" s="15"/>
      <c r="H1451" s="15"/>
      <c r="I1451" s="15"/>
      <c r="J1451" s="15"/>
      <c r="K1451" s="16" t="str">
        <f aca="false">IF(A1451="","",F1451+G1451+H1451+I1451)</f>
        <v/>
      </c>
      <c r="L1451" s="17" t="str">
        <f aca="false">IF(OR(K1451="",E1451=0,E1451=""),"",K1451/E1451)</f>
        <v/>
      </c>
      <c r="M1451" s="18" t="str">
        <f aca="false">IF(OR(A1451="",E1451=""),"",E1451+ROW()/1000000)</f>
        <v/>
      </c>
    </row>
    <row r="1452" customFormat="false" ht="15" hidden="false" customHeight="false" outlineLevel="0" collapsed="false">
      <c r="A1452" s="12"/>
      <c r="B1452" s="13"/>
      <c r="C1452" s="13"/>
      <c r="D1452" s="14"/>
      <c r="E1452" s="15"/>
      <c r="F1452" s="15"/>
      <c r="G1452" s="15"/>
      <c r="H1452" s="15"/>
      <c r="I1452" s="15"/>
      <c r="J1452" s="15"/>
      <c r="K1452" s="16" t="str">
        <f aca="false">IF(A1452="","",F1452+G1452+H1452+I1452)</f>
        <v/>
      </c>
      <c r="L1452" s="17" t="str">
        <f aca="false">IF(OR(K1452="",E1452=0,E1452=""),"",K1452/E1452)</f>
        <v/>
      </c>
      <c r="M1452" s="18" t="str">
        <f aca="false">IF(OR(A1452="",E1452=""),"",E1452+ROW()/1000000)</f>
        <v/>
      </c>
    </row>
    <row r="1453" customFormat="false" ht="15" hidden="false" customHeight="false" outlineLevel="0" collapsed="false">
      <c r="A1453" s="12"/>
      <c r="B1453" s="13"/>
      <c r="C1453" s="13"/>
      <c r="D1453" s="14"/>
      <c r="E1453" s="15"/>
      <c r="F1453" s="15"/>
      <c r="G1453" s="15"/>
      <c r="H1453" s="15"/>
      <c r="I1453" s="15"/>
      <c r="J1453" s="15"/>
      <c r="K1453" s="16" t="str">
        <f aca="false">IF(A1453="","",F1453+G1453+H1453+I1453)</f>
        <v/>
      </c>
      <c r="L1453" s="17" t="str">
        <f aca="false">IF(OR(K1453="",E1453=0,E1453=""),"",K1453/E1453)</f>
        <v/>
      </c>
      <c r="M1453" s="18" t="str">
        <f aca="false">IF(OR(A1453="",E1453=""),"",E1453+ROW()/1000000)</f>
        <v/>
      </c>
    </row>
    <row r="1454" customFormat="false" ht="15" hidden="false" customHeight="false" outlineLevel="0" collapsed="false">
      <c r="A1454" s="12"/>
      <c r="B1454" s="13"/>
      <c r="C1454" s="13"/>
      <c r="D1454" s="14"/>
      <c r="E1454" s="15"/>
      <c r="F1454" s="15"/>
      <c r="G1454" s="15"/>
      <c r="H1454" s="15"/>
      <c r="I1454" s="15"/>
      <c r="J1454" s="15"/>
      <c r="K1454" s="16" t="str">
        <f aca="false">IF(A1454="","",F1454+G1454+H1454+I1454)</f>
        <v/>
      </c>
      <c r="L1454" s="17" t="str">
        <f aca="false">IF(OR(K1454="",E1454=0,E1454=""),"",K1454/E1454)</f>
        <v/>
      </c>
      <c r="M1454" s="18" t="str">
        <f aca="false">IF(OR(A1454="",E1454=""),"",E1454+ROW()/1000000)</f>
        <v/>
      </c>
    </row>
    <row r="1455" customFormat="false" ht="15" hidden="false" customHeight="false" outlineLevel="0" collapsed="false">
      <c r="A1455" s="12"/>
      <c r="B1455" s="13"/>
      <c r="C1455" s="13"/>
      <c r="D1455" s="14"/>
      <c r="E1455" s="15"/>
      <c r="F1455" s="15"/>
      <c r="G1455" s="15"/>
      <c r="H1455" s="15"/>
      <c r="I1455" s="15"/>
      <c r="J1455" s="15"/>
      <c r="K1455" s="16" t="str">
        <f aca="false">IF(A1455="","",F1455+G1455+H1455+I1455)</f>
        <v/>
      </c>
      <c r="L1455" s="17" t="str">
        <f aca="false">IF(OR(K1455="",E1455=0,E1455=""),"",K1455/E1455)</f>
        <v/>
      </c>
      <c r="M1455" s="18" t="str">
        <f aca="false">IF(OR(A1455="",E1455=""),"",E1455+ROW()/1000000)</f>
        <v/>
      </c>
    </row>
    <row r="1456" customFormat="false" ht="15" hidden="false" customHeight="false" outlineLevel="0" collapsed="false">
      <c r="A1456" s="12"/>
      <c r="B1456" s="13"/>
      <c r="C1456" s="13"/>
      <c r="D1456" s="14"/>
      <c r="E1456" s="15"/>
      <c r="F1456" s="15"/>
      <c r="G1456" s="15"/>
      <c r="H1456" s="15"/>
      <c r="I1456" s="15"/>
      <c r="J1456" s="15"/>
      <c r="K1456" s="16" t="str">
        <f aca="false">IF(A1456="","",F1456+G1456+H1456+I1456)</f>
        <v/>
      </c>
      <c r="L1456" s="17" t="str">
        <f aca="false">IF(OR(K1456="",E1456=0,E1456=""),"",K1456/E1456)</f>
        <v/>
      </c>
      <c r="M1456" s="18" t="str">
        <f aca="false">IF(OR(A1456="",E1456=""),"",E1456+ROW()/1000000)</f>
        <v/>
      </c>
    </row>
    <row r="1457" customFormat="false" ht="15" hidden="false" customHeight="false" outlineLevel="0" collapsed="false">
      <c r="A1457" s="12"/>
      <c r="B1457" s="13"/>
      <c r="C1457" s="13"/>
      <c r="D1457" s="14"/>
      <c r="E1457" s="15"/>
      <c r="F1457" s="15"/>
      <c r="G1457" s="15"/>
      <c r="H1457" s="15"/>
      <c r="I1457" s="15"/>
      <c r="J1457" s="15"/>
      <c r="K1457" s="16" t="str">
        <f aca="false">IF(A1457="","",F1457+G1457+H1457+I1457)</f>
        <v/>
      </c>
      <c r="L1457" s="17" t="str">
        <f aca="false">IF(OR(K1457="",E1457=0,E1457=""),"",K1457/E1457)</f>
        <v/>
      </c>
      <c r="M1457" s="18" t="str">
        <f aca="false">IF(OR(A1457="",E1457=""),"",E1457+ROW()/1000000)</f>
        <v/>
      </c>
    </row>
    <row r="1458" customFormat="false" ht="15" hidden="false" customHeight="false" outlineLevel="0" collapsed="false">
      <c r="A1458" s="12"/>
      <c r="B1458" s="13"/>
      <c r="C1458" s="13"/>
      <c r="D1458" s="14"/>
      <c r="E1458" s="15"/>
      <c r="F1458" s="15"/>
      <c r="G1458" s="15"/>
      <c r="H1458" s="15"/>
      <c r="I1458" s="15"/>
      <c r="J1458" s="15"/>
      <c r="K1458" s="16" t="str">
        <f aca="false">IF(A1458="","",F1458+G1458+H1458+I1458)</f>
        <v/>
      </c>
      <c r="L1458" s="17" t="str">
        <f aca="false">IF(OR(K1458="",E1458=0,E1458=""),"",K1458/E1458)</f>
        <v/>
      </c>
      <c r="M1458" s="18" t="str">
        <f aca="false">IF(OR(A1458="",E1458=""),"",E1458+ROW()/1000000)</f>
        <v/>
      </c>
    </row>
    <row r="1459" customFormat="false" ht="15" hidden="false" customHeight="false" outlineLevel="0" collapsed="false">
      <c r="A1459" s="12"/>
      <c r="B1459" s="13"/>
      <c r="C1459" s="13"/>
      <c r="D1459" s="14"/>
      <c r="E1459" s="15"/>
      <c r="F1459" s="15"/>
      <c r="G1459" s="15"/>
      <c r="H1459" s="15"/>
      <c r="I1459" s="15"/>
      <c r="J1459" s="15"/>
      <c r="K1459" s="16" t="str">
        <f aca="false">IF(A1459="","",F1459+G1459+H1459+I1459)</f>
        <v/>
      </c>
      <c r="L1459" s="17" t="str">
        <f aca="false">IF(OR(K1459="",E1459=0,E1459=""),"",K1459/E1459)</f>
        <v/>
      </c>
      <c r="M1459" s="18" t="str">
        <f aca="false">IF(OR(A1459="",E1459=""),"",E1459+ROW()/1000000)</f>
        <v/>
      </c>
    </row>
    <row r="1460" customFormat="false" ht="15" hidden="false" customHeight="false" outlineLevel="0" collapsed="false">
      <c r="A1460" s="12"/>
      <c r="B1460" s="13"/>
      <c r="C1460" s="13"/>
      <c r="D1460" s="14"/>
      <c r="E1460" s="15"/>
      <c r="F1460" s="15"/>
      <c r="G1460" s="15"/>
      <c r="H1460" s="15"/>
      <c r="I1460" s="15"/>
      <c r="J1460" s="15"/>
      <c r="K1460" s="16" t="str">
        <f aca="false">IF(A1460="","",F1460+G1460+H1460+I1460)</f>
        <v/>
      </c>
      <c r="L1460" s="17" t="str">
        <f aca="false">IF(OR(K1460="",E1460=0,E1460=""),"",K1460/E1460)</f>
        <v/>
      </c>
      <c r="M1460" s="18" t="str">
        <f aca="false">IF(OR(A1460="",E1460=""),"",E1460+ROW()/1000000)</f>
        <v/>
      </c>
    </row>
    <row r="1461" customFormat="false" ht="15" hidden="false" customHeight="false" outlineLevel="0" collapsed="false">
      <c r="A1461" s="12"/>
      <c r="B1461" s="13"/>
      <c r="C1461" s="13"/>
      <c r="D1461" s="14"/>
      <c r="E1461" s="15"/>
      <c r="F1461" s="15"/>
      <c r="G1461" s="15"/>
      <c r="H1461" s="15"/>
      <c r="I1461" s="15"/>
      <c r="J1461" s="15"/>
      <c r="K1461" s="16" t="str">
        <f aca="false">IF(A1461="","",F1461+G1461+H1461+I1461)</f>
        <v/>
      </c>
      <c r="L1461" s="17" t="str">
        <f aca="false">IF(OR(K1461="",E1461=0,E1461=""),"",K1461/E1461)</f>
        <v/>
      </c>
      <c r="M1461" s="18" t="str">
        <f aca="false">IF(OR(A1461="",E1461=""),"",E1461+ROW()/1000000)</f>
        <v/>
      </c>
    </row>
    <row r="1462" customFormat="false" ht="15" hidden="false" customHeight="false" outlineLevel="0" collapsed="false">
      <c r="A1462" s="12"/>
      <c r="B1462" s="13"/>
      <c r="C1462" s="13"/>
      <c r="D1462" s="14"/>
      <c r="E1462" s="15"/>
      <c r="F1462" s="15"/>
      <c r="G1462" s="15"/>
      <c r="H1462" s="15"/>
      <c r="I1462" s="15"/>
      <c r="J1462" s="15"/>
      <c r="K1462" s="16" t="str">
        <f aca="false">IF(A1462="","",F1462+G1462+H1462+I1462)</f>
        <v/>
      </c>
      <c r="L1462" s="17" t="str">
        <f aca="false">IF(OR(K1462="",E1462=0,E1462=""),"",K1462/E1462)</f>
        <v/>
      </c>
      <c r="M1462" s="18" t="str">
        <f aca="false">IF(OR(A1462="",E1462=""),"",E1462+ROW()/1000000)</f>
        <v/>
      </c>
    </row>
    <row r="1463" customFormat="false" ht="15" hidden="false" customHeight="false" outlineLevel="0" collapsed="false">
      <c r="A1463" s="12"/>
      <c r="B1463" s="13"/>
      <c r="C1463" s="13"/>
      <c r="D1463" s="14"/>
      <c r="E1463" s="15"/>
      <c r="F1463" s="15"/>
      <c r="G1463" s="15"/>
      <c r="H1463" s="15"/>
      <c r="I1463" s="15"/>
      <c r="J1463" s="15"/>
      <c r="K1463" s="16" t="str">
        <f aca="false">IF(A1463="","",F1463+G1463+H1463+I1463)</f>
        <v/>
      </c>
      <c r="L1463" s="17" t="str">
        <f aca="false">IF(OR(K1463="",E1463=0,E1463=""),"",K1463/E1463)</f>
        <v/>
      </c>
      <c r="M1463" s="18" t="str">
        <f aca="false">IF(OR(A1463="",E1463=""),"",E1463+ROW()/1000000)</f>
        <v/>
      </c>
    </row>
    <row r="1464" customFormat="false" ht="15" hidden="false" customHeight="false" outlineLevel="0" collapsed="false">
      <c r="A1464" s="12"/>
      <c r="B1464" s="13"/>
      <c r="C1464" s="13"/>
      <c r="D1464" s="14"/>
      <c r="E1464" s="15"/>
      <c r="F1464" s="15"/>
      <c r="G1464" s="15"/>
      <c r="H1464" s="15"/>
      <c r="I1464" s="15"/>
      <c r="J1464" s="15"/>
      <c r="K1464" s="16" t="str">
        <f aca="false">IF(A1464="","",F1464+G1464+H1464+I1464)</f>
        <v/>
      </c>
      <c r="L1464" s="17" t="str">
        <f aca="false">IF(OR(K1464="",E1464=0,E1464=""),"",K1464/E1464)</f>
        <v/>
      </c>
      <c r="M1464" s="18" t="str">
        <f aca="false">IF(OR(A1464="",E1464=""),"",E1464+ROW()/1000000)</f>
        <v/>
      </c>
    </row>
    <row r="1465" customFormat="false" ht="15" hidden="false" customHeight="false" outlineLevel="0" collapsed="false">
      <c r="A1465" s="12"/>
      <c r="B1465" s="13"/>
      <c r="C1465" s="13"/>
      <c r="D1465" s="14"/>
      <c r="E1465" s="15"/>
      <c r="F1465" s="15"/>
      <c r="G1465" s="15"/>
      <c r="H1465" s="15"/>
      <c r="I1465" s="15"/>
      <c r="J1465" s="15"/>
      <c r="K1465" s="16" t="str">
        <f aca="false">IF(A1465="","",F1465+G1465+H1465+I1465)</f>
        <v/>
      </c>
      <c r="L1465" s="17" t="str">
        <f aca="false">IF(OR(K1465="",E1465=0,E1465=""),"",K1465/E1465)</f>
        <v/>
      </c>
      <c r="M1465" s="18" t="str">
        <f aca="false">IF(OR(A1465="",E1465=""),"",E1465+ROW()/1000000)</f>
        <v/>
      </c>
    </row>
    <row r="1466" customFormat="false" ht="15" hidden="false" customHeight="false" outlineLevel="0" collapsed="false">
      <c r="A1466" s="12"/>
      <c r="B1466" s="13"/>
      <c r="C1466" s="13"/>
      <c r="D1466" s="14"/>
      <c r="E1466" s="15"/>
      <c r="F1466" s="15"/>
      <c r="G1466" s="15"/>
      <c r="H1466" s="15"/>
      <c r="I1466" s="15"/>
      <c r="J1466" s="15"/>
      <c r="K1466" s="16" t="str">
        <f aca="false">IF(A1466="","",F1466+G1466+H1466+I1466)</f>
        <v/>
      </c>
      <c r="L1466" s="17" t="str">
        <f aca="false">IF(OR(K1466="",E1466=0,E1466=""),"",K1466/E1466)</f>
        <v/>
      </c>
      <c r="M1466" s="18" t="str">
        <f aca="false">IF(OR(A1466="",E1466=""),"",E1466+ROW()/1000000)</f>
        <v/>
      </c>
    </row>
    <row r="1467" customFormat="false" ht="15" hidden="false" customHeight="false" outlineLevel="0" collapsed="false">
      <c r="A1467" s="12"/>
      <c r="B1467" s="13"/>
      <c r="C1467" s="13"/>
      <c r="D1467" s="14"/>
      <c r="E1467" s="15"/>
      <c r="F1467" s="15"/>
      <c r="G1467" s="15"/>
      <c r="H1467" s="15"/>
      <c r="I1467" s="15"/>
      <c r="J1467" s="15"/>
      <c r="K1467" s="16" t="str">
        <f aca="false">IF(A1467="","",F1467+G1467+H1467+I1467)</f>
        <v/>
      </c>
      <c r="L1467" s="17" t="str">
        <f aca="false">IF(OR(K1467="",E1467=0,E1467=""),"",K1467/E1467)</f>
        <v/>
      </c>
      <c r="M1467" s="18" t="str">
        <f aca="false">IF(OR(A1467="",E1467=""),"",E1467+ROW()/1000000)</f>
        <v/>
      </c>
    </row>
    <row r="1468" customFormat="false" ht="15" hidden="false" customHeight="false" outlineLevel="0" collapsed="false">
      <c r="A1468" s="12"/>
      <c r="B1468" s="13"/>
      <c r="C1468" s="13"/>
      <c r="D1468" s="14"/>
      <c r="E1468" s="15"/>
      <c r="F1468" s="15"/>
      <c r="G1468" s="15"/>
      <c r="H1468" s="15"/>
      <c r="I1468" s="15"/>
      <c r="J1468" s="15"/>
      <c r="K1468" s="16" t="str">
        <f aca="false">IF(A1468="","",F1468+G1468+H1468+I1468)</f>
        <v/>
      </c>
      <c r="L1468" s="17" t="str">
        <f aca="false">IF(OR(K1468="",E1468=0,E1468=""),"",K1468/E1468)</f>
        <v/>
      </c>
      <c r="M1468" s="18" t="str">
        <f aca="false">IF(OR(A1468="",E1468=""),"",E1468+ROW()/1000000)</f>
        <v/>
      </c>
    </row>
    <row r="1469" customFormat="false" ht="15" hidden="false" customHeight="false" outlineLevel="0" collapsed="false">
      <c r="A1469" s="12"/>
      <c r="B1469" s="13"/>
      <c r="C1469" s="13"/>
      <c r="D1469" s="14"/>
      <c r="E1469" s="15"/>
      <c r="F1469" s="15"/>
      <c r="G1469" s="15"/>
      <c r="H1469" s="15"/>
      <c r="I1469" s="15"/>
      <c r="J1469" s="15"/>
      <c r="K1469" s="16" t="str">
        <f aca="false">IF(A1469="","",F1469+G1469+H1469+I1469)</f>
        <v/>
      </c>
      <c r="L1469" s="17" t="str">
        <f aca="false">IF(OR(K1469="",E1469=0,E1469=""),"",K1469/E1469)</f>
        <v/>
      </c>
      <c r="M1469" s="18" t="str">
        <f aca="false">IF(OR(A1469="",E1469=""),"",E1469+ROW()/1000000)</f>
        <v/>
      </c>
    </row>
    <row r="1470" customFormat="false" ht="15" hidden="false" customHeight="false" outlineLevel="0" collapsed="false">
      <c r="A1470" s="12"/>
      <c r="B1470" s="13"/>
      <c r="C1470" s="13"/>
      <c r="D1470" s="14"/>
      <c r="E1470" s="15"/>
      <c r="F1470" s="15"/>
      <c r="G1470" s="15"/>
      <c r="H1470" s="15"/>
      <c r="I1470" s="15"/>
      <c r="J1470" s="15"/>
      <c r="K1470" s="16" t="str">
        <f aca="false">IF(A1470="","",F1470+G1470+H1470+I1470)</f>
        <v/>
      </c>
      <c r="L1470" s="17" t="str">
        <f aca="false">IF(OR(K1470="",E1470=0,E1470=""),"",K1470/E1470)</f>
        <v/>
      </c>
      <c r="M1470" s="18" t="str">
        <f aca="false">IF(OR(A1470="",E1470=""),"",E1470+ROW()/1000000)</f>
        <v/>
      </c>
    </row>
    <row r="1471" customFormat="false" ht="15" hidden="false" customHeight="false" outlineLevel="0" collapsed="false">
      <c r="A1471" s="12"/>
      <c r="B1471" s="13"/>
      <c r="C1471" s="13"/>
      <c r="D1471" s="14"/>
      <c r="E1471" s="15"/>
      <c r="F1471" s="15"/>
      <c r="G1471" s="15"/>
      <c r="H1471" s="15"/>
      <c r="I1471" s="15"/>
      <c r="J1471" s="15"/>
      <c r="K1471" s="16" t="str">
        <f aca="false">IF(A1471="","",F1471+G1471+H1471+I1471)</f>
        <v/>
      </c>
      <c r="L1471" s="17" t="str">
        <f aca="false">IF(OR(K1471="",E1471=0,E1471=""),"",K1471/E1471)</f>
        <v/>
      </c>
      <c r="M1471" s="18" t="str">
        <f aca="false">IF(OR(A1471="",E1471=""),"",E1471+ROW()/1000000)</f>
        <v/>
      </c>
    </row>
    <row r="1472" customFormat="false" ht="15" hidden="false" customHeight="false" outlineLevel="0" collapsed="false">
      <c r="A1472" s="12"/>
      <c r="B1472" s="13"/>
      <c r="C1472" s="13"/>
      <c r="D1472" s="14"/>
      <c r="E1472" s="15"/>
      <c r="F1472" s="15"/>
      <c r="G1472" s="15"/>
      <c r="H1472" s="15"/>
      <c r="I1472" s="15"/>
      <c r="J1472" s="15"/>
      <c r="K1472" s="16" t="str">
        <f aca="false">IF(A1472="","",F1472+G1472+H1472+I1472)</f>
        <v/>
      </c>
      <c r="L1472" s="17" t="str">
        <f aca="false">IF(OR(K1472="",E1472=0,E1472=""),"",K1472/E1472)</f>
        <v/>
      </c>
      <c r="M1472" s="18" t="str">
        <f aca="false">IF(OR(A1472="",E1472=""),"",E1472+ROW()/1000000)</f>
        <v/>
      </c>
    </row>
    <row r="1473" customFormat="false" ht="15" hidden="false" customHeight="false" outlineLevel="0" collapsed="false">
      <c r="A1473" s="12"/>
      <c r="B1473" s="13"/>
      <c r="C1473" s="13"/>
      <c r="D1473" s="14"/>
      <c r="E1473" s="15"/>
      <c r="F1473" s="15"/>
      <c r="G1473" s="15"/>
      <c r="H1473" s="15"/>
      <c r="I1473" s="15"/>
      <c r="J1473" s="15"/>
      <c r="K1473" s="16" t="str">
        <f aca="false">IF(A1473="","",F1473+G1473+H1473+I1473)</f>
        <v/>
      </c>
      <c r="L1473" s="17" t="str">
        <f aca="false">IF(OR(K1473="",E1473=0,E1473=""),"",K1473/E1473)</f>
        <v/>
      </c>
      <c r="M1473" s="18" t="str">
        <f aca="false">IF(OR(A1473="",E1473=""),"",E1473+ROW()/1000000)</f>
        <v/>
      </c>
    </row>
    <row r="1474" customFormat="false" ht="15" hidden="false" customHeight="false" outlineLevel="0" collapsed="false">
      <c r="A1474" s="12"/>
      <c r="B1474" s="13"/>
      <c r="C1474" s="13"/>
      <c r="D1474" s="14"/>
      <c r="E1474" s="15"/>
      <c r="F1474" s="15"/>
      <c r="G1474" s="15"/>
      <c r="H1474" s="15"/>
      <c r="I1474" s="15"/>
      <c r="J1474" s="15"/>
      <c r="K1474" s="16" t="str">
        <f aca="false">IF(A1474="","",F1474+G1474+H1474+I1474)</f>
        <v/>
      </c>
      <c r="L1474" s="17" t="str">
        <f aca="false">IF(OR(K1474="",E1474=0,E1474=""),"",K1474/E1474)</f>
        <v/>
      </c>
      <c r="M1474" s="18" t="str">
        <f aca="false">IF(OR(A1474="",E1474=""),"",E1474+ROW()/1000000)</f>
        <v/>
      </c>
    </row>
    <row r="1475" customFormat="false" ht="15" hidden="false" customHeight="false" outlineLevel="0" collapsed="false">
      <c r="A1475" s="12"/>
      <c r="B1475" s="13"/>
      <c r="C1475" s="13"/>
      <c r="D1475" s="14"/>
      <c r="E1475" s="15"/>
      <c r="F1475" s="15"/>
      <c r="G1475" s="15"/>
      <c r="H1475" s="15"/>
      <c r="I1475" s="15"/>
      <c r="J1475" s="15"/>
      <c r="K1475" s="16" t="str">
        <f aca="false">IF(A1475="","",F1475+G1475+H1475+I1475)</f>
        <v/>
      </c>
      <c r="L1475" s="17" t="str">
        <f aca="false">IF(OR(K1475="",E1475=0,E1475=""),"",K1475/E1475)</f>
        <v/>
      </c>
      <c r="M1475" s="18" t="str">
        <f aca="false">IF(OR(A1475="",E1475=""),"",E1475+ROW()/1000000)</f>
        <v/>
      </c>
    </row>
    <row r="1476" customFormat="false" ht="15" hidden="false" customHeight="false" outlineLevel="0" collapsed="false">
      <c r="A1476" s="12"/>
      <c r="B1476" s="13"/>
      <c r="C1476" s="13"/>
      <c r="D1476" s="14"/>
      <c r="E1476" s="15"/>
      <c r="F1476" s="15"/>
      <c r="G1476" s="15"/>
      <c r="H1476" s="15"/>
      <c r="I1476" s="15"/>
      <c r="J1476" s="15"/>
      <c r="K1476" s="16" t="str">
        <f aca="false">IF(A1476="","",F1476+G1476+H1476+I1476)</f>
        <v/>
      </c>
      <c r="L1476" s="17" t="str">
        <f aca="false">IF(OR(K1476="",E1476=0,E1476=""),"",K1476/E1476)</f>
        <v/>
      </c>
      <c r="M1476" s="18" t="str">
        <f aca="false">IF(OR(A1476="",E1476=""),"",E1476+ROW()/1000000)</f>
        <v/>
      </c>
    </row>
    <row r="1477" customFormat="false" ht="15" hidden="false" customHeight="false" outlineLevel="0" collapsed="false">
      <c r="A1477" s="12"/>
      <c r="B1477" s="13"/>
      <c r="C1477" s="13"/>
      <c r="D1477" s="14"/>
      <c r="E1477" s="15"/>
      <c r="F1477" s="15"/>
      <c r="G1477" s="15"/>
      <c r="H1477" s="15"/>
      <c r="I1477" s="15"/>
      <c r="J1477" s="15"/>
      <c r="K1477" s="16" t="str">
        <f aca="false">IF(A1477="","",F1477+G1477+H1477+I1477)</f>
        <v/>
      </c>
      <c r="L1477" s="17" t="str">
        <f aca="false">IF(OR(K1477="",E1477=0,E1477=""),"",K1477/E1477)</f>
        <v/>
      </c>
      <c r="M1477" s="18" t="str">
        <f aca="false">IF(OR(A1477="",E1477=""),"",E1477+ROW()/1000000)</f>
        <v/>
      </c>
    </row>
    <row r="1478" customFormat="false" ht="15" hidden="false" customHeight="false" outlineLevel="0" collapsed="false">
      <c r="A1478" s="12"/>
      <c r="B1478" s="13"/>
      <c r="C1478" s="13"/>
      <c r="D1478" s="14"/>
      <c r="E1478" s="15"/>
      <c r="F1478" s="15"/>
      <c r="G1478" s="15"/>
      <c r="H1478" s="15"/>
      <c r="I1478" s="15"/>
      <c r="J1478" s="15"/>
      <c r="K1478" s="16" t="str">
        <f aca="false">IF(A1478="","",F1478+G1478+H1478+I1478)</f>
        <v/>
      </c>
      <c r="L1478" s="17" t="str">
        <f aca="false">IF(OR(K1478="",E1478=0,E1478=""),"",K1478/E1478)</f>
        <v/>
      </c>
      <c r="M1478" s="18" t="str">
        <f aca="false">IF(OR(A1478="",E1478=""),"",E1478+ROW()/1000000)</f>
        <v/>
      </c>
    </row>
    <row r="1479" customFormat="false" ht="15" hidden="false" customHeight="false" outlineLevel="0" collapsed="false">
      <c r="A1479" s="12"/>
      <c r="B1479" s="13"/>
      <c r="C1479" s="13"/>
      <c r="D1479" s="14"/>
      <c r="E1479" s="15"/>
      <c r="F1479" s="15"/>
      <c r="G1479" s="15"/>
      <c r="H1479" s="15"/>
      <c r="I1479" s="15"/>
      <c r="J1479" s="15"/>
      <c r="K1479" s="16" t="str">
        <f aca="false">IF(A1479="","",F1479+G1479+H1479+I1479)</f>
        <v/>
      </c>
      <c r="L1479" s="17" t="str">
        <f aca="false">IF(OR(K1479="",E1479=0,E1479=""),"",K1479/E1479)</f>
        <v/>
      </c>
      <c r="M1479" s="18" t="str">
        <f aca="false">IF(OR(A1479="",E1479=""),"",E1479+ROW()/1000000)</f>
        <v/>
      </c>
    </row>
    <row r="1480" customFormat="false" ht="15" hidden="false" customHeight="false" outlineLevel="0" collapsed="false">
      <c r="A1480" s="12"/>
      <c r="B1480" s="13"/>
      <c r="C1480" s="13"/>
      <c r="D1480" s="14"/>
      <c r="E1480" s="15"/>
      <c r="F1480" s="15"/>
      <c r="G1480" s="15"/>
      <c r="H1480" s="15"/>
      <c r="I1480" s="15"/>
      <c r="J1480" s="15"/>
      <c r="K1480" s="16" t="str">
        <f aca="false">IF(A1480="","",F1480+G1480+H1480+I1480)</f>
        <v/>
      </c>
      <c r="L1480" s="17" t="str">
        <f aca="false">IF(OR(K1480="",E1480=0,E1480=""),"",K1480/E1480)</f>
        <v/>
      </c>
      <c r="M1480" s="18" t="str">
        <f aca="false">IF(OR(A1480="",E1480=""),"",E1480+ROW()/1000000)</f>
        <v/>
      </c>
    </row>
    <row r="1481" customFormat="false" ht="15" hidden="false" customHeight="false" outlineLevel="0" collapsed="false">
      <c r="A1481" s="12"/>
      <c r="B1481" s="13"/>
      <c r="C1481" s="13"/>
      <c r="D1481" s="14"/>
      <c r="E1481" s="15"/>
      <c r="F1481" s="15"/>
      <c r="G1481" s="15"/>
      <c r="H1481" s="15"/>
      <c r="I1481" s="15"/>
      <c r="J1481" s="15"/>
      <c r="K1481" s="16" t="str">
        <f aca="false">IF(A1481="","",F1481+G1481+H1481+I1481)</f>
        <v/>
      </c>
      <c r="L1481" s="17" t="str">
        <f aca="false">IF(OR(K1481="",E1481=0,E1481=""),"",K1481/E1481)</f>
        <v/>
      </c>
      <c r="M1481" s="18" t="str">
        <f aca="false">IF(OR(A1481="",E1481=""),"",E1481+ROW()/1000000)</f>
        <v/>
      </c>
    </row>
    <row r="1482" customFormat="false" ht="15" hidden="false" customHeight="false" outlineLevel="0" collapsed="false">
      <c r="A1482" s="12"/>
      <c r="B1482" s="13"/>
      <c r="C1482" s="13"/>
      <c r="D1482" s="14"/>
      <c r="E1482" s="15"/>
      <c r="F1482" s="15"/>
      <c r="G1482" s="15"/>
      <c r="H1482" s="15"/>
      <c r="I1482" s="15"/>
      <c r="J1482" s="15"/>
      <c r="K1482" s="16" t="str">
        <f aca="false">IF(A1482="","",F1482+G1482+H1482+I1482)</f>
        <v/>
      </c>
      <c r="L1482" s="17" t="str">
        <f aca="false">IF(OR(K1482="",E1482=0,E1482=""),"",K1482/E1482)</f>
        <v/>
      </c>
      <c r="M1482" s="18" t="str">
        <f aca="false">IF(OR(A1482="",E1482=""),"",E1482+ROW()/1000000)</f>
        <v/>
      </c>
    </row>
    <row r="1483" customFormat="false" ht="15" hidden="false" customHeight="false" outlineLevel="0" collapsed="false">
      <c r="A1483" s="12"/>
      <c r="B1483" s="13"/>
      <c r="C1483" s="13"/>
      <c r="D1483" s="14"/>
      <c r="E1483" s="15"/>
      <c r="F1483" s="15"/>
      <c r="G1483" s="15"/>
      <c r="H1483" s="15"/>
      <c r="I1483" s="15"/>
      <c r="J1483" s="15"/>
      <c r="K1483" s="16" t="str">
        <f aca="false">IF(A1483="","",F1483+G1483+H1483+I1483)</f>
        <v/>
      </c>
      <c r="L1483" s="17" t="str">
        <f aca="false">IF(OR(K1483="",E1483=0,E1483=""),"",K1483/E1483)</f>
        <v/>
      </c>
      <c r="M1483" s="18" t="str">
        <f aca="false">IF(OR(A1483="",E1483=""),"",E1483+ROW()/1000000)</f>
        <v/>
      </c>
    </row>
    <row r="1484" customFormat="false" ht="15" hidden="false" customHeight="false" outlineLevel="0" collapsed="false">
      <c r="A1484" s="12"/>
      <c r="B1484" s="13"/>
      <c r="C1484" s="13"/>
      <c r="D1484" s="14"/>
      <c r="E1484" s="15"/>
      <c r="F1484" s="15"/>
      <c r="G1484" s="15"/>
      <c r="H1484" s="15"/>
      <c r="I1484" s="15"/>
      <c r="J1484" s="15"/>
      <c r="K1484" s="16" t="str">
        <f aca="false">IF(A1484="","",F1484+G1484+H1484+I1484)</f>
        <v/>
      </c>
      <c r="L1484" s="17" t="str">
        <f aca="false">IF(OR(K1484="",E1484=0,E1484=""),"",K1484/E1484)</f>
        <v/>
      </c>
      <c r="M1484" s="18" t="str">
        <f aca="false">IF(OR(A1484="",E1484=""),"",E1484+ROW()/1000000)</f>
        <v/>
      </c>
    </row>
    <row r="1485" customFormat="false" ht="15" hidden="false" customHeight="false" outlineLevel="0" collapsed="false">
      <c r="A1485" s="12"/>
      <c r="B1485" s="13"/>
      <c r="C1485" s="13"/>
      <c r="D1485" s="14"/>
      <c r="E1485" s="15"/>
      <c r="F1485" s="15"/>
      <c r="G1485" s="15"/>
      <c r="H1485" s="15"/>
      <c r="I1485" s="15"/>
      <c r="J1485" s="15"/>
      <c r="K1485" s="16" t="str">
        <f aca="false">IF(A1485="","",F1485+G1485+H1485+I1485)</f>
        <v/>
      </c>
      <c r="L1485" s="17" t="str">
        <f aca="false">IF(OR(K1485="",E1485=0,E1485=""),"",K1485/E1485)</f>
        <v/>
      </c>
      <c r="M1485" s="18" t="str">
        <f aca="false">IF(OR(A1485="",E1485=""),"",E1485+ROW()/1000000)</f>
        <v/>
      </c>
    </row>
    <row r="1486" customFormat="false" ht="15" hidden="false" customHeight="false" outlineLevel="0" collapsed="false">
      <c r="A1486" s="12"/>
      <c r="B1486" s="13"/>
      <c r="C1486" s="13"/>
      <c r="D1486" s="14"/>
      <c r="E1486" s="15"/>
      <c r="F1486" s="15"/>
      <c r="G1486" s="15"/>
      <c r="H1486" s="15"/>
      <c r="I1486" s="15"/>
      <c r="J1486" s="15"/>
      <c r="K1486" s="16" t="str">
        <f aca="false">IF(A1486="","",F1486+G1486+H1486+I1486)</f>
        <v/>
      </c>
      <c r="L1486" s="17" t="str">
        <f aca="false">IF(OR(K1486="",E1486=0,E1486=""),"",K1486/E1486)</f>
        <v/>
      </c>
      <c r="M1486" s="18" t="str">
        <f aca="false">IF(OR(A1486="",E1486=""),"",E1486+ROW()/1000000)</f>
        <v/>
      </c>
    </row>
    <row r="1487" customFormat="false" ht="15" hidden="false" customHeight="false" outlineLevel="0" collapsed="false">
      <c r="A1487" s="12"/>
      <c r="B1487" s="13"/>
      <c r="C1487" s="13"/>
      <c r="D1487" s="14"/>
      <c r="E1487" s="15"/>
      <c r="F1487" s="15"/>
      <c r="G1487" s="15"/>
      <c r="H1487" s="15"/>
      <c r="I1487" s="15"/>
      <c r="J1487" s="15"/>
      <c r="K1487" s="16" t="str">
        <f aca="false">IF(A1487="","",F1487+G1487+H1487+I1487)</f>
        <v/>
      </c>
      <c r="L1487" s="17" t="str">
        <f aca="false">IF(OR(K1487="",E1487=0,E1487=""),"",K1487/E1487)</f>
        <v/>
      </c>
      <c r="M1487" s="18" t="str">
        <f aca="false">IF(OR(A1487="",E1487=""),"",E1487+ROW()/1000000)</f>
        <v/>
      </c>
    </row>
    <row r="1488" customFormat="false" ht="15" hidden="false" customHeight="false" outlineLevel="0" collapsed="false">
      <c r="A1488" s="12"/>
      <c r="B1488" s="13"/>
      <c r="C1488" s="13"/>
      <c r="D1488" s="14"/>
      <c r="E1488" s="15"/>
      <c r="F1488" s="15"/>
      <c r="G1488" s="15"/>
      <c r="H1488" s="15"/>
      <c r="I1488" s="15"/>
      <c r="J1488" s="15"/>
      <c r="K1488" s="16" t="str">
        <f aca="false">IF(A1488="","",F1488+G1488+H1488+I1488)</f>
        <v/>
      </c>
      <c r="L1488" s="17" t="str">
        <f aca="false">IF(OR(K1488="",E1488=0,E1488=""),"",K1488/E1488)</f>
        <v/>
      </c>
      <c r="M1488" s="18" t="str">
        <f aca="false">IF(OR(A1488="",E1488=""),"",E1488+ROW()/1000000)</f>
        <v/>
      </c>
    </row>
    <row r="1489" customFormat="false" ht="15" hidden="false" customHeight="false" outlineLevel="0" collapsed="false">
      <c r="A1489" s="12"/>
      <c r="B1489" s="13"/>
      <c r="C1489" s="13"/>
      <c r="D1489" s="14"/>
      <c r="E1489" s="15"/>
      <c r="F1489" s="15"/>
      <c r="G1489" s="15"/>
      <c r="H1489" s="15"/>
      <c r="I1489" s="15"/>
      <c r="J1489" s="15"/>
      <c r="K1489" s="16" t="str">
        <f aca="false">IF(A1489="","",F1489+G1489+H1489+I1489)</f>
        <v/>
      </c>
      <c r="L1489" s="17" t="str">
        <f aca="false">IF(OR(K1489="",E1489=0,E1489=""),"",K1489/E1489)</f>
        <v/>
      </c>
      <c r="M1489" s="18" t="str">
        <f aca="false">IF(OR(A1489="",E1489=""),"",E1489+ROW()/1000000)</f>
        <v/>
      </c>
    </row>
    <row r="1490" customFormat="false" ht="15" hidden="false" customHeight="false" outlineLevel="0" collapsed="false">
      <c r="A1490" s="12"/>
      <c r="B1490" s="13"/>
      <c r="C1490" s="13"/>
      <c r="D1490" s="14"/>
      <c r="E1490" s="15"/>
      <c r="F1490" s="15"/>
      <c r="G1490" s="15"/>
      <c r="H1490" s="15"/>
      <c r="I1490" s="15"/>
      <c r="J1490" s="15"/>
      <c r="K1490" s="16" t="str">
        <f aca="false">IF(A1490="","",F1490+G1490+H1490+I1490)</f>
        <v/>
      </c>
      <c r="L1490" s="17" t="str">
        <f aca="false">IF(OR(K1490="",E1490=0,E1490=""),"",K1490/E1490)</f>
        <v/>
      </c>
      <c r="M1490" s="18" t="str">
        <f aca="false">IF(OR(A1490="",E1490=""),"",E1490+ROW()/1000000)</f>
        <v/>
      </c>
    </row>
    <row r="1491" customFormat="false" ht="15" hidden="false" customHeight="false" outlineLevel="0" collapsed="false">
      <c r="A1491" s="12"/>
      <c r="B1491" s="13"/>
      <c r="C1491" s="13"/>
      <c r="D1491" s="14"/>
      <c r="E1491" s="15"/>
      <c r="F1491" s="15"/>
      <c r="G1491" s="15"/>
      <c r="H1491" s="15"/>
      <c r="I1491" s="15"/>
      <c r="J1491" s="15"/>
      <c r="K1491" s="16" t="str">
        <f aca="false">IF(A1491="","",F1491+G1491+H1491+I1491)</f>
        <v/>
      </c>
      <c r="L1491" s="17" t="str">
        <f aca="false">IF(OR(K1491="",E1491=0,E1491=""),"",K1491/E1491)</f>
        <v/>
      </c>
      <c r="M1491" s="18" t="str">
        <f aca="false">IF(OR(A1491="",E1491=""),"",E1491+ROW()/1000000)</f>
        <v/>
      </c>
    </row>
    <row r="1492" customFormat="false" ht="15" hidden="false" customHeight="false" outlineLevel="0" collapsed="false">
      <c r="A1492" s="12"/>
      <c r="B1492" s="13"/>
      <c r="C1492" s="13"/>
      <c r="D1492" s="14"/>
      <c r="E1492" s="15"/>
      <c r="F1492" s="15"/>
      <c r="G1492" s="15"/>
      <c r="H1492" s="15"/>
      <c r="I1492" s="15"/>
      <c r="J1492" s="15"/>
      <c r="K1492" s="16" t="str">
        <f aca="false">IF(A1492="","",F1492+G1492+H1492+I1492)</f>
        <v/>
      </c>
      <c r="L1492" s="17" t="str">
        <f aca="false">IF(OR(K1492="",E1492=0,E1492=""),"",K1492/E1492)</f>
        <v/>
      </c>
      <c r="M1492" s="18" t="str">
        <f aca="false">IF(OR(A1492="",E1492=""),"",E1492+ROW()/1000000)</f>
        <v/>
      </c>
    </row>
    <row r="1493" customFormat="false" ht="15" hidden="false" customHeight="false" outlineLevel="0" collapsed="false">
      <c r="A1493" s="12"/>
      <c r="B1493" s="13"/>
      <c r="C1493" s="13"/>
      <c r="D1493" s="14"/>
      <c r="E1493" s="15"/>
      <c r="F1493" s="15"/>
      <c r="G1493" s="15"/>
      <c r="H1493" s="15"/>
      <c r="I1493" s="15"/>
      <c r="J1493" s="15"/>
      <c r="K1493" s="16" t="str">
        <f aca="false">IF(A1493="","",F1493+G1493+H1493+I1493)</f>
        <v/>
      </c>
      <c r="L1493" s="17" t="str">
        <f aca="false">IF(OR(K1493="",E1493=0,E1493=""),"",K1493/E1493)</f>
        <v/>
      </c>
      <c r="M1493" s="18" t="str">
        <f aca="false">IF(OR(A1493="",E1493=""),"",E1493+ROW()/1000000)</f>
        <v/>
      </c>
    </row>
    <row r="1494" customFormat="false" ht="15" hidden="false" customHeight="false" outlineLevel="0" collapsed="false">
      <c r="A1494" s="12"/>
      <c r="B1494" s="13"/>
      <c r="C1494" s="13"/>
      <c r="D1494" s="14"/>
      <c r="E1494" s="15"/>
      <c r="F1494" s="15"/>
      <c r="G1494" s="15"/>
      <c r="H1494" s="15"/>
      <c r="I1494" s="15"/>
      <c r="J1494" s="15"/>
      <c r="K1494" s="16" t="str">
        <f aca="false">IF(A1494="","",F1494+G1494+H1494+I1494)</f>
        <v/>
      </c>
      <c r="L1494" s="17" t="str">
        <f aca="false">IF(OR(K1494="",E1494=0,E1494=""),"",K1494/E1494)</f>
        <v/>
      </c>
      <c r="M1494" s="18" t="str">
        <f aca="false">IF(OR(A1494="",E1494=""),"",E1494+ROW()/1000000)</f>
        <v/>
      </c>
    </row>
    <row r="1495" customFormat="false" ht="15" hidden="false" customHeight="false" outlineLevel="0" collapsed="false">
      <c r="A1495" s="12"/>
      <c r="B1495" s="13"/>
      <c r="C1495" s="13"/>
      <c r="D1495" s="14"/>
      <c r="E1495" s="15"/>
      <c r="F1495" s="15"/>
      <c r="G1495" s="15"/>
      <c r="H1495" s="15"/>
      <c r="I1495" s="15"/>
      <c r="J1495" s="15"/>
      <c r="K1495" s="16" t="str">
        <f aca="false">IF(A1495="","",F1495+G1495+H1495+I1495)</f>
        <v/>
      </c>
      <c r="L1495" s="17" t="str">
        <f aca="false">IF(OR(K1495="",E1495=0,E1495=""),"",K1495/E1495)</f>
        <v/>
      </c>
      <c r="M1495" s="18" t="str">
        <f aca="false">IF(OR(A1495="",E1495=""),"",E1495+ROW()/1000000)</f>
        <v/>
      </c>
    </row>
    <row r="1496" customFormat="false" ht="15" hidden="false" customHeight="false" outlineLevel="0" collapsed="false">
      <c r="A1496" s="12"/>
      <c r="B1496" s="13"/>
      <c r="C1496" s="13"/>
      <c r="D1496" s="14"/>
      <c r="E1496" s="15"/>
      <c r="F1496" s="15"/>
      <c r="G1496" s="15"/>
      <c r="H1496" s="15"/>
      <c r="I1496" s="15"/>
      <c r="J1496" s="15"/>
      <c r="K1496" s="16" t="str">
        <f aca="false">IF(A1496="","",F1496+G1496+H1496+I1496)</f>
        <v/>
      </c>
      <c r="L1496" s="17" t="str">
        <f aca="false">IF(OR(K1496="",E1496=0,E1496=""),"",K1496/E1496)</f>
        <v/>
      </c>
      <c r="M1496" s="18" t="str">
        <f aca="false">IF(OR(A1496="",E1496=""),"",E1496+ROW()/1000000)</f>
        <v/>
      </c>
    </row>
    <row r="1497" customFormat="false" ht="15" hidden="false" customHeight="false" outlineLevel="0" collapsed="false">
      <c r="A1497" s="12"/>
      <c r="B1497" s="13"/>
      <c r="C1497" s="13"/>
      <c r="D1497" s="14"/>
      <c r="E1497" s="15"/>
      <c r="F1497" s="15"/>
      <c r="G1497" s="15"/>
      <c r="H1497" s="15"/>
      <c r="I1497" s="15"/>
      <c r="J1497" s="15"/>
      <c r="K1497" s="16" t="str">
        <f aca="false">IF(A1497="","",F1497+G1497+H1497+I1497)</f>
        <v/>
      </c>
      <c r="L1497" s="17" t="str">
        <f aca="false">IF(OR(K1497="",E1497=0,E1497=""),"",K1497/E1497)</f>
        <v/>
      </c>
      <c r="M1497" s="18" t="str">
        <f aca="false">IF(OR(A1497="",E1497=""),"",E1497+ROW()/1000000)</f>
        <v/>
      </c>
    </row>
    <row r="1498" customFormat="false" ht="15" hidden="false" customHeight="false" outlineLevel="0" collapsed="false">
      <c r="A1498" s="12"/>
      <c r="B1498" s="13"/>
      <c r="C1498" s="13"/>
      <c r="D1498" s="14"/>
      <c r="E1498" s="15"/>
      <c r="F1498" s="15"/>
      <c r="G1498" s="15"/>
      <c r="H1498" s="15"/>
      <c r="I1498" s="15"/>
      <c r="J1498" s="15"/>
      <c r="K1498" s="16" t="str">
        <f aca="false">IF(A1498="","",F1498+G1498+H1498+I1498)</f>
        <v/>
      </c>
      <c r="L1498" s="17" t="str">
        <f aca="false">IF(OR(K1498="",E1498=0,E1498=""),"",K1498/E1498)</f>
        <v/>
      </c>
      <c r="M1498" s="18" t="str">
        <f aca="false">IF(OR(A1498="",E1498=""),"",E1498+ROW()/1000000)</f>
        <v/>
      </c>
    </row>
    <row r="1499" customFormat="false" ht="15" hidden="false" customHeight="false" outlineLevel="0" collapsed="false">
      <c r="A1499" s="12"/>
      <c r="B1499" s="13"/>
      <c r="C1499" s="13"/>
      <c r="D1499" s="14"/>
      <c r="E1499" s="15"/>
      <c r="F1499" s="15"/>
      <c r="G1499" s="15"/>
      <c r="H1499" s="15"/>
      <c r="I1499" s="15"/>
      <c r="J1499" s="15"/>
      <c r="K1499" s="16" t="str">
        <f aca="false">IF(A1499="","",F1499+G1499+H1499+I1499)</f>
        <v/>
      </c>
      <c r="L1499" s="17" t="str">
        <f aca="false">IF(OR(K1499="",E1499=0,E1499=""),"",K1499/E1499)</f>
        <v/>
      </c>
      <c r="M1499" s="18" t="str">
        <f aca="false">IF(OR(A1499="",E1499=""),"",E1499+ROW()/1000000)</f>
        <v/>
      </c>
    </row>
    <row r="1500" customFormat="false" ht="15" hidden="false" customHeight="false" outlineLevel="0" collapsed="false">
      <c r="A1500" s="12"/>
      <c r="B1500" s="13"/>
      <c r="C1500" s="13"/>
      <c r="D1500" s="14"/>
      <c r="E1500" s="15"/>
      <c r="F1500" s="15"/>
      <c r="G1500" s="15"/>
      <c r="H1500" s="15"/>
      <c r="I1500" s="15"/>
      <c r="J1500" s="15"/>
      <c r="K1500" s="16" t="str">
        <f aca="false">IF(A1500="","",F1500+G1500+H1500+I1500)</f>
        <v/>
      </c>
      <c r="L1500" s="17" t="str">
        <f aca="false">IF(OR(K1500="",E1500=0,E1500=""),"",K1500/E1500)</f>
        <v/>
      </c>
      <c r="M1500" s="18" t="str">
        <f aca="false">IF(OR(A1500="",E1500=""),"",E1500+ROW()/1000000)</f>
        <v/>
      </c>
    </row>
    <row r="1501" customFormat="false" ht="15" hidden="false" customHeight="false" outlineLevel="0" collapsed="false">
      <c r="A1501" s="12"/>
      <c r="B1501" s="13"/>
      <c r="C1501" s="13"/>
      <c r="D1501" s="14"/>
      <c r="E1501" s="15"/>
      <c r="F1501" s="15"/>
      <c r="G1501" s="15"/>
      <c r="H1501" s="15"/>
      <c r="I1501" s="15"/>
      <c r="J1501" s="15"/>
      <c r="K1501" s="16" t="str">
        <f aca="false">IF(A1501="","",F1501+G1501+H1501+I1501)</f>
        <v/>
      </c>
      <c r="L1501" s="17" t="str">
        <f aca="false">IF(OR(K1501="",E1501=0,E1501=""),"",K1501/E1501)</f>
        <v/>
      </c>
      <c r="M1501" s="18" t="str">
        <f aca="false">IF(OR(A1501="",E1501=""),"",E1501+ROW()/1000000)</f>
        <v/>
      </c>
    </row>
    <row r="1502" customFormat="false" ht="15" hidden="false" customHeight="false" outlineLevel="0" collapsed="false">
      <c r="A1502" s="12"/>
      <c r="B1502" s="13"/>
      <c r="C1502" s="13"/>
      <c r="D1502" s="14"/>
      <c r="E1502" s="15"/>
      <c r="F1502" s="15"/>
      <c r="G1502" s="15"/>
      <c r="H1502" s="15"/>
      <c r="I1502" s="15"/>
      <c r="J1502" s="15"/>
      <c r="K1502" s="16" t="str">
        <f aca="false">IF(A1502="","",F1502+G1502+H1502+I1502)</f>
        <v/>
      </c>
      <c r="L1502" s="17" t="str">
        <f aca="false">IF(OR(K1502="",E1502=0,E1502=""),"",K1502/E1502)</f>
        <v/>
      </c>
      <c r="M1502" s="18" t="str">
        <f aca="false">IF(OR(A1502="",E1502=""),"",E1502+ROW()/1000000)</f>
        <v/>
      </c>
    </row>
    <row r="1503" customFormat="false" ht="15" hidden="false" customHeight="false" outlineLevel="0" collapsed="false">
      <c r="A1503" s="12"/>
      <c r="B1503" s="13"/>
      <c r="C1503" s="13"/>
      <c r="D1503" s="14"/>
      <c r="E1503" s="15"/>
      <c r="F1503" s="15"/>
      <c r="G1503" s="15"/>
      <c r="H1503" s="15"/>
      <c r="I1503" s="15"/>
      <c r="J1503" s="15"/>
      <c r="K1503" s="16" t="str">
        <f aca="false">IF(A1503="","",F1503+G1503+H1503+I1503)</f>
        <v/>
      </c>
      <c r="L1503" s="17" t="str">
        <f aca="false">IF(OR(K1503="",E1503=0,E1503=""),"",K1503/E1503)</f>
        <v/>
      </c>
      <c r="M1503" s="18" t="str">
        <f aca="false">IF(OR(A1503="",E1503=""),"",E1503+ROW()/1000000)</f>
        <v/>
      </c>
    </row>
    <row r="1504" customFormat="false" ht="15" hidden="false" customHeight="false" outlineLevel="0" collapsed="false">
      <c r="A1504" s="12"/>
      <c r="B1504" s="13"/>
      <c r="C1504" s="13"/>
      <c r="D1504" s="14"/>
      <c r="E1504" s="15"/>
      <c r="F1504" s="15"/>
      <c r="G1504" s="15"/>
      <c r="H1504" s="15"/>
      <c r="I1504" s="15"/>
      <c r="J1504" s="15"/>
      <c r="K1504" s="16" t="str">
        <f aca="false">IF(A1504="","",F1504+G1504+H1504+I1504)</f>
        <v/>
      </c>
      <c r="L1504" s="17" t="str">
        <f aca="false">IF(OR(K1504="",E1504=0,E1504=""),"",K1504/E1504)</f>
        <v/>
      </c>
      <c r="M1504" s="18" t="str">
        <f aca="false">IF(OR(A1504="",E1504=""),"",E1504+ROW()/1000000)</f>
        <v/>
      </c>
    </row>
    <row r="1505" customFormat="false" ht="15" hidden="false" customHeight="false" outlineLevel="0" collapsed="false">
      <c r="A1505" s="12"/>
      <c r="B1505" s="13"/>
      <c r="C1505" s="13"/>
      <c r="D1505" s="14"/>
      <c r="E1505" s="15"/>
      <c r="F1505" s="15"/>
      <c r="G1505" s="15"/>
      <c r="H1505" s="15"/>
      <c r="I1505" s="15"/>
      <c r="J1505" s="15"/>
      <c r="K1505" s="16" t="str">
        <f aca="false">IF(A1505="","",F1505+G1505+H1505+I1505)</f>
        <v/>
      </c>
      <c r="L1505" s="17" t="str">
        <f aca="false">IF(OR(K1505="",E1505=0,E1505=""),"",K1505/E1505)</f>
        <v/>
      </c>
      <c r="M1505" s="18" t="str">
        <f aca="false">IF(OR(A1505="",E1505=""),"",E1505+ROW()/1000000)</f>
        <v/>
      </c>
    </row>
    <row r="1506" customFormat="false" ht="15" hidden="false" customHeight="false" outlineLevel="0" collapsed="false">
      <c r="A1506" s="12"/>
      <c r="B1506" s="13"/>
      <c r="C1506" s="13"/>
      <c r="D1506" s="14"/>
      <c r="E1506" s="15"/>
      <c r="F1506" s="15"/>
      <c r="G1506" s="15"/>
      <c r="H1506" s="15"/>
      <c r="I1506" s="15"/>
      <c r="J1506" s="15"/>
      <c r="K1506" s="16" t="str">
        <f aca="false">IF(A1506="","",F1506+G1506+H1506+I1506)</f>
        <v/>
      </c>
      <c r="L1506" s="17" t="str">
        <f aca="false">IF(OR(K1506="",E1506=0,E1506=""),"",K1506/E1506)</f>
        <v/>
      </c>
      <c r="M1506" s="18" t="str">
        <f aca="false">IF(OR(A1506="",E1506=""),"",E1506+ROW()/1000000)</f>
        <v/>
      </c>
    </row>
    <row r="1507" customFormat="false" ht="15" hidden="false" customHeight="false" outlineLevel="0" collapsed="false">
      <c r="A1507" s="12"/>
      <c r="B1507" s="13"/>
      <c r="C1507" s="13"/>
      <c r="D1507" s="14"/>
      <c r="E1507" s="15"/>
      <c r="F1507" s="15"/>
      <c r="G1507" s="15"/>
      <c r="H1507" s="15"/>
      <c r="I1507" s="15"/>
      <c r="J1507" s="15"/>
      <c r="K1507" s="16" t="str">
        <f aca="false">IF(A1507="","",F1507+G1507+H1507+I1507)</f>
        <v/>
      </c>
      <c r="L1507" s="17" t="str">
        <f aca="false">IF(OR(K1507="",E1507=0,E1507=""),"",K1507/E1507)</f>
        <v/>
      </c>
      <c r="M1507" s="18" t="str">
        <f aca="false">IF(OR(A1507="",E1507=""),"",E1507+ROW()/1000000)</f>
        <v/>
      </c>
    </row>
    <row r="1508" customFormat="false" ht="15" hidden="false" customHeight="false" outlineLevel="0" collapsed="false">
      <c r="A1508" s="12"/>
      <c r="B1508" s="13"/>
      <c r="C1508" s="13"/>
      <c r="D1508" s="14"/>
      <c r="E1508" s="15"/>
      <c r="F1508" s="15"/>
      <c r="G1508" s="15"/>
      <c r="H1508" s="15"/>
      <c r="I1508" s="15"/>
      <c r="J1508" s="15"/>
      <c r="K1508" s="16" t="str">
        <f aca="false">IF(A1508="","",F1508+G1508+H1508+I1508)</f>
        <v/>
      </c>
      <c r="L1508" s="17" t="str">
        <f aca="false">IF(OR(K1508="",E1508=0,E1508=""),"",K1508/E1508)</f>
        <v/>
      </c>
      <c r="M1508" s="18" t="str">
        <f aca="false">IF(OR(A1508="",E1508=""),"",E1508+ROW()/1000000)</f>
        <v/>
      </c>
    </row>
    <row r="1509" customFormat="false" ht="15" hidden="false" customHeight="false" outlineLevel="0" collapsed="false">
      <c r="A1509" s="12"/>
      <c r="B1509" s="13"/>
      <c r="C1509" s="13"/>
      <c r="D1509" s="14"/>
      <c r="E1509" s="15"/>
      <c r="F1509" s="15"/>
      <c r="G1509" s="15"/>
      <c r="H1509" s="15"/>
      <c r="I1509" s="15"/>
      <c r="J1509" s="15"/>
      <c r="K1509" s="16" t="str">
        <f aca="false">IF(A1509="","",F1509+G1509+H1509+I1509)</f>
        <v/>
      </c>
      <c r="L1509" s="17" t="str">
        <f aca="false">IF(OR(K1509="",E1509=0,E1509=""),"",K1509/E1509)</f>
        <v/>
      </c>
      <c r="M1509" s="18" t="str">
        <f aca="false">IF(OR(A1509="",E1509=""),"",E1509+ROW()/1000000)</f>
        <v/>
      </c>
    </row>
    <row r="1510" customFormat="false" ht="15" hidden="false" customHeight="false" outlineLevel="0" collapsed="false">
      <c r="A1510" s="12"/>
      <c r="B1510" s="13"/>
      <c r="C1510" s="13"/>
      <c r="D1510" s="14"/>
      <c r="E1510" s="15"/>
      <c r="F1510" s="15"/>
      <c r="G1510" s="15"/>
      <c r="H1510" s="15"/>
      <c r="I1510" s="15"/>
      <c r="J1510" s="15"/>
      <c r="K1510" s="16" t="str">
        <f aca="false">IF(A1510="","",F1510+G1510+H1510+I1510)</f>
        <v/>
      </c>
      <c r="L1510" s="17" t="str">
        <f aca="false">IF(OR(K1510="",E1510=0,E1510=""),"",K1510/E1510)</f>
        <v/>
      </c>
      <c r="M1510" s="18" t="str">
        <f aca="false">IF(OR(A1510="",E1510=""),"",E1510+ROW()/1000000)</f>
        <v/>
      </c>
    </row>
    <row r="1511" customFormat="false" ht="15" hidden="false" customHeight="false" outlineLevel="0" collapsed="false">
      <c r="A1511" s="12"/>
      <c r="B1511" s="13"/>
      <c r="C1511" s="13"/>
      <c r="D1511" s="14"/>
      <c r="E1511" s="15"/>
      <c r="F1511" s="15"/>
      <c r="G1511" s="15"/>
      <c r="H1511" s="15"/>
      <c r="I1511" s="15"/>
      <c r="J1511" s="15"/>
      <c r="K1511" s="16" t="str">
        <f aca="false">IF(A1511="","",F1511+G1511+H1511+I1511)</f>
        <v/>
      </c>
      <c r="L1511" s="17" t="str">
        <f aca="false">IF(OR(K1511="",E1511=0,E1511=""),"",K1511/E1511)</f>
        <v/>
      </c>
      <c r="M1511" s="18" t="str">
        <f aca="false">IF(OR(A1511="",E1511=""),"",E1511+ROW()/1000000)</f>
        <v/>
      </c>
    </row>
    <row r="1512" customFormat="false" ht="15" hidden="false" customHeight="false" outlineLevel="0" collapsed="false">
      <c r="A1512" s="12"/>
      <c r="B1512" s="13"/>
      <c r="C1512" s="13"/>
      <c r="D1512" s="14"/>
      <c r="E1512" s="15"/>
      <c r="F1512" s="15"/>
      <c r="G1512" s="15"/>
      <c r="H1512" s="15"/>
      <c r="I1512" s="15"/>
      <c r="J1512" s="15"/>
      <c r="K1512" s="16" t="str">
        <f aca="false">IF(A1512="","",F1512+G1512+H1512+I1512)</f>
        <v/>
      </c>
      <c r="L1512" s="17" t="str">
        <f aca="false">IF(OR(K1512="",E1512=0,E1512=""),"",K1512/E1512)</f>
        <v/>
      </c>
      <c r="M1512" s="18" t="str">
        <f aca="false">IF(OR(A1512="",E1512=""),"",E1512+ROW()/1000000)</f>
        <v/>
      </c>
    </row>
    <row r="1513" customFormat="false" ht="15" hidden="false" customHeight="false" outlineLevel="0" collapsed="false">
      <c r="A1513" s="12"/>
      <c r="B1513" s="13"/>
      <c r="C1513" s="13"/>
      <c r="D1513" s="14"/>
      <c r="E1513" s="15"/>
      <c r="F1513" s="15"/>
      <c r="G1513" s="15"/>
      <c r="H1513" s="15"/>
      <c r="I1513" s="15"/>
      <c r="J1513" s="15"/>
      <c r="K1513" s="16" t="str">
        <f aca="false">IF(A1513="","",F1513+G1513+H1513+I1513)</f>
        <v/>
      </c>
      <c r="L1513" s="17" t="str">
        <f aca="false">IF(OR(K1513="",E1513=0,E1513=""),"",K1513/E1513)</f>
        <v/>
      </c>
      <c r="M1513" s="18" t="str">
        <f aca="false">IF(OR(A1513="",E1513=""),"",E1513+ROW()/1000000)</f>
        <v/>
      </c>
    </row>
    <row r="1514" customFormat="false" ht="15" hidden="false" customHeight="false" outlineLevel="0" collapsed="false">
      <c r="A1514" s="12"/>
      <c r="B1514" s="13"/>
      <c r="C1514" s="13"/>
      <c r="D1514" s="14"/>
      <c r="E1514" s="15"/>
      <c r="F1514" s="15"/>
      <c r="G1514" s="15"/>
      <c r="H1514" s="15"/>
      <c r="I1514" s="15"/>
      <c r="J1514" s="15"/>
      <c r="K1514" s="16" t="str">
        <f aca="false">IF(A1514="","",F1514+G1514+H1514+I1514)</f>
        <v/>
      </c>
      <c r="L1514" s="17" t="str">
        <f aca="false">IF(OR(K1514="",E1514=0,E1514=""),"",K1514/E1514)</f>
        <v/>
      </c>
      <c r="M1514" s="18" t="str">
        <f aca="false">IF(OR(A1514="",E1514=""),"",E1514+ROW()/1000000)</f>
        <v/>
      </c>
    </row>
    <row r="1515" customFormat="false" ht="15" hidden="false" customHeight="false" outlineLevel="0" collapsed="false">
      <c r="A1515" s="12"/>
      <c r="B1515" s="13"/>
      <c r="C1515" s="13"/>
      <c r="D1515" s="14"/>
      <c r="E1515" s="15"/>
      <c r="F1515" s="15"/>
      <c r="G1515" s="15"/>
      <c r="H1515" s="15"/>
      <c r="I1515" s="15"/>
      <c r="J1515" s="15"/>
      <c r="K1515" s="16" t="str">
        <f aca="false">IF(A1515="","",F1515+G1515+H1515+I1515)</f>
        <v/>
      </c>
      <c r="L1515" s="17" t="str">
        <f aca="false">IF(OR(K1515="",E1515=0,E1515=""),"",K1515/E1515)</f>
        <v/>
      </c>
      <c r="M1515" s="18" t="str">
        <f aca="false">IF(OR(A1515="",E1515=""),"",E1515+ROW()/1000000)</f>
        <v/>
      </c>
    </row>
    <row r="1516" customFormat="false" ht="15" hidden="false" customHeight="false" outlineLevel="0" collapsed="false">
      <c r="A1516" s="12"/>
      <c r="B1516" s="13"/>
      <c r="C1516" s="13"/>
      <c r="D1516" s="14"/>
      <c r="E1516" s="15"/>
      <c r="F1516" s="15"/>
      <c r="G1516" s="15"/>
      <c r="H1516" s="15"/>
      <c r="I1516" s="15"/>
      <c r="J1516" s="15"/>
      <c r="K1516" s="16" t="str">
        <f aca="false">IF(A1516="","",F1516+G1516+H1516+I1516)</f>
        <v/>
      </c>
      <c r="L1516" s="17" t="str">
        <f aca="false">IF(OR(K1516="",E1516=0,E1516=""),"",K1516/E1516)</f>
        <v/>
      </c>
      <c r="M1516" s="18" t="str">
        <f aca="false">IF(OR(A1516="",E1516=""),"",E1516+ROW()/1000000)</f>
        <v/>
      </c>
    </row>
    <row r="1517" customFormat="false" ht="15" hidden="false" customHeight="false" outlineLevel="0" collapsed="false">
      <c r="A1517" s="12"/>
      <c r="B1517" s="13"/>
      <c r="C1517" s="13"/>
      <c r="D1517" s="14"/>
      <c r="E1517" s="15"/>
      <c r="F1517" s="15"/>
      <c r="G1517" s="15"/>
      <c r="H1517" s="15"/>
      <c r="I1517" s="15"/>
      <c r="J1517" s="15"/>
      <c r="K1517" s="16" t="str">
        <f aca="false">IF(A1517="","",F1517+G1517+H1517+I1517)</f>
        <v/>
      </c>
      <c r="L1517" s="17" t="str">
        <f aca="false">IF(OR(K1517="",E1517=0,E1517=""),"",K1517/E1517)</f>
        <v/>
      </c>
      <c r="M1517" s="18" t="str">
        <f aca="false">IF(OR(A1517="",E1517=""),"",E1517+ROW()/1000000)</f>
        <v/>
      </c>
    </row>
    <row r="1518" customFormat="false" ht="15" hidden="false" customHeight="false" outlineLevel="0" collapsed="false">
      <c r="A1518" s="12"/>
      <c r="B1518" s="13"/>
      <c r="C1518" s="13"/>
      <c r="D1518" s="14"/>
      <c r="E1518" s="15"/>
      <c r="F1518" s="15"/>
      <c r="G1518" s="15"/>
      <c r="H1518" s="15"/>
      <c r="I1518" s="15"/>
      <c r="J1518" s="15"/>
      <c r="K1518" s="16" t="str">
        <f aca="false">IF(A1518="","",F1518+G1518+H1518+I1518)</f>
        <v/>
      </c>
      <c r="L1518" s="17" t="str">
        <f aca="false">IF(OR(K1518="",E1518=0,E1518=""),"",K1518/E1518)</f>
        <v/>
      </c>
      <c r="M1518" s="18" t="str">
        <f aca="false">IF(OR(A1518="",E1518=""),"",E1518+ROW()/1000000)</f>
        <v/>
      </c>
    </row>
    <row r="1519" customFormat="false" ht="15" hidden="false" customHeight="false" outlineLevel="0" collapsed="false">
      <c r="A1519" s="12"/>
      <c r="B1519" s="13"/>
      <c r="C1519" s="13"/>
      <c r="D1519" s="14"/>
      <c r="E1519" s="15"/>
      <c r="F1519" s="15"/>
      <c r="G1519" s="15"/>
      <c r="H1519" s="15"/>
      <c r="I1519" s="15"/>
      <c r="J1519" s="15"/>
      <c r="K1519" s="16" t="str">
        <f aca="false">IF(A1519="","",F1519+G1519+H1519+I1519)</f>
        <v/>
      </c>
      <c r="L1519" s="17" t="str">
        <f aca="false">IF(OR(K1519="",E1519=0,E1519=""),"",K1519/E1519)</f>
        <v/>
      </c>
      <c r="M1519" s="18" t="str">
        <f aca="false">IF(OR(A1519="",E1519=""),"",E1519+ROW()/1000000)</f>
        <v/>
      </c>
    </row>
    <row r="1520" customFormat="false" ht="15" hidden="false" customHeight="false" outlineLevel="0" collapsed="false">
      <c r="A1520" s="12"/>
      <c r="B1520" s="13"/>
      <c r="C1520" s="13"/>
      <c r="D1520" s="14"/>
      <c r="E1520" s="15"/>
      <c r="F1520" s="15"/>
      <c r="G1520" s="15"/>
      <c r="H1520" s="15"/>
      <c r="I1520" s="15"/>
      <c r="J1520" s="15"/>
      <c r="K1520" s="16" t="str">
        <f aca="false">IF(A1520="","",F1520+G1520+H1520+I1520)</f>
        <v/>
      </c>
      <c r="L1520" s="17" t="str">
        <f aca="false">IF(OR(K1520="",E1520=0,E1520=""),"",K1520/E1520)</f>
        <v/>
      </c>
      <c r="M1520" s="18" t="str">
        <f aca="false">IF(OR(A1520="",E1520=""),"",E1520+ROW()/1000000)</f>
        <v/>
      </c>
    </row>
    <row r="1521" customFormat="false" ht="15" hidden="false" customHeight="false" outlineLevel="0" collapsed="false">
      <c r="A1521" s="12"/>
      <c r="B1521" s="13"/>
      <c r="C1521" s="13"/>
      <c r="D1521" s="14"/>
      <c r="E1521" s="15"/>
      <c r="F1521" s="15"/>
      <c r="G1521" s="15"/>
      <c r="H1521" s="15"/>
      <c r="I1521" s="15"/>
      <c r="J1521" s="15"/>
      <c r="K1521" s="16" t="str">
        <f aca="false">IF(A1521="","",F1521+G1521+H1521+I1521)</f>
        <v/>
      </c>
      <c r="L1521" s="17" t="str">
        <f aca="false">IF(OR(K1521="",E1521=0,E1521=""),"",K1521/E1521)</f>
        <v/>
      </c>
      <c r="M1521" s="18" t="str">
        <f aca="false">IF(OR(A1521="",E1521=""),"",E1521+ROW()/1000000)</f>
        <v/>
      </c>
    </row>
    <row r="1522" customFormat="false" ht="15" hidden="false" customHeight="false" outlineLevel="0" collapsed="false">
      <c r="A1522" s="12"/>
      <c r="B1522" s="13"/>
      <c r="C1522" s="13"/>
      <c r="D1522" s="14"/>
      <c r="E1522" s="15"/>
      <c r="F1522" s="15"/>
      <c r="G1522" s="15"/>
      <c r="H1522" s="15"/>
      <c r="I1522" s="15"/>
      <c r="J1522" s="15"/>
      <c r="K1522" s="16" t="str">
        <f aca="false">IF(A1522="","",F1522+G1522+H1522+I1522)</f>
        <v/>
      </c>
      <c r="L1522" s="17" t="str">
        <f aca="false">IF(OR(K1522="",E1522=0,E1522=""),"",K1522/E1522)</f>
        <v/>
      </c>
      <c r="M1522" s="18" t="str">
        <f aca="false">IF(OR(A1522="",E1522=""),"",E1522+ROW()/1000000)</f>
        <v/>
      </c>
    </row>
    <row r="1523" customFormat="false" ht="15" hidden="false" customHeight="false" outlineLevel="0" collapsed="false">
      <c r="A1523" s="12"/>
      <c r="B1523" s="13"/>
      <c r="C1523" s="13"/>
      <c r="D1523" s="14"/>
      <c r="E1523" s="15"/>
      <c r="F1523" s="15"/>
      <c r="G1523" s="15"/>
      <c r="H1523" s="15"/>
      <c r="I1523" s="15"/>
      <c r="J1523" s="15"/>
      <c r="K1523" s="16" t="str">
        <f aca="false">IF(A1523="","",F1523+G1523+H1523+I1523)</f>
        <v/>
      </c>
      <c r="L1523" s="17" t="str">
        <f aca="false">IF(OR(K1523="",E1523=0,E1523=""),"",K1523/E1523)</f>
        <v/>
      </c>
      <c r="M1523" s="18" t="str">
        <f aca="false">IF(OR(A1523="",E1523=""),"",E1523+ROW()/1000000)</f>
        <v/>
      </c>
    </row>
    <row r="1524" customFormat="false" ht="15" hidden="false" customHeight="false" outlineLevel="0" collapsed="false">
      <c r="A1524" s="12"/>
      <c r="B1524" s="13"/>
      <c r="C1524" s="13"/>
      <c r="D1524" s="14"/>
      <c r="E1524" s="15"/>
      <c r="F1524" s="15"/>
      <c r="G1524" s="15"/>
      <c r="H1524" s="15"/>
      <c r="I1524" s="15"/>
      <c r="J1524" s="15"/>
      <c r="K1524" s="16" t="str">
        <f aca="false">IF(A1524="","",F1524+G1524+H1524+I1524)</f>
        <v/>
      </c>
      <c r="L1524" s="17" t="str">
        <f aca="false">IF(OR(K1524="",E1524=0,E1524=""),"",K1524/E1524)</f>
        <v/>
      </c>
      <c r="M1524" s="18" t="str">
        <f aca="false">IF(OR(A1524="",E1524=""),"",E1524+ROW()/1000000)</f>
        <v/>
      </c>
    </row>
    <row r="1525" customFormat="false" ht="15" hidden="false" customHeight="false" outlineLevel="0" collapsed="false">
      <c r="A1525" s="12"/>
      <c r="B1525" s="13"/>
      <c r="C1525" s="13"/>
      <c r="D1525" s="14"/>
      <c r="E1525" s="15"/>
      <c r="F1525" s="15"/>
      <c r="G1525" s="15"/>
      <c r="H1525" s="15"/>
      <c r="I1525" s="15"/>
      <c r="J1525" s="15"/>
      <c r="K1525" s="16" t="str">
        <f aca="false">IF(A1525="","",F1525+G1525+H1525+I1525)</f>
        <v/>
      </c>
      <c r="L1525" s="17" t="str">
        <f aca="false">IF(OR(K1525="",E1525=0,E1525=""),"",K1525/E1525)</f>
        <v/>
      </c>
      <c r="M1525" s="18" t="str">
        <f aca="false">IF(OR(A1525="",E1525=""),"",E1525+ROW()/1000000)</f>
        <v/>
      </c>
    </row>
    <row r="1526" customFormat="false" ht="15" hidden="false" customHeight="false" outlineLevel="0" collapsed="false">
      <c r="A1526" s="12"/>
      <c r="B1526" s="13"/>
      <c r="C1526" s="13"/>
      <c r="D1526" s="14"/>
      <c r="E1526" s="15"/>
      <c r="F1526" s="15"/>
      <c r="G1526" s="15"/>
      <c r="H1526" s="15"/>
      <c r="I1526" s="15"/>
      <c r="J1526" s="15"/>
      <c r="K1526" s="16" t="str">
        <f aca="false">IF(A1526="","",F1526+G1526+H1526+I1526)</f>
        <v/>
      </c>
      <c r="L1526" s="17" t="str">
        <f aca="false">IF(OR(K1526="",E1526=0,E1526=""),"",K1526/E1526)</f>
        <v/>
      </c>
      <c r="M1526" s="18" t="str">
        <f aca="false">IF(OR(A1526="",E1526=""),"",E1526+ROW()/1000000)</f>
        <v/>
      </c>
    </row>
    <row r="1527" customFormat="false" ht="15" hidden="false" customHeight="false" outlineLevel="0" collapsed="false">
      <c r="A1527" s="12"/>
      <c r="B1527" s="13"/>
      <c r="C1527" s="13"/>
      <c r="D1527" s="14"/>
      <c r="E1527" s="15"/>
      <c r="F1527" s="15"/>
      <c r="G1527" s="15"/>
      <c r="H1527" s="15"/>
      <c r="I1527" s="15"/>
      <c r="J1527" s="15"/>
      <c r="K1527" s="16" t="str">
        <f aca="false">IF(A1527="","",F1527+G1527+H1527+I1527)</f>
        <v/>
      </c>
      <c r="L1527" s="17" t="str">
        <f aca="false">IF(OR(K1527="",E1527=0,E1527=""),"",K1527/E1527)</f>
        <v/>
      </c>
      <c r="M1527" s="18" t="str">
        <f aca="false">IF(OR(A1527="",E1527=""),"",E1527+ROW()/1000000)</f>
        <v/>
      </c>
    </row>
    <row r="1528" customFormat="false" ht="15" hidden="false" customHeight="false" outlineLevel="0" collapsed="false">
      <c r="A1528" s="12"/>
      <c r="B1528" s="13"/>
      <c r="C1528" s="13"/>
      <c r="D1528" s="14"/>
      <c r="E1528" s="15"/>
      <c r="F1528" s="15"/>
      <c r="G1528" s="15"/>
      <c r="H1528" s="15"/>
      <c r="I1528" s="15"/>
      <c r="J1528" s="15"/>
      <c r="K1528" s="16" t="str">
        <f aca="false">IF(A1528="","",F1528+G1528+H1528+I1528)</f>
        <v/>
      </c>
      <c r="L1528" s="17" t="str">
        <f aca="false">IF(OR(K1528="",E1528=0,E1528=""),"",K1528/E1528)</f>
        <v/>
      </c>
      <c r="M1528" s="18" t="str">
        <f aca="false">IF(OR(A1528="",E1528=""),"",E1528+ROW()/1000000)</f>
        <v/>
      </c>
    </row>
    <row r="1529" customFormat="false" ht="15" hidden="false" customHeight="false" outlineLevel="0" collapsed="false">
      <c r="A1529" s="12"/>
      <c r="B1529" s="13"/>
      <c r="C1529" s="13"/>
      <c r="D1529" s="14"/>
      <c r="E1529" s="15"/>
      <c r="F1529" s="15"/>
      <c r="G1529" s="15"/>
      <c r="H1529" s="15"/>
      <c r="I1529" s="15"/>
      <c r="J1529" s="15"/>
      <c r="K1529" s="16" t="str">
        <f aca="false">IF(A1529="","",F1529+G1529+H1529+I1529)</f>
        <v/>
      </c>
      <c r="L1529" s="17" t="str">
        <f aca="false">IF(OR(K1529="",E1529=0,E1529=""),"",K1529/E1529)</f>
        <v/>
      </c>
      <c r="M1529" s="18" t="str">
        <f aca="false">IF(OR(A1529="",E1529=""),"",E1529+ROW()/1000000)</f>
        <v/>
      </c>
    </row>
    <row r="1530" customFormat="false" ht="15" hidden="false" customHeight="false" outlineLevel="0" collapsed="false">
      <c r="A1530" s="12"/>
      <c r="B1530" s="13"/>
      <c r="C1530" s="13"/>
      <c r="D1530" s="14"/>
      <c r="E1530" s="15"/>
      <c r="F1530" s="15"/>
      <c r="G1530" s="15"/>
      <c r="H1530" s="15"/>
      <c r="I1530" s="15"/>
      <c r="J1530" s="15"/>
      <c r="K1530" s="16" t="str">
        <f aca="false">IF(A1530="","",F1530+G1530+H1530+I1530)</f>
        <v/>
      </c>
      <c r="L1530" s="17" t="str">
        <f aca="false">IF(OR(K1530="",E1530=0,E1530=""),"",K1530/E1530)</f>
        <v/>
      </c>
      <c r="M1530" s="18" t="str">
        <f aca="false">IF(OR(A1530="",E1530=""),"",E1530+ROW()/1000000)</f>
        <v/>
      </c>
    </row>
    <row r="1531" customFormat="false" ht="15" hidden="false" customHeight="false" outlineLevel="0" collapsed="false">
      <c r="A1531" s="12"/>
      <c r="B1531" s="13"/>
      <c r="C1531" s="13"/>
      <c r="D1531" s="14"/>
      <c r="E1531" s="15"/>
      <c r="F1531" s="15"/>
      <c r="G1531" s="15"/>
      <c r="H1531" s="15"/>
      <c r="I1531" s="15"/>
      <c r="J1531" s="15"/>
      <c r="K1531" s="16" t="str">
        <f aca="false">IF(A1531="","",F1531+G1531+H1531+I1531)</f>
        <v/>
      </c>
      <c r="L1531" s="17" t="str">
        <f aca="false">IF(OR(K1531="",E1531=0,E1531=""),"",K1531/E1531)</f>
        <v/>
      </c>
      <c r="M1531" s="18" t="str">
        <f aca="false">IF(OR(A1531="",E1531=""),"",E1531+ROW()/1000000)</f>
        <v/>
      </c>
    </row>
    <row r="1532" customFormat="false" ht="15" hidden="false" customHeight="false" outlineLevel="0" collapsed="false">
      <c r="A1532" s="12"/>
      <c r="B1532" s="13"/>
      <c r="C1532" s="13"/>
      <c r="D1532" s="14"/>
      <c r="E1532" s="15"/>
      <c r="F1532" s="15"/>
      <c r="G1532" s="15"/>
      <c r="H1532" s="15"/>
      <c r="I1532" s="15"/>
      <c r="J1532" s="15"/>
      <c r="K1532" s="16" t="str">
        <f aca="false">IF(A1532="","",F1532+G1532+H1532+I1532)</f>
        <v/>
      </c>
      <c r="L1532" s="17" t="str">
        <f aca="false">IF(OR(K1532="",E1532=0,E1532=""),"",K1532/E1532)</f>
        <v/>
      </c>
      <c r="M1532" s="18" t="str">
        <f aca="false">IF(OR(A1532="",E1532=""),"",E1532+ROW()/1000000)</f>
        <v/>
      </c>
    </row>
    <row r="1533" customFormat="false" ht="15" hidden="false" customHeight="false" outlineLevel="0" collapsed="false">
      <c r="A1533" s="12"/>
      <c r="B1533" s="13"/>
      <c r="C1533" s="13"/>
      <c r="D1533" s="14"/>
      <c r="E1533" s="15"/>
      <c r="F1533" s="15"/>
      <c r="G1533" s="15"/>
      <c r="H1533" s="15"/>
      <c r="I1533" s="15"/>
      <c r="J1533" s="15"/>
      <c r="K1533" s="16" t="str">
        <f aca="false">IF(A1533="","",F1533+G1533+H1533+I1533)</f>
        <v/>
      </c>
      <c r="L1533" s="17" t="str">
        <f aca="false">IF(OR(K1533="",E1533=0,E1533=""),"",K1533/E1533)</f>
        <v/>
      </c>
      <c r="M1533" s="18" t="str">
        <f aca="false">IF(OR(A1533="",E1533=""),"",E1533+ROW()/1000000)</f>
        <v/>
      </c>
    </row>
    <row r="1534" customFormat="false" ht="15" hidden="false" customHeight="false" outlineLevel="0" collapsed="false">
      <c r="A1534" s="12"/>
      <c r="B1534" s="13"/>
      <c r="C1534" s="13"/>
      <c r="D1534" s="14"/>
      <c r="E1534" s="15"/>
      <c r="F1534" s="15"/>
      <c r="G1534" s="15"/>
      <c r="H1534" s="15"/>
      <c r="I1534" s="15"/>
      <c r="J1534" s="15"/>
      <c r="K1534" s="16" t="str">
        <f aca="false">IF(A1534="","",F1534+G1534+H1534+I1534)</f>
        <v/>
      </c>
      <c r="L1534" s="17" t="str">
        <f aca="false">IF(OR(K1534="",E1534=0,E1534=""),"",K1534/E1534)</f>
        <v/>
      </c>
      <c r="M1534" s="18" t="str">
        <f aca="false">IF(OR(A1534="",E1534=""),"",E1534+ROW()/1000000)</f>
        <v/>
      </c>
    </row>
    <row r="1535" customFormat="false" ht="15" hidden="false" customHeight="false" outlineLevel="0" collapsed="false">
      <c r="A1535" s="12"/>
      <c r="B1535" s="13"/>
      <c r="C1535" s="13"/>
      <c r="D1535" s="14"/>
      <c r="E1535" s="15"/>
      <c r="F1535" s="15"/>
      <c r="G1535" s="15"/>
      <c r="H1535" s="15"/>
      <c r="I1535" s="15"/>
      <c r="J1535" s="15"/>
      <c r="K1535" s="16" t="str">
        <f aca="false">IF(A1535="","",F1535+G1535+H1535+I1535)</f>
        <v/>
      </c>
      <c r="L1535" s="17" t="str">
        <f aca="false">IF(OR(K1535="",E1535=0,E1535=""),"",K1535/E1535)</f>
        <v/>
      </c>
      <c r="M1535" s="18" t="str">
        <f aca="false">IF(OR(A1535="",E1535=""),"",E1535+ROW()/1000000)</f>
        <v/>
      </c>
    </row>
    <row r="1536" customFormat="false" ht="15" hidden="false" customHeight="false" outlineLevel="0" collapsed="false">
      <c r="A1536" s="12"/>
      <c r="B1536" s="13"/>
      <c r="C1536" s="13"/>
      <c r="D1536" s="14"/>
      <c r="E1536" s="15"/>
      <c r="F1536" s="15"/>
      <c r="G1536" s="15"/>
      <c r="H1536" s="15"/>
      <c r="I1536" s="15"/>
      <c r="J1536" s="15"/>
      <c r="K1536" s="16" t="str">
        <f aca="false">IF(A1536="","",F1536+G1536+H1536+I1536)</f>
        <v/>
      </c>
      <c r="L1536" s="17" t="str">
        <f aca="false">IF(OR(K1536="",E1536=0,E1536=""),"",K1536/E1536)</f>
        <v/>
      </c>
      <c r="M1536" s="18" t="str">
        <f aca="false">IF(OR(A1536="",E1536=""),"",E1536+ROW()/1000000)</f>
        <v/>
      </c>
    </row>
    <row r="1537" customFormat="false" ht="15" hidden="false" customHeight="false" outlineLevel="0" collapsed="false">
      <c r="A1537" s="12"/>
      <c r="B1537" s="13"/>
      <c r="C1537" s="13"/>
      <c r="D1537" s="14"/>
      <c r="E1537" s="15"/>
      <c r="F1537" s="15"/>
      <c r="G1537" s="15"/>
      <c r="H1537" s="15"/>
      <c r="I1537" s="15"/>
      <c r="J1537" s="15"/>
      <c r="K1537" s="16" t="str">
        <f aca="false">IF(A1537="","",F1537+G1537+H1537+I1537)</f>
        <v/>
      </c>
      <c r="L1537" s="17" t="str">
        <f aca="false">IF(OR(K1537="",E1537=0,E1537=""),"",K1537/E1537)</f>
        <v/>
      </c>
      <c r="M1537" s="18" t="str">
        <f aca="false">IF(OR(A1537="",E1537=""),"",E1537+ROW()/1000000)</f>
        <v/>
      </c>
    </row>
    <row r="1538" customFormat="false" ht="15" hidden="false" customHeight="false" outlineLevel="0" collapsed="false">
      <c r="A1538" s="12"/>
      <c r="B1538" s="13"/>
      <c r="C1538" s="13"/>
      <c r="D1538" s="14"/>
      <c r="E1538" s="15"/>
      <c r="F1538" s="15"/>
      <c r="G1538" s="15"/>
      <c r="H1538" s="15"/>
      <c r="I1538" s="15"/>
      <c r="J1538" s="15"/>
      <c r="K1538" s="16" t="str">
        <f aca="false">IF(A1538="","",F1538+G1538+H1538+I1538)</f>
        <v/>
      </c>
      <c r="L1538" s="17" t="str">
        <f aca="false">IF(OR(K1538="",E1538=0,E1538=""),"",K1538/E1538)</f>
        <v/>
      </c>
      <c r="M1538" s="18" t="str">
        <f aca="false">IF(OR(A1538="",E1538=""),"",E1538+ROW()/1000000)</f>
        <v/>
      </c>
    </row>
    <row r="1539" customFormat="false" ht="15" hidden="false" customHeight="false" outlineLevel="0" collapsed="false">
      <c r="A1539" s="12"/>
      <c r="B1539" s="13"/>
      <c r="C1539" s="13"/>
      <c r="D1539" s="14"/>
      <c r="E1539" s="15"/>
      <c r="F1539" s="15"/>
      <c r="G1539" s="15"/>
      <c r="H1539" s="15"/>
      <c r="I1539" s="15"/>
      <c r="J1539" s="15"/>
      <c r="K1539" s="16" t="str">
        <f aca="false">IF(A1539="","",F1539+G1539+H1539+I1539)</f>
        <v/>
      </c>
      <c r="L1539" s="17" t="str">
        <f aca="false">IF(OR(K1539="",E1539=0,E1539=""),"",K1539/E1539)</f>
        <v/>
      </c>
      <c r="M1539" s="18" t="str">
        <f aca="false">IF(OR(A1539="",E1539=""),"",E1539+ROW()/1000000)</f>
        <v/>
      </c>
    </row>
    <row r="1540" customFormat="false" ht="15" hidden="false" customHeight="false" outlineLevel="0" collapsed="false">
      <c r="A1540" s="12"/>
      <c r="B1540" s="13"/>
      <c r="C1540" s="13"/>
      <c r="D1540" s="14"/>
      <c r="E1540" s="15"/>
      <c r="F1540" s="15"/>
      <c r="G1540" s="15"/>
      <c r="H1540" s="15"/>
      <c r="I1540" s="15"/>
      <c r="J1540" s="15"/>
      <c r="K1540" s="16" t="str">
        <f aca="false">IF(A1540="","",F1540+G1540+H1540+I1540)</f>
        <v/>
      </c>
      <c r="L1540" s="17" t="str">
        <f aca="false">IF(OR(K1540="",E1540=0,E1540=""),"",K1540/E1540)</f>
        <v/>
      </c>
      <c r="M1540" s="18" t="str">
        <f aca="false">IF(OR(A1540="",E1540=""),"",E1540+ROW()/1000000)</f>
        <v/>
      </c>
    </row>
    <row r="1541" customFormat="false" ht="15" hidden="false" customHeight="false" outlineLevel="0" collapsed="false">
      <c r="A1541" s="12"/>
      <c r="B1541" s="13"/>
      <c r="C1541" s="13"/>
      <c r="D1541" s="14"/>
      <c r="E1541" s="15"/>
      <c r="F1541" s="15"/>
      <c r="G1541" s="15"/>
      <c r="H1541" s="15"/>
      <c r="I1541" s="15"/>
      <c r="J1541" s="15"/>
      <c r="K1541" s="16" t="str">
        <f aca="false">IF(A1541="","",F1541+G1541+H1541+I1541)</f>
        <v/>
      </c>
      <c r="L1541" s="17" t="str">
        <f aca="false">IF(OR(K1541="",E1541=0,E1541=""),"",K1541/E1541)</f>
        <v/>
      </c>
      <c r="M1541" s="18" t="str">
        <f aca="false">IF(OR(A1541="",E1541=""),"",E1541+ROW()/1000000)</f>
        <v/>
      </c>
    </row>
    <row r="1542" customFormat="false" ht="15" hidden="false" customHeight="false" outlineLevel="0" collapsed="false">
      <c r="A1542" s="12"/>
      <c r="B1542" s="13"/>
      <c r="C1542" s="13"/>
      <c r="D1542" s="14"/>
      <c r="E1542" s="15"/>
      <c r="F1542" s="15"/>
      <c r="G1542" s="15"/>
      <c r="H1542" s="15"/>
      <c r="I1542" s="15"/>
      <c r="J1542" s="15"/>
      <c r="K1542" s="16" t="str">
        <f aca="false">IF(A1542="","",F1542+G1542+H1542+I1542)</f>
        <v/>
      </c>
      <c r="L1542" s="17" t="str">
        <f aca="false">IF(OR(K1542="",E1542=0,E1542=""),"",K1542/E1542)</f>
        <v/>
      </c>
      <c r="M1542" s="18" t="str">
        <f aca="false">IF(OR(A1542="",E1542=""),"",E1542+ROW()/1000000)</f>
        <v/>
      </c>
    </row>
    <row r="1543" customFormat="false" ht="15" hidden="false" customHeight="false" outlineLevel="0" collapsed="false">
      <c r="A1543" s="12"/>
      <c r="B1543" s="13"/>
      <c r="C1543" s="13"/>
      <c r="D1543" s="14"/>
      <c r="E1543" s="15"/>
      <c r="F1543" s="15"/>
      <c r="G1543" s="15"/>
      <c r="H1543" s="15"/>
      <c r="I1543" s="15"/>
      <c r="J1543" s="15"/>
      <c r="K1543" s="16" t="str">
        <f aca="false">IF(A1543="","",F1543+G1543+H1543+I1543)</f>
        <v/>
      </c>
      <c r="L1543" s="17" t="str">
        <f aca="false">IF(OR(K1543="",E1543=0,E1543=""),"",K1543/E1543)</f>
        <v/>
      </c>
      <c r="M1543" s="18" t="str">
        <f aca="false">IF(OR(A1543="",E1543=""),"",E1543+ROW()/1000000)</f>
        <v/>
      </c>
    </row>
    <row r="1544" customFormat="false" ht="15" hidden="false" customHeight="false" outlineLevel="0" collapsed="false">
      <c r="A1544" s="12"/>
      <c r="B1544" s="13"/>
      <c r="C1544" s="13"/>
      <c r="D1544" s="14"/>
      <c r="E1544" s="15"/>
      <c r="F1544" s="15"/>
      <c r="G1544" s="15"/>
      <c r="H1544" s="15"/>
      <c r="I1544" s="15"/>
      <c r="J1544" s="15"/>
      <c r="K1544" s="16" t="str">
        <f aca="false">IF(A1544="","",F1544+G1544+H1544+I1544)</f>
        <v/>
      </c>
      <c r="L1544" s="17" t="str">
        <f aca="false">IF(OR(K1544="",E1544=0,E1544=""),"",K1544/E1544)</f>
        <v/>
      </c>
      <c r="M1544" s="18" t="str">
        <f aca="false">IF(OR(A1544="",E1544=""),"",E1544+ROW()/1000000)</f>
        <v/>
      </c>
    </row>
    <row r="1545" customFormat="false" ht="15" hidden="false" customHeight="false" outlineLevel="0" collapsed="false">
      <c r="A1545" s="12"/>
      <c r="B1545" s="13"/>
      <c r="C1545" s="13"/>
      <c r="D1545" s="14"/>
      <c r="E1545" s="15"/>
      <c r="F1545" s="15"/>
      <c r="G1545" s="15"/>
      <c r="H1545" s="15"/>
      <c r="I1545" s="15"/>
      <c r="J1545" s="15"/>
      <c r="K1545" s="16" t="str">
        <f aca="false">IF(A1545="","",F1545+G1545+H1545+I1545)</f>
        <v/>
      </c>
      <c r="L1545" s="17" t="str">
        <f aca="false">IF(OR(K1545="",E1545=0,E1545=""),"",K1545/E1545)</f>
        <v/>
      </c>
      <c r="M1545" s="18" t="str">
        <f aca="false">IF(OR(A1545="",E1545=""),"",E1545+ROW()/1000000)</f>
        <v/>
      </c>
    </row>
    <row r="1546" customFormat="false" ht="15" hidden="false" customHeight="false" outlineLevel="0" collapsed="false">
      <c r="A1546" s="12"/>
      <c r="B1546" s="13"/>
      <c r="C1546" s="13"/>
      <c r="D1546" s="14"/>
      <c r="E1546" s="15"/>
      <c r="F1546" s="15"/>
      <c r="G1546" s="15"/>
      <c r="H1546" s="15"/>
      <c r="I1546" s="15"/>
      <c r="J1546" s="15"/>
      <c r="K1546" s="16" t="str">
        <f aca="false">IF(A1546="","",F1546+G1546+H1546+I1546)</f>
        <v/>
      </c>
      <c r="L1546" s="17" t="str">
        <f aca="false">IF(OR(K1546="",E1546=0,E1546=""),"",K1546/E1546)</f>
        <v/>
      </c>
      <c r="M1546" s="18" t="str">
        <f aca="false">IF(OR(A1546="",E1546=""),"",E1546+ROW()/1000000)</f>
        <v/>
      </c>
    </row>
    <row r="1547" customFormat="false" ht="15" hidden="false" customHeight="false" outlineLevel="0" collapsed="false">
      <c r="A1547" s="12"/>
      <c r="B1547" s="13"/>
      <c r="C1547" s="13"/>
      <c r="D1547" s="14"/>
      <c r="E1547" s="15"/>
      <c r="F1547" s="15"/>
      <c r="G1547" s="15"/>
      <c r="H1547" s="15"/>
      <c r="I1547" s="15"/>
      <c r="J1547" s="15"/>
      <c r="K1547" s="16" t="str">
        <f aca="false">IF(A1547="","",F1547+G1547+H1547+I1547)</f>
        <v/>
      </c>
      <c r="L1547" s="17" t="str">
        <f aca="false">IF(OR(K1547="",E1547=0,E1547=""),"",K1547/E1547)</f>
        <v/>
      </c>
      <c r="M1547" s="18" t="str">
        <f aca="false">IF(OR(A1547="",E1547=""),"",E1547+ROW()/1000000)</f>
        <v/>
      </c>
    </row>
    <row r="1548" customFormat="false" ht="15" hidden="false" customHeight="false" outlineLevel="0" collapsed="false">
      <c r="A1548" s="12"/>
      <c r="B1548" s="13"/>
      <c r="C1548" s="13"/>
      <c r="D1548" s="14"/>
      <c r="E1548" s="15"/>
      <c r="F1548" s="15"/>
      <c r="G1548" s="15"/>
      <c r="H1548" s="15"/>
      <c r="I1548" s="15"/>
      <c r="J1548" s="15"/>
      <c r="K1548" s="16" t="str">
        <f aca="false">IF(A1548="","",F1548+G1548+H1548+I1548)</f>
        <v/>
      </c>
      <c r="L1548" s="17" t="str">
        <f aca="false">IF(OR(K1548="",E1548=0,E1548=""),"",K1548/E1548)</f>
        <v/>
      </c>
      <c r="M1548" s="18" t="str">
        <f aca="false">IF(OR(A1548="",E1548=""),"",E1548+ROW()/1000000)</f>
        <v/>
      </c>
    </row>
    <row r="1549" customFormat="false" ht="15" hidden="false" customHeight="false" outlineLevel="0" collapsed="false">
      <c r="A1549" s="12"/>
      <c r="B1549" s="13"/>
      <c r="C1549" s="13"/>
      <c r="D1549" s="14"/>
      <c r="E1549" s="15"/>
      <c r="F1549" s="15"/>
      <c r="G1549" s="15"/>
      <c r="H1549" s="15"/>
      <c r="I1549" s="15"/>
      <c r="J1549" s="15"/>
      <c r="K1549" s="16" t="str">
        <f aca="false">IF(A1549="","",F1549+G1549+H1549+I1549)</f>
        <v/>
      </c>
      <c r="L1549" s="17" t="str">
        <f aca="false">IF(OR(K1549="",E1549=0,E1549=""),"",K1549/E1549)</f>
        <v/>
      </c>
      <c r="M1549" s="18" t="str">
        <f aca="false">IF(OR(A1549="",E1549=""),"",E1549+ROW()/1000000)</f>
        <v/>
      </c>
    </row>
    <row r="1550" customFormat="false" ht="15" hidden="false" customHeight="false" outlineLevel="0" collapsed="false">
      <c r="A1550" s="12"/>
      <c r="B1550" s="13"/>
      <c r="C1550" s="13"/>
      <c r="D1550" s="14"/>
      <c r="E1550" s="15"/>
      <c r="F1550" s="15"/>
      <c r="G1550" s="15"/>
      <c r="H1550" s="15"/>
      <c r="I1550" s="15"/>
      <c r="J1550" s="15"/>
      <c r="K1550" s="16" t="str">
        <f aca="false">IF(A1550="","",F1550+G1550+H1550+I1550)</f>
        <v/>
      </c>
      <c r="L1550" s="17" t="str">
        <f aca="false">IF(OR(K1550="",E1550=0,E1550=""),"",K1550/E1550)</f>
        <v/>
      </c>
      <c r="M1550" s="18" t="str">
        <f aca="false">IF(OR(A1550="",E1550=""),"",E1550+ROW()/1000000)</f>
        <v/>
      </c>
    </row>
    <row r="1551" customFormat="false" ht="15" hidden="false" customHeight="false" outlineLevel="0" collapsed="false">
      <c r="A1551" s="12"/>
      <c r="B1551" s="13"/>
      <c r="C1551" s="13"/>
      <c r="D1551" s="14"/>
      <c r="E1551" s="15"/>
      <c r="F1551" s="15"/>
      <c r="G1551" s="15"/>
      <c r="H1551" s="15"/>
      <c r="I1551" s="15"/>
      <c r="J1551" s="15"/>
      <c r="K1551" s="16" t="str">
        <f aca="false">IF(A1551="","",F1551+G1551+H1551+I1551)</f>
        <v/>
      </c>
      <c r="L1551" s="17" t="str">
        <f aca="false">IF(OR(K1551="",E1551=0,E1551=""),"",K1551/E1551)</f>
        <v/>
      </c>
      <c r="M1551" s="18" t="str">
        <f aca="false">IF(OR(A1551="",E1551=""),"",E1551+ROW()/1000000)</f>
        <v/>
      </c>
    </row>
    <row r="1552" customFormat="false" ht="15" hidden="false" customHeight="false" outlineLevel="0" collapsed="false">
      <c r="A1552" s="12"/>
      <c r="B1552" s="13"/>
      <c r="C1552" s="13"/>
      <c r="D1552" s="14"/>
      <c r="E1552" s="15"/>
      <c r="F1552" s="15"/>
      <c r="G1552" s="15"/>
      <c r="H1552" s="15"/>
      <c r="I1552" s="15"/>
      <c r="J1552" s="15"/>
      <c r="K1552" s="16" t="str">
        <f aca="false">IF(A1552="","",F1552+G1552+H1552+I1552)</f>
        <v/>
      </c>
      <c r="L1552" s="17" t="str">
        <f aca="false">IF(OR(K1552="",E1552=0,E1552=""),"",K1552/E1552)</f>
        <v/>
      </c>
      <c r="M1552" s="18" t="str">
        <f aca="false">IF(OR(A1552="",E1552=""),"",E1552+ROW()/1000000)</f>
        <v/>
      </c>
    </row>
    <row r="1553" customFormat="false" ht="15" hidden="false" customHeight="false" outlineLevel="0" collapsed="false">
      <c r="A1553" s="12"/>
      <c r="B1553" s="13"/>
      <c r="C1553" s="13"/>
      <c r="D1553" s="14"/>
      <c r="E1553" s="15"/>
      <c r="F1553" s="15"/>
      <c r="G1553" s="15"/>
      <c r="H1553" s="15"/>
      <c r="I1553" s="15"/>
      <c r="J1553" s="15"/>
      <c r="K1553" s="16" t="str">
        <f aca="false">IF(A1553="","",F1553+G1553+H1553+I1553)</f>
        <v/>
      </c>
      <c r="L1553" s="17" t="str">
        <f aca="false">IF(OR(K1553="",E1553=0,E1553=""),"",K1553/E1553)</f>
        <v/>
      </c>
      <c r="M1553" s="18" t="str">
        <f aca="false">IF(OR(A1553="",E1553=""),"",E1553+ROW()/1000000)</f>
        <v/>
      </c>
    </row>
    <row r="1554" customFormat="false" ht="15" hidden="false" customHeight="false" outlineLevel="0" collapsed="false">
      <c r="A1554" s="12"/>
      <c r="B1554" s="13"/>
      <c r="C1554" s="13"/>
      <c r="D1554" s="14"/>
      <c r="E1554" s="15"/>
      <c r="F1554" s="15"/>
      <c r="G1554" s="15"/>
      <c r="H1554" s="15"/>
      <c r="I1554" s="15"/>
      <c r="J1554" s="15"/>
      <c r="K1554" s="16" t="str">
        <f aca="false">IF(A1554="","",F1554+G1554+H1554+I1554)</f>
        <v/>
      </c>
      <c r="L1554" s="17" t="str">
        <f aca="false">IF(OR(K1554="",E1554=0,E1554=""),"",K1554/E1554)</f>
        <v/>
      </c>
      <c r="M1554" s="18" t="str">
        <f aca="false">IF(OR(A1554="",E1554=""),"",E1554+ROW()/1000000)</f>
        <v/>
      </c>
    </row>
    <row r="1555" customFormat="false" ht="15" hidden="false" customHeight="false" outlineLevel="0" collapsed="false">
      <c r="A1555" s="12"/>
      <c r="B1555" s="13"/>
      <c r="C1555" s="13"/>
      <c r="D1555" s="14"/>
      <c r="E1555" s="15"/>
      <c r="F1555" s="15"/>
      <c r="G1555" s="15"/>
      <c r="H1555" s="15"/>
      <c r="I1555" s="15"/>
      <c r="J1555" s="15"/>
      <c r="K1555" s="16" t="str">
        <f aca="false">IF(A1555="","",F1555+G1555+H1555+I1555)</f>
        <v/>
      </c>
      <c r="L1555" s="17" t="str">
        <f aca="false">IF(OR(K1555="",E1555=0,E1555=""),"",K1555/E1555)</f>
        <v/>
      </c>
      <c r="M1555" s="18" t="str">
        <f aca="false">IF(OR(A1555="",E1555=""),"",E1555+ROW()/1000000)</f>
        <v/>
      </c>
    </row>
    <row r="1556" customFormat="false" ht="15" hidden="false" customHeight="false" outlineLevel="0" collapsed="false">
      <c r="A1556" s="12"/>
      <c r="B1556" s="13"/>
      <c r="C1556" s="13"/>
      <c r="D1556" s="14"/>
      <c r="E1556" s="15"/>
      <c r="F1556" s="15"/>
      <c r="G1556" s="15"/>
      <c r="H1556" s="15"/>
      <c r="I1556" s="15"/>
      <c r="J1556" s="15"/>
      <c r="K1556" s="16" t="str">
        <f aca="false">IF(A1556="","",F1556+G1556+H1556+I1556)</f>
        <v/>
      </c>
      <c r="L1556" s="17" t="str">
        <f aca="false">IF(OR(K1556="",E1556=0,E1556=""),"",K1556/E1556)</f>
        <v/>
      </c>
      <c r="M1556" s="18" t="str">
        <f aca="false">IF(OR(A1556="",E1556=""),"",E1556+ROW()/1000000)</f>
        <v/>
      </c>
    </row>
    <row r="1557" customFormat="false" ht="15" hidden="false" customHeight="false" outlineLevel="0" collapsed="false">
      <c r="A1557" s="12"/>
      <c r="B1557" s="13"/>
      <c r="C1557" s="13"/>
      <c r="D1557" s="14"/>
      <c r="E1557" s="15"/>
      <c r="F1557" s="15"/>
      <c r="G1557" s="15"/>
      <c r="H1557" s="15"/>
      <c r="I1557" s="15"/>
      <c r="J1557" s="15"/>
      <c r="K1557" s="16" t="str">
        <f aca="false">IF(A1557="","",F1557+G1557+H1557+I1557)</f>
        <v/>
      </c>
      <c r="L1557" s="17" t="str">
        <f aca="false">IF(OR(K1557="",E1557=0,E1557=""),"",K1557/E1557)</f>
        <v/>
      </c>
      <c r="M1557" s="18" t="str">
        <f aca="false">IF(OR(A1557="",E1557=""),"",E1557+ROW()/1000000)</f>
        <v/>
      </c>
    </row>
    <row r="1558" customFormat="false" ht="15" hidden="false" customHeight="false" outlineLevel="0" collapsed="false">
      <c r="A1558" s="12"/>
      <c r="B1558" s="13"/>
      <c r="C1558" s="13"/>
      <c r="D1558" s="14"/>
      <c r="E1558" s="15"/>
      <c r="F1558" s="15"/>
      <c r="G1558" s="15"/>
      <c r="H1558" s="15"/>
      <c r="I1558" s="15"/>
      <c r="J1558" s="15"/>
      <c r="K1558" s="16" t="str">
        <f aca="false">IF(A1558="","",F1558+G1558+H1558+I1558)</f>
        <v/>
      </c>
      <c r="L1558" s="17" t="str">
        <f aca="false">IF(OR(K1558="",E1558=0,E1558=""),"",K1558/E1558)</f>
        <v/>
      </c>
      <c r="M1558" s="18" t="str">
        <f aca="false">IF(OR(A1558="",E1558=""),"",E1558+ROW()/1000000)</f>
        <v/>
      </c>
    </row>
    <row r="1559" customFormat="false" ht="15" hidden="false" customHeight="false" outlineLevel="0" collapsed="false">
      <c r="A1559" s="12"/>
      <c r="B1559" s="13"/>
      <c r="C1559" s="13"/>
      <c r="D1559" s="14"/>
      <c r="E1559" s="15"/>
      <c r="F1559" s="15"/>
      <c r="G1559" s="15"/>
      <c r="H1559" s="15"/>
      <c r="I1559" s="15"/>
      <c r="J1559" s="15"/>
      <c r="K1559" s="16" t="str">
        <f aca="false">IF(A1559="","",F1559+G1559+H1559+I1559)</f>
        <v/>
      </c>
      <c r="L1559" s="17" t="str">
        <f aca="false">IF(OR(K1559="",E1559=0,E1559=""),"",K1559/E1559)</f>
        <v/>
      </c>
      <c r="M1559" s="18" t="str">
        <f aca="false">IF(OR(A1559="",E1559=""),"",E1559+ROW()/1000000)</f>
        <v/>
      </c>
    </row>
    <row r="1560" customFormat="false" ht="15" hidden="false" customHeight="false" outlineLevel="0" collapsed="false">
      <c r="A1560" s="12"/>
      <c r="B1560" s="13"/>
      <c r="C1560" s="13"/>
      <c r="D1560" s="14"/>
      <c r="E1560" s="15"/>
      <c r="F1560" s="15"/>
      <c r="G1560" s="15"/>
      <c r="H1560" s="15"/>
      <c r="I1560" s="15"/>
      <c r="J1560" s="15"/>
      <c r="K1560" s="16" t="str">
        <f aca="false">IF(A1560="","",F1560+G1560+H1560+I1560)</f>
        <v/>
      </c>
      <c r="L1560" s="17" t="str">
        <f aca="false">IF(OR(K1560="",E1560=0,E1560=""),"",K1560/E1560)</f>
        <v/>
      </c>
      <c r="M1560" s="18" t="str">
        <f aca="false">IF(OR(A1560="",E1560=""),"",E1560+ROW()/1000000)</f>
        <v/>
      </c>
    </row>
    <row r="1561" customFormat="false" ht="15" hidden="false" customHeight="false" outlineLevel="0" collapsed="false">
      <c r="A1561" s="12"/>
      <c r="B1561" s="13"/>
      <c r="C1561" s="13"/>
      <c r="D1561" s="14"/>
      <c r="E1561" s="15"/>
      <c r="F1561" s="15"/>
      <c r="G1561" s="15"/>
      <c r="H1561" s="15"/>
      <c r="I1561" s="15"/>
      <c r="J1561" s="15"/>
      <c r="K1561" s="16" t="str">
        <f aca="false">IF(A1561="","",F1561+G1561+H1561+I1561)</f>
        <v/>
      </c>
      <c r="L1561" s="17" t="str">
        <f aca="false">IF(OR(K1561="",E1561=0,E1561=""),"",K1561/E1561)</f>
        <v/>
      </c>
      <c r="M1561" s="18" t="str">
        <f aca="false">IF(OR(A1561="",E1561=""),"",E1561+ROW()/1000000)</f>
        <v/>
      </c>
    </row>
    <row r="1562" customFormat="false" ht="15" hidden="false" customHeight="false" outlineLevel="0" collapsed="false">
      <c r="A1562" s="12"/>
      <c r="B1562" s="13"/>
      <c r="C1562" s="13"/>
      <c r="D1562" s="14"/>
      <c r="E1562" s="15"/>
      <c r="F1562" s="15"/>
      <c r="G1562" s="15"/>
      <c r="H1562" s="15"/>
      <c r="I1562" s="15"/>
      <c r="J1562" s="15"/>
      <c r="K1562" s="16" t="str">
        <f aca="false">IF(A1562="","",F1562+G1562+H1562+I1562)</f>
        <v/>
      </c>
      <c r="L1562" s="17" t="str">
        <f aca="false">IF(OR(K1562="",E1562=0,E1562=""),"",K1562/E1562)</f>
        <v/>
      </c>
      <c r="M1562" s="18" t="str">
        <f aca="false">IF(OR(A1562="",E1562=""),"",E1562+ROW()/1000000)</f>
        <v/>
      </c>
    </row>
    <row r="1563" customFormat="false" ht="15" hidden="false" customHeight="false" outlineLevel="0" collapsed="false">
      <c r="A1563" s="12"/>
      <c r="B1563" s="13"/>
      <c r="C1563" s="13"/>
      <c r="D1563" s="14"/>
      <c r="E1563" s="15"/>
      <c r="F1563" s="15"/>
      <c r="G1563" s="15"/>
      <c r="H1563" s="15"/>
      <c r="I1563" s="15"/>
      <c r="J1563" s="15"/>
      <c r="K1563" s="16" t="str">
        <f aca="false">IF(A1563="","",F1563+G1563+H1563+I1563)</f>
        <v/>
      </c>
      <c r="L1563" s="17" t="str">
        <f aca="false">IF(OR(K1563="",E1563=0,E1563=""),"",K1563/E1563)</f>
        <v/>
      </c>
      <c r="M1563" s="18" t="str">
        <f aca="false">IF(OR(A1563="",E1563=""),"",E1563+ROW()/1000000)</f>
        <v/>
      </c>
    </row>
    <row r="1564" customFormat="false" ht="15" hidden="false" customHeight="false" outlineLevel="0" collapsed="false">
      <c r="A1564" s="12"/>
      <c r="B1564" s="13"/>
      <c r="C1564" s="13"/>
      <c r="D1564" s="14"/>
      <c r="E1564" s="15"/>
      <c r="F1564" s="15"/>
      <c r="G1564" s="15"/>
      <c r="H1564" s="15"/>
      <c r="I1564" s="15"/>
      <c r="J1564" s="15"/>
      <c r="K1564" s="16" t="str">
        <f aca="false">IF(A1564="","",F1564+G1564+H1564+I1564)</f>
        <v/>
      </c>
      <c r="L1564" s="17" t="str">
        <f aca="false">IF(OR(K1564="",E1564=0,E1564=""),"",K1564/E1564)</f>
        <v/>
      </c>
      <c r="M1564" s="18" t="str">
        <f aca="false">IF(OR(A1564="",E1564=""),"",E1564+ROW()/1000000)</f>
        <v/>
      </c>
    </row>
    <row r="1565" customFormat="false" ht="15" hidden="false" customHeight="false" outlineLevel="0" collapsed="false">
      <c r="A1565" s="12"/>
      <c r="B1565" s="13"/>
      <c r="C1565" s="13"/>
      <c r="D1565" s="14"/>
      <c r="E1565" s="15"/>
      <c r="F1565" s="15"/>
      <c r="G1565" s="15"/>
      <c r="H1565" s="15"/>
      <c r="I1565" s="15"/>
      <c r="J1565" s="15"/>
      <c r="K1565" s="16" t="str">
        <f aca="false">IF(A1565="","",F1565+G1565+H1565+I1565)</f>
        <v/>
      </c>
      <c r="L1565" s="17" t="str">
        <f aca="false">IF(OR(K1565="",E1565=0,E1565=""),"",K1565/E1565)</f>
        <v/>
      </c>
      <c r="M1565" s="18" t="str">
        <f aca="false">IF(OR(A1565="",E1565=""),"",E1565+ROW()/1000000)</f>
        <v/>
      </c>
    </row>
    <row r="1566" customFormat="false" ht="15" hidden="false" customHeight="false" outlineLevel="0" collapsed="false">
      <c r="A1566" s="12"/>
      <c r="B1566" s="13"/>
      <c r="C1566" s="13"/>
      <c r="D1566" s="14"/>
      <c r="E1566" s="15"/>
      <c r="F1566" s="15"/>
      <c r="G1566" s="15"/>
      <c r="H1566" s="15"/>
      <c r="I1566" s="15"/>
      <c r="J1566" s="15"/>
      <c r="K1566" s="16" t="str">
        <f aca="false">IF(A1566="","",F1566+G1566+H1566+I1566)</f>
        <v/>
      </c>
      <c r="L1566" s="17" t="str">
        <f aca="false">IF(OR(K1566="",E1566=0,E1566=""),"",K1566/E1566)</f>
        <v/>
      </c>
      <c r="M1566" s="18" t="str">
        <f aca="false">IF(OR(A1566="",E1566=""),"",E1566+ROW()/1000000)</f>
        <v/>
      </c>
    </row>
    <row r="1567" customFormat="false" ht="15" hidden="false" customHeight="false" outlineLevel="0" collapsed="false">
      <c r="A1567" s="12"/>
      <c r="B1567" s="13"/>
      <c r="C1567" s="13"/>
      <c r="D1567" s="14"/>
      <c r="E1567" s="15"/>
      <c r="F1567" s="15"/>
      <c r="G1567" s="15"/>
      <c r="H1567" s="15"/>
      <c r="I1567" s="15"/>
      <c r="J1567" s="15"/>
      <c r="K1567" s="16" t="str">
        <f aca="false">IF(A1567="","",F1567+G1567+H1567+I1567)</f>
        <v/>
      </c>
      <c r="L1567" s="17" t="str">
        <f aca="false">IF(OR(K1567="",E1567=0,E1567=""),"",K1567/E1567)</f>
        <v/>
      </c>
      <c r="M1567" s="18" t="str">
        <f aca="false">IF(OR(A1567="",E1567=""),"",E1567+ROW()/1000000)</f>
        <v/>
      </c>
    </row>
    <row r="1568" customFormat="false" ht="15" hidden="false" customHeight="false" outlineLevel="0" collapsed="false">
      <c r="A1568" s="12"/>
      <c r="B1568" s="13"/>
      <c r="C1568" s="13"/>
      <c r="D1568" s="14"/>
      <c r="E1568" s="15"/>
      <c r="F1568" s="15"/>
      <c r="G1568" s="15"/>
      <c r="H1568" s="15"/>
      <c r="I1568" s="15"/>
      <c r="J1568" s="15"/>
      <c r="K1568" s="16" t="str">
        <f aca="false">IF(A1568="","",F1568+G1568+H1568+I1568)</f>
        <v/>
      </c>
      <c r="L1568" s="17" t="str">
        <f aca="false">IF(OR(K1568="",E1568=0,E1568=""),"",K1568/E1568)</f>
        <v/>
      </c>
      <c r="M1568" s="18" t="str">
        <f aca="false">IF(OR(A1568="",E1568=""),"",E1568+ROW()/1000000)</f>
        <v/>
      </c>
    </row>
    <row r="1569" customFormat="false" ht="15" hidden="false" customHeight="false" outlineLevel="0" collapsed="false">
      <c r="A1569" s="12"/>
      <c r="B1569" s="13"/>
      <c r="C1569" s="13"/>
      <c r="D1569" s="14"/>
      <c r="E1569" s="15"/>
      <c r="F1569" s="15"/>
      <c r="G1569" s="15"/>
      <c r="H1569" s="15"/>
      <c r="I1569" s="15"/>
      <c r="J1569" s="15"/>
      <c r="K1569" s="16" t="str">
        <f aca="false">IF(A1569="","",F1569+G1569+H1569+I1569)</f>
        <v/>
      </c>
      <c r="L1569" s="17" t="str">
        <f aca="false">IF(OR(K1569="",E1569=0,E1569=""),"",K1569/E1569)</f>
        <v/>
      </c>
      <c r="M1569" s="18" t="str">
        <f aca="false">IF(OR(A1569="",E1569=""),"",E1569+ROW()/1000000)</f>
        <v/>
      </c>
    </row>
    <row r="1570" customFormat="false" ht="15" hidden="false" customHeight="false" outlineLevel="0" collapsed="false">
      <c r="A1570" s="12"/>
      <c r="B1570" s="13"/>
      <c r="C1570" s="13"/>
      <c r="D1570" s="14"/>
      <c r="E1570" s="15"/>
      <c r="F1570" s="15"/>
      <c r="G1570" s="15"/>
      <c r="H1570" s="15"/>
      <c r="I1570" s="15"/>
      <c r="J1570" s="15"/>
      <c r="K1570" s="16" t="str">
        <f aca="false">IF(A1570="","",F1570+G1570+H1570+I1570)</f>
        <v/>
      </c>
      <c r="L1570" s="17" t="str">
        <f aca="false">IF(OR(K1570="",E1570=0,E1570=""),"",K1570/E1570)</f>
        <v/>
      </c>
      <c r="M1570" s="18" t="str">
        <f aca="false">IF(OR(A1570="",E1570=""),"",E1570+ROW()/1000000)</f>
        <v/>
      </c>
    </row>
    <row r="1571" customFormat="false" ht="15" hidden="false" customHeight="false" outlineLevel="0" collapsed="false">
      <c r="A1571" s="12"/>
      <c r="B1571" s="13"/>
      <c r="C1571" s="13"/>
      <c r="D1571" s="14"/>
      <c r="E1571" s="15"/>
      <c r="F1571" s="15"/>
      <c r="G1571" s="15"/>
      <c r="H1571" s="15"/>
      <c r="I1571" s="15"/>
      <c r="J1571" s="15"/>
      <c r="K1571" s="16" t="str">
        <f aca="false">IF(A1571="","",F1571+G1571+H1571+I1571)</f>
        <v/>
      </c>
      <c r="L1571" s="17" t="str">
        <f aca="false">IF(OR(K1571="",E1571=0,E1571=""),"",K1571/E1571)</f>
        <v/>
      </c>
      <c r="M1571" s="18" t="str">
        <f aca="false">IF(OR(A1571="",E1571=""),"",E1571+ROW()/1000000)</f>
        <v/>
      </c>
    </row>
    <row r="1572" customFormat="false" ht="15" hidden="false" customHeight="false" outlineLevel="0" collapsed="false">
      <c r="A1572" s="12"/>
      <c r="B1572" s="13"/>
      <c r="C1572" s="13"/>
      <c r="D1572" s="14"/>
      <c r="E1572" s="15"/>
      <c r="F1572" s="15"/>
      <c r="G1572" s="15"/>
      <c r="H1572" s="15"/>
      <c r="I1572" s="15"/>
      <c r="J1572" s="15"/>
      <c r="K1572" s="16" t="str">
        <f aca="false">IF(A1572="","",F1572+G1572+H1572+I1572)</f>
        <v/>
      </c>
      <c r="L1572" s="17" t="str">
        <f aca="false">IF(OR(K1572="",E1572=0,E1572=""),"",K1572/E1572)</f>
        <v/>
      </c>
      <c r="M1572" s="18" t="str">
        <f aca="false">IF(OR(A1572="",E1572=""),"",E1572+ROW()/1000000)</f>
        <v/>
      </c>
    </row>
    <row r="1573" customFormat="false" ht="15" hidden="false" customHeight="false" outlineLevel="0" collapsed="false">
      <c r="A1573" s="12"/>
      <c r="B1573" s="13"/>
      <c r="C1573" s="13"/>
      <c r="D1573" s="14"/>
      <c r="E1573" s="15"/>
      <c r="F1573" s="15"/>
      <c r="G1573" s="15"/>
      <c r="H1573" s="15"/>
      <c r="I1573" s="15"/>
      <c r="J1573" s="15"/>
      <c r="K1573" s="16" t="str">
        <f aca="false">IF(A1573="","",F1573+G1573+H1573+I1573)</f>
        <v/>
      </c>
      <c r="L1573" s="17" t="str">
        <f aca="false">IF(OR(K1573="",E1573=0,E1573=""),"",K1573/E1573)</f>
        <v/>
      </c>
      <c r="M1573" s="18" t="str">
        <f aca="false">IF(OR(A1573="",E1573=""),"",E1573+ROW()/1000000)</f>
        <v/>
      </c>
    </row>
    <row r="1574" customFormat="false" ht="15" hidden="false" customHeight="false" outlineLevel="0" collapsed="false">
      <c r="A1574" s="12"/>
      <c r="B1574" s="13"/>
      <c r="C1574" s="13"/>
      <c r="D1574" s="14"/>
      <c r="E1574" s="15"/>
      <c r="F1574" s="15"/>
      <c r="G1574" s="15"/>
      <c r="H1574" s="15"/>
      <c r="I1574" s="15"/>
      <c r="J1574" s="15"/>
      <c r="K1574" s="16" t="str">
        <f aca="false">IF(A1574="","",F1574+G1574+H1574+I1574)</f>
        <v/>
      </c>
      <c r="L1574" s="17" t="str">
        <f aca="false">IF(OR(K1574="",E1574=0,E1574=""),"",K1574/E1574)</f>
        <v/>
      </c>
      <c r="M1574" s="18" t="str">
        <f aca="false">IF(OR(A1574="",E1574=""),"",E1574+ROW()/1000000)</f>
        <v/>
      </c>
    </row>
    <row r="1575" customFormat="false" ht="15" hidden="false" customHeight="false" outlineLevel="0" collapsed="false">
      <c r="A1575" s="12"/>
      <c r="B1575" s="13"/>
      <c r="C1575" s="13"/>
      <c r="D1575" s="14"/>
      <c r="E1575" s="15"/>
      <c r="F1575" s="15"/>
      <c r="G1575" s="15"/>
      <c r="H1575" s="15"/>
      <c r="I1575" s="15"/>
      <c r="J1575" s="15"/>
      <c r="K1575" s="16" t="str">
        <f aca="false">IF(A1575="","",F1575+G1575+H1575+I1575)</f>
        <v/>
      </c>
      <c r="L1575" s="17" t="str">
        <f aca="false">IF(OR(K1575="",E1575=0,E1575=""),"",K1575/E1575)</f>
        <v/>
      </c>
      <c r="M1575" s="18" t="str">
        <f aca="false">IF(OR(A1575="",E1575=""),"",E1575+ROW()/1000000)</f>
        <v/>
      </c>
    </row>
    <row r="1576" customFormat="false" ht="15" hidden="false" customHeight="false" outlineLevel="0" collapsed="false">
      <c r="A1576" s="12"/>
      <c r="B1576" s="13"/>
      <c r="C1576" s="13"/>
      <c r="D1576" s="14"/>
      <c r="E1576" s="15"/>
      <c r="F1576" s="15"/>
      <c r="G1576" s="15"/>
      <c r="H1576" s="15"/>
      <c r="I1576" s="15"/>
      <c r="J1576" s="15"/>
      <c r="K1576" s="16" t="str">
        <f aca="false">IF(A1576="","",F1576+G1576+H1576+I1576)</f>
        <v/>
      </c>
      <c r="L1576" s="17" t="str">
        <f aca="false">IF(OR(K1576="",E1576=0,E1576=""),"",K1576/E1576)</f>
        <v/>
      </c>
      <c r="M1576" s="18" t="str">
        <f aca="false">IF(OR(A1576="",E1576=""),"",E1576+ROW()/1000000)</f>
        <v/>
      </c>
    </row>
    <row r="1577" customFormat="false" ht="15" hidden="false" customHeight="false" outlineLevel="0" collapsed="false">
      <c r="A1577" s="12"/>
      <c r="B1577" s="13"/>
      <c r="C1577" s="13"/>
      <c r="D1577" s="14"/>
      <c r="E1577" s="15"/>
      <c r="F1577" s="15"/>
      <c r="G1577" s="15"/>
      <c r="H1577" s="15"/>
      <c r="I1577" s="15"/>
      <c r="J1577" s="15"/>
      <c r="K1577" s="16" t="str">
        <f aca="false">IF(A1577="","",F1577+G1577+H1577+I1577)</f>
        <v/>
      </c>
      <c r="L1577" s="17" t="str">
        <f aca="false">IF(OR(K1577="",E1577=0,E1577=""),"",K1577/E1577)</f>
        <v/>
      </c>
      <c r="M1577" s="18" t="str">
        <f aca="false">IF(OR(A1577="",E1577=""),"",E1577+ROW()/1000000)</f>
        <v/>
      </c>
    </row>
    <row r="1578" customFormat="false" ht="15" hidden="false" customHeight="false" outlineLevel="0" collapsed="false">
      <c r="A1578" s="12"/>
      <c r="B1578" s="13"/>
      <c r="C1578" s="13"/>
      <c r="D1578" s="14"/>
      <c r="E1578" s="15"/>
      <c r="F1578" s="15"/>
      <c r="G1578" s="15"/>
      <c r="H1578" s="15"/>
      <c r="I1578" s="15"/>
      <c r="J1578" s="15"/>
      <c r="K1578" s="16" t="str">
        <f aca="false">IF(A1578="","",F1578+G1578+H1578+I1578)</f>
        <v/>
      </c>
      <c r="L1578" s="17" t="str">
        <f aca="false">IF(OR(K1578="",E1578=0,E1578=""),"",K1578/E1578)</f>
        <v/>
      </c>
      <c r="M1578" s="18" t="str">
        <f aca="false">IF(OR(A1578="",E1578=""),"",E1578+ROW()/1000000)</f>
        <v/>
      </c>
    </row>
    <row r="1579" customFormat="false" ht="15" hidden="false" customHeight="false" outlineLevel="0" collapsed="false">
      <c r="A1579" s="12"/>
      <c r="B1579" s="13"/>
      <c r="C1579" s="13"/>
      <c r="D1579" s="14"/>
      <c r="E1579" s="15"/>
      <c r="F1579" s="15"/>
      <c r="G1579" s="15"/>
      <c r="H1579" s="15"/>
      <c r="I1579" s="15"/>
      <c r="J1579" s="15"/>
      <c r="K1579" s="16" t="str">
        <f aca="false">IF(A1579="","",F1579+G1579+H1579+I1579)</f>
        <v/>
      </c>
      <c r="L1579" s="17" t="str">
        <f aca="false">IF(OR(K1579="",E1579=0,E1579=""),"",K1579/E1579)</f>
        <v/>
      </c>
      <c r="M1579" s="18" t="str">
        <f aca="false">IF(OR(A1579="",E1579=""),"",E1579+ROW()/1000000)</f>
        <v/>
      </c>
    </row>
    <row r="1580" customFormat="false" ht="15" hidden="false" customHeight="false" outlineLevel="0" collapsed="false">
      <c r="A1580" s="12"/>
      <c r="B1580" s="13"/>
      <c r="C1580" s="13"/>
      <c r="D1580" s="14"/>
      <c r="E1580" s="15"/>
      <c r="F1580" s="15"/>
      <c r="G1580" s="15"/>
      <c r="H1580" s="15"/>
      <c r="I1580" s="15"/>
      <c r="J1580" s="15"/>
      <c r="K1580" s="16" t="str">
        <f aca="false">IF(A1580="","",F1580+G1580+H1580+I1580)</f>
        <v/>
      </c>
      <c r="L1580" s="17" t="str">
        <f aca="false">IF(OR(K1580="",E1580=0,E1580=""),"",K1580/E1580)</f>
        <v/>
      </c>
      <c r="M1580" s="18" t="str">
        <f aca="false">IF(OR(A1580="",E1580=""),"",E1580+ROW()/1000000)</f>
        <v/>
      </c>
    </row>
    <row r="1581" customFormat="false" ht="15" hidden="false" customHeight="false" outlineLevel="0" collapsed="false">
      <c r="A1581" s="12"/>
      <c r="B1581" s="13"/>
      <c r="C1581" s="13"/>
      <c r="D1581" s="14"/>
      <c r="E1581" s="15"/>
      <c r="F1581" s="15"/>
      <c r="G1581" s="15"/>
      <c r="H1581" s="15"/>
      <c r="I1581" s="15"/>
      <c r="J1581" s="15"/>
      <c r="K1581" s="16" t="str">
        <f aca="false">IF(A1581="","",F1581+G1581+H1581+I1581)</f>
        <v/>
      </c>
      <c r="L1581" s="17" t="str">
        <f aca="false">IF(OR(K1581="",E1581=0,E1581=""),"",K1581/E1581)</f>
        <v/>
      </c>
      <c r="M1581" s="18" t="str">
        <f aca="false">IF(OR(A1581="",E1581=""),"",E1581+ROW()/1000000)</f>
        <v/>
      </c>
    </row>
    <row r="1582" customFormat="false" ht="15" hidden="false" customHeight="false" outlineLevel="0" collapsed="false">
      <c r="A1582" s="12"/>
      <c r="B1582" s="13"/>
      <c r="C1582" s="13"/>
      <c r="D1582" s="14"/>
      <c r="E1582" s="15"/>
      <c r="F1582" s="15"/>
      <c r="G1582" s="15"/>
      <c r="H1582" s="15"/>
      <c r="I1582" s="15"/>
      <c r="J1582" s="15"/>
      <c r="K1582" s="16" t="str">
        <f aca="false">IF(A1582="","",F1582+G1582+H1582+I1582)</f>
        <v/>
      </c>
      <c r="L1582" s="17" t="str">
        <f aca="false">IF(OR(K1582="",E1582=0,E1582=""),"",K1582/E1582)</f>
        <v/>
      </c>
      <c r="M1582" s="18" t="str">
        <f aca="false">IF(OR(A1582="",E1582=""),"",E1582+ROW()/1000000)</f>
        <v/>
      </c>
    </row>
    <row r="1583" customFormat="false" ht="15" hidden="false" customHeight="false" outlineLevel="0" collapsed="false">
      <c r="A1583" s="12"/>
      <c r="B1583" s="13"/>
      <c r="C1583" s="13"/>
      <c r="D1583" s="14"/>
      <c r="E1583" s="15"/>
      <c r="F1583" s="15"/>
      <c r="G1583" s="15"/>
      <c r="H1583" s="15"/>
      <c r="I1583" s="15"/>
      <c r="J1583" s="15"/>
      <c r="K1583" s="16" t="str">
        <f aca="false">IF(A1583="","",F1583+G1583+H1583+I1583)</f>
        <v/>
      </c>
      <c r="L1583" s="17" t="str">
        <f aca="false">IF(OR(K1583="",E1583=0,E1583=""),"",K1583/E1583)</f>
        <v/>
      </c>
      <c r="M1583" s="18" t="str">
        <f aca="false">IF(OR(A1583="",E1583=""),"",E1583+ROW()/1000000)</f>
        <v/>
      </c>
    </row>
    <row r="1584" customFormat="false" ht="15" hidden="false" customHeight="false" outlineLevel="0" collapsed="false">
      <c r="A1584" s="12"/>
      <c r="B1584" s="13"/>
      <c r="C1584" s="13"/>
      <c r="D1584" s="14"/>
      <c r="E1584" s="15"/>
      <c r="F1584" s="15"/>
      <c r="G1584" s="15"/>
      <c r="H1584" s="15"/>
      <c r="I1584" s="15"/>
      <c r="J1584" s="15"/>
      <c r="K1584" s="16" t="str">
        <f aca="false">IF(A1584="","",F1584+G1584+H1584+I1584)</f>
        <v/>
      </c>
      <c r="L1584" s="17" t="str">
        <f aca="false">IF(OR(K1584="",E1584=0,E1584=""),"",K1584/E1584)</f>
        <v/>
      </c>
      <c r="M1584" s="18" t="str">
        <f aca="false">IF(OR(A1584="",E1584=""),"",E1584+ROW()/1000000)</f>
        <v/>
      </c>
    </row>
    <row r="1585" customFormat="false" ht="15" hidden="false" customHeight="false" outlineLevel="0" collapsed="false">
      <c r="A1585" s="12"/>
      <c r="B1585" s="13"/>
      <c r="C1585" s="13"/>
      <c r="D1585" s="14"/>
      <c r="E1585" s="15"/>
      <c r="F1585" s="15"/>
      <c r="G1585" s="15"/>
      <c r="H1585" s="15"/>
      <c r="I1585" s="15"/>
      <c r="J1585" s="15"/>
      <c r="K1585" s="16" t="str">
        <f aca="false">IF(A1585="","",F1585+G1585+H1585+I1585)</f>
        <v/>
      </c>
      <c r="L1585" s="17" t="str">
        <f aca="false">IF(OR(K1585="",E1585=0,E1585=""),"",K1585/E1585)</f>
        <v/>
      </c>
      <c r="M1585" s="18" t="str">
        <f aca="false">IF(OR(A1585="",E1585=""),"",E1585+ROW()/1000000)</f>
        <v/>
      </c>
    </row>
    <row r="1586" customFormat="false" ht="15" hidden="false" customHeight="false" outlineLevel="0" collapsed="false">
      <c r="A1586" s="12"/>
      <c r="B1586" s="13"/>
      <c r="C1586" s="13"/>
      <c r="D1586" s="14"/>
      <c r="E1586" s="15"/>
      <c r="F1586" s="15"/>
      <c r="G1586" s="15"/>
      <c r="H1586" s="15"/>
      <c r="I1586" s="15"/>
      <c r="J1586" s="15"/>
      <c r="K1586" s="16" t="str">
        <f aca="false">IF(A1586="","",F1586+G1586+H1586+I1586)</f>
        <v/>
      </c>
      <c r="L1586" s="17" t="str">
        <f aca="false">IF(OR(K1586="",E1586=0,E1586=""),"",K1586/E1586)</f>
        <v/>
      </c>
      <c r="M1586" s="18" t="str">
        <f aca="false">IF(OR(A1586="",E1586=""),"",E1586+ROW()/1000000)</f>
        <v/>
      </c>
    </row>
    <row r="1587" customFormat="false" ht="15" hidden="false" customHeight="false" outlineLevel="0" collapsed="false">
      <c r="A1587" s="12"/>
      <c r="B1587" s="13"/>
      <c r="C1587" s="13"/>
      <c r="D1587" s="14"/>
      <c r="E1587" s="15"/>
      <c r="F1587" s="15"/>
      <c r="G1587" s="15"/>
      <c r="H1587" s="15"/>
      <c r="I1587" s="15"/>
      <c r="J1587" s="15"/>
      <c r="K1587" s="16" t="str">
        <f aca="false">IF(A1587="","",F1587+G1587+H1587+I1587)</f>
        <v/>
      </c>
      <c r="L1587" s="17" t="str">
        <f aca="false">IF(OR(K1587="",E1587=0,E1587=""),"",K1587/E1587)</f>
        <v/>
      </c>
      <c r="M1587" s="18" t="str">
        <f aca="false">IF(OR(A1587="",E1587=""),"",E1587+ROW()/1000000)</f>
        <v/>
      </c>
    </row>
    <row r="1588" customFormat="false" ht="15" hidden="false" customHeight="false" outlineLevel="0" collapsed="false">
      <c r="A1588" s="12"/>
      <c r="B1588" s="13"/>
      <c r="C1588" s="13"/>
      <c r="D1588" s="14"/>
      <c r="E1588" s="15"/>
      <c r="F1588" s="15"/>
      <c r="G1588" s="15"/>
      <c r="H1588" s="15"/>
      <c r="I1588" s="15"/>
      <c r="J1588" s="15"/>
      <c r="K1588" s="16" t="str">
        <f aca="false">IF(A1588="","",F1588+G1588+H1588+I1588)</f>
        <v/>
      </c>
      <c r="L1588" s="17" t="str">
        <f aca="false">IF(OR(K1588="",E1588=0,E1588=""),"",K1588/E1588)</f>
        <v/>
      </c>
      <c r="M1588" s="18" t="str">
        <f aca="false">IF(OR(A1588="",E1588=""),"",E1588+ROW()/1000000)</f>
        <v/>
      </c>
    </row>
    <row r="1589" customFormat="false" ht="15" hidden="false" customHeight="false" outlineLevel="0" collapsed="false">
      <c r="A1589" s="12"/>
      <c r="B1589" s="13"/>
      <c r="C1589" s="13"/>
      <c r="D1589" s="14"/>
      <c r="E1589" s="15"/>
      <c r="F1589" s="15"/>
      <c r="G1589" s="15"/>
      <c r="H1589" s="15"/>
      <c r="I1589" s="15"/>
      <c r="J1589" s="15"/>
      <c r="K1589" s="16" t="str">
        <f aca="false">IF(A1589="","",F1589+G1589+H1589+I1589)</f>
        <v/>
      </c>
      <c r="L1589" s="17" t="str">
        <f aca="false">IF(OR(K1589="",E1589=0,E1589=""),"",K1589/E1589)</f>
        <v/>
      </c>
      <c r="M1589" s="18" t="str">
        <f aca="false">IF(OR(A1589="",E1589=""),"",E1589+ROW()/1000000)</f>
        <v/>
      </c>
    </row>
    <row r="1590" customFormat="false" ht="15" hidden="false" customHeight="false" outlineLevel="0" collapsed="false">
      <c r="A1590" s="12"/>
      <c r="B1590" s="13"/>
      <c r="C1590" s="13"/>
      <c r="D1590" s="14"/>
      <c r="E1590" s="15"/>
      <c r="F1590" s="15"/>
      <c r="G1590" s="15"/>
      <c r="H1590" s="15"/>
      <c r="I1590" s="15"/>
      <c r="J1590" s="15"/>
      <c r="K1590" s="16" t="str">
        <f aca="false">IF(A1590="","",F1590+G1590+H1590+I1590)</f>
        <v/>
      </c>
      <c r="L1590" s="17" t="str">
        <f aca="false">IF(OR(K1590="",E1590=0,E1590=""),"",K1590/E1590)</f>
        <v/>
      </c>
      <c r="M1590" s="18" t="str">
        <f aca="false">IF(OR(A1590="",E1590=""),"",E1590+ROW()/1000000)</f>
        <v/>
      </c>
    </row>
    <row r="1591" customFormat="false" ht="15" hidden="false" customHeight="false" outlineLevel="0" collapsed="false">
      <c r="A1591" s="12"/>
      <c r="B1591" s="13"/>
      <c r="C1591" s="13"/>
      <c r="D1591" s="14"/>
      <c r="E1591" s="15"/>
      <c r="F1591" s="15"/>
      <c r="G1591" s="15"/>
      <c r="H1591" s="15"/>
      <c r="I1591" s="15"/>
      <c r="J1591" s="15"/>
      <c r="K1591" s="16" t="str">
        <f aca="false">IF(A1591="","",F1591+G1591+H1591+I1591)</f>
        <v/>
      </c>
      <c r="L1591" s="17" t="str">
        <f aca="false">IF(OR(K1591="",E1591=0,E1591=""),"",K1591/E1591)</f>
        <v/>
      </c>
      <c r="M1591" s="18" t="str">
        <f aca="false">IF(OR(A1591="",E1591=""),"",E1591+ROW()/1000000)</f>
        <v/>
      </c>
    </row>
    <row r="1592" customFormat="false" ht="15" hidden="false" customHeight="false" outlineLevel="0" collapsed="false">
      <c r="A1592" s="12"/>
      <c r="B1592" s="13"/>
      <c r="C1592" s="13"/>
      <c r="D1592" s="14"/>
      <c r="E1592" s="15"/>
      <c r="F1592" s="15"/>
      <c r="G1592" s="15"/>
      <c r="H1592" s="15"/>
      <c r="I1592" s="15"/>
      <c r="J1592" s="15"/>
      <c r="K1592" s="16" t="str">
        <f aca="false">IF(A1592="","",F1592+G1592+H1592+I1592)</f>
        <v/>
      </c>
      <c r="L1592" s="17" t="str">
        <f aca="false">IF(OR(K1592="",E1592=0,E1592=""),"",K1592/E1592)</f>
        <v/>
      </c>
      <c r="M1592" s="18" t="str">
        <f aca="false">IF(OR(A1592="",E1592=""),"",E1592+ROW()/1000000)</f>
        <v/>
      </c>
    </row>
    <row r="1593" customFormat="false" ht="15" hidden="false" customHeight="false" outlineLevel="0" collapsed="false">
      <c r="A1593" s="12"/>
      <c r="B1593" s="13"/>
      <c r="C1593" s="13"/>
      <c r="D1593" s="14"/>
      <c r="E1593" s="15"/>
      <c r="F1593" s="15"/>
      <c r="G1593" s="15"/>
      <c r="H1593" s="15"/>
      <c r="I1593" s="15"/>
      <c r="J1593" s="15"/>
      <c r="K1593" s="16" t="str">
        <f aca="false">IF(A1593="","",F1593+G1593+H1593+I1593)</f>
        <v/>
      </c>
      <c r="L1593" s="17" t="str">
        <f aca="false">IF(OR(K1593="",E1593=0,E1593=""),"",K1593/E1593)</f>
        <v/>
      </c>
      <c r="M1593" s="18" t="str">
        <f aca="false">IF(OR(A1593="",E1593=""),"",E1593+ROW()/1000000)</f>
        <v/>
      </c>
    </row>
    <row r="1594" customFormat="false" ht="15" hidden="false" customHeight="false" outlineLevel="0" collapsed="false">
      <c r="A1594" s="12"/>
      <c r="B1594" s="13"/>
      <c r="C1594" s="13"/>
      <c r="D1594" s="14"/>
      <c r="E1594" s="15"/>
      <c r="F1594" s="15"/>
      <c r="G1594" s="15"/>
      <c r="H1594" s="15"/>
      <c r="I1594" s="15"/>
      <c r="J1594" s="15"/>
      <c r="K1594" s="16" t="str">
        <f aca="false">IF(A1594="","",F1594+G1594+H1594+I1594)</f>
        <v/>
      </c>
      <c r="L1594" s="17" t="str">
        <f aca="false">IF(OR(K1594="",E1594=0,E1594=""),"",K1594/E1594)</f>
        <v/>
      </c>
      <c r="M1594" s="18" t="str">
        <f aca="false">IF(OR(A1594="",E1594=""),"",E1594+ROW()/1000000)</f>
        <v/>
      </c>
    </row>
    <row r="1595" customFormat="false" ht="15" hidden="false" customHeight="false" outlineLevel="0" collapsed="false">
      <c r="A1595" s="12"/>
      <c r="B1595" s="13"/>
      <c r="C1595" s="13"/>
      <c r="D1595" s="14"/>
      <c r="E1595" s="15"/>
      <c r="F1595" s="15"/>
      <c r="G1595" s="15"/>
      <c r="H1595" s="15"/>
      <c r="I1595" s="15"/>
      <c r="J1595" s="15"/>
      <c r="K1595" s="16" t="str">
        <f aca="false">IF(A1595="","",F1595+G1595+H1595+I1595)</f>
        <v/>
      </c>
      <c r="L1595" s="17" t="str">
        <f aca="false">IF(OR(K1595="",E1595=0,E1595=""),"",K1595/E1595)</f>
        <v/>
      </c>
      <c r="M1595" s="18" t="str">
        <f aca="false">IF(OR(A1595="",E1595=""),"",E1595+ROW()/1000000)</f>
        <v/>
      </c>
    </row>
    <row r="1596" customFormat="false" ht="15" hidden="false" customHeight="false" outlineLevel="0" collapsed="false">
      <c r="A1596" s="12"/>
      <c r="B1596" s="13"/>
      <c r="C1596" s="13"/>
      <c r="D1596" s="14"/>
      <c r="E1596" s="15"/>
      <c r="F1596" s="15"/>
      <c r="G1596" s="15"/>
      <c r="H1596" s="15"/>
      <c r="I1596" s="15"/>
      <c r="J1596" s="15"/>
      <c r="K1596" s="16" t="str">
        <f aca="false">IF(A1596="","",F1596+G1596+H1596+I1596)</f>
        <v/>
      </c>
      <c r="L1596" s="17" t="str">
        <f aca="false">IF(OR(K1596="",E1596=0,E1596=""),"",K1596/E1596)</f>
        <v/>
      </c>
      <c r="M1596" s="18" t="str">
        <f aca="false">IF(OR(A1596="",E1596=""),"",E1596+ROW()/1000000)</f>
        <v/>
      </c>
    </row>
    <row r="1597" customFormat="false" ht="15" hidden="false" customHeight="false" outlineLevel="0" collapsed="false">
      <c r="A1597" s="12"/>
      <c r="B1597" s="13"/>
      <c r="C1597" s="13"/>
      <c r="D1597" s="14"/>
      <c r="E1597" s="15"/>
      <c r="F1597" s="15"/>
      <c r="G1597" s="15"/>
      <c r="H1597" s="15"/>
      <c r="I1597" s="15"/>
      <c r="J1597" s="15"/>
      <c r="K1597" s="16" t="str">
        <f aca="false">IF(A1597="","",F1597+G1597+H1597+I1597)</f>
        <v/>
      </c>
      <c r="L1597" s="17" t="str">
        <f aca="false">IF(OR(K1597="",E1597=0,E1597=""),"",K1597/E1597)</f>
        <v/>
      </c>
      <c r="M1597" s="18" t="str">
        <f aca="false">IF(OR(A1597="",E1597=""),"",E1597+ROW()/1000000)</f>
        <v/>
      </c>
    </row>
    <row r="1598" customFormat="false" ht="15" hidden="false" customHeight="false" outlineLevel="0" collapsed="false">
      <c r="A1598" s="12"/>
      <c r="B1598" s="13"/>
      <c r="C1598" s="13"/>
      <c r="D1598" s="14"/>
      <c r="E1598" s="15"/>
      <c r="F1598" s="15"/>
      <c r="G1598" s="15"/>
      <c r="H1598" s="15"/>
      <c r="I1598" s="15"/>
      <c r="J1598" s="15"/>
      <c r="K1598" s="16" t="str">
        <f aca="false">IF(A1598="","",F1598+G1598+H1598+I1598)</f>
        <v/>
      </c>
      <c r="L1598" s="17" t="str">
        <f aca="false">IF(OR(K1598="",E1598=0,E1598=""),"",K1598/E1598)</f>
        <v/>
      </c>
      <c r="M1598" s="18" t="str">
        <f aca="false">IF(OR(A1598="",E1598=""),"",E1598+ROW()/1000000)</f>
        <v/>
      </c>
    </row>
    <row r="1599" customFormat="false" ht="15" hidden="false" customHeight="false" outlineLevel="0" collapsed="false">
      <c r="A1599" s="12"/>
      <c r="B1599" s="13"/>
      <c r="C1599" s="13"/>
      <c r="D1599" s="14"/>
      <c r="E1599" s="15"/>
      <c r="F1599" s="15"/>
      <c r="G1599" s="15"/>
      <c r="H1599" s="15"/>
      <c r="I1599" s="15"/>
      <c r="J1599" s="15"/>
      <c r="K1599" s="16" t="str">
        <f aca="false">IF(A1599="","",F1599+G1599+H1599+I1599)</f>
        <v/>
      </c>
      <c r="L1599" s="17" t="str">
        <f aca="false">IF(OR(K1599="",E1599=0,E1599=""),"",K1599/E1599)</f>
        <v/>
      </c>
      <c r="M1599" s="18" t="str">
        <f aca="false">IF(OR(A1599="",E1599=""),"",E1599+ROW()/1000000)</f>
        <v/>
      </c>
    </row>
    <row r="1600" customFormat="false" ht="15" hidden="false" customHeight="false" outlineLevel="0" collapsed="false">
      <c r="A1600" s="12"/>
      <c r="B1600" s="13"/>
      <c r="C1600" s="13"/>
      <c r="D1600" s="14"/>
      <c r="E1600" s="15"/>
      <c r="F1600" s="15"/>
      <c r="G1600" s="15"/>
      <c r="H1600" s="15"/>
      <c r="I1600" s="15"/>
      <c r="J1600" s="15"/>
      <c r="K1600" s="16" t="str">
        <f aca="false">IF(A1600="","",F1600+G1600+H1600+I1600)</f>
        <v/>
      </c>
      <c r="L1600" s="17" t="str">
        <f aca="false">IF(OR(K1600="",E1600=0,E1600=""),"",K1600/E1600)</f>
        <v/>
      </c>
      <c r="M1600" s="18" t="str">
        <f aca="false">IF(OR(A1600="",E1600=""),"",E1600+ROW()/1000000)</f>
        <v/>
      </c>
    </row>
    <row r="1601" customFormat="false" ht="15" hidden="false" customHeight="false" outlineLevel="0" collapsed="false">
      <c r="A1601" s="12"/>
      <c r="B1601" s="13"/>
      <c r="C1601" s="13"/>
      <c r="D1601" s="14"/>
      <c r="E1601" s="15"/>
      <c r="F1601" s="15"/>
      <c r="G1601" s="15"/>
      <c r="H1601" s="15"/>
      <c r="I1601" s="15"/>
      <c r="J1601" s="15"/>
      <c r="K1601" s="16" t="str">
        <f aca="false">IF(A1601="","",F1601+G1601+H1601+I1601)</f>
        <v/>
      </c>
      <c r="L1601" s="17" t="str">
        <f aca="false">IF(OR(K1601="",E1601=0,E1601=""),"",K1601/E1601)</f>
        <v/>
      </c>
      <c r="M1601" s="18" t="str">
        <f aca="false">IF(OR(A1601="",E1601=""),"",E1601+ROW()/1000000)</f>
        <v/>
      </c>
    </row>
    <row r="1602" customFormat="false" ht="15" hidden="false" customHeight="false" outlineLevel="0" collapsed="false">
      <c r="A1602" s="12"/>
      <c r="B1602" s="13"/>
      <c r="C1602" s="13"/>
      <c r="D1602" s="14"/>
      <c r="E1602" s="15"/>
      <c r="F1602" s="15"/>
      <c r="G1602" s="15"/>
      <c r="H1602" s="15"/>
      <c r="I1602" s="15"/>
      <c r="J1602" s="15"/>
      <c r="K1602" s="16" t="str">
        <f aca="false">IF(A1602="","",F1602+G1602+H1602+I1602)</f>
        <v/>
      </c>
      <c r="L1602" s="17" t="str">
        <f aca="false">IF(OR(K1602="",E1602=0,E1602=""),"",K1602/E1602)</f>
        <v/>
      </c>
      <c r="M1602" s="18" t="str">
        <f aca="false">IF(OR(A1602="",E1602=""),"",E1602+ROW()/1000000)</f>
        <v/>
      </c>
    </row>
    <row r="1603" customFormat="false" ht="15" hidden="false" customHeight="false" outlineLevel="0" collapsed="false">
      <c r="A1603" s="12"/>
      <c r="B1603" s="13"/>
      <c r="C1603" s="13"/>
      <c r="D1603" s="14"/>
      <c r="E1603" s="15"/>
      <c r="F1603" s="15"/>
      <c r="G1603" s="15"/>
      <c r="H1603" s="15"/>
      <c r="I1603" s="15"/>
      <c r="J1603" s="15"/>
      <c r="K1603" s="16" t="str">
        <f aca="false">IF(A1603="","",F1603+G1603+H1603+I1603)</f>
        <v/>
      </c>
      <c r="L1603" s="17" t="str">
        <f aca="false">IF(OR(K1603="",E1603=0,E1603=""),"",K1603/E1603)</f>
        <v/>
      </c>
      <c r="M1603" s="18" t="str">
        <f aca="false">IF(OR(A1603="",E1603=""),"",E1603+ROW()/1000000)</f>
        <v/>
      </c>
    </row>
    <row r="1604" customFormat="false" ht="15" hidden="false" customHeight="false" outlineLevel="0" collapsed="false">
      <c r="A1604" s="12"/>
      <c r="B1604" s="13"/>
      <c r="C1604" s="13"/>
      <c r="D1604" s="14"/>
      <c r="E1604" s="15"/>
      <c r="F1604" s="15"/>
      <c r="G1604" s="15"/>
      <c r="H1604" s="15"/>
      <c r="I1604" s="15"/>
      <c r="J1604" s="15"/>
      <c r="K1604" s="16" t="str">
        <f aca="false">IF(A1604="","",F1604+G1604+H1604+I1604)</f>
        <v/>
      </c>
      <c r="L1604" s="17" t="str">
        <f aca="false">IF(OR(K1604="",E1604=0,E1604=""),"",K1604/E1604)</f>
        <v/>
      </c>
      <c r="M1604" s="18" t="str">
        <f aca="false">IF(OR(A1604="",E1604=""),"",E1604+ROW()/1000000)</f>
        <v/>
      </c>
    </row>
    <row r="1605" customFormat="false" ht="15" hidden="false" customHeight="false" outlineLevel="0" collapsed="false">
      <c r="A1605" s="12"/>
      <c r="B1605" s="13"/>
      <c r="C1605" s="13"/>
      <c r="D1605" s="14"/>
      <c r="E1605" s="15"/>
      <c r="F1605" s="15"/>
      <c r="G1605" s="15"/>
      <c r="H1605" s="15"/>
      <c r="I1605" s="15"/>
      <c r="J1605" s="15"/>
      <c r="K1605" s="16" t="str">
        <f aca="false">IF(A1605="","",F1605+G1605+H1605+I1605)</f>
        <v/>
      </c>
      <c r="L1605" s="17" t="str">
        <f aca="false">IF(OR(K1605="",E1605=0,E1605=""),"",K1605/E1605)</f>
        <v/>
      </c>
      <c r="M1605" s="18" t="str">
        <f aca="false">IF(OR(A1605="",E1605=""),"",E1605+ROW()/1000000)</f>
        <v/>
      </c>
    </row>
    <row r="1606" customFormat="false" ht="15" hidden="false" customHeight="false" outlineLevel="0" collapsed="false">
      <c r="A1606" s="12"/>
      <c r="B1606" s="13"/>
      <c r="C1606" s="13"/>
      <c r="D1606" s="14"/>
      <c r="E1606" s="15"/>
      <c r="F1606" s="15"/>
      <c r="G1606" s="15"/>
      <c r="H1606" s="15"/>
      <c r="I1606" s="15"/>
      <c r="J1606" s="15"/>
      <c r="K1606" s="16" t="str">
        <f aca="false">IF(A1606="","",F1606+G1606+H1606+I1606)</f>
        <v/>
      </c>
      <c r="L1606" s="17" t="str">
        <f aca="false">IF(OR(K1606="",E1606=0,E1606=""),"",K1606/E1606)</f>
        <v/>
      </c>
      <c r="M1606" s="18" t="str">
        <f aca="false">IF(OR(A1606="",E1606=""),"",E1606+ROW()/1000000)</f>
        <v/>
      </c>
    </row>
    <row r="1607" customFormat="false" ht="15" hidden="false" customHeight="false" outlineLevel="0" collapsed="false">
      <c r="A1607" s="12"/>
      <c r="B1607" s="13"/>
      <c r="C1607" s="13"/>
      <c r="D1607" s="14"/>
      <c r="E1607" s="15"/>
      <c r="F1607" s="15"/>
      <c r="G1607" s="15"/>
      <c r="H1607" s="15"/>
      <c r="I1607" s="15"/>
      <c r="J1607" s="15"/>
      <c r="K1607" s="16" t="str">
        <f aca="false">IF(A1607="","",F1607+G1607+H1607+I1607)</f>
        <v/>
      </c>
      <c r="L1607" s="17" t="str">
        <f aca="false">IF(OR(K1607="",E1607=0,E1607=""),"",K1607/E1607)</f>
        <v/>
      </c>
      <c r="M1607" s="18" t="str">
        <f aca="false">IF(OR(A1607="",E1607=""),"",E1607+ROW()/1000000)</f>
        <v/>
      </c>
    </row>
    <row r="1608" customFormat="false" ht="15" hidden="false" customHeight="false" outlineLevel="0" collapsed="false">
      <c r="A1608" s="12"/>
      <c r="B1608" s="13"/>
      <c r="C1608" s="13"/>
      <c r="D1608" s="14"/>
      <c r="E1608" s="15"/>
      <c r="F1608" s="15"/>
      <c r="G1608" s="15"/>
      <c r="H1608" s="15"/>
      <c r="I1608" s="15"/>
      <c r="J1608" s="15"/>
      <c r="K1608" s="16" t="str">
        <f aca="false">IF(A1608="","",F1608+G1608+H1608+I1608)</f>
        <v/>
      </c>
      <c r="L1608" s="17" t="str">
        <f aca="false">IF(OR(K1608="",E1608=0,E1608=""),"",K1608/E1608)</f>
        <v/>
      </c>
      <c r="M1608" s="18" t="str">
        <f aca="false">IF(OR(A1608="",E1608=""),"",E1608+ROW()/1000000)</f>
        <v/>
      </c>
    </row>
    <row r="1609" customFormat="false" ht="15" hidden="false" customHeight="false" outlineLevel="0" collapsed="false">
      <c r="A1609" s="12"/>
      <c r="B1609" s="13"/>
      <c r="C1609" s="13"/>
      <c r="D1609" s="14"/>
      <c r="E1609" s="15"/>
      <c r="F1609" s="15"/>
      <c r="G1609" s="15"/>
      <c r="H1609" s="15"/>
      <c r="I1609" s="15"/>
      <c r="J1609" s="15"/>
      <c r="K1609" s="16" t="str">
        <f aca="false">IF(A1609="","",F1609+G1609+H1609+I1609)</f>
        <v/>
      </c>
      <c r="L1609" s="17" t="str">
        <f aca="false">IF(OR(K1609="",E1609=0,E1609=""),"",K1609/E1609)</f>
        <v/>
      </c>
      <c r="M1609" s="18" t="str">
        <f aca="false">IF(OR(A1609="",E1609=""),"",E1609+ROW()/1000000)</f>
        <v/>
      </c>
    </row>
    <row r="1610" customFormat="false" ht="15" hidden="false" customHeight="false" outlineLevel="0" collapsed="false">
      <c r="A1610" s="12"/>
      <c r="B1610" s="13"/>
      <c r="C1610" s="13"/>
      <c r="D1610" s="14"/>
      <c r="E1610" s="15"/>
      <c r="F1610" s="15"/>
      <c r="G1610" s="15"/>
      <c r="H1610" s="15"/>
      <c r="I1610" s="15"/>
      <c r="J1610" s="15"/>
      <c r="K1610" s="16" t="str">
        <f aca="false">IF(A1610="","",F1610+G1610+H1610+I1610)</f>
        <v/>
      </c>
      <c r="L1610" s="17" t="str">
        <f aca="false">IF(OR(K1610="",E1610=0,E1610=""),"",K1610/E1610)</f>
        <v/>
      </c>
      <c r="M1610" s="18" t="str">
        <f aca="false">IF(OR(A1610="",E1610=""),"",E1610+ROW()/1000000)</f>
        <v/>
      </c>
    </row>
    <row r="1611" customFormat="false" ht="15" hidden="false" customHeight="false" outlineLevel="0" collapsed="false">
      <c r="A1611" s="12"/>
      <c r="B1611" s="13"/>
      <c r="C1611" s="13"/>
      <c r="D1611" s="14"/>
      <c r="E1611" s="15"/>
      <c r="F1611" s="15"/>
      <c r="G1611" s="15"/>
      <c r="H1611" s="15"/>
      <c r="I1611" s="15"/>
      <c r="J1611" s="15"/>
      <c r="K1611" s="16" t="str">
        <f aca="false">IF(A1611="","",F1611+G1611+H1611+I1611)</f>
        <v/>
      </c>
      <c r="L1611" s="17" t="str">
        <f aca="false">IF(OR(K1611="",E1611=0,E1611=""),"",K1611/E1611)</f>
        <v/>
      </c>
      <c r="M1611" s="18" t="str">
        <f aca="false">IF(OR(A1611="",E1611=""),"",E1611+ROW()/1000000)</f>
        <v/>
      </c>
    </row>
    <row r="1612" customFormat="false" ht="15" hidden="false" customHeight="false" outlineLevel="0" collapsed="false">
      <c r="A1612" s="12"/>
      <c r="B1612" s="13"/>
      <c r="C1612" s="13"/>
      <c r="D1612" s="14"/>
      <c r="E1612" s="15"/>
      <c r="F1612" s="15"/>
      <c r="G1612" s="15"/>
      <c r="H1612" s="15"/>
      <c r="I1612" s="15"/>
      <c r="J1612" s="15"/>
      <c r="K1612" s="16" t="str">
        <f aca="false">IF(A1612="","",F1612+G1612+H1612+I1612)</f>
        <v/>
      </c>
      <c r="L1612" s="17" t="str">
        <f aca="false">IF(OR(K1612="",E1612=0,E1612=""),"",K1612/E1612)</f>
        <v/>
      </c>
      <c r="M1612" s="18" t="str">
        <f aca="false">IF(OR(A1612="",E1612=""),"",E1612+ROW()/1000000)</f>
        <v/>
      </c>
    </row>
    <row r="1613" customFormat="false" ht="15" hidden="false" customHeight="false" outlineLevel="0" collapsed="false">
      <c r="A1613" s="12"/>
      <c r="B1613" s="13"/>
      <c r="C1613" s="13"/>
      <c r="D1613" s="14"/>
      <c r="E1613" s="15"/>
      <c r="F1613" s="15"/>
      <c r="G1613" s="15"/>
      <c r="H1613" s="15"/>
      <c r="I1613" s="15"/>
      <c r="J1613" s="15"/>
      <c r="K1613" s="16" t="str">
        <f aca="false">IF(A1613="","",F1613+G1613+H1613+I1613)</f>
        <v/>
      </c>
      <c r="L1613" s="17" t="str">
        <f aca="false">IF(OR(K1613="",E1613=0,E1613=""),"",K1613/E1613)</f>
        <v/>
      </c>
      <c r="M1613" s="18" t="str">
        <f aca="false">IF(OR(A1613="",E1613=""),"",E1613+ROW()/1000000)</f>
        <v/>
      </c>
    </row>
    <row r="1614" customFormat="false" ht="15" hidden="false" customHeight="false" outlineLevel="0" collapsed="false">
      <c r="A1614" s="12"/>
      <c r="B1614" s="13"/>
      <c r="C1614" s="13"/>
      <c r="D1614" s="14"/>
      <c r="E1614" s="15"/>
      <c r="F1614" s="15"/>
      <c r="G1614" s="15"/>
      <c r="H1614" s="15"/>
      <c r="I1614" s="15"/>
      <c r="J1614" s="15"/>
      <c r="K1614" s="16" t="str">
        <f aca="false">IF(A1614="","",F1614+G1614+H1614+I1614)</f>
        <v/>
      </c>
      <c r="L1614" s="17" t="str">
        <f aca="false">IF(OR(K1614="",E1614=0,E1614=""),"",K1614/E1614)</f>
        <v/>
      </c>
      <c r="M1614" s="18" t="str">
        <f aca="false">IF(OR(A1614="",E1614=""),"",E1614+ROW()/1000000)</f>
        <v/>
      </c>
    </row>
    <row r="1615" customFormat="false" ht="15" hidden="false" customHeight="false" outlineLevel="0" collapsed="false">
      <c r="A1615" s="12"/>
      <c r="B1615" s="13"/>
      <c r="C1615" s="13"/>
      <c r="D1615" s="14"/>
      <c r="E1615" s="15"/>
      <c r="F1615" s="15"/>
      <c r="G1615" s="15"/>
      <c r="H1615" s="15"/>
      <c r="I1615" s="15"/>
      <c r="J1615" s="15"/>
      <c r="K1615" s="16" t="str">
        <f aca="false">IF(A1615="","",F1615+G1615+H1615+I1615)</f>
        <v/>
      </c>
      <c r="L1615" s="17" t="str">
        <f aca="false">IF(OR(K1615="",E1615=0,E1615=""),"",K1615/E1615)</f>
        <v/>
      </c>
      <c r="M1615" s="18" t="str">
        <f aca="false">IF(OR(A1615="",E1615=""),"",E1615+ROW()/1000000)</f>
        <v/>
      </c>
    </row>
    <row r="1616" customFormat="false" ht="15" hidden="false" customHeight="false" outlineLevel="0" collapsed="false">
      <c r="A1616" s="12"/>
      <c r="B1616" s="13"/>
      <c r="C1616" s="13"/>
      <c r="D1616" s="14"/>
      <c r="E1616" s="15"/>
      <c r="F1616" s="15"/>
      <c r="G1616" s="15"/>
      <c r="H1616" s="15"/>
      <c r="I1616" s="15"/>
      <c r="J1616" s="15"/>
      <c r="K1616" s="16" t="str">
        <f aca="false">IF(A1616="","",F1616+G1616+H1616+I1616)</f>
        <v/>
      </c>
      <c r="L1616" s="17" t="str">
        <f aca="false">IF(OR(K1616="",E1616=0,E1616=""),"",K1616/E1616)</f>
        <v/>
      </c>
      <c r="M1616" s="18" t="str">
        <f aca="false">IF(OR(A1616="",E1616=""),"",E1616+ROW()/1000000)</f>
        <v/>
      </c>
    </row>
    <row r="1617" customFormat="false" ht="15" hidden="false" customHeight="false" outlineLevel="0" collapsed="false">
      <c r="A1617" s="12"/>
      <c r="B1617" s="13"/>
      <c r="C1617" s="13"/>
      <c r="D1617" s="14"/>
      <c r="E1617" s="15"/>
      <c r="F1617" s="15"/>
      <c r="G1617" s="15"/>
      <c r="H1617" s="15"/>
      <c r="I1617" s="15"/>
      <c r="J1617" s="15"/>
      <c r="K1617" s="16" t="str">
        <f aca="false">IF(A1617="","",F1617+G1617+H1617+I1617)</f>
        <v/>
      </c>
      <c r="L1617" s="17" t="str">
        <f aca="false">IF(OR(K1617="",E1617=0,E1617=""),"",K1617/E1617)</f>
        <v/>
      </c>
      <c r="M1617" s="18" t="str">
        <f aca="false">IF(OR(A1617="",E1617=""),"",E1617+ROW()/1000000)</f>
        <v/>
      </c>
    </row>
    <row r="1618" customFormat="false" ht="15" hidden="false" customHeight="false" outlineLevel="0" collapsed="false">
      <c r="A1618" s="12"/>
      <c r="B1618" s="13"/>
      <c r="C1618" s="13"/>
      <c r="D1618" s="14"/>
      <c r="E1618" s="15"/>
      <c r="F1618" s="15"/>
      <c r="G1618" s="15"/>
      <c r="H1618" s="15"/>
      <c r="I1618" s="15"/>
      <c r="J1618" s="15"/>
      <c r="K1618" s="16" t="str">
        <f aca="false">IF(A1618="","",F1618+G1618+H1618+I1618)</f>
        <v/>
      </c>
      <c r="L1618" s="17" t="str">
        <f aca="false">IF(OR(K1618="",E1618=0,E1618=""),"",K1618/E1618)</f>
        <v/>
      </c>
      <c r="M1618" s="18" t="str">
        <f aca="false">IF(OR(A1618="",E1618=""),"",E1618+ROW()/1000000)</f>
        <v/>
      </c>
    </row>
    <row r="1619" customFormat="false" ht="15" hidden="false" customHeight="false" outlineLevel="0" collapsed="false">
      <c r="A1619" s="12"/>
      <c r="B1619" s="13"/>
      <c r="C1619" s="13"/>
      <c r="D1619" s="14"/>
      <c r="E1619" s="15"/>
      <c r="F1619" s="15"/>
      <c r="G1619" s="15"/>
      <c r="H1619" s="15"/>
      <c r="I1619" s="15"/>
      <c r="J1619" s="15"/>
      <c r="K1619" s="16" t="str">
        <f aca="false">IF(A1619="","",F1619+G1619+H1619+I1619)</f>
        <v/>
      </c>
      <c r="L1619" s="17" t="str">
        <f aca="false">IF(OR(K1619="",E1619=0,E1619=""),"",K1619/E1619)</f>
        <v/>
      </c>
      <c r="M1619" s="18" t="str">
        <f aca="false">IF(OR(A1619="",E1619=""),"",E1619+ROW()/1000000)</f>
        <v/>
      </c>
    </row>
    <row r="1620" customFormat="false" ht="15" hidden="false" customHeight="false" outlineLevel="0" collapsed="false">
      <c r="A1620" s="12"/>
      <c r="B1620" s="13"/>
      <c r="C1620" s="13"/>
      <c r="D1620" s="14"/>
      <c r="E1620" s="15"/>
      <c r="F1620" s="15"/>
      <c r="G1620" s="15"/>
      <c r="H1620" s="15"/>
      <c r="I1620" s="15"/>
      <c r="J1620" s="15"/>
      <c r="K1620" s="16" t="str">
        <f aca="false">IF(A1620="","",F1620+G1620+H1620+I1620)</f>
        <v/>
      </c>
      <c r="L1620" s="17" t="str">
        <f aca="false">IF(OR(K1620="",E1620=0,E1620=""),"",K1620/E1620)</f>
        <v/>
      </c>
      <c r="M1620" s="18" t="str">
        <f aca="false">IF(OR(A1620="",E1620=""),"",E1620+ROW()/1000000)</f>
        <v/>
      </c>
    </row>
    <row r="1621" customFormat="false" ht="15" hidden="false" customHeight="false" outlineLevel="0" collapsed="false">
      <c r="A1621" s="12"/>
      <c r="B1621" s="13"/>
      <c r="C1621" s="13"/>
      <c r="D1621" s="14"/>
      <c r="E1621" s="15"/>
      <c r="F1621" s="15"/>
      <c r="G1621" s="15"/>
      <c r="H1621" s="15"/>
      <c r="I1621" s="15"/>
      <c r="J1621" s="15"/>
      <c r="K1621" s="16" t="str">
        <f aca="false">IF(A1621="","",F1621+G1621+H1621+I1621)</f>
        <v/>
      </c>
      <c r="L1621" s="17" t="str">
        <f aca="false">IF(OR(K1621="",E1621=0,E1621=""),"",K1621/E1621)</f>
        <v/>
      </c>
      <c r="M1621" s="18" t="str">
        <f aca="false">IF(OR(A1621="",E1621=""),"",E1621+ROW()/1000000)</f>
        <v/>
      </c>
    </row>
    <row r="1622" customFormat="false" ht="15" hidden="false" customHeight="false" outlineLevel="0" collapsed="false">
      <c r="A1622" s="12"/>
      <c r="B1622" s="13"/>
      <c r="C1622" s="13"/>
      <c r="D1622" s="14"/>
      <c r="E1622" s="15"/>
      <c r="F1622" s="15"/>
      <c r="G1622" s="15"/>
      <c r="H1622" s="15"/>
      <c r="I1622" s="15"/>
      <c r="J1622" s="15"/>
      <c r="K1622" s="16" t="str">
        <f aca="false">IF(A1622="","",F1622+G1622+H1622+I1622)</f>
        <v/>
      </c>
      <c r="L1622" s="17" t="str">
        <f aca="false">IF(OR(K1622="",E1622=0,E1622=""),"",K1622/E1622)</f>
        <v/>
      </c>
      <c r="M1622" s="18" t="str">
        <f aca="false">IF(OR(A1622="",E1622=""),"",E1622+ROW()/1000000)</f>
        <v/>
      </c>
    </row>
    <row r="1623" customFormat="false" ht="15" hidden="false" customHeight="false" outlineLevel="0" collapsed="false">
      <c r="A1623" s="12"/>
      <c r="B1623" s="13"/>
      <c r="C1623" s="13"/>
      <c r="D1623" s="14"/>
      <c r="E1623" s="15"/>
      <c r="F1623" s="15"/>
      <c r="G1623" s="15"/>
      <c r="H1623" s="15"/>
      <c r="I1623" s="15"/>
      <c r="J1623" s="15"/>
      <c r="K1623" s="16" t="str">
        <f aca="false">IF(A1623="","",F1623+G1623+H1623+I1623)</f>
        <v/>
      </c>
      <c r="L1623" s="17" t="str">
        <f aca="false">IF(OR(K1623="",E1623=0,E1623=""),"",K1623/E1623)</f>
        <v/>
      </c>
      <c r="M1623" s="18" t="str">
        <f aca="false">IF(OR(A1623="",E1623=""),"",E1623+ROW()/1000000)</f>
        <v/>
      </c>
    </row>
    <row r="1624" customFormat="false" ht="15" hidden="false" customHeight="false" outlineLevel="0" collapsed="false">
      <c r="A1624" s="12"/>
      <c r="B1624" s="13"/>
      <c r="C1624" s="13"/>
      <c r="D1624" s="14"/>
      <c r="E1624" s="15"/>
      <c r="F1624" s="15"/>
      <c r="G1624" s="15"/>
      <c r="H1624" s="15"/>
      <c r="I1624" s="15"/>
      <c r="J1624" s="15"/>
      <c r="K1624" s="16" t="str">
        <f aca="false">IF(A1624="","",F1624+G1624+H1624+I1624)</f>
        <v/>
      </c>
      <c r="L1624" s="17" t="str">
        <f aca="false">IF(OR(K1624="",E1624=0,E1624=""),"",K1624/E1624)</f>
        <v/>
      </c>
      <c r="M1624" s="18" t="str">
        <f aca="false">IF(OR(A1624="",E1624=""),"",E1624+ROW()/1000000)</f>
        <v/>
      </c>
    </row>
    <row r="1625" customFormat="false" ht="15" hidden="false" customHeight="false" outlineLevel="0" collapsed="false">
      <c r="A1625" s="12"/>
      <c r="B1625" s="13"/>
      <c r="C1625" s="13"/>
      <c r="D1625" s="14"/>
      <c r="E1625" s="15"/>
      <c r="F1625" s="15"/>
      <c r="G1625" s="15"/>
      <c r="H1625" s="15"/>
      <c r="I1625" s="15"/>
      <c r="J1625" s="15"/>
      <c r="K1625" s="16" t="str">
        <f aca="false">IF(A1625="","",F1625+G1625+H1625+I1625)</f>
        <v/>
      </c>
      <c r="L1625" s="17" t="str">
        <f aca="false">IF(OR(K1625="",E1625=0,E1625=""),"",K1625/E1625)</f>
        <v/>
      </c>
      <c r="M1625" s="18" t="str">
        <f aca="false">IF(OR(A1625="",E1625=""),"",E1625+ROW()/1000000)</f>
        <v/>
      </c>
    </row>
    <row r="1626" customFormat="false" ht="15" hidden="false" customHeight="false" outlineLevel="0" collapsed="false">
      <c r="A1626" s="12"/>
      <c r="B1626" s="13"/>
      <c r="C1626" s="13"/>
      <c r="D1626" s="14"/>
      <c r="E1626" s="15"/>
      <c r="F1626" s="15"/>
      <c r="G1626" s="15"/>
      <c r="H1626" s="15"/>
      <c r="I1626" s="15"/>
      <c r="J1626" s="15"/>
      <c r="K1626" s="16" t="str">
        <f aca="false">IF(A1626="","",F1626+G1626+H1626+I1626)</f>
        <v/>
      </c>
      <c r="L1626" s="17" t="str">
        <f aca="false">IF(OR(K1626="",E1626=0,E1626=""),"",K1626/E1626)</f>
        <v/>
      </c>
      <c r="M1626" s="18" t="str">
        <f aca="false">IF(OR(A1626="",E1626=""),"",E1626+ROW()/1000000)</f>
        <v/>
      </c>
    </row>
    <row r="1627" customFormat="false" ht="15" hidden="false" customHeight="false" outlineLevel="0" collapsed="false">
      <c r="A1627" s="12"/>
      <c r="B1627" s="13"/>
      <c r="C1627" s="13"/>
      <c r="D1627" s="14"/>
      <c r="E1627" s="15"/>
      <c r="F1627" s="15"/>
      <c r="G1627" s="15"/>
      <c r="H1627" s="15"/>
      <c r="I1627" s="15"/>
      <c r="J1627" s="15"/>
      <c r="K1627" s="16" t="str">
        <f aca="false">IF(A1627="","",F1627+G1627+H1627+I1627)</f>
        <v/>
      </c>
      <c r="L1627" s="17" t="str">
        <f aca="false">IF(OR(K1627="",E1627=0,E1627=""),"",K1627/E1627)</f>
        <v/>
      </c>
      <c r="M1627" s="18" t="str">
        <f aca="false">IF(OR(A1627="",E1627=""),"",E1627+ROW()/1000000)</f>
        <v/>
      </c>
    </row>
    <row r="1628" customFormat="false" ht="15" hidden="false" customHeight="false" outlineLevel="0" collapsed="false">
      <c r="A1628" s="12"/>
      <c r="B1628" s="13"/>
      <c r="C1628" s="13"/>
      <c r="D1628" s="14"/>
      <c r="E1628" s="15"/>
      <c r="F1628" s="15"/>
      <c r="G1628" s="15"/>
      <c r="H1628" s="15"/>
      <c r="I1628" s="15"/>
      <c r="J1628" s="15"/>
      <c r="K1628" s="16" t="str">
        <f aca="false">IF(A1628="","",F1628+G1628+H1628+I1628)</f>
        <v/>
      </c>
      <c r="L1628" s="17" t="str">
        <f aca="false">IF(OR(K1628="",E1628=0,E1628=""),"",K1628/E1628)</f>
        <v/>
      </c>
      <c r="M1628" s="18" t="str">
        <f aca="false">IF(OR(A1628="",E1628=""),"",E1628+ROW()/1000000)</f>
        <v/>
      </c>
    </row>
    <row r="1629" customFormat="false" ht="15" hidden="false" customHeight="false" outlineLevel="0" collapsed="false">
      <c r="A1629" s="12"/>
      <c r="B1629" s="13"/>
      <c r="C1629" s="13"/>
      <c r="D1629" s="14"/>
      <c r="E1629" s="15"/>
      <c r="F1629" s="15"/>
      <c r="G1629" s="15"/>
      <c r="H1629" s="15"/>
      <c r="I1629" s="15"/>
      <c r="J1629" s="15"/>
      <c r="K1629" s="16" t="str">
        <f aca="false">IF(A1629="","",F1629+G1629+H1629+I1629)</f>
        <v/>
      </c>
      <c r="L1629" s="17" t="str">
        <f aca="false">IF(OR(K1629="",E1629=0,E1629=""),"",K1629/E1629)</f>
        <v/>
      </c>
      <c r="M1629" s="18" t="str">
        <f aca="false">IF(OR(A1629="",E1629=""),"",E1629+ROW()/1000000)</f>
        <v/>
      </c>
    </row>
    <row r="1630" customFormat="false" ht="15" hidden="false" customHeight="false" outlineLevel="0" collapsed="false">
      <c r="A1630" s="12"/>
      <c r="B1630" s="13"/>
      <c r="C1630" s="13"/>
      <c r="D1630" s="14"/>
      <c r="E1630" s="15"/>
      <c r="F1630" s="15"/>
      <c r="G1630" s="15"/>
      <c r="H1630" s="15"/>
      <c r="I1630" s="15"/>
      <c r="J1630" s="15"/>
      <c r="K1630" s="16" t="str">
        <f aca="false">IF(A1630="","",F1630+G1630+H1630+I1630)</f>
        <v/>
      </c>
      <c r="L1630" s="17" t="str">
        <f aca="false">IF(OR(K1630="",E1630=0,E1630=""),"",K1630/E1630)</f>
        <v/>
      </c>
      <c r="M1630" s="18" t="str">
        <f aca="false">IF(OR(A1630="",E1630=""),"",E1630+ROW()/1000000)</f>
        <v/>
      </c>
    </row>
    <row r="1631" customFormat="false" ht="15" hidden="false" customHeight="false" outlineLevel="0" collapsed="false">
      <c r="A1631" s="12"/>
      <c r="B1631" s="13"/>
      <c r="C1631" s="13"/>
      <c r="D1631" s="14"/>
      <c r="E1631" s="15"/>
      <c r="F1631" s="15"/>
      <c r="G1631" s="15"/>
      <c r="H1631" s="15"/>
      <c r="I1631" s="15"/>
      <c r="J1631" s="15"/>
      <c r="K1631" s="16" t="str">
        <f aca="false">IF(A1631="","",F1631+G1631+H1631+I1631)</f>
        <v/>
      </c>
      <c r="L1631" s="17" t="str">
        <f aca="false">IF(OR(K1631="",E1631=0,E1631=""),"",K1631/E1631)</f>
        <v/>
      </c>
      <c r="M1631" s="18" t="str">
        <f aca="false">IF(OR(A1631="",E1631=""),"",E1631+ROW()/1000000)</f>
        <v/>
      </c>
    </row>
    <row r="1632" customFormat="false" ht="15" hidden="false" customHeight="false" outlineLevel="0" collapsed="false">
      <c r="A1632" s="12"/>
      <c r="B1632" s="13"/>
      <c r="C1632" s="13"/>
      <c r="D1632" s="14"/>
      <c r="E1632" s="15"/>
      <c r="F1632" s="15"/>
      <c r="G1632" s="15"/>
      <c r="H1632" s="15"/>
      <c r="I1632" s="15"/>
      <c r="J1632" s="15"/>
      <c r="K1632" s="16" t="str">
        <f aca="false">IF(A1632="","",F1632+G1632+H1632+I1632)</f>
        <v/>
      </c>
      <c r="L1632" s="17" t="str">
        <f aca="false">IF(OR(K1632="",E1632=0,E1632=""),"",K1632/E1632)</f>
        <v/>
      </c>
      <c r="M1632" s="18" t="str">
        <f aca="false">IF(OR(A1632="",E1632=""),"",E1632+ROW()/1000000)</f>
        <v/>
      </c>
    </row>
    <row r="1633" customFormat="false" ht="15" hidden="false" customHeight="false" outlineLevel="0" collapsed="false">
      <c r="A1633" s="12"/>
      <c r="B1633" s="13"/>
      <c r="C1633" s="13"/>
      <c r="D1633" s="14"/>
      <c r="E1633" s="15"/>
      <c r="F1633" s="15"/>
      <c r="G1633" s="15"/>
      <c r="H1633" s="15"/>
      <c r="I1633" s="15"/>
      <c r="J1633" s="15"/>
      <c r="K1633" s="16" t="str">
        <f aca="false">IF(A1633="","",F1633+G1633+H1633+I1633)</f>
        <v/>
      </c>
      <c r="L1633" s="17" t="str">
        <f aca="false">IF(OR(K1633="",E1633=0,E1633=""),"",K1633/E1633)</f>
        <v/>
      </c>
      <c r="M1633" s="18" t="str">
        <f aca="false">IF(OR(A1633="",E1633=""),"",E1633+ROW()/1000000)</f>
        <v/>
      </c>
    </row>
    <row r="1634" customFormat="false" ht="15" hidden="false" customHeight="false" outlineLevel="0" collapsed="false">
      <c r="A1634" s="12"/>
      <c r="B1634" s="13"/>
      <c r="C1634" s="13"/>
      <c r="D1634" s="14"/>
      <c r="E1634" s="15"/>
      <c r="F1634" s="15"/>
      <c r="G1634" s="15"/>
      <c r="H1634" s="15"/>
      <c r="I1634" s="15"/>
      <c r="J1634" s="15"/>
      <c r="K1634" s="16" t="str">
        <f aca="false">IF(A1634="","",F1634+G1634+H1634+I1634)</f>
        <v/>
      </c>
      <c r="L1634" s="17" t="str">
        <f aca="false">IF(OR(K1634="",E1634=0,E1634=""),"",K1634/E1634)</f>
        <v/>
      </c>
      <c r="M1634" s="18" t="str">
        <f aca="false">IF(OR(A1634="",E1634=""),"",E1634+ROW()/1000000)</f>
        <v/>
      </c>
    </row>
    <row r="1635" customFormat="false" ht="15" hidden="false" customHeight="false" outlineLevel="0" collapsed="false">
      <c r="A1635" s="12"/>
      <c r="B1635" s="13"/>
      <c r="C1635" s="13"/>
      <c r="D1635" s="14"/>
      <c r="E1635" s="15"/>
      <c r="F1635" s="15"/>
      <c r="G1635" s="15"/>
      <c r="H1635" s="15"/>
      <c r="I1635" s="15"/>
      <c r="J1635" s="15"/>
      <c r="K1635" s="16" t="str">
        <f aca="false">IF(A1635="","",F1635+G1635+H1635+I1635)</f>
        <v/>
      </c>
      <c r="L1635" s="17" t="str">
        <f aca="false">IF(OR(K1635="",E1635=0,E1635=""),"",K1635/E1635)</f>
        <v/>
      </c>
      <c r="M1635" s="18" t="str">
        <f aca="false">IF(OR(A1635="",E1635=""),"",E1635+ROW()/1000000)</f>
        <v/>
      </c>
    </row>
    <row r="1636" customFormat="false" ht="15" hidden="false" customHeight="false" outlineLevel="0" collapsed="false">
      <c r="A1636" s="12"/>
      <c r="B1636" s="13"/>
      <c r="C1636" s="13"/>
      <c r="D1636" s="14"/>
      <c r="E1636" s="15"/>
      <c r="F1636" s="15"/>
      <c r="G1636" s="15"/>
      <c r="H1636" s="15"/>
      <c r="I1636" s="15"/>
      <c r="J1636" s="15"/>
      <c r="K1636" s="16" t="str">
        <f aca="false">IF(A1636="","",F1636+G1636+H1636+I1636)</f>
        <v/>
      </c>
      <c r="L1636" s="17" t="str">
        <f aca="false">IF(OR(K1636="",E1636=0,E1636=""),"",K1636/E1636)</f>
        <v/>
      </c>
      <c r="M1636" s="18" t="str">
        <f aca="false">IF(OR(A1636="",E1636=""),"",E1636+ROW()/1000000)</f>
        <v/>
      </c>
    </row>
    <row r="1637" customFormat="false" ht="15" hidden="false" customHeight="false" outlineLevel="0" collapsed="false">
      <c r="A1637" s="12"/>
      <c r="B1637" s="13"/>
      <c r="C1637" s="13"/>
      <c r="D1637" s="14"/>
      <c r="E1637" s="15"/>
      <c r="F1637" s="15"/>
      <c r="G1637" s="15"/>
      <c r="H1637" s="15"/>
      <c r="I1637" s="15"/>
      <c r="J1637" s="15"/>
      <c r="K1637" s="16" t="str">
        <f aca="false">IF(A1637="","",F1637+G1637+H1637+I1637)</f>
        <v/>
      </c>
      <c r="L1637" s="17" t="str">
        <f aca="false">IF(OR(K1637="",E1637=0,E1637=""),"",K1637/E1637)</f>
        <v/>
      </c>
      <c r="M1637" s="18" t="str">
        <f aca="false">IF(OR(A1637="",E1637=""),"",E1637+ROW()/1000000)</f>
        <v/>
      </c>
    </row>
    <row r="1638" customFormat="false" ht="15" hidden="false" customHeight="false" outlineLevel="0" collapsed="false">
      <c r="A1638" s="12"/>
      <c r="B1638" s="13"/>
      <c r="C1638" s="13"/>
      <c r="D1638" s="14"/>
      <c r="E1638" s="15"/>
      <c r="F1638" s="15"/>
      <c r="G1638" s="15"/>
      <c r="H1638" s="15"/>
      <c r="I1638" s="15"/>
      <c r="J1638" s="15"/>
      <c r="K1638" s="16" t="str">
        <f aca="false">IF(A1638="","",F1638+G1638+H1638+I1638)</f>
        <v/>
      </c>
      <c r="L1638" s="17" t="str">
        <f aca="false">IF(OR(K1638="",E1638=0,E1638=""),"",K1638/E1638)</f>
        <v/>
      </c>
      <c r="M1638" s="18" t="str">
        <f aca="false">IF(OR(A1638="",E1638=""),"",E1638+ROW()/1000000)</f>
        <v/>
      </c>
    </row>
    <row r="1639" customFormat="false" ht="15" hidden="false" customHeight="false" outlineLevel="0" collapsed="false">
      <c r="A1639" s="12"/>
      <c r="B1639" s="13"/>
      <c r="C1639" s="13"/>
      <c r="D1639" s="14"/>
      <c r="E1639" s="15"/>
      <c r="F1639" s="15"/>
      <c r="G1639" s="15"/>
      <c r="H1639" s="15"/>
      <c r="I1639" s="15"/>
      <c r="J1639" s="15"/>
      <c r="K1639" s="16" t="str">
        <f aca="false">IF(A1639="","",F1639+G1639+H1639+I1639)</f>
        <v/>
      </c>
      <c r="L1639" s="17" t="str">
        <f aca="false">IF(OR(K1639="",E1639=0,E1639=""),"",K1639/E1639)</f>
        <v/>
      </c>
      <c r="M1639" s="18" t="str">
        <f aca="false">IF(OR(A1639="",E1639=""),"",E1639+ROW()/1000000)</f>
        <v/>
      </c>
    </row>
    <row r="1640" customFormat="false" ht="15" hidden="false" customHeight="false" outlineLevel="0" collapsed="false">
      <c r="A1640" s="12"/>
      <c r="B1640" s="13"/>
      <c r="C1640" s="13"/>
      <c r="D1640" s="14"/>
      <c r="E1640" s="15"/>
      <c r="F1640" s="15"/>
      <c r="G1640" s="15"/>
      <c r="H1640" s="15"/>
      <c r="I1640" s="15"/>
      <c r="J1640" s="15"/>
      <c r="K1640" s="16" t="str">
        <f aca="false">IF(A1640="","",F1640+G1640+H1640+I1640)</f>
        <v/>
      </c>
      <c r="L1640" s="17" t="str">
        <f aca="false">IF(OR(K1640="",E1640=0,E1640=""),"",K1640/E1640)</f>
        <v/>
      </c>
      <c r="M1640" s="18" t="str">
        <f aca="false">IF(OR(A1640="",E1640=""),"",E1640+ROW()/1000000)</f>
        <v/>
      </c>
    </row>
    <row r="1641" customFormat="false" ht="15" hidden="false" customHeight="false" outlineLevel="0" collapsed="false">
      <c r="A1641" s="12"/>
      <c r="B1641" s="13"/>
      <c r="C1641" s="13"/>
      <c r="D1641" s="14"/>
      <c r="E1641" s="15"/>
      <c r="F1641" s="15"/>
      <c r="G1641" s="15"/>
      <c r="H1641" s="15"/>
      <c r="I1641" s="15"/>
      <c r="J1641" s="15"/>
      <c r="K1641" s="16" t="str">
        <f aca="false">IF(A1641="","",F1641+G1641+H1641+I1641)</f>
        <v/>
      </c>
      <c r="L1641" s="17" t="str">
        <f aca="false">IF(OR(K1641="",E1641=0,E1641=""),"",K1641/E1641)</f>
        <v/>
      </c>
      <c r="M1641" s="18" t="str">
        <f aca="false">IF(OR(A1641="",E1641=""),"",E1641+ROW()/1000000)</f>
        <v/>
      </c>
    </row>
    <row r="1642" customFormat="false" ht="15" hidden="false" customHeight="false" outlineLevel="0" collapsed="false">
      <c r="A1642" s="12"/>
      <c r="B1642" s="13"/>
      <c r="C1642" s="13"/>
      <c r="D1642" s="14"/>
      <c r="E1642" s="15"/>
      <c r="F1642" s="15"/>
      <c r="G1642" s="15"/>
      <c r="H1642" s="15"/>
      <c r="I1642" s="15"/>
      <c r="J1642" s="15"/>
      <c r="K1642" s="16" t="str">
        <f aca="false">IF(A1642="","",F1642+G1642+H1642+I1642)</f>
        <v/>
      </c>
      <c r="L1642" s="17" t="str">
        <f aca="false">IF(OR(K1642="",E1642=0,E1642=""),"",K1642/E1642)</f>
        <v/>
      </c>
      <c r="M1642" s="18" t="str">
        <f aca="false">IF(OR(A1642="",E1642=""),"",E1642+ROW()/1000000)</f>
        <v/>
      </c>
    </row>
    <row r="1643" customFormat="false" ht="15" hidden="false" customHeight="false" outlineLevel="0" collapsed="false">
      <c r="A1643" s="12"/>
      <c r="B1643" s="13"/>
      <c r="C1643" s="13"/>
      <c r="D1643" s="14"/>
      <c r="E1643" s="15"/>
      <c r="F1643" s="15"/>
      <c r="G1643" s="15"/>
      <c r="H1643" s="15"/>
      <c r="I1643" s="15"/>
      <c r="J1643" s="15"/>
      <c r="K1643" s="16" t="str">
        <f aca="false">IF(A1643="","",F1643+G1643+H1643+I1643)</f>
        <v/>
      </c>
      <c r="L1643" s="17" t="str">
        <f aca="false">IF(OR(K1643="",E1643=0,E1643=""),"",K1643/E1643)</f>
        <v/>
      </c>
      <c r="M1643" s="18" t="str">
        <f aca="false">IF(OR(A1643="",E1643=""),"",E1643+ROW()/1000000)</f>
        <v/>
      </c>
    </row>
    <row r="1644" customFormat="false" ht="15" hidden="false" customHeight="false" outlineLevel="0" collapsed="false">
      <c r="A1644" s="12"/>
      <c r="B1644" s="13"/>
      <c r="C1644" s="13"/>
      <c r="D1644" s="14"/>
      <c r="E1644" s="15"/>
      <c r="F1644" s="15"/>
      <c r="G1644" s="15"/>
      <c r="H1644" s="15"/>
      <c r="I1644" s="15"/>
      <c r="J1644" s="15"/>
      <c r="K1644" s="16" t="str">
        <f aca="false">IF(A1644="","",F1644+G1644+H1644+I1644)</f>
        <v/>
      </c>
      <c r="L1644" s="17" t="str">
        <f aca="false">IF(OR(K1644="",E1644=0,E1644=""),"",K1644/E1644)</f>
        <v/>
      </c>
      <c r="M1644" s="18" t="str">
        <f aca="false">IF(OR(A1644="",E1644=""),"",E1644+ROW()/1000000)</f>
        <v/>
      </c>
    </row>
    <row r="1645" customFormat="false" ht="15" hidden="false" customHeight="false" outlineLevel="0" collapsed="false">
      <c r="A1645" s="12"/>
      <c r="B1645" s="13"/>
      <c r="C1645" s="13"/>
      <c r="D1645" s="14"/>
      <c r="E1645" s="15"/>
      <c r="F1645" s="15"/>
      <c r="G1645" s="15"/>
      <c r="H1645" s="15"/>
      <c r="I1645" s="15"/>
      <c r="J1645" s="15"/>
      <c r="K1645" s="16" t="str">
        <f aca="false">IF(A1645="","",F1645+G1645+H1645+I1645)</f>
        <v/>
      </c>
      <c r="L1645" s="17" t="str">
        <f aca="false">IF(OR(K1645="",E1645=0,E1645=""),"",K1645/E1645)</f>
        <v/>
      </c>
      <c r="M1645" s="18" t="str">
        <f aca="false">IF(OR(A1645="",E1645=""),"",E1645+ROW()/1000000)</f>
        <v/>
      </c>
    </row>
    <row r="1646" customFormat="false" ht="15" hidden="false" customHeight="false" outlineLevel="0" collapsed="false">
      <c r="A1646" s="12"/>
      <c r="B1646" s="13"/>
      <c r="C1646" s="13"/>
      <c r="D1646" s="14"/>
      <c r="E1646" s="15"/>
      <c r="F1646" s="15"/>
      <c r="G1646" s="15"/>
      <c r="H1646" s="15"/>
      <c r="I1646" s="15"/>
      <c r="J1646" s="15"/>
      <c r="K1646" s="16" t="str">
        <f aca="false">IF(A1646="","",F1646+G1646+H1646+I1646)</f>
        <v/>
      </c>
      <c r="L1646" s="17" t="str">
        <f aca="false">IF(OR(K1646="",E1646=0,E1646=""),"",K1646/E1646)</f>
        <v/>
      </c>
      <c r="M1646" s="18" t="str">
        <f aca="false">IF(OR(A1646="",E1646=""),"",E1646+ROW()/1000000)</f>
        <v/>
      </c>
    </row>
    <row r="1647" customFormat="false" ht="15" hidden="false" customHeight="false" outlineLevel="0" collapsed="false">
      <c r="A1647" s="12"/>
      <c r="B1647" s="13"/>
      <c r="C1647" s="13"/>
      <c r="D1647" s="14"/>
      <c r="E1647" s="15"/>
      <c r="F1647" s="15"/>
      <c r="G1647" s="15"/>
      <c r="H1647" s="15"/>
      <c r="I1647" s="15"/>
      <c r="J1647" s="15"/>
      <c r="K1647" s="16" t="str">
        <f aca="false">IF(A1647="","",F1647+G1647+H1647+I1647)</f>
        <v/>
      </c>
      <c r="L1647" s="17" t="str">
        <f aca="false">IF(OR(K1647="",E1647=0,E1647=""),"",K1647/E1647)</f>
        <v/>
      </c>
      <c r="M1647" s="18" t="str">
        <f aca="false">IF(OR(A1647="",E1647=""),"",E1647+ROW()/1000000)</f>
        <v/>
      </c>
    </row>
    <row r="1648" customFormat="false" ht="15" hidden="false" customHeight="false" outlineLevel="0" collapsed="false">
      <c r="A1648" s="12"/>
      <c r="B1648" s="13"/>
      <c r="C1648" s="13"/>
      <c r="D1648" s="14"/>
      <c r="E1648" s="15"/>
      <c r="F1648" s="15"/>
      <c r="G1648" s="15"/>
      <c r="H1648" s="15"/>
      <c r="I1648" s="15"/>
      <c r="J1648" s="15"/>
      <c r="K1648" s="16" t="str">
        <f aca="false">IF(A1648="","",F1648+G1648+H1648+I1648)</f>
        <v/>
      </c>
      <c r="L1648" s="17" t="str">
        <f aca="false">IF(OR(K1648="",E1648=0,E1648=""),"",K1648/E1648)</f>
        <v/>
      </c>
      <c r="M1648" s="18" t="str">
        <f aca="false">IF(OR(A1648="",E1648=""),"",E1648+ROW()/1000000)</f>
        <v/>
      </c>
    </row>
    <row r="1649" customFormat="false" ht="15" hidden="false" customHeight="false" outlineLevel="0" collapsed="false">
      <c r="A1649" s="12"/>
      <c r="B1649" s="13"/>
      <c r="C1649" s="13"/>
      <c r="D1649" s="14"/>
      <c r="E1649" s="15"/>
      <c r="F1649" s="15"/>
      <c r="G1649" s="15"/>
      <c r="H1649" s="15"/>
      <c r="I1649" s="15"/>
      <c r="J1649" s="15"/>
      <c r="K1649" s="16" t="str">
        <f aca="false">IF(A1649="","",F1649+G1649+H1649+I1649)</f>
        <v/>
      </c>
      <c r="L1649" s="17" t="str">
        <f aca="false">IF(OR(K1649="",E1649=0,E1649=""),"",K1649/E1649)</f>
        <v/>
      </c>
      <c r="M1649" s="18" t="str">
        <f aca="false">IF(OR(A1649="",E1649=""),"",E1649+ROW()/1000000)</f>
        <v/>
      </c>
    </row>
    <row r="1650" customFormat="false" ht="15" hidden="false" customHeight="false" outlineLevel="0" collapsed="false">
      <c r="A1650" s="12"/>
      <c r="B1650" s="13"/>
      <c r="C1650" s="13"/>
      <c r="D1650" s="14"/>
      <c r="E1650" s="15"/>
      <c r="F1650" s="15"/>
      <c r="G1650" s="15"/>
      <c r="H1650" s="15"/>
      <c r="I1650" s="15"/>
      <c r="J1650" s="15"/>
      <c r="K1650" s="16" t="str">
        <f aca="false">IF(A1650="","",F1650+G1650+H1650+I1650)</f>
        <v/>
      </c>
      <c r="L1650" s="17" t="str">
        <f aca="false">IF(OR(K1650="",E1650=0,E1650=""),"",K1650/E1650)</f>
        <v/>
      </c>
      <c r="M1650" s="18" t="str">
        <f aca="false">IF(OR(A1650="",E1650=""),"",E1650+ROW()/1000000)</f>
        <v/>
      </c>
    </row>
    <row r="1651" customFormat="false" ht="15" hidden="false" customHeight="false" outlineLevel="0" collapsed="false">
      <c r="A1651" s="12"/>
      <c r="B1651" s="13"/>
      <c r="C1651" s="13"/>
      <c r="D1651" s="14"/>
      <c r="E1651" s="15"/>
      <c r="F1651" s="15"/>
      <c r="G1651" s="15"/>
      <c r="H1651" s="15"/>
      <c r="I1651" s="15"/>
      <c r="J1651" s="15"/>
      <c r="K1651" s="16" t="str">
        <f aca="false">IF(A1651="","",F1651+G1651+H1651+I1651)</f>
        <v/>
      </c>
      <c r="L1651" s="17" t="str">
        <f aca="false">IF(OR(K1651="",E1651=0,E1651=""),"",K1651/E1651)</f>
        <v/>
      </c>
      <c r="M1651" s="18" t="str">
        <f aca="false">IF(OR(A1651="",E1651=""),"",E1651+ROW()/1000000)</f>
        <v/>
      </c>
    </row>
    <row r="1652" customFormat="false" ht="15" hidden="false" customHeight="false" outlineLevel="0" collapsed="false">
      <c r="A1652" s="12"/>
      <c r="B1652" s="13"/>
      <c r="C1652" s="13"/>
      <c r="D1652" s="14"/>
      <c r="E1652" s="15"/>
      <c r="F1652" s="15"/>
      <c r="G1652" s="15"/>
      <c r="H1652" s="15"/>
      <c r="I1652" s="15"/>
      <c r="J1652" s="15"/>
      <c r="K1652" s="16" t="str">
        <f aca="false">IF(A1652="","",F1652+G1652+H1652+I1652)</f>
        <v/>
      </c>
      <c r="L1652" s="17" t="str">
        <f aca="false">IF(OR(K1652="",E1652=0,E1652=""),"",K1652/E1652)</f>
        <v/>
      </c>
      <c r="M1652" s="18" t="str">
        <f aca="false">IF(OR(A1652="",E1652=""),"",E1652+ROW()/1000000)</f>
        <v/>
      </c>
    </row>
    <row r="1653" customFormat="false" ht="15" hidden="false" customHeight="false" outlineLevel="0" collapsed="false">
      <c r="A1653" s="12"/>
      <c r="B1653" s="13"/>
      <c r="C1653" s="13"/>
      <c r="D1653" s="14"/>
      <c r="E1653" s="15"/>
      <c r="F1653" s="15"/>
      <c r="G1653" s="15"/>
      <c r="H1653" s="15"/>
      <c r="I1653" s="15"/>
      <c r="J1653" s="15"/>
      <c r="K1653" s="16" t="str">
        <f aca="false">IF(A1653="","",F1653+G1653+H1653+I1653)</f>
        <v/>
      </c>
      <c r="L1653" s="17" t="str">
        <f aca="false">IF(OR(K1653="",E1653=0,E1653=""),"",K1653/E1653)</f>
        <v/>
      </c>
      <c r="M1653" s="18" t="str">
        <f aca="false">IF(OR(A1653="",E1653=""),"",E1653+ROW()/1000000)</f>
        <v/>
      </c>
    </row>
    <row r="1654" customFormat="false" ht="15" hidden="false" customHeight="false" outlineLevel="0" collapsed="false">
      <c r="A1654" s="12"/>
      <c r="B1654" s="13"/>
      <c r="C1654" s="13"/>
      <c r="D1654" s="14"/>
      <c r="E1654" s="15"/>
      <c r="F1654" s="15"/>
      <c r="G1654" s="15"/>
      <c r="H1654" s="15"/>
      <c r="I1654" s="15"/>
      <c r="J1654" s="15"/>
      <c r="K1654" s="16" t="str">
        <f aca="false">IF(A1654="","",F1654+G1654+H1654+I1654)</f>
        <v/>
      </c>
      <c r="L1654" s="17" t="str">
        <f aca="false">IF(OR(K1654="",E1654=0,E1654=""),"",K1654/E1654)</f>
        <v/>
      </c>
      <c r="M1654" s="18" t="str">
        <f aca="false">IF(OR(A1654="",E1654=""),"",E1654+ROW()/1000000)</f>
        <v/>
      </c>
    </row>
    <row r="1655" customFormat="false" ht="15" hidden="false" customHeight="false" outlineLevel="0" collapsed="false">
      <c r="A1655" s="12"/>
      <c r="B1655" s="13"/>
      <c r="C1655" s="13"/>
      <c r="D1655" s="14"/>
      <c r="E1655" s="15"/>
      <c r="F1655" s="15"/>
      <c r="G1655" s="15"/>
      <c r="H1655" s="15"/>
      <c r="I1655" s="15"/>
      <c r="J1655" s="15"/>
      <c r="K1655" s="16" t="str">
        <f aca="false">IF(A1655="","",F1655+G1655+H1655+I1655)</f>
        <v/>
      </c>
      <c r="L1655" s="17" t="str">
        <f aca="false">IF(OR(K1655="",E1655=0,E1655=""),"",K1655/E1655)</f>
        <v/>
      </c>
      <c r="M1655" s="18" t="str">
        <f aca="false">IF(OR(A1655="",E1655=""),"",E1655+ROW()/1000000)</f>
        <v/>
      </c>
    </row>
    <row r="1656" customFormat="false" ht="15" hidden="false" customHeight="false" outlineLevel="0" collapsed="false">
      <c r="A1656" s="12"/>
      <c r="B1656" s="13"/>
      <c r="C1656" s="13"/>
      <c r="D1656" s="14"/>
      <c r="E1656" s="15"/>
      <c r="F1656" s="15"/>
      <c r="G1656" s="15"/>
      <c r="H1656" s="15"/>
      <c r="I1656" s="15"/>
      <c r="J1656" s="15"/>
      <c r="K1656" s="16" t="str">
        <f aca="false">IF(A1656="","",F1656+G1656+H1656+I1656)</f>
        <v/>
      </c>
      <c r="L1656" s="17" t="str">
        <f aca="false">IF(OR(K1656="",E1656=0,E1656=""),"",K1656/E1656)</f>
        <v/>
      </c>
      <c r="M1656" s="18" t="str">
        <f aca="false">IF(OR(A1656="",E1656=""),"",E1656+ROW()/1000000)</f>
        <v/>
      </c>
    </row>
    <row r="1657" customFormat="false" ht="15" hidden="false" customHeight="false" outlineLevel="0" collapsed="false">
      <c r="A1657" s="12"/>
      <c r="B1657" s="13"/>
      <c r="C1657" s="13"/>
      <c r="D1657" s="14"/>
      <c r="E1657" s="15"/>
      <c r="F1657" s="15"/>
      <c r="G1657" s="15"/>
      <c r="H1657" s="15"/>
      <c r="I1657" s="15"/>
      <c r="J1657" s="15"/>
      <c r="K1657" s="16" t="str">
        <f aca="false">IF(A1657="","",F1657+G1657+H1657+I1657)</f>
        <v/>
      </c>
      <c r="L1657" s="17" t="str">
        <f aca="false">IF(OR(K1657="",E1657=0,E1657=""),"",K1657/E1657)</f>
        <v/>
      </c>
      <c r="M1657" s="18" t="str">
        <f aca="false">IF(OR(A1657="",E1657=""),"",E1657+ROW()/1000000)</f>
        <v/>
      </c>
    </row>
    <row r="1658" customFormat="false" ht="15" hidden="false" customHeight="false" outlineLevel="0" collapsed="false">
      <c r="A1658" s="12"/>
      <c r="B1658" s="13"/>
      <c r="C1658" s="13"/>
      <c r="D1658" s="14"/>
      <c r="E1658" s="15"/>
      <c r="F1658" s="15"/>
      <c r="G1658" s="15"/>
      <c r="H1658" s="15"/>
      <c r="I1658" s="15"/>
      <c r="J1658" s="15"/>
      <c r="K1658" s="16" t="str">
        <f aca="false">IF(A1658="","",F1658+G1658+H1658+I1658)</f>
        <v/>
      </c>
      <c r="L1658" s="17" t="str">
        <f aca="false">IF(OR(K1658="",E1658=0,E1658=""),"",K1658/E1658)</f>
        <v/>
      </c>
      <c r="M1658" s="18" t="str">
        <f aca="false">IF(OR(A1658="",E1658=""),"",E1658+ROW()/1000000)</f>
        <v/>
      </c>
    </row>
    <row r="1659" customFormat="false" ht="15" hidden="false" customHeight="false" outlineLevel="0" collapsed="false">
      <c r="A1659" s="12"/>
      <c r="B1659" s="13"/>
      <c r="C1659" s="13"/>
      <c r="D1659" s="14"/>
      <c r="E1659" s="15"/>
      <c r="F1659" s="15"/>
      <c r="G1659" s="15"/>
      <c r="H1659" s="15"/>
      <c r="I1659" s="15"/>
      <c r="J1659" s="15"/>
      <c r="K1659" s="16" t="str">
        <f aca="false">IF(A1659="","",F1659+G1659+H1659+I1659)</f>
        <v/>
      </c>
      <c r="L1659" s="17" t="str">
        <f aca="false">IF(OR(K1659="",E1659=0,E1659=""),"",K1659/E1659)</f>
        <v/>
      </c>
      <c r="M1659" s="18" t="str">
        <f aca="false">IF(OR(A1659="",E1659=""),"",E1659+ROW()/1000000)</f>
        <v/>
      </c>
    </row>
    <row r="1660" customFormat="false" ht="15" hidden="false" customHeight="false" outlineLevel="0" collapsed="false">
      <c r="A1660" s="12"/>
      <c r="B1660" s="13"/>
      <c r="C1660" s="13"/>
      <c r="D1660" s="14"/>
      <c r="E1660" s="15"/>
      <c r="F1660" s="15"/>
      <c r="G1660" s="15"/>
      <c r="H1660" s="15"/>
      <c r="I1660" s="15"/>
      <c r="J1660" s="15"/>
      <c r="K1660" s="16" t="str">
        <f aca="false">IF(A1660="","",F1660+G1660+H1660+I1660)</f>
        <v/>
      </c>
      <c r="L1660" s="17" t="str">
        <f aca="false">IF(OR(K1660="",E1660=0,E1660=""),"",K1660/E1660)</f>
        <v/>
      </c>
      <c r="M1660" s="18" t="str">
        <f aca="false">IF(OR(A1660="",E1660=""),"",E1660+ROW()/1000000)</f>
        <v/>
      </c>
    </row>
    <row r="1661" customFormat="false" ht="15" hidden="false" customHeight="false" outlineLevel="0" collapsed="false">
      <c r="A1661" s="12"/>
      <c r="B1661" s="13"/>
      <c r="C1661" s="13"/>
      <c r="D1661" s="14"/>
      <c r="E1661" s="15"/>
      <c r="F1661" s="15"/>
      <c r="G1661" s="15"/>
      <c r="H1661" s="15"/>
      <c r="I1661" s="15"/>
      <c r="J1661" s="15"/>
      <c r="K1661" s="16" t="str">
        <f aca="false">IF(A1661="","",F1661+G1661+H1661+I1661)</f>
        <v/>
      </c>
      <c r="L1661" s="17" t="str">
        <f aca="false">IF(OR(K1661="",E1661=0,E1661=""),"",K1661/E1661)</f>
        <v/>
      </c>
      <c r="M1661" s="18" t="str">
        <f aca="false">IF(OR(A1661="",E1661=""),"",E1661+ROW()/1000000)</f>
        <v/>
      </c>
    </row>
    <row r="1662" customFormat="false" ht="15" hidden="false" customHeight="false" outlineLevel="0" collapsed="false">
      <c r="A1662" s="12"/>
      <c r="B1662" s="13"/>
      <c r="C1662" s="13"/>
      <c r="D1662" s="14"/>
      <c r="E1662" s="15"/>
      <c r="F1662" s="15"/>
      <c r="G1662" s="15"/>
      <c r="H1662" s="15"/>
      <c r="I1662" s="15"/>
      <c r="J1662" s="15"/>
      <c r="K1662" s="16" t="str">
        <f aca="false">IF(A1662="","",F1662+G1662+H1662+I1662)</f>
        <v/>
      </c>
      <c r="L1662" s="17" t="str">
        <f aca="false">IF(OR(K1662="",E1662=0,E1662=""),"",K1662/E1662)</f>
        <v/>
      </c>
      <c r="M1662" s="18" t="str">
        <f aca="false">IF(OR(A1662="",E1662=""),"",E1662+ROW()/1000000)</f>
        <v/>
      </c>
    </row>
    <row r="1663" customFormat="false" ht="15" hidden="false" customHeight="false" outlineLevel="0" collapsed="false">
      <c r="A1663" s="12"/>
      <c r="B1663" s="13"/>
      <c r="C1663" s="13"/>
      <c r="D1663" s="14"/>
      <c r="E1663" s="15"/>
      <c r="F1663" s="15"/>
      <c r="G1663" s="15"/>
      <c r="H1663" s="15"/>
      <c r="I1663" s="15"/>
      <c r="J1663" s="15"/>
      <c r="K1663" s="16" t="str">
        <f aca="false">IF(A1663="","",F1663+G1663+H1663+I1663)</f>
        <v/>
      </c>
      <c r="L1663" s="17" t="str">
        <f aca="false">IF(OR(K1663="",E1663=0,E1663=""),"",K1663/E1663)</f>
        <v/>
      </c>
      <c r="M1663" s="18" t="str">
        <f aca="false">IF(OR(A1663="",E1663=""),"",E1663+ROW()/1000000)</f>
        <v/>
      </c>
    </row>
    <row r="1664" customFormat="false" ht="15" hidden="false" customHeight="false" outlineLevel="0" collapsed="false">
      <c r="A1664" s="12"/>
      <c r="B1664" s="13"/>
      <c r="C1664" s="13"/>
      <c r="D1664" s="14"/>
      <c r="E1664" s="15"/>
      <c r="F1664" s="15"/>
      <c r="G1664" s="15"/>
      <c r="H1664" s="15"/>
      <c r="I1664" s="15"/>
      <c r="J1664" s="15"/>
      <c r="K1664" s="16" t="str">
        <f aca="false">IF(A1664="","",F1664+G1664+H1664+I1664)</f>
        <v/>
      </c>
      <c r="L1664" s="17" t="str">
        <f aca="false">IF(OR(K1664="",E1664=0,E1664=""),"",K1664/E1664)</f>
        <v/>
      </c>
      <c r="M1664" s="18" t="str">
        <f aca="false">IF(OR(A1664="",E1664=""),"",E1664+ROW()/1000000)</f>
        <v/>
      </c>
    </row>
    <row r="1665" customFormat="false" ht="15" hidden="false" customHeight="false" outlineLevel="0" collapsed="false">
      <c r="A1665" s="12"/>
      <c r="B1665" s="13"/>
      <c r="C1665" s="13"/>
      <c r="D1665" s="14"/>
      <c r="E1665" s="15"/>
      <c r="F1665" s="15"/>
      <c r="G1665" s="15"/>
      <c r="H1665" s="15"/>
      <c r="I1665" s="15"/>
      <c r="J1665" s="15"/>
      <c r="K1665" s="16" t="str">
        <f aca="false">IF(A1665="","",F1665+G1665+H1665+I1665)</f>
        <v/>
      </c>
      <c r="L1665" s="17" t="str">
        <f aca="false">IF(OR(K1665="",E1665=0,E1665=""),"",K1665/E1665)</f>
        <v/>
      </c>
      <c r="M1665" s="18" t="str">
        <f aca="false">IF(OR(A1665="",E1665=""),"",E1665+ROW()/1000000)</f>
        <v/>
      </c>
    </row>
    <row r="1666" customFormat="false" ht="15" hidden="false" customHeight="false" outlineLevel="0" collapsed="false">
      <c r="A1666" s="12"/>
      <c r="B1666" s="13"/>
      <c r="C1666" s="13"/>
      <c r="D1666" s="14"/>
      <c r="E1666" s="15"/>
      <c r="F1666" s="15"/>
      <c r="G1666" s="15"/>
      <c r="H1666" s="15"/>
      <c r="I1666" s="15"/>
      <c r="J1666" s="15"/>
      <c r="K1666" s="16" t="str">
        <f aca="false">IF(A1666="","",F1666+G1666+H1666+I1666)</f>
        <v/>
      </c>
      <c r="L1666" s="17" t="str">
        <f aca="false">IF(OR(K1666="",E1666=0,E1666=""),"",K1666/E1666)</f>
        <v/>
      </c>
      <c r="M1666" s="18" t="str">
        <f aca="false">IF(OR(A1666="",E1666=""),"",E1666+ROW()/1000000)</f>
        <v/>
      </c>
    </row>
    <row r="1667" customFormat="false" ht="15" hidden="false" customHeight="false" outlineLevel="0" collapsed="false">
      <c r="A1667" s="12"/>
      <c r="B1667" s="13"/>
      <c r="C1667" s="13"/>
      <c r="D1667" s="14"/>
      <c r="E1667" s="15"/>
      <c r="F1667" s="15"/>
      <c r="G1667" s="15"/>
      <c r="H1667" s="15"/>
      <c r="I1667" s="15"/>
      <c r="J1667" s="15"/>
      <c r="K1667" s="16" t="str">
        <f aca="false">IF(A1667="","",F1667+G1667+H1667+I1667)</f>
        <v/>
      </c>
      <c r="L1667" s="17" t="str">
        <f aca="false">IF(OR(K1667="",E1667=0,E1667=""),"",K1667/E1667)</f>
        <v/>
      </c>
      <c r="M1667" s="18" t="str">
        <f aca="false">IF(OR(A1667="",E1667=""),"",E1667+ROW()/1000000)</f>
        <v/>
      </c>
    </row>
    <row r="1668" customFormat="false" ht="15" hidden="false" customHeight="false" outlineLevel="0" collapsed="false">
      <c r="A1668" s="12"/>
      <c r="B1668" s="13"/>
      <c r="C1668" s="13"/>
      <c r="D1668" s="14"/>
      <c r="E1668" s="15"/>
      <c r="F1668" s="15"/>
      <c r="G1668" s="15"/>
      <c r="H1668" s="15"/>
      <c r="I1668" s="15"/>
      <c r="J1668" s="15"/>
      <c r="K1668" s="16" t="str">
        <f aca="false">IF(A1668="","",F1668+G1668+H1668+I1668)</f>
        <v/>
      </c>
      <c r="L1668" s="17" t="str">
        <f aca="false">IF(OR(K1668="",E1668=0,E1668=""),"",K1668/E1668)</f>
        <v/>
      </c>
      <c r="M1668" s="18" t="str">
        <f aca="false">IF(OR(A1668="",E1668=""),"",E1668+ROW()/1000000)</f>
        <v/>
      </c>
    </row>
    <row r="1669" customFormat="false" ht="15" hidden="false" customHeight="false" outlineLevel="0" collapsed="false">
      <c r="A1669" s="12"/>
      <c r="B1669" s="13"/>
      <c r="C1669" s="13"/>
      <c r="D1669" s="14"/>
      <c r="E1669" s="15"/>
      <c r="F1669" s="15"/>
      <c r="G1669" s="15"/>
      <c r="H1669" s="15"/>
      <c r="I1669" s="15"/>
      <c r="J1669" s="15"/>
      <c r="K1669" s="16" t="str">
        <f aca="false">IF(A1669="","",F1669+G1669+H1669+I1669)</f>
        <v/>
      </c>
      <c r="L1669" s="17" t="str">
        <f aca="false">IF(OR(K1669="",E1669=0,E1669=""),"",K1669/E1669)</f>
        <v/>
      </c>
      <c r="M1669" s="18" t="str">
        <f aca="false">IF(OR(A1669="",E1669=""),"",E1669+ROW()/1000000)</f>
        <v/>
      </c>
    </row>
    <row r="1670" customFormat="false" ht="15" hidden="false" customHeight="false" outlineLevel="0" collapsed="false">
      <c r="A1670" s="12"/>
      <c r="B1670" s="13"/>
      <c r="C1670" s="13"/>
      <c r="D1670" s="14"/>
      <c r="E1670" s="15"/>
      <c r="F1670" s="15"/>
      <c r="G1670" s="15"/>
      <c r="H1670" s="15"/>
      <c r="I1670" s="15"/>
      <c r="J1670" s="15"/>
      <c r="K1670" s="16" t="str">
        <f aca="false">IF(A1670="","",F1670+G1670+H1670+I1670)</f>
        <v/>
      </c>
      <c r="L1670" s="17" t="str">
        <f aca="false">IF(OR(K1670="",E1670=0,E1670=""),"",K1670/E1670)</f>
        <v/>
      </c>
      <c r="M1670" s="18" t="str">
        <f aca="false">IF(OR(A1670="",E1670=""),"",E1670+ROW()/1000000)</f>
        <v/>
      </c>
    </row>
    <row r="1671" customFormat="false" ht="15" hidden="false" customHeight="false" outlineLevel="0" collapsed="false">
      <c r="A1671" s="12"/>
      <c r="B1671" s="13"/>
      <c r="C1671" s="13"/>
      <c r="D1671" s="14"/>
      <c r="E1671" s="15"/>
      <c r="F1671" s="15"/>
      <c r="G1671" s="15"/>
      <c r="H1671" s="15"/>
      <c r="I1671" s="15"/>
      <c r="J1671" s="15"/>
      <c r="K1671" s="16" t="str">
        <f aca="false">IF(A1671="","",F1671+G1671+H1671+I1671)</f>
        <v/>
      </c>
      <c r="L1671" s="17" t="str">
        <f aca="false">IF(OR(K1671="",E1671=0,E1671=""),"",K1671/E1671)</f>
        <v/>
      </c>
      <c r="M1671" s="18" t="str">
        <f aca="false">IF(OR(A1671="",E1671=""),"",E1671+ROW()/1000000)</f>
        <v/>
      </c>
    </row>
    <row r="1672" customFormat="false" ht="15" hidden="false" customHeight="false" outlineLevel="0" collapsed="false">
      <c r="A1672" s="12"/>
      <c r="B1672" s="13"/>
      <c r="C1672" s="13"/>
      <c r="D1672" s="14"/>
      <c r="E1672" s="15"/>
      <c r="F1672" s="15"/>
      <c r="G1672" s="15"/>
      <c r="H1672" s="15"/>
      <c r="I1672" s="15"/>
      <c r="J1672" s="15"/>
      <c r="K1672" s="16" t="str">
        <f aca="false">IF(A1672="","",F1672+G1672+H1672+I1672)</f>
        <v/>
      </c>
      <c r="L1672" s="17" t="str">
        <f aca="false">IF(OR(K1672="",E1672=0,E1672=""),"",K1672/E1672)</f>
        <v/>
      </c>
      <c r="M1672" s="18" t="str">
        <f aca="false">IF(OR(A1672="",E1672=""),"",E1672+ROW()/1000000)</f>
        <v/>
      </c>
    </row>
    <row r="1673" customFormat="false" ht="15" hidden="false" customHeight="false" outlineLevel="0" collapsed="false">
      <c r="A1673" s="12"/>
      <c r="B1673" s="13"/>
      <c r="C1673" s="13"/>
      <c r="D1673" s="14"/>
      <c r="E1673" s="15"/>
      <c r="F1673" s="15"/>
      <c r="G1673" s="15"/>
      <c r="H1673" s="15"/>
      <c r="I1673" s="15"/>
      <c r="J1673" s="15"/>
      <c r="K1673" s="16" t="str">
        <f aca="false">IF(A1673="","",F1673+G1673+H1673+I1673)</f>
        <v/>
      </c>
      <c r="L1673" s="17" t="str">
        <f aca="false">IF(OR(K1673="",E1673=0,E1673=""),"",K1673/E1673)</f>
        <v/>
      </c>
      <c r="M1673" s="18" t="str">
        <f aca="false">IF(OR(A1673="",E1673=""),"",E1673+ROW()/1000000)</f>
        <v/>
      </c>
    </row>
    <row r="1674" customFormat="false" ht="15" hidden="false" customHeight="false" outlineLevel="0" collapsed="false">
      <c r="A1674" s="12"/>
      <c r="B1674" s="13"/>
      <c r="C1674" s="13"/>
      <c r="D1674" s="14"/>
      <c r="E1674" s="15"/>
      <c r="F1674" s="15"/>
      <c r="G1674" s="15"/>
      <c r="H1674" s="15"/>
      <c r="I1674" s="15"/>
      <c r="J1674" s="15"/>
      <c r="K1674" s="16" t="str">
        <f aca="false">IF(A1674="","",F1674+G1674+H1674+I1674)</f>
        <v/>
      </c>
      <c r="L1674" s="17" t="str">
        <f aca="false">IF(OR(K1674="",E1674=0,E1674=""),"",K1674/E1674)</f>
        <v/>
      </c>
      <c r="M1674" s="18" t="str">
        <f aca="false">IF(OR(A1674="",E1674=""),"",E1674+ROW()/1000000)</f>
        <v/>
      </c>
    </row>
    <row r="1675" customFormat="false" ht="15" hidden="false" customHeight="false" outlineLevel="0" collapsed="false">
      <c r="A1675" s="12"/>
      <c r="B1675" s="13"/>
      <c r="C1675" s="13"/>
      <c r="D1675" s="14"/>
      <c r="E1675" s="15"/>
      <c r="F1675" s="15"/>
      <c r="G1675" s="15"/>
      <c r="H1675" s="15"/>
      <c r="I1675" s="15"/>
      <c r="J1675" s="15"/>
      <c r="K1675" s="16" t="str">
        <f aca="false">IF(A1675="","",F1675+G1675+H1675+I1675)</f>
        <v/>
      </c>
      <c r="L1675" s="17" t="str">
        <f aca="false">IF(OR(K1675="",E1675=0,E1675=""),"",K1675/E1675)</f>
        <v/>
      </c>
      <c r="M1675" s="18" t="str">
        <f aca="false">IF(OR(A1675="",E1675=""),"",E1675+ROW()/1000000)</f>
        <v/>
      </c>
    </row>
    <row r="1676" customFormat="false" ht="15" hidden="false" customHeight="false" outlineLevel="0" collapsed="false">
      <c r="A1676" s="12"/>
      <c r="B1676" s="13"/>
      <c r="C1676" s="13"/>
      <c r="D1676" s="14"/>
      <c r="E1676" s="15"/>
      <c r="F1676" s="15"/>
      <c r="G1676" s="15"/>
      <c r="H1676" s="15"/>
      <c r="I1676" s="15"/>
      <c r="J1676" s="15"/>
      <c r="K1676" s="16" t="str">
        <f aca="false">IF(A1676="","",F1676+G1676+H1676+I1676)</f>
        <v/>
      </c>
      <c r="L1676" s="17" t="str">
        <f aca="false">IF(OR(K1676="",E1676=0,E1676=""),"",K1676/E1676)</f>
        <v/>
      </c>
      <c r="M1676" s="18" t="str">
        <f aca="false">IF(OR(A1676="",E1676=""),"",E1676+ROW()/1000000)</f>
        <v/>
      </c>
    </row>
    <row r="1677" customFormat="false" ht="15" hidden="false" customHeight="false" outlineLevel="0" collapsed="false">
      <c r="A1677" s="12"/>
      <c r="B1677" s="13"/>
      <c r="C1677" s="13"/>
      <c r="D1677" s="14"/>
      <c r="E1677" s="15"/>
      <c r="F1677" s="15"/>
      <c r="G1677" s="15"/>
      <c r="H1677" s="15"/>
      <c r="I1677" s="15"/>
      <c r="J1677" s="15"/>
      <c r="K1677" s="16" t="str">
        <f aca="false">IF(A1677="","",F1677+G1677+H1677+I1677)</f>
        <v/>
      </c>
      <c r="L1677" s="17" t="str">
        <f aca="false">IF(OR(K1677="",E1677=0,E1677=""),"",K1677/E1677)</f>
        <v/>
      </c>
      <c r="M1677" s="18" t="str">
        <f aca="false">IF(OR(A1677="",E1677=""),"",E1677+ROW()/1000000)</f>
        <v/>
      </c>
    </row>
    <row r="1678" customFormat="false" ht="15" hidden="false" customHeight="false" outlineLevel="0" collapsed="false">
      <c r="A1678" s="12"/>
      <c r="B1678" s="13"/>
      <c r="C1678" s="13"/>
      <c r="D1678" s="14"/>
      <c r="E1678" s="15"/>
      <c r="F1678" s="15"/>
      <c r="G1678" s="15"/>
      <c r="H1678" s="15"/>
      <c r="I1678" s="15"/>
      <c r="J1678" s="15"/>
      <c r="K1678" s="16" t="str">
        <f aca="false">IF(A1678="","",F1678+G1678+H1678+I1678)</f>
        <v/>
      </c>
      <c r="L1678" s="17" t="str">
        <f aca="false">IF(OR(K1678="",E1678=0,E1678=""),"",K1678/E1678)</f>
        <v/>
      </c>
      <c r="M1678" s="18" t="str">
        <f aca="false">IF(OR(A1678="",E1678=""),"",E1678+ROW()/1000000)</f>
        <v/>
      </c>
    </row>
    <row r="1679" customFormat="false" ht="15" hidden="false" customHeight="false" outlineLevel="0" collapsed="false">
      <c r="A1679" s="12"/>
      <c r="B1679" s="13"/>
      <c r="C1679" s="13"/>
      <c r="D1679" s="14"/>
      <c r="E1679" s="15"/>
      <c r="F1679" s="15"/>
      <c r="G1679" s="15"/>
      <c r="H1679" s="15"/>
      <c r="I1679" s="15"/>
      <c r="J1679" s="15"/>
      <c r="K1679" s="16" t="str">
        <f aca="false">IF(A1679="","",F1679+G1679+H1679+I1679)</f>
        <v/>
      </c>
      <c r="L1679" s="17" t="str">
        <f aca="false">IF(OR(K1679="",E1679=0,E1679=""),"",K1679/E1679)</f>
        <v/>
      </c>
      <c r="M1679" s="18" t="str">
        <f aca="false">IF(OR(A1679="",E1679=""),"",E1679+ROW()/1000000)</f>
        <v/>
      </c>
    </row>
    <row r="1680" customFormat="false" ht="15" hidden="false" customHeight="false" outlineLevel="0" collapsed="false">
      <c r="A1680" s="12"/>
      <c r="B1680" s="13"/>
      <c r="C1680" s="13"/>
      <c r="D1680" s="14"/>
      <c r="E1680" s="15"/>
      <c r="F1680" s="15"/>
      <c r="G1680" s="15"/>
      <c r="H1680" s="15"/>
      <c r="I1680" s="15"/>
      <c r="J1680" s="15"/>
      <c r="K1680" s="16" t="str">
        <f aca="false">IF(A1680="","",F1680+G1680+H1680+I1680)</f>
        <v/>
      </c>
      <c r="L1680" s="17" t="str">
        <f aca="false">IF(OR(K1680="",E1680=0,E1680=""),"",K1680/E1680)</f>
        <v/>
      </c>
      <c r="M1680" s="18" t="str">
        <f aca="false">IF(OR(A1680="",E1680=""),"",E1680+ROW()/1000000)</f>
        <v/>
      </c>
    </row>
    <row r="1681" customFormat="false" ht="15" hidden="false" customHeight="false" outlineLevel="0" collapsed="false">
      <c r="A1681" s="12"/>
      <c r="B1681" s="13"/>
      <c r="C1681" s="13"/>
      <c r="D1681" s="14"/>
      <c r="E1681" s="15"/>
      <c r="F1681" s="15"/>
      <c r="G1681" s="15"/>
      <c r="H1681" s="15"/>
      <c r="I1681" s="15"/>
      <c r="J1681" s="15"/>
      <c r="K1681" s="16" t="str">
        <f aca="false">IF(A1681="","",F1681+G1681+H1681+I1681)</f>
        <v/>
      </c>
      <c r="L1681" s="17" t="str">
        <f aca="false">IF(OR(K1681="",E1681=0,E1681=""),"",K1681/E1681)</f>
        <v/>
      </c>
      <c r="M1681" s="18" t="str">
        <f aca="false">IF(OR(A1681="",E1681=""),"",E1681+ROW()/1000000)</f>
        <v/>
      </c>
    </row>
    <row r="1682" customFormat="false" ht="15" hidden="false" customHeight="false" outlineLevel="0" collapsed="false">
      <c r="A1682" s="12"/>
      <c r="B1682" s="13"/>
      <c r="C1682" s="13"/>
      <c r="D1682" s="14"/>
      <c r="E1682" s="15"/>
      <c r="F1682" s="15"/>
      <c r="G1682" s="15"/>
      <c r="H1682" s="15"/>
      <c r="I1682" s="15"/>
      <c r="J1682" s="15"/>
      <c r="K1682" s="16" t="str">
        <f aca="false">IF(A1682="","",F1682+G1682+H1682+I1682)</f>
        <v/>
      </c>
      <c r="L1682" s="17" t="str">
        <f aca="false">IF(OR(K1682="",E1682=0,E1682=""),"",K1682/E1682)</f>
        <v/>
      </c>
      <c r="M1682" s="18" t="str">
        <f aca="false">IF(OR(A1682="",E1682=""),"",E1682+ROW()/1000000)</f>
        <v/>
      </c>
    </row>
    <row r="1683" customFormat="false" ht="15" hidden="false" customHeight="false" outlineLevel="0" collapsed="false">
      <c r="A1683" s="12"/>
      <c r="B1683" s="13"/>
      <c r="C1683" s="13"/>
      <c r="D1683" s="14"/>
      <c r="E1683" s="15"/>
      <c r="F1683" s="15"/>
      <c r="G1683" s="15"/>
      <c r="H1683" s="15"/>
      <c r="I1683" s="15"/>
      <c r="J1683" s="15"/>
      <c r="K1683" s="16" t="str">
        <f aca="false">IF(A1683="","",F1683+G1683+H1683+I1683)</f>
        <v/>
      </c>
      <c r="L1683" s="17" t="str">
        <f aca="false">IF(OR(K1683="",E1683=0,E1683=""),"",K1683/E1683)</f>
        <v/>
      </c>
      <c r="M1683" s="18" t="str">
        <f aca="false">IF(OR(A1683="",E1683=""),"",E1683+ROW()/1000000)</f>
        <v/>
      </c>
    </row>
    <row r="1684" customFormat="false" ht="15" hidden="false" customHeight="false" outlineLevel="0" collapsed="false">
      <c r="A1684" s="12"/>
      <c r="B1684" s="13"/>
      <c r="C1684" s="13"/>
      <c r="D1684" s="14"/>
      <c r="E1684" s="15"/>
      <c r="F1684" s="15"/>
      <c r="G1684" s="15"/>
      <c r="H1684" s="15"/>
      <c r="I1684" s="15"/>
      <c r="J1684" s="15"/>
      <c r="K1684" s="16" t="str">
        <f aca="false">IF(A1684="","",F1684+G1684+H1684+I1684)</f>
        <v/>
      </c>
      <c r="L1684" s="17" t="str">
        <f aca="false">IF(OR(K1684="",E1684=0,E1684=""),"",K1684/E1684)</f>
        <v/>
      </c>
      <c r="M1684" s="18" t="str">
        <f aca="false">IF(OR(A1684="",E1684=""),"",E1684+ROW()/1000000)</f>
        <v/>
      </c>
    </row>
    <row r="1685" customFormat="false" ht="15" hidden="false" customHeight="false" outlineLevel="0" collapsed="false">
      <c r="A1685" s="12"/>
      <c r="B1685" s="13"/>
      <c r="C1685" s="13"/>
      <c r="D1685" s="14"/>
      <c r="E1685" s="15"/>
      <c r="F1685" s="15"/>
      <c r="G1685" s="15"/>
      <c r="H1685" s="15"/>
      <c r="I1685" s="15"/>
      <c r="J1685" s="15"/>
      <c r="K1685" s="16" t="str">
        <f aca="false">IF(A1685="","",F1685+G1685+H1685+I1685)</f>
        <v/>
      </c>
      <c r="L1685" s="17" t="str">
        <f aca="false">IF(OR(K1685="",E1685=0,E1685=""),"",K1685/E1685)</f>
        <v/>
      </c>
      <c r="M1685" s="18" t="str">
        <f aca="false">IF(OR(A1685="",E1685=""),"",E1685+ROW()/1000000)</f>
        <v/>
      </c>
    </row>
    <row r="1686" customFormat="false" ht="15" hidden="false" customHeight="false" outlineLevel="0" collapsed="false">
      <c r="A1686" s="12"/>
      <c r="B1686" s="13"/>
      <c r="C1686" s="13"/>
      <c r="D1686" s="14"/>
      <c r="E1686" s="15"/>
      <c r="F1686" s="15"/>
      <c r="G1686" s="15"/>
      <c r="H1686" s="15"/>
      <c r="I1686" s="15"/>
      <c r="J1686" s="15"/>
      <c r="K1686" s="16" t="str">
        <f aca="false">IF(A1686="","",F1686+G1686+H1686+I1686)</f>
        <v/>
      </c>
      <c r="L1686" s="17" t="str">
        <f aca="false">IF(OR(K1686="",E1686=0,E1686=""),"",K1686/E1686)</f>
        <v/>
      </c>
      <c r="M1686" s="18" t="str">
        <f aca="false">IF(OR(A1686="",E1686=""),"",E1686+ROW()/1000000)</f>
        <v/>
      </c>
    </row>
    <row r="1687" customFormat="false" ht="15" hidden="false" customHeight="false" outlineLevel="0" collapsed="false">
      <c r="A1687" s="12"/>
      <c r="B1687" s="13"/>
      <c r="C1687" s="13"/>
      <c r="D1687" s="14"/>
      <c r="E1687" s="15"/>
      <c r="F1687" s="15"/>
      <c r="G1687" s="15"/>
      <c r="H1687" s="15"/>
      <c r="I1687" s="15"/>
      <c r="J1687" s="15"/>
      <c r="K1687" s="16" t="str">
        <f aca="false">IF(A1687="","",F1687+G1687+H1687+I1687)</f>
        <v/>
      </c>
      <c r="L1687" s="17" t="str">
        <f aca="false">IF(OR(K1687="",E1687=0,E1687=""),"",K1687/E1687)</f>
        <v/>
      </c>
      <c r="M1687" s="18" t="str">
        <f aca="false">IF(OR(A1687="",E1687=""),"",E1687+ROW()/1000000)</f>
        <v/>
      </c>
    </row>
    <row r="1688" customFormat="false" ht="15" hidden="false" customHeight="false" outlineLevel="0" collapsed="false">
      <c r="A1688" s="12"/>
      <c r="B1688" s="13"/>
      <c r="C1688" s="13"/>
      <c r="D1688" s="14"/>
      <c r="E1688" s="15"/>
      <c r="F1688" s="15"/>
      <c r="G1688" s="15"/>
      <c r="H1688" s="15"/>
      <c r="I1688" s="15"/>
      <c r="J1688" s="15"/>
      <c r="K1688" s="16" t="str">
        <f aca="false">IF(A1688="","",F1688+G1688+H1688+I1688)</f>
        <v/>
      </c>
      <c r="L1688" s="17" t="str">
        <f aca="false">IF(OR(K1688="",E1688=0,E1688=""),"",K1688/E1688)</f>
        <v/>
      </c>
      <c r="M1688" s="18" t="str">
        <f aca="false">IF(OR(A1688="",E1688=""),"",E1688+ROW()/1000000)</f>
        <v/>
      </c>
    </row>
    <row r="1689" customFormat="false" ht="15" hidden="false" customHeight="false" outlineLevel="0" collapsed="false">
      <c r="A1689" s="12"/>
      <c r="B1689" s="13"/>
      <c r="C1689" s="13"/>
      <c r="D1689" s="14"/>
      <c r="E1689" s="15"/>
      <c r="F1689" s="15"/>
      <c r="G1689" s="15"/>
      <c r="H1689" s="15"/>
      <c r="I1689" s="15"/>
      <c r="J1689" s="15"/>
      <c r="K1689" s="16" t="str">
        <f aca="false">IF(A1689="","",F1689+G1689+H1689+I1689)</f>
        <v/>
      </c>
      <c r="L1689" s="17" t="str">
        <f aca="false">IF(OR(K1689="",E1689=0,E1689=""),"",K1689/E1689)</f>
        <v/>
      </c>
      <c r="M1689" s="18" t="str">
        <f aca="false">IF(OR(A1689="",E1689=""),"",E1689+ROW()/1000000)</f>
        <v/>
      </c>
    </row>
    <row r="1690" customFormat="false" ht="15" hidden="false" customHeight="false" outlineLevel="0" collapsed="false">
      <c r="A1690" s="12"/>
      <c r="B1690" s="13"/>
      <c r="C1690" s="13"/>
      <c r="D1690" s="14"/>
      <c r="E1690" s="15"/>
      <c r="F1690" s="15"/>
      <c r="G1690" s="15"/>
      <c r="H1690" s="15"/>
      <c r="I1690" s="15"/>
      <c r="J1690" s="15"/>
      <c r="K1690" s="16" t="str">
        <f aca="false">IF(A1690="","",F1690+G1690+H1690+I1690)</f>
        <v/>
      </c>
      <c r="L1690" s="17" t="str">
        <f aca="false">IF(OR(K1690="",E1690=0,E1690=""),"",K1690/E1690)</f>
        <v/>
      </c>
      <c r="M1690" s="18" t="str">
        <f aca="false">IF(OR(A1690="",E1690=""),"",E1690+ROW()/1000000)</f>
        <v/>
      </c>
    </row>
    <row r="1691" customFormat="false" ht="15" hidden="false" customHeight="false" outlineLevel="0" collapsed="false">
      <c r="A1691" s="12"/>
      <c r="B1691" s="13"/>
      <c r="C1691" s="13"/>
      <c r="D1691" s="14"/>
      <c r="E1691" s="15"/>
      <c r="F1691" s="15"/>
      <c r="G1691" s="15"/>
      <c r="H1691" s="15"/>
      <c r="I1691" s="15"/>
      <c r="J1691" s="15"/>
      <c r="K1691" s="16" t="str">
        <f aca="false">IF(A1691="","",F1691+G1691+H1691+I1691)</f>
        <v/>
      </c>
      <c r="L1691" s="17" t="str">
        <f aca="false">IF(OR(K1691="",E1691=0,E1691=""),"",K1691/E1691)</f>
        <v/>
      </c>
      <c r="M1691" s="18" t="str">
        <f aca="false">IF(OR(A1691="",E1691=""),"",E1691+ROW()/1000000)</f>
        <v/>
      </c>
    </row>
    <row r="1692" customFormat="false" ht="15" hidden="false" customHeight="false" outlineLevel="0" collapsed="false">
      <c r="A1692" s="12"/>
      <c r="B1692" s="13"/>
      <c r="C1692" s="13"/>
      <c r="D1692" s="14"/>
      <c r="E1692" s="15"/>
      <c r="F1692" s="15"/>
      <c r="G1692" s="15"/>
      <c r="H1692" s="15"/>
      <c r="I1692" s="15"/>
      <c r="J1692" s="15"/>
      <c r="K1692" s="16" t="str">
        <f aca="false">IF(A1692="","",F1692+G1692+H1692+I1692)</f>
        <v/>
      </c>
      <c r="L1692" s="17" t="str">
        <f aca="false">IF(OR(K1692="",E1692=0,E1692=""),"",K1692/E1692)</f>
        <v/>
      </c>
      <c r="M1692" s="18" t="str">
        <f aca="false">IF(OR(A1692="",E1692=""),"",E1692+ROW()/1000000)</f>
        <v/>
      </c>
    </row>
    <row r="1693" customFormat="false" ht="15" hidden="false" customHeight="false" outlineLevel="0" collapsed="false">
      <c r="A1693" s="12"/>
      <c r="B1693" s="13"/>
      <c r="C1693" s="13"/>
      <c r="D1693" s="14"/>
      <c r="E1693" s="15"/>
      <c r="F1693" s="15"/>
      <c r="G1693" s="15"/>
      <c r="H1693" s="15"/>
      <c r="I1693" s="15"/>
      <c r="J1693" s="15"/>
      <c r="K1693" s="16" t="str">
        <f aca="false">IF(A1693="","",F1693+G1693+H1693+I1693)</f>
        <v/>
      </c>
      <c r="L1693" s="17" t="str">
        <f aca="false">IF(OR(K1693="",E1693=0,E1693=""),"",K1693/E1693)</f>
        <v/>
      </c>
      <c r="M1693" s="18" t="str">
        <f aca="false">IF(OR(A1693="",E1693=""),"",E1693+ROW()/1000000)</f>
        <v/>
      </c>
    </row>
    <row r="1694" customFormat="false" ht="15" hidden="false" customHeight="false" outlineLevel="0" collapsed="false">
      <c r="A1694" s="12"/>
      <c r="B1694" s="13"/>
      <c r="C1694" s="13"/>
      <c r="D1694" s="14"/>
      <c r="E1694" s="15"/>
      <c r="F1694" s="15"/>
      <c r="G1694" s="15"/>
      <c r="H1694" s="15"/>
      <c r="I1694" s="15"/>
      <c r="J1694" s="15"/>
      <c r="K1694" s="16" t="str">
        <f aca="false">IF(A1694="","",F1694+G1694+H1694+I1694)</f>
        <v/>
      </c>
      <c r="L1694" s="17" t="str">
        <f aca="false">IF(OR(K1694="",E1694=0,E1694=""),"",K1694/E1694)</f>
        <v/>
      </c>
      <c r="M1694" s="18" t="str">
        <f aca="false">IF(OR(A1694="",E1694=""),"",E1694+ROW()/1000000)</f>
        <v/>
      </c>
    </row>
    <row r="1695" customFormat="false" ht="15" hidden="false" customHeight="false" outlineLevel="0" collapsed="false">
      <c r="A1695" s="12"/>
      <c r="B1695" s="13"/>
      <c r="C1695" s="13"/>
      <c r="D1695" s="14"/>
      <c r="E1695" s="15"/>
      <c r="F1695" s="15"/>
      <c r="G1695" s="15"/>
      <c r="H1695" s="15"/>
      <c r="I1695" s="15"/>
      <c r="J1695" s="15"/>
      <c r="K1695" s="16" t="str">
        <f aca="false">IF(A1695="","",F1695+G1695+H1695+I1695)</f>
        <v/>
      </c>
      <c r="L1695" s="17" t="str">
        <f aca="false">IF(OR(K1695="",E1695=0,E1695=""),"",K1695/E1695)</f>
        <v/>
      </c>
      <c r="M1695" s="18" t="str">
        <f aca="false">IF(OR(A1695="",E1695=""),"",E1695+ROW()/1000000)</f>
        <v/>
      </c>
    </row>
    <row r="1696" customFormat="false" ht="15" hidden="false" customHeight="false" outlineLevel="0" collapsed="false">
      <c r="A1696" s="12"/>
      <c r="B1696" s="13"/>
      <c r="C1696" s="13"/>
      <c r="D1696" s="14"/>
      <c r="E1696" s="15"/>
      <c r="F1696" s="15"/>
      <c r="G1696" s="15"/>
      <c r="H1696" s="15"/>
      <c r="I1696" s="15"/>
      <c r="J1696" s="15"/>
      <c r="K1696" s="16" t="str">
        <f aca="false">IF(A1696="","",F1696+G1696+H1696+I1696)</f>
        <v/>
      </c>
      <c r="L1696" s="17" t="str">
        <f aca="false">IF(OR(K1696="",E1696=0,E1696=""),"",K1696/E1696)</f>
        <v/>
      </c>
      <c r="M1696" s="18" t="str">
        <f aca="false">IF(OR(A1696="",E1696=""),"",E1696+ROW()/1000000)</f>
        <v/>
      </c>
    </row>
    <row r="1697" customFormat="false" ht="15" hidden="false" customHeight="false" outlineLevel="0" collapsed="false">
      <c r="A1697" s="12"/>
      <c r="B1697" s="13"/>
      <c r="C1697" s="13"/>
      <c r="D1697" s="14"/>
      <c r="E1697" s="15"/>
      <c r="F1697" s="15"/>
      <c r="G1697" s="15"/>
      <c r="H1697" s="15"/>
      <c r="I1697" s="15"/>
      <c r="J1697" s="15"/>
      <c r="K1697" s="16" t="str">
        <f aca="false">IF(A1697="","",F1697+G1697+H1697+I1697)</f>
        <v/>
      </c>
      <c r="L1697" s="17" t="str">
        <f aca="false">IF(OR(K1697="",E1697=0,E1697=""),"",K1697/E1697)</f>
        <v/>
      </c>
      <c r="M1697" s="18" t="str">
        <f aca="false">IF(OR(A1697="",E1697=""),"",E1697+ROW()/1000000)</f>
        <v/>
      </c>
    </row>
    <row r="1698" customFormat="false" ht="15" hidden="false" customHeight="false" outlineLevel="0" collapsed="false">
      <c r="A1698" s="12"/>
      <c r="B1698" s="13"/>
      <c r="C1698" s="13"/>
      <c r="D1698" s="14"/>
      <c r="E1698" s="15"/>
      <c r="F1698" s="15"/>
      <c r="G1698" s="15"/>
      <c r="H1698" s="15"/>
      <c r="I1698" s="15"/>
      <c r="J1698" s="15"/>
      <c r="K1698" s="16" t="str">
        <f aca="false">IF(A1698="","",F1698+G1698+H1698+I1698)</f>
        <v/>
      </c>
      <c r="L1698" s="17" t="str">
        <f aca="false">IF(OR(K1698="",E1698=0,E1698=""),"",K1698/E1698)</f>
        <v/>
      </c>
      <c r="M1698" s="18" t="str">
        <f aca="false">IF(OR(A1698="",E1698=""),"",E1698+ROW()/1000000)</f>
        <v/>
      </c>
    </row>
    <row r="1699" customFormat="false" ht="15" hidden="false" customHeight="false" outlineLevel="0" collapsed="false">
      <c r="A1699" s="12"/>
      <c r="B1699" s="13"/>
      <c r="C1699" s="13"/>
      <c r="D1699" s="14"/>
      <c r="E1699" s="15"/>
      <c r="F1699" s="15"/>
      <c r="G1699" s="15"/>
      <c r="H1699" s="15"/>
      <c r="I1699" s="15"/>
      <c r="J1699" s="15"/>
      <c r="K1699" s="16" t="str">
        <f aca="false">IF(A1699="","",F1699+G1699+H1699+I1699)</f>
        <v/>
      </c>
      <c r="L1699" s="17" t="str">
        <f aca="false">IF(OR(K1699="",E1699=0,E1699=""),"",K1699/E1699)</f>
        <v/>
      </c>
      <c r="M1699" s="18" t="str">
        <f aca="false">IF(OR(A1699="",E1699=""),"",E1699+ROW()/1000000)</f>
        <v/>
      </c>
    </row>
    <row r="1700" customFormat="false" ht="15" hidden="false" customHeight="false" outlineLevel="0" collapsed="false">
      <c r="A1700" s="12"/>
      <c r="B1700" s="13"/>
      <c r="C1700" s="13"/>
      <c r="D1700" s="14"/>
      <c r="E1700" s="15"/>
      <c r="F1700" s="15"/>
      <c r="G1700" s="15"/>
      <c r="H1700" s="15"/>
      <c r="I1700" s="15"/>
      <c r="J1700" s="15"/>
      <c r="K1700" s="16" t="str">
        <f aca="false">IF(A1700="","",F1700+G1700+H1700+I1700)</f>
        <v/>
      </c>
      <c r="L1700" s="17" t="str">
        <f aca="false">IF(OR(K1700="",E1700=0,E1700=""),"",K1700/E1700)</f>
        <v/>
      </c>
      <c r="M1700" s="18" t="str">
        <f aca="false">IF(OR(A1700="",E1700=""),"",E1700+ROW()/1000000)</f>
        <v/>
      </c>
    </row>
    <row r="1701" customFormat="false" ht="15" hidden="false" customHeight="false" outlineLevel="0" collapsed="false">
      <c r="A1701" s="12"/>
      <c r="B1701" s="13"/>
      <c r="C1701" s="13"/>
      <c r="D1701" s="14"/>
      <c r="E1701" s="15"/>
      <c r="F1701" s="15"/>
      <c r="G1701" s="15"/>
      <c r="H1701" s="15"/>
      <c r="I1701" s="15"/>
      <c r="J1701" s="15"/>
      <c r="K1701" s="16" t="str">
        <f aca="false">IF(A1701="","",F1701+G1701+H1701+I1701)</f>
        <v/>
      </c>
      <c r="L1701" s="17" t="str">
        <f aca="false">IF(OR(K1701="",E1701=0,E1701=""),"",K1701/E1701)</f>
        <v/>
      </c>
      <c r="M1701" s="18" t="str">
        <f aca="false">IF(OR(A1701="",E1701=""),"",E1701+ROW()/1000000)</f>
        <v/>
      </c>
    </row>
    <row r="1702" customFormat="false" ht="15" hidden="false" customHeight="false" outlineLevel="0" collapsed="false">
      <c r="A1702" s="12"/>
      <c r="B1702" s="13"/>
      <c r="C1702" s="13"/>
      <c r="D1702" s="14"/>
      <c r="E1702" s="15"/>
      <c r="F1702" s="15"/>
      <c r="G1702" s="15"/>
      <c r="H1702" s="15"/>
      <c r="I1702" s="15"/>
      <c r="J1702" s="15"/>
      <c r="K1702" s="16" t="str">
        <f aca="false">IF(A1702="","",F1702+G1702+H1702+I1702)</f>
        <v/>
      </c>
      <c r="L1702" s="17" t="str">
        <f aca="false">IF(OR(K1702="",E1702=0,E1702=""),"",K1702/E1702)</f>
        <v/>
      </c>
      <c r="M1702" s="18" t="str">
        <f aca="false">IF(OR(A1702="",E1702=""),"",E1702+ROW()/1000000)</f>
        <v/>
      </c>
    </row>
    <row r="1703" customFormat="false" ht="15" hidden="false" customHeight="false" outlineLevel="0" collapsed="false">
      <c r="A1703" s="12"/>
      <c r="B1703" s="13"/>
      <c r="C1703" s="13"/>
      <c r="D1703" s="14"/>
      <c r="E1703" s="15"/>
      <c r="F1703" s="15"/>
      <c r="G1703" s="15"/>
      <c r="H1703" s="15"/>
      <c r="I1703" s="15"/>
      <c r="J1703" s="15"/>
      <c r="K1703" s="16" t="str">
        <f aca="false">IF(A1703="","",F1703+G1703+H1703+I1703)</f>
        <v/>
      </c>
      <c r="L1703" s="17" t="str">
        <f aca="false">IF(OR(K1703="",E1703=0,E1703=""),"",K1703/E1703)</f>
        <v/>
      </c>
      <c r="M1703" s="18" t="str">
        <f aca="false">IF(OR(A1703="",E1703=""),"",E1703+ROW()/1000000)</f>
        <v/>
      </c>
    </row>
    <row r="1704" customFormat="false" ht="15" hidden="false" customHeight="false" outlineLevel="0" collapsed="false">
      <c r="A1704" s="12"/>
      <c r="B1704" s="13"/>
      <c r="C1704" s="13"/>
      <c r="D1704" s="14"/>
      <c r="E1704" s="15"/>
      <c r="F1704" s="15"/>
      <c r="G1704" s="15"/>
      <c r="H1704" s="15"/>
      <c r="I1704" s="15"/>
      <c r="J1704" s="15"/>
      <c r="K1704" s="16" t="str">
        <f aca="false">IF(A1704="","",F1704+G1704+H1704+I1704)</f>
        <v/>
      </c>
      <c r="L1704" s="17" t="str">
        <f aca="false">IF(OR(K1704="",E1704=0,E1704=""),"",K1704/E1704)</f>
        <v/>
      </c>
      <c r="M1704" s="18" t="str">
        <f aca="false">IF(OR(A1704="",E1704=""),"",E1704+ROW()/1000000)</f>
        <v/>
      </c>
    </row>
    <row r="1705" customFormat="false" ht="15" hidden="false" customHeight="false" outlineLevel="0" collapsed="false">
      <c r="A1705" s="12"/>
      <c r="B1705" s="13"/>
      <c r="C1705" s="13"/>
      <c r="D1705" s="14"/>
      <c r="E1705" s="15"/>
      <c r="F1705" s="15"/>
      <c r="G1705" s="15"/>
      <c r="H1705" s="15"/>
      <c r="I1705" s="15"/>
      <c r="J1705" s="15"/>
      <c r="K1705" s="16" t="str">
        <f aca="false">IF(A1705="","",F1705+G1705+H1705+I1705)</f>
        <v/>
      </c>
      <c r="L1705" s="17" t="str">
        <f aca="false">IF(OR(K1705="",E1705=0,E1705=""),"",K1705/E1705)</f>
        <v/>
      </c>
      <c r="M1705" s="18" t="str">
        <f aca="false">IF(OR(A1705="",E1705=""),"",E1705+ROW()/1000000)</f>
        <v/>
      </c>
    </row>
    <row r="1706" customFormat="false" ht="15" hidden="false" customHeight="false" outlineLevel="0" collapsed="false">
      <c r="A1706" s="12"/>
      <c r="B1706" s="13"/>
      <c r="C1706" s="13"/>
      <c r="D1706" s="14"/>
      <c r="E1706" s="15"/>
      <c r="F1706" s="15"/>
      <c r="G1706" s="15"/>
      <c r="H1706" s="15"/>
      <c r="I1706" s="15"/>
      <c r="J1706" s="15"/>
      <c r="K1706" s="16" t="str">
        <f aca="false">IF(A1706="","",F1706+G1706+H1706+I1706)</f>
        <v/>
      </c>
      <c r="L1706" s="17" t="str">
        <f aca="false">IF(OR(K1706="",E1706=0,E1706=""),"",K1706/E1706)</f>
        <v/>
      </c>
      <c r="M1706" s="18" t="str">
        <f aca="false">IF(OR(A1706="",E1706=""),"",E1706+ROW()/1000000)</f>
        <v/>
      </c>
    </row>
    <row r="1707" customFormat="false" ht="15" hidden="false" customHeight="false" outlineLevel="0" collapsed="false">
      <c r="A1707" s="12"/>
      <c r="B1707" s="13"/>
      <c r="C1707" s="13"/>
      <c r="D1707" s="14"/>
      <c r="E1707" s="15"/>
      <c r="F1707" s="15"/>
      <c r="G1707" s="15"/>
      <c r="H1707" s="15"/>
      <c r="I1707" s="15"/>
      <c r="J1707" s="15"/>
      <c r="K1707" s="16" t="str">
        <f aca="false">IF(A1707="","",F1707+G1707+H1707+I1707)</f>
        <v/>
      </c>
      <c r="L1707" s="17" t="str">
        <f aca="false">IF(OR(K1707="",E1707=0,E1707=""),"",K1707/E1707)</f>
        <v/>
      </c>
      <c r="M1707" s="18" t="str">
        <f aca="false">IF(OR(A1707="",E1707=""),"",E1707+ROW()/1000000)</f>
        <v/>
      </c>
    </row>
    <row r="1708" customFormat="false" ht="15" hidden="false" customHeight="false" outlineLevel="0" collapsed="false">
      <c r="A1708" s="12"/>
      <c r="B1708" s="13"/>
      <c r="C1708" s="13"/>
      <c r="D1708" s="14"/>
      <c r="E1708" s="15"/>
      <c r="F1708" s="15"/>
      <c r="G1708" s="15"/>
      <c r="H1708" s="15"/>
      <c r="I1708" s="15"/>
      <c r="J1708" s="15"/>
      <c r="K1708" s="16" t="str">
        <f aca="false">IF(A1708="","",F1708+G1708+H1708+I1708)</f>
        <v/>
      </c>
      <c r="L1708" s="17" t="str">
        <f aca="false">IF(OR(K1708="",E1708=0,E1708=""),"",K1708/E1708)</f>
        <v/>
      </c>
      <c r="M1708" s="18" t="str">
        <f aca="false">IF(OR(A1708="",E1708=""),"",E1708+ROW()/1000000)</f>
        <v/>
      </c>
    </row>
    <row r="1709" customFormat="false" ht="15" hidden="false" customHeight="false" outlineLevel="0" collapsed="false">
      <c r="A1709" s="12"/>
      <c r="B1709" s="13"/>
      <c r="C1709" s="13"/>
      <c r="D1709" s="14"/>
      <c r="E1709" s="15"/>
      <c r="F1709" s="15"/>
      <c r="G1709" s="15"/>
      <c r="H1709" s="15"/>
      <c r="I1709" s="15"/>
      <c r="J1709" s="15"/>
      <c r="K1709" s="16" t="str">
        <f aca="false">IF(A1709="","",F1709+G1709+H1709+I1709)</f>
        <v/>
      </c>
      <c r="L1709" s="17" t="str">
        <f aca="false">IF(OR(K1709="",E1709=0,E1709=""),"",K1709/E1709)</f>
        <v/>
      </c>
      <c r="M1709" s="18" t="str">
        <f aca="false">IF(OR(A1709="",E1709=""),"",E1709+ROW()/1000000)</f>
        <v/>
      </c>
    </row>
    <row r="1710" customFormat="false" ht="15" hidden="false" customHeight="false" outlineLevel="0" collapsed="false">
      <c r="A1710" s="12"/>
      <c r="B1710" s="13"/>
      <c r="C1710" s="13"/>
      <c r="D1710" s="14"/>
      <c r="E1710" s="15"/>
      <c r="F1710" s="15"/>
      <c r="G1710" s="15"/>
      <c r="H1710" s="15"/>
      <c r="I1710" s="15"/>
      <c r="J1710" s="15"/>
      <c r="K1710" s="16" t="str">
        <f aca="false">IF(A1710="","",F1710+G1710+H1710+I1710)</f>
        <v/>
      </c>
      <c r="L1710" s="17" t="str">
        <f aca="false">IF(OR(K1710="",E1710=0,E1710=""),"",K1710/E1710)</f>
        <v/>
      </c>
      <c r="M1710" s="18" t="str">
        <f aca="false">IF(OR(A1710="",E1710=""),"",E1710+ROW()/1000000)</f>
        <v/>
      </c>
    </row>
    <row r="1711" customFormat="false" ht="15" hidden="false" customHeight="false" outlineLevel="0" collapsed="false">
      <c r="A1711" s="12"/>
      <c r="B1711" s="13"/>
      <c r="C1711" s="13"/>
      <c r="D1711" s="14"/>
      <c r="E1711" s="15"/>
      <c r="F1711" s="15"/>
      <c r="G1711" s="15"/>
      <c r="H1711" s="15"/>
      <c r="I1711" s="15"/>
      <c r="J1711" s="15"/>
      <c r="K1711" s="16" t="str">
        <f aca="false">IF(A1711="","",F1711+G1711+H1711+I1711)</f>
        <v/>
      </c>
      <c r="L1711" s="17" t="str">
        <f aca="false">IF(OR(K1711="",E1711=0,E1711=""),"",K1711/E1711)</f>
        <v/>
      </c>
      <c r="M1711" s="18" t="str">
        <f aca="false">IF(OR(A1711="",E1711=""),"",E1711+ROW()/1000000)</f>
        <v/>
      </c>
    </row>
    <row r="1712" customFormat="false" ht="15" hidden="false" customHeight="false" outlineLevel="0" collapsed="false">
      <c r="A1712" s="12"/>
      <c r="B1712" s="13"/>
      <c r="C1712" s="13"/>
      <c r="D1712" s="14"/>
      <c r="E1712" s="15"/>
      <c r="F1712" s="15"/>
      <c r="G1712" s="15"/>
      <c r="H1712" s="15"/>
      <c r="I1712" s="15"/>
      <c r="J1712" s="15"/>
      <c r="K1712" s="16" t="str">
        <f aca="false">IF(A1712="","",F1712+G1712+H1712+I1712)</f>
        <v/>
      </c>
      <c r="L1712" s="17" t="str">
        <f aca="false">IF(OR(K1712="",E1712=0,E1712=""),"",K1712/E1712)</f>
        <v/>
      </c>
      <c r="M1712" s="18" t="str">
        <f aca="false">IF(OR(A1712="",E1712=""),"",E1712+ROW()/1000000)</f>
        <v/>
      </c>
    </row>
    <row r="1713" customFormat="false" ht="15" hidden="false" customHeight="false" outlineLevel="0" collapsed="false">
      <c r="A1713" s="12"/>
      <c r="B1713" s="13"/>
      <c r="C1713" s="13"/>
      <c r="D1713" s="14"/>
      <c r="E1713" s="15"/>
      <c r="F1713" s="15"/>
      <c r="G1713" s="15"/>
      <c r="H1713" s="15"/>
      <c r="I1713" s="15"/>
      <c r="J1713" s="15"/>
      <c r="K1713" s="16" t="str">
        <f aca="false">IF(A1713="","",F1713+G1713+H1713+I1713)</f>
        <v/>
      </c>
      <c r="L1713" s="17" t="str">
        <f aca="false">IF(OR(K1713="",E1713=0,E1713=""),"",K1713/E1713)</f>
        <v/>
      </c>
      <c r="M1713" s="18" t="str">
        <f aca="false">IF(OR(A1713="",E1713=""),"",E1713+ROW()/1000000)</f>
        <v/>
      </c>
    </row>
    <row r="1714" customFormat="false" ht="15" hidden="false" customHeight="false" outlineLevel="0" collapsed="false">
      <c r="A1714" s="12"/>
      <c r="B1714" s="13"/>
      <c r="C1714" s="13"/>
      <c r="D1714" s="14"/>
      <c r="E1714" s="15"/>
      <c r="F1714" s="15"/>
      <c r="G1714" s="15"/>
      <c r="H1714" s="15"/>
      <c r="I1714" s="15"/>
      <c r="J1714" s="15"/>
      <c r="K1714" s="16" t="str">
        <f aca="false">IF(A1714="","",F1714+G1714+H1714+I1714)</f>
        <v/>
      </c>
      <c r="L1714" s="17" t="str">
        <f aca="false">IF(OR(K1714="",E1714=0,E1714=""),"",K1714/E1714)</f>
        <v/>
      </c>
      <c r="M1714" s="18" t="str">
        <f aca="false">IF(OR(A1714="",E1714=""),"",E1714+ROW()/1000000)</f>
        <v/>
      </c>
    </row>
    <row r="1715" customFormat="false" ht="15" hidden="false" customHeight="false" outlineLevel="0" collapsed="false">
      <c r="A1715" s="12"/>
      <c r="B1715" s="13"/>
      <c r="C1715" s="13"/>
      <c r="D1715" s="14"/>
      <c r="E1715" s="15"/>
      <c r="F1715" s="15"/>
      <c r="G1715" s="15"/>
      <c r="H1715" s="15"/>
      <c r="I1715" s="15"/>
      <c r="J1715" s="15"/>
      <c r="K1715" s="16" t="str">
        <f aca="false">IF(A1715="","",F1715+G1715+H1715+I1715)</f>
        <v/>
      </c>
      <c r="L1715" s="17" t="str">
        <f aca="false">IF(OR(K1715="",E1715=0,E1715=""),"",K1715/E1715)</f>
        <v/>
      </c>
      <c r="M1715" s="18" t="str">
        <f aca="false">IF(OR(A1715="",E1715=""),"",E1715+ROW()/1000000)</f>
        <v/>
      </c>
    </row>
    <row r="1716" customFormat="false" ht="15" hidden="false" customHeight="false" outlineLevel="0" collapsed="false">
      <c r="A1716" s="12"/>
      <c r="B1716" s="13"/>
      <c r="C1716" s="13"/>
      <c r="D1716" s="14"/>
      <c r="E1716" s="15"/>
      <c r="F1716" s="15"/>
      <c r="G1716" s="15"/>
      <c r="H1716" s="15"/>
      <c r="I1716" s="15"/>
      <c r="J1716" s="15"/>
      <c r="K1716" s="16" t="str">
        <f aca="false">IF(A1716="","",F1716+G1716+H1716+I1716)</f>
        <v/>
      </c>
      <c r="L1716" s="17" t="str">
        <f aca="false">IF(OR(K1716="",E1716=0,E1716=""),"",K1716/E1716)</f>
        <v/>
      </c>
      <c r="M1716" s="18" t="str">
        <f aca="false">IF(OR(A1716="",E1716=""),"",E1716+ROW()/1000000)</f>
        <v/>
      </c>
    </row>
    <row r="1717" customFormat="false" ht="15" hidden="false" customHeight="false" outlineLevel="0" collapsed="false">
      <c r="A1717" s="12"/>
      <c r="B1717" s="13"/>
      <c r="C1717" s="13"/>
      <c r="D1717" s="14"/>
      <c r="E1717" s="15"/>
      <c r="F1717" s="15"/>
      <c r="G1717" s="15"/>
      <c r="H1717" s="15"/>
      <c r="I1717" s="15"/>
      <c r="J1717" s="15"/>
      <c r="K1717" s="16" t="str">
        <f aca="false">IF(A1717="","",F1717+G1717+H1717+I1717)</f>
        <v/>
      </c>
      <c r="L1717" s="17" t="str">
        <f aca="false">IF(OR(K1717="",E1717=0,E1717=""),"",K1717/E1717)</f>
        <v/>
      </c>
      <c r="M1717" s="18" t="str">
        <f aca="false">IF(OR(A1717="",E1717=""),"",E1717+ROW()/1000000)</f>
        <v/>
      </c>
    </row>
    <row r="1718" customFormat="false" ht="15" hidden="false" customHeight="false" outlineLevel="0" collapsed="false">
      <c r="A1718" s="12"/>
      <c r="B1718" s="13"/>
      <c r="C1718" s="13"/>
      <c r="D1718" s="14"/>
      <c r="E1718" s="15"/>
      <c r="F1718" s="15"/>
      <c r="G1718" s="15"/>
      <c r="H1718" s="15"/>
      <c r="I1718" s="15"/>
      <c r="J1718" s="15"/>
      <c r="K1718" s="16" t="str">
        <f aca="false">IF(A1718="","",F1718+G1718+H1718+I1718)</f>
        <v/>
      </c>
      <c r="L1718" s="17" t="str">
        <f aca="false">IF(OR(K1718="",E1718=0,E1718=""),"",K1718/E1718)</f>
        <v/>
      </c>
      <c r="M1718" s="18" t="str">
        <f aca="false">IF(OR(A1718="",E1718=""),"",E1718+ROW()/1000000)</f>
        <v/>
      </c>
    </row>
    <row r="1719" customFormat="false" ht="15" hidden="false" customHeight="false" outlineLevel="0" collapsed="false">
      <c r="A1719" s="12"/>
      <c r="B1719" s="13"/>
      <c r="C1719" s="13"/>
      <c r="D1719" s="14"/>
      <c r="E1719" s="15"/>
      <c r="F1719" s="15"/>
      <c r="G1719" s="15"/>
      <c r="H1719" s="15"/>
      <c r="I1719" s="15"/>
      <c r="J1719" s="15"/>
      <c r="K1719" s="16" t="str">
        <f aca="false">IF(A1719="","",F1719+G1719+H1719+I1719)</f>
        <v/>
      </c>
      <c r="L1719" s="17" t="str">
        <f aca="false">IF(OR(K1719="",E1719=0,E1719=""),"",K1719/E1719)</f>
        <v/>
      </c>
      <c r="M1719" s="18" t="str">
        <f aca="false">IF(OR(A1719="",E1719=""),"",E1719+ROW()/1000000)</f>
        <v/>
      </c>
    </row>
    <row r="1720" customFormat="false" ht="15" hidden="false" customHeight="false" outlineLevel="0" collapsed="false">
      <c r="A1720" s="12"/>
      <c r="B1720" s="13"/>
      <c r="C1720" s="13"/>
      <c r="D1720" s="14"/>
      <c r="E1720" s="15"/>
      <c r="F1720" s="15"/>
      <c r="G1720" s="15"/>
      <c r="H1720" s="15"/>
      <c r="I1720" s="15"/>
      <c r="J1720" s="15"/>
      <c r="K1720" s="16" t="str">
        <f aca="false">IF(A1720="","",F1720+G1720+H1720+I1720)</f>
        <v/>
      </c>
      <c r="L1720" s="17" t="str">
        <f aca="false">IF(OR(K1720="",E1720=0,E1720=""),"",K1720/E1720)</f>
        <v/>
      </c>
      <c r="M1720" s="18" t="str">
        <f aca="false">IF(OR(A1720="",E1720=""),"",E1720+ROW()/1000000)</f>
        <v/>
      </c>
    </row>
    <row r="1721" customFormat="false" ht="15" hidden="false" customHeight="false" outlineLevel="0" collapsed="false">
      <c r="A1721" s="12"/>
      <c r="B1721" s="13"/>
      <c r="C1721" s="13"/>
      <c r="D1721" s="14"/>
      <c r="E1721" s="15"/>
      <c r="F1721" s="15"/>
      <c r="G1721" s="15"/>
      <c r="H1721" s="15"/>
      <c r="I1721" s="15"/>
      <c r="J1721" s="15"/>
      <c r="K1721" s="16" t="str">
        <f aca="false">IF(A1721="","",F1721+G1721+H1721+I1721)</f>
        <v/>
      </c>
      <c r="L1721" s="17" t="str">
        <f aca="false">IF(OR(K1721="",E1721=0,E1721=""),"",K1721/E1721)</f>
        <v/>
      </c>
      <c r="M1721" s="18" t="str">
        <f aca="false">IF(OR(A1721="",E1721=""),"",E1721+ROW()/1000000)</f>
        <v/>
      </c>
    </row>
    <row r="1722" customFormat="false" ht="15" hidden="false" customHeight="false" outlineLevel="0" collapsed="false">
      <c r="A1722" s="12"/>
      <c r="B1722" s="13"/>
      <c r="C1722" s="13"/>
      <c r="D1722" s="14"/>
      <c r="E1722" s="15"/>
      <c r="F1722" s="15"/>
      <c r="G1722" s="15"/>
      <c r="H1722" s="15"/>
      <c r="I1722" s="15"/>
      <c r="J1722" s="15"/>
      <c r="K1722" s="16" t="str">
        <f aca="false">IF(A1722="","",F1722+G1722+H1722+I1722)</f>
        <v/>
      </c>
      <c r="L1722" s="17" t="str">
        <f aca="false">IF(OR(K1722="",E1722=0,E1722=""),"",K1722/E1722)</f>
        <v/>
      </c>
      <c r="M1722" s="18" t="str">
        <f aca="false">IF(OR(A1722="",E1722=""),"",E1722+ROW()/1000000)</f>
        <v/>
      </c>
    </row>
    <row r="1723" customFormat="false" ht="15" hidden="false" customHeight="false" outlineLevel="0" collapsed="false">
      <c r="A1723" s="12"/>
      <c r="B1723" s="13"/>
      <c r="C1723" s="13"/>
      <c r="D1723" s="14"/>
      <c r="E1723" s="15"/>
      <c r="F1723" s="15"/>
      <c r="G1723" s="15"/>
      <c r="H1723" s="15"/>
      <c r="I1723" s="15"/>
      <c r="J1723" s="15"/>
      <c r="K1723" s="16" t="str">
        <f aca="false">IF(A1723="","",F1723+G1723+H1723+I1723)</f>
        <v/>
      </c>
      <c r="L1723" s="17" t="str">
        <f aca="false">IF(OR(K1723="",E1723=0,E1723=""),"",K1723/E1723)</f>
        <v/>
      </c>
      <c r="M1723" s="18" t="str">
        <f aca="false">IF(OR(A1723="",E1723=""),"",E1723+ROW()/1000000)</f>
        <v/>
      </c>
    </row>
    <row r="1724" customFormat="false" ht="15" hidden="false" customHeight="false" outlineLevel="0" collapsed="false">
      <c r="A1724" s="12"/>
      <c r="B1724" s="13"/>
      <c r="C1724" s="13"/>
      <c r="D1724" s="14"/>
      <c r="E1724" s="15"/>
      <c r="F1724" s="15"/>
      <c r="G1724" s="15"/>
      <c r="H1724" s="15"/>
      <c r="I1724" s="15"/>
      <c r="J1724" s="15"/>
      <c r="K1724" s="16" t="str">
        <f aca="false">IF(A1724="","",F1724+G1724+H1724+I1724)</f>
        <v/>
      </c>
      <c r="L1724" s="17" t="str">
        <f aca="false">IF(OR(K1724="",E1724=0,E1724=""),"",K1724/E1724)</f>
        <v/>
      </c>
      <c r="M1724" s="18" t="str">
        <f aca="false">IF(OR(A1724="",E1724=""),"",E1724+ROW()/1000000)</f>
        <v/>
      </c>
    </row>
    <row r="1725" customFormat="false" ht="15" hidden="false" customHeight="false" outlineLevel="0" collapsed="false">
      <c r="A1725" s="12"/>
      <c r="B1725" s="13"/>
      <c r="C1725" s="13"/>
      <c r="D1725" s="14"/>
      <c r="E1725" s="15"/>
      <c r="F1725" s="15"/>
      <c r="G1725" s="15"/>
      <c r="H1725" s="15"/>
      <c r="I1725" s="15"/>
      <c r="J1725" s="15"/>
      <c r="K1725" s="16" t="str">
        <f aca="false">IF(A1725="","",F1725+G1725+H1725+I1725)</f>
        <v/>
      </c>
      <c r="L1725" s="17" t="str">
        <f aca="false">IF(OR(K1725="",E1725=0,E1725=""),"",K1725/E1725)</f>
        <v/>
      </c>
      <c r="M1725" s="18" t="str">
        <f aca="false">IF(OR(A1725="",E1725=""),"",E1725+ROW()/1000000)</f>
        <v/>
      </c>
    </row>
    <row r="1726" customFormat="false" ht="15" hidden="false" customHeight="false" outlineLevel="0" collapsed="false">
      <c r="A1726" s="12"/>
      <c r="B1726" s="13"/>
      <c r="C1726" s="13"/>
      <c r="D1726" s="14"/>
      <c r="E1726" s="15"/>
      <c r="F1726" s="15"/>
      <c r="G1726" s="15"/>
      <c r="H1726" s="15"/>
      <c r="I1726" s="15"/>
      <c r="J1726" s="15"/>
      <c r="K1726" s="16" t="str">
        <f aca="false">IF(A1726="","",F1726+G1726+H1726+I1726)</f>
        <v/>
      </c>
      <c r="L1726" s="17" t="str">
        <f aca="false">IF(OR(K1726="",E1726=0,E1726=""),"",K1726/E1726)</f>
        <v/>
      </c>
      <c r="M1726" s="18" t="str">
        <f aca="false">IF(OR(A1726="",E1726=""),"",E1726+ROW()/1000000)</f>
        <v/>
      </c>
    </row>
    <row r="1727" customFormat="false" ht="15" hidden="false" customHeight="false" outlineLevel="0" collapsed="false">
      <c r="A1727" s="12"/>
      <c r="B1727" s="13"/>
      <c r="C1727" s="13"/>
      <c r="D1727" s="14"/>
      <c r="E1727" s="15"/>
      <c r="F1727" s="15"/>
      <c r="G1727" s="15"/>
      <c r="H1727" s="15"/>
      <c r="I1727" s="15"/>
      <c r="J1727" s="15"/>
      <c r="K1727" s="16" t="str">
        <f aca="false">IF(A1727="","",F1727+G1727+H1727+I1727)</f>
        <v/>
      </c>
      <c r="L1727" s="17" t="str">
        <f aca="false">IF(OR(K1727="",E1727=0,E1727=""),"",K1727/E1727)</f>
        <v/>
      </c>
      <c r="M1727" s="18" t="str">
        <f aca="false">IF(OR(A1727="",E1727=""),"",E1727+ROW()/1000000)</f>
        <v/>
      </c>
    </row>
    <row r="1728" customFormat="false" ht="15" hidden="false" customHeight="false" outlineLevel="0" collapsed="false">
      <c r="A1728" s="12"/>
      <c r="B1728" s="13"/>
      <c r="C1728" s="13"/>
      <c r="D1728" s="14"/>
      <c r="E1728" s="15"/>
      <c r="F1728" s="15"/>
      <c r="G1728" s="15"/>
      <c r="H1728" s="15"/>
      <c r="I1728" s="15"/>
      <c r="J1728" s="15"/>
      <c r="K1728" s="16" t="str">
        <f aca="false">IF(A1728="","",F1728+G1728+H1728+I1728)</f>
        <v/>
      </c>
      <c r="L1728" s="17" t="str">
        <f aca="false">IF(OR(K1728="",E1728=0,E1728=""),"",K1728/E1728)</f>
        <v/>
      </c>
      <c r="M1728" s="18" t="str">
        <f aca="false">IF(OR(A1728="",E1728=""),"",E1728+ROW()/1000000)</f>
        <v/>
      </c>
    </row>
    <row r="1729" customFormat="false" ht="15" hidden="false" customHeight="false" outlineLevel="0" collapsed="false">
      <c r="A1729" s="12"/>
      <c r="B1729" s="13"/>
      <c r="C1729" s="13"/>
      <c r="D1729" s="14"/>
      <c r="E1729" s="15"/>
      <c r="F1729" s="15"/>
      <c r="G1729" s="15"/>
      <c r="H1729" s="15"/>
      <c r="I1729" s="15"/>
      <c r="J1729" s="15"/>
      <c r="K1729" s="16" t="str">
        <f aca="false">IF(A1729="","",F1729+G1729+H1729+I1729)</f>
        <v/>
      </c>
      <c r="L1729" s="17" t="str">
        <f aca="false">IF(OR(K1729="",E1729=0,E1729=""),"",K1729/E1729)</f>
        <v/>
      </c>
      <c r="M1729" s="18" t="str">
        <f aca="false">IF(OR(A1729="",E1729=""),"",E1729+ROW()/1000000)</f>
        <v/>
      </c>
    </row>
    <row r="1730" customFormat="false" ht="15" hidden="false" customHeight="false" outlineLevel="0" collapsed="false">
      <c r="A1730" s="12"/>
      <c r="B1730" s="13"/>
      <c r="C1730" s="13"/>
      <c r="D1730" s="14"/>
      <c r="E1730" s="15"/>
      <c r="F1730" s="15"/>
      <c r="G1730" s="15"/>
      <c r="H1730" s="15"/>
      <c r="I1730" s="15"/>
      <c r="J1730" s="15"/>
      <c r="K1730" s="16" t="str">
        <f aca="false">IF(A1730="","",F1730+G1730+H1730+I1730)</f>
        <v/>
      </c>
      <c r="L1730" s="17" t="str">
        <f aca="false">IF(OR(K1730="",E1730=0,E1730=""),"",K1730/E1730)</f>
        <v/>
      </c>
      <c r="M1730" s="18" t="str">
        <f aca="false">IF(OR(A1730="",E1730=""),"",E1730+ROW()/1000000)</f>
        <v/>
      </c>
    </row>
    <row r="1731" customFormat="false" ht="15" hidden="false" customHeight="false" outlineLevel="0" collapsed="false">
      <c r="A1731" s="12"/>
      <c r="B1731" s="13"/>
      <c r="C1731" s="13"/>
      <c r="D1731" s="14"/>
      <c r="E1731" s="15"/>
      <c r="F1731" s="15"/>
      <c r="G1731" s="15"/>
      <c r="H1731" s="15"/>
      <c r="I1731" s="15"/>
      <c r="J1731" s="15"/>
      <c r="K1731" s="16" t="str">
        <f aca="false">IF(A1731="","",F1731+G1731+H1731+I1731)</f>
        <v/>
      </c>
      <c r="L1731" s="17" t="str">
        <f aca="false">IF(OR(K1731="",E1731=0,E1731=""),"",K1731/E1731)</f>
        <v/>
      </c>
      <c r="M1731" s="18" t="str">
        <f aca="false">IF(OR(A1731="",E1731=""),"",E1731+ROW()/1000000)</f>
        <v/>
      </c>
    </row>
    <row r="1732" customFormat="false" ht="15" hidden="false" customHeight="false" outlineLevel="0" collapsed="false">
      <c r="A1732" s="12"/>
      <c r="B1732" s="13"/>
      <c r="C1732" s="13"/>
      <c r="D1732" s="14"/>
      <c r="E1732" s="15"/>
      <c r="F1732" s="15"/>
      <c r="G1732" s="15"/>
      <c r="H1732" s="15"/>
      <c r="I1732" s="15"/>
      <c r="J1732" s="15"/>
      <c r="K1732" s="16" t="str">
        <f aca="false">IF(A1732="","",F1732+G1732+H1732+I1732)</f>
        <v/>
      </c>
      <c r="L1732" s="17" t="str">
        <f aca="false">IF(OR(K1732="",E1732=0,E1732=""),"",K1732/E1732)</f>
        <v/>
      </c>
      <c r="M1732" s="18" t="str">
        <f aca="false">IF(OR(A1732="",E1732=""),"",E1732+ROW()/1000000)</f>
        <v/>
      </c>
    </row>
    <row r="1733" customFormat="false" ht="15" hidden="false" customHeight="false" outlineLevel="0" collapsed="false">
      <c r="A1733" s="12"/>
      <c r="B1733" s="13"/>
      <c r="C1733" s="13"/>
      <c r="D1733" s="14"/>
      <c r="E1733" s="15"/>
      <c r="F1733" s="15"/>
      <c r="G1733" s="15"/>
      <c r="H1733" s="15"/>
      <c r="I1733" s="15"/>
      <c r="J1733" s="15"/>
      <c r="K1733" s="16" t="str">
        <f aca="false">IF(A1733="","",F1733+G1733+H1733+I1733)</f>
        <v/>
      </c>
      <c r="L1733" s="17" t="str">
        <f aca="false">IF(OR(K1733="",E1733=0,E1733=""),"",K1733/E1733)</f>
        <v/>
      </c>
      <c r="M1733" s="18" t="str">
        <f aca="false">IF(OR(A1733="",E1733=""),"",E1733+ROW()/1000000)</f>
        <v/>
      </c>
    </row>
    <row r="1734" customFormat="false" ht="15" hidden="false" customHeight="false" outlineLevel="0" collapsed="false">
      <c r="A1734" s="12"/>
      <c r="B1734" s="13"/>
      <c r="C1734" s="13"/>
      <c r="D1734" s="14"/>
      <c r="E1734" s="15"/>
      <c r="F1734" s="15"/>
      <c r="G1734" s="15"/>
      <c r="H1734" s="15"/>
      <c r="I1734" s="15"/>
      <c r="J1734" s="15"/>
      <c r="K1734" s="16" t="str">
        <f aca="false">IF(A1734="","",F1734+G1734+H1734+I1734)</f>
        <v/>
      </c>
      <c r="L1734" s="17" t="str">
        <f aca="false">IF(OR(K1734="",E1734=0,E1734=""),"",K1734/E1734)</f>
        <v/>
      </c>
      <c r="M1734" s="18" t="str">
        <f aca="false">IF(OR(A1734="",E1734=""),"",E1734+ROW()/1000000)</f>
        <v/>
      </c>
    </row>
    <row r="1735" customFormat="false" ht="15" hidden="false" customHeight="false" outlineLevel="0" collapsed="false">
      <c r="A1735" s="12"/>
      <c r="B1735" s="13"/>
      <c r="C1735" s="13"/>
      <c r="D1735" s="14"/>
      <c r="E1735" s="15"/>
      <c r="F1735" s="15"/>
      <c r="G1735" s="15"/>
      <c r="H1735" s="15"/>
      <c r="I1735" s="15"/>
      <c r="J1735" s="15"/>
      <c r="K1735" s="16" t="str">
        <f aca="false">IF(A1735="","",F1735+G1735+H1735+I1735)</f>
        <v/>
      </c>
      <c r="L1735" s="17" t="str">
        <f aca="false">IF(OR(K1735="",E1735=0,E1735=""),"",K1735/E1735)</f>
        <v/>
      </c>
      <c r="M1735" s="18" t="str">
        <f aca="false">IF(OR(A1735="",E1735=""),"",E1735+ROW()/1000000)</f>
        <v/>
      </c>
    </row>
    <row r="1736" customFormat="false" ht="15" hidden="false" customHeight="false" outlineLevel="0" collapsed="false">
      <c r="A1736" s="12"/>
      <c r="B1736" s="13"/>
      <c r="C1736" s="13"/>
      <c r="D1736" s="14"/>
      <c r="E1736" s="15"/>
      <c r="F1736" s="15"/>
      <c r="G1736" s="15"/>
      <c r="H1736" s="15"/>
      <c r="I1736" s="15"/>
      <c r="J1736" s="15"/>
      <c r="K1736" s="16" t="str">
        <f aca="false">IF(A1736="","",F1736+G1736+H1736+I1736)</f>
        <v/>
      </c>
      <c r="L1736" s="17" t="str">
        <f aca="false">IF(OR(K1736="",E1736=0,E1736=""),"",K1736/E1736)</f>
        <v/>
      </c>
      <c r="M1736" s="18" t="str">
        <f aca="false">IF(OR(A1736="",E1736=""),"",E1736+ROW()/1000000)</f>
        <v/>
      </c>
    </row>
    <row r="1737" customFormat="false" ht="15" hidden="false" customHeight="false" outlineLevel="0" collapsed="false">
      <c r="A1737" s="12"/>
      <c r="B1737" s="13"/>
      <c r="C1737" s="13"/>
      <c r="D1737" s="14"/>
      <c r="E1737" s="15"/>
      <c r="F1737" s="15"/>
      <c r="G1737" s="15"/>
      <c r="H1737" s="15"/>
      <c r="I1737" s="15"/>
      <c r="J1737" s="15"/>
      <c r="K1737" s="16" t="str">
        <f aca="false">IF(A1737="","",F1737+G1737+H1737+I1737)</f>
        <v/>
      </c>
      <c r="L1737" s="17" t="str">
        <f aca="false">IF(OR(K1737="",E1737=0,E1737=""),"",K1737/E1737)</f>
        <v/>
      </c>
      <c r="M1737" s="18" t="str">
        <f aca="false">IF(OR(A1737="",E1737=""),"",E1737+ROW()/1000000)</f>
        <v/>
      </c>
    </row>
    <row r="1738" customFormat="false" ht="15" hidden="false" customHeight="false" outlineLevel="0" collapsed="false">
      <c r="A1738" s="12"/>
      <c r="B1738" s="13"/>
      <c r="C1738" s="13"/>
      <c r="D1738" s="14"/>
      <c r="E1738" s="15"/>
      <c r="F1738" s="15"/>
      <c r="G1738" s="15"/>
      <c r="H1738" s="15"/>
      <c r="I1738" s="15"/>
      <c r="J1738" s="15"/>
      <c r="K1738" s="16" t="str">
        <f aca="false">IF(A1738="","",F1738+G1738+H1738+I1738)</f>
        <v/>
      </c>
      <c r="L1738" s="17" t="str">
        <f aca="false">IF(OR(K1738="",E1738=0,E1738=""),"",K1738/E1738)</f>
        <v/>
      </c>
      <c r="M1738" s="18" t="str">
        <f aca="false">IF(OR(A1738="",E1738=""),"",E1738+ROW()/1000000)</f>
        <v/>
      </c>
    </row>
    <row r="1739" customFormat="false" ht="15" hidden="false" customHeight="false" outlineLevel="0" collapsed="false">
      <c r="A1739" s="12"/>
      <c r="B1739" s="13"/>
      <c r="C1739" s="13"/>
      <c r="D1739" s="14"/>
      <c r="E1739" s="15"/>
      <c r="F1739" s="15"/>
      <c r="G1739" s="15"/>
      <c r="H1739" s="15"/>
      <c r="I1739" s="15"/>
      <c r="J1739" s="15"/>
      <c r="K1739" s="16" t="str">
        <f aca="false">IF(A1739="","",F1739+G1739+H1739+I1739)</f>
        <v/>
      </c>
      <c r="L1739" s="17" t="str">
        <f aca="false">IF(OR(K1739="",E1739=0,E1739=""),"",K1739/E1739)</f>
        <v/>
      </c>
      <c r="M1739" s="18" t="str">
        <f aca="false">IF(OR(A1739="",E1739=""),"",E1739+ROW()/1000000)</f>
        <v/>
      </c>
    </row>
    <row r="1740" customFormat="false" ht="15" hidden="false" customHeight="false" outlineLevel="0" collapsed="false">
      <c r="A1740" s="12"/>
      <c r="B1740" s="13"/>
      <c r="C1740" s="13"/>
      <c r="D1740" s="14"/>
      <c r="E1740" s="15"/>
      <c r="F1740" s="15"/>
      <c r="G1740" s="15"/>
      <c r="H1740" s="15"/>
      <c r="I1740" s="15"/>
      <c r="J1740" s="15"/>
      <c r="K1740" s="16" t="str">
        <f aca="false">IF(A1740="","",F1740+G1740+H1740+I1740)</f>
        <v/>
      </c>
      <c r="L1740" s="17" t="str">
        <f aca="false">IF(OR(K1740="",E1740=0,E1740=""),"",K1740/E1740)</f>
        <v/>
      </c>
      <c r="M1740" s="18" t="str">
        <f aca="false">IF(OR(A1740="",E1740=""),"",E1740+ROW()/1000000)</f>
        <v/>
      </c>
    </row>
    <row r="1741" customFormat="false" ht="15" hidden="false" customHeight="false" outlineLevel="0" collapsed="false">
      <c r="A1741" s="12"/>
      <c r="B1741" s="13"/>
      <c r="C1741" s="13"/>
      <c r="D1741" s="14"/>
      <c r="E1741" s="15"/>
      <c r="F1741" s="15"/>
      <c r="G1741" s="15"/>
      <c r="H1741" s="15"/>
      <c r="I1741" s="15"/>
      <c r="J1741" s="15"/>
      <c r="K1741" s="16" t="str">
        <f aca="false">IF(A1741="","",F1741+G1741+H1741+I1741)</f>
        <v/>
      </c>
      <c r="L1741" s="17" t="str">
        <f aca="false">IF(OR(K1741="",E1741=0,E1741=""),"",K1741/E1741)</f>
        <v/>
      </c>
      <c r="M1741" s="18" t="str">
        <f aca="false">IF(OR(A1741="",E1741=""),"",E1741+ROW()/1000000)</f>
        <v/>
      </c>
    </row>
    <row r="1742" customFormat="false" ht="15" hidden="false" customHeight="false" outlineLevel="0" collapsed="false">
      <c r="A1742" s="12"/>
      <c r="B1742" s="13"/>
      <c r="C1742" s="13"/>
      <c r="D1742" s="14"/>
      <c r="E1742" s="15"/>
      <c r="F1742" s="15"/>
      <c r="G1742" s="15"/>
      <c r="H1742" s="15"/>
      <c r="I1742" s="15"/>
      <c r="J1742" s="15"/>
      <c r="K1742" s="16" t="str">
        <f aca="false">IF(A1742="","",F1742+G1742+H1742+I1742)</f>
        <v/>
      </c>
      <c r="L1742" s="17" t="str">
        <f aca="false">IF(OR(K1742="",E1742=0,E1742=""),"",K1742/E1742)</f>
        <v/>
      </c>
      <c r="M1742" s="18" t="str">
        <f aca="false">IF(OR(A1742="",E1742=""),"",E1742+ROW()/1000000)</f>
        <v/>
      </c>
    </row>
    <row r="1743" customFormat="false" ht="15" hidden="false" customHeight="false" outlineLevel="0" collapsed="false">
      <c r="A1743" s="12"/>
      <c r="B1743" s="13"/>
      <c r="C1743" s="13"/>
      <c r="D1743" s="14"/>
      <c r="E1743" s="15"/>
      <c r="F1743" s="15"/>
      <c r="G1743" s="15"/>
      <c r="H1743" s="15"/>
      <c r="I1743" s="15"/>
      <c r="J1743" s="15"/>
      <c r="K1743" s="16" t="str">
        <f aca="false">IF(A1743="","",F1743+G1743+H1743+I1743)</f>
        <v/>
      </c>
      <c r="L1743" s="17" t="str">
        <f aca="false">IF(OR(K1743="",E1743=0,E1743=""),"",K1743/E1743)</f>
        <v/>
      </c>
      <c r="M1743" s="18" t="str">
        <f aca="false">IF(OR(A1743="",E1743=""),"",E1743+ROW()/1000000)</f>
        <v/>
      </c>
    </row>
    <row r="1744" customFormat="false" ht="15" hidden="false" customHeight="false" outlineLevel="0" collapsed="false">
      <c r="A1744" s="12"/>
      <c r="B1744" s="13"/>
      <c r="C1744" s="13"/>
      <c r="D1744" s="14"/>
      <c r="E1744" s="15"/>
      <c r="F1744" s="15"/>
      <c r="G1744" s="15"/>
      <c r="H1744" s="15"/>
      <c r="I1744" s="15"/>
      <c r="J1744" s="15"/>
      <c r="K1744" s="16" t="str">
        <f aca="false">IF(A1744="","",F1744+G1744+H1744+I1744)</f>
        <v/>
      </c>
      <c r="L1744" s="17" t="str">
        <f aca="false">IF(OR(K1744="",E1744=0,E1744=""),"",K1744/E1744)</f>
        <v/>
      </c>
      <c r="M1744" s="18" t="str">
        <f aca="false">IF(OR(A1744="",E1744=""),"",E1744+ROW()/1000000)</f>
        <v/>
      </c>
    </row>
    <row r="1745" customFormat="false" ht="15" hidden="false" customHeight="false" outlineLevel="0" collapsed="false">
      <c r="A1745" s="12"/>
      <c r="B1745" s="13"/>
      <c r="C1745" s="13"/>
      <c r="D1745" s="14"/>
      <c r="E1745" s="15"/>
      <c r="F1745" s="15"/>
      <c r="G1745" s="15"/>
      <c r="H1745" s="15"/>
      <c r="I1745" s="15"/>
      <c r="J1745" s="15"/>
      <c r="K1745" s="16" t="str">
        <f aca="false">IF(A1745="","",F1745+G1745+H1745+I1745)</f>
        <v/>
      </c>
      <c r="L1745" s="17" t="str">
        <f aca="false">IF(OR(K1745="",E1745=0,E1745=""),"",K1745/E1745)</f>
        <v/>
      </c>
      <c r="M1745" s="18" t="str">
        <f aca="false">IF(OR(A1745="",E1745=""),"",E1745+ROW()/1000000)</f>
        <v/>
      </c>
    </row>
    <row r="1746" customFormat="false" ht="15" hidden="false" customHeight="false" outlineLevel="0" collapsed="false">
      <c r="A1746" s="12"/>
      <c r="B1746" s="13"/>
      <c r="C1746" s="13"/>
      <c r="D1746" s="14"/>
      <c r="E1746" s="15"/>
      <c r="F1746" s="15"/>
      <c r="G1746" s="15"/>
      <c r="H1746" s="15"/>
      <c r="I1746" s="15"/>
      <c r="J1746" s="15"/>
      <c r="K1746" s="16" t="str">
        <f aca="false">IF(A1746="","",F1746+G1746+H1746+I1746)</f>
        <v/>
      </c>
      <c r="L1746" s="17" t="str">
        <f aca="false">IF(OR(K1746="",E1746=0,E1746=""),"",K1746/E1746)</f>
        <v/>
      </c>
      <c r="M1746" s="18" t="str">
        <f aca="false">IF(OR(A1746="",E1746=""),"",E1746+ROW()/1000000)</f>
        <v/>
      </c>
    </row>
    <row r="1747" customFormat="false" ht="15" hidden="false" customHeight="false" outlineLevel="0" collapsed="false">
      <c r="A1747" s="12"/>
      <c r="B1747" s="13"/>
      <c r="C1747" s="13"/>
      <c r="D1747" s="14"/>
      <c r="E1747" s="15"/>
      <c r="F1747" s="15"/>
      <c r="G1747" s="15"/>
      <c r="H1747" s="15"/>
      <c r="I1747" s="15"/>
      <c r="J1747" s="15"/>
      <c r="K1747" s="16" t="str">
        <f aca="false">IF(A1747="","",F1747+G1747+H1747+I1747)</f>
        <v/>
      </c>
      <c r="L1747" s="17" t="str">
        <f aca="false">IF(OR(K1747="",E1747=0,E1747=""),"",K1747/E1747)</f>
        <v/>
      </c>
      <c r="M1747" s="18" t="str">
        <f aca="false">IF(OR(A1747="",E1747=""),"",E1747+ROW()/1000000)</f>
        <v/>
      </c>
    </row>
    <row r="1748" customFormat="false" ht="15" hidden="false" customHeight="false" outlineLevel="0" collapsed="false">
      <c r="A1748" s="12"/>
      <c r="B1748" s="13"/>
      <c r="C1748" s="13"/>
      <c r="D1748" s="14"/>
      <c r="E1748" s="15"/>
      <c r="F1748" s="15"/>
      <c r="G1748" s="15"/>
      <c r="H1748" s="15"/>
      <c r="I1748" s="15"/>
      <c r="J1748" s="15"/>
      <c r="K1748" s="16" t="str">
        <f aca="false">IF(A1748="","",F1748+G1748+H1748+I1748)</f>
        <v/>
      </c>
      <c r="L1748" s="17" t="str">
        <f aca="false">IF(OR(K1748="",E1748=0,E1748=""),"",K1748/E1748)</f>
        <v/>
      </c>
      <c r="M1748" s="18" t="str">
        <f aca="false">IF(OR(A1748="",E1748=""),"",E1748+ROW()/1000000)</f>
        <v/>
      </c>
    </row>
    <row r="1749" customFormat="false" ht="15" hidden="false" customHeight="false" outlineLevel="0" collapsed="false">
      <c r="A1749" s="12"/>
      <c r="B1749" s="13"/>
      <c r="C1749" s="13"/>
      <c r="D1749" s="14"/>
      <c r="E1749" s="15"/>
      <c r="F1749" s="15"/>
      <c r="G1749" s="15"/>
      <c r="H1749" s="15"/>
      <c r="I1749" s="15"/>
      <c r="J1749" s="15"/>
      <c r="K1749" s="16" t="str">
        <f aca="false">IF(A1749="","",F1749+G1749+H1749+I1749)</f>
        <v/>
      </c>
      <c r="L1749" s="17" t="str">
        <f aca="false">IF(OR(K1749="",E1749=0,E1749=""),"",K1749/E1749)</f>
        <v/>
      </c>
      <c r="M1749" s="18" t="str">
        <f aca="false">IF(OR(A1749="",E1749=""),"",E1749+ROW()/1000000)</f>
        <v/>
      </c>
    </row>
    <row r="1750" customFormat="false" ht="15" hidden="false" customHeight="false" outlineLevel="0" collapsed="false">
      <c r="A1750" s="12"/>
      <c r="B1750" s="13"/>
      <c r="C1750" s="13"/>
      <c r="D1750" s="14"/>
      <c r="E1750" s="15"/>
      <c r="F1750" s="15"/>
      <c r="G1750" s="15"/>
      <c r="H1750" s="15"/>
      <c r="I1750" s="15"/>
      <c r="J1750" s="15"/>
      <c r="K1750" s="16" t="str">
        <f aca="false">IF(A1750="","",F1750+G1750+H1750+I1750)</f>
        <v/>
      </c>
      <c r="L1750" s="17" t="str">
        <f aca="false">IF(OR(K1750="",E1750=0,E1750=""),"",K1750/E1750)</f>
        <v/>
      </c>
      <c r="M1750" s="18" t="str">
        <f aca="false">IF(OR(A1750="",E1750=""),"",E1750+ROW()/1000000)</f>
        <v/>
      </c>
    </row>
    <row r="1751" customFormat="false" ht="15" hidden="false" customHeight="false" outlineLevel="0" collapsed="false">
      <c r="A1751" s="12"/>
      <c r="B1751" s="13"/>
      <c r="C1751" s="13"/>
      <c r="D1751" s="14"/>
      <c r="E1751" s="15"/>
      <c r="F1751" s="15"/>
      <c r="G1751" s="15"/>
      <c r="H1751" s="15"/>
      <c r="I1751" s="15"/>
      <c r="J1751" s="15"/>
      <c r="K1751" s="16" t="str">
        <f aca="false">IF(A1751="","",F1751+G1751+H1751+I1751)</f>
        <v/>
      </c>
      <c r="L1751" s="17" t="str">
        <f aca="false">IF(OR(K1751="",E1751=0,E1751=""),"",K1751/E1751)</f>
        <v/>
      </c>
      <c r="M1751" s="18" t="str">
        <f aca="false">IF(OR(A1751="",E1751=""),"",E1751+ROW()/1000000)</f>
        <v/>
      </c>
    </row>
    <row r="1752" customFormat="false" ht="15" hidden="false" customHeight="false" outlineLevel="0" collapsed="false">
      <c r="A1752" s="12"/>
      <c r="B1752" s="13"/>
      <c r="C1752" s="13"/>
      <c r="D1752" s="14"/>
      <c r="E1752" s="15"/>
      <c r="F1752" s="15"/>
      <c r="G1752" s="15"/>
      <c r="H1752" s="15"/>
      <c r="I1752" s="15"/>
      <c r="J1752" s="15"/>
      <c r="K1752" s="16" t="str">
        <f aca="false">IF(A1752="","",F1752+G1752+H1752+I1752)</f>
        <v/>
      </c>
      <c r="L1752" s="17" t="str">
        <f aca="false">IF(OR(K1752="",E1752=0,E1752=""),"",K1752/E1752)</f>
        <v/>
      </c>
      <c r="M1752" s="18" t="str">
        <f aca="false">IF(OR(A1752="",E1752=""),"",E1752+ROW()/1000000)</f>
        <v/>
      </c>
    </row>
    <row r="1753" customFormat="false" ht="15" hidden="false" customHeight="false" outlineLevel="0" collapsed="false">
      <c r="A1753" s="12"/>
      <c r="B1753" s="13"/>
      <c r="C1753" s="13"/>
      <c r="D1753" s="14"/>
      <c r="E1753" s="15"/>
      <c r="F1753" s="15"/>
      <c r="G1753" s="15"/>
      <c r="H1753" s="15"/>
      <c r="I1753" s="15"/>
      <c r="J1753" s="15"/>
      <c r="K1753" s="16" t="str">
        <f aca="false">IF(A1753="","",F1753+G1753+H1753+I1753)</f>
        <v/>
      </c>
      <c r="L1753" s="17" t="str">
        <f aca="false">IF(OR(K1753="",E1753=0,E1753=""),"",K1753/E1753)</f>
        <v/>
      </c>
      <c r="M1753" s="18" t="str">
        <f aca="false">IF(OR(A1753="",E1753=""),"",E1753+ROW()/1000000)</f>
        <v/>
      </c>
    </row>
    <row r="1754" customFormat="false" ht="15" hidden="false" customHeight="false" outlineLevel="0" collapsed="false">
      <c r="A1754" s="12"/>
      <c r="B1754" s="13"/>
      <c r="C1754" s="13"/>
      <c r="D1754" s="14"/>
      <c r="E1754" s="15"/>
      <c r="F1754" s="15"/>
      <c r="G1754" s="15"/>
      <c r="H1754" s="15"/>
      <c r="I1754" s="15"/>
      <c r="J1754" s="15"/>
      <c r="K1754" s="16" t="str">
        <f aca="false">IF(A1754="","",F1754+G1754+H1754+I1754)</f>
        <v/>
      </c>
      <c r="L1754" s="17" t="str">
        <f aca="false">IF(OR(K1754="",E1754=0,E1754=""),"",K1754/E1754)</f>
        <v/>
      </c>
      <c r="M1754" s="18" t="str">
        <f aca="false">IF(OR(A1754="",E1754=""),"",E1754+ROW()/1000000)</f>
        <v/>
      </c>
    </row>
    <row r="1755" customFormat="false" ht="15" hidden="false" customHeight="false" outlineLevel="0" collapsed="false">
      <c r="A1755" s="12"/>
      <c r="B1755" s="13"/>
      <c r="C1755" s="13"/>
      <c r="D1755" s="14"/>
      <c r="E1755" s="15"/>
      <c r="F1755" s="15"/>
      <c r="G1755" s="15"/>
      <c r="H1755" s="15"/>
      <c r="I1755" s="15"/>
      <c r="J1755" s="15"/>
      <c r="K1755" s="16" t="str">
        <f aca="false">IF(A1755="","",F1755+G1755+H1755+I1755)</f>
        <v/>
      </c>
      <c r="L1755" s="17" t="str">
        <f aca="false">IF(OR(K1755="",E1755=0,E1755=""),"",K1755/E1755)</f>
        <v/>
      </c>
      <c r="M1755" s="18" t="str">
        <f aca="false">IF(OR(A1755="",E1755=""),"",E1755+ROW()/1000000)</f>
        <v/>
      </c>
    </row>
    <row r="1756" customFormat="false" ht="15" hidden="false" customHeight="false" outlineLevel="0" collapsed="false">
      <c r="A1756" s="12"/>
      <c r="B1756" s="13"/>
      <c r="C1756" s="13"/>
      <c r="D1756" s="14"/>
      <c r="E1756" s="15"/>
      <c r="F1756" s="15"/>
      <c r="G1756" s="15"/>
      <c r="H1756" s="15"/>
      <c r="I1756" s="15"/>
      <c r="J1756" s="15"/>
      <c r="K1756" s="16" t="str">
        <f aca="false">IF(A1756="","",F1756+G1756+H1756+I1756)</f>
        <v/>
      </c>
      <c r="L1756" s="17" t="str">
        <f aca="false">IF(OR(K1756="",E1756=0,E1756=""),"",K1756/E1756)</f>
        <v/>
      </c>
      <c r="M1756" s="18" t="str">
        <f aca="false">IF(OR(A1756="",E1756=""),"",E1756+ROW()/1000000)</f>
        <v/>
      </c>
    </row>
    <row r="1757" customFormat="false" ht="15" hidden="false" customHeight="false" outlineLevel="0" collapsed="false">
      <c r="A1757" s="12"/>
      <c r="B1757" s="13"/>
      <c r="C1757" s="13"/>
      <c r="D1757" s="14"/>
      <c r="E1757" s="15"/>
      <c r="F1757" s="15"/>
      <c r="G1757" s="15"/>
      <c r="H1757" s="15"/>
      <c r="I1757" s="15"/>
      <c r="J1757" s="15"/>
      <c r="K1757" s="16" t="str">
        <f aca="false">IF(A1757="","",F1757+G1757+H1757+I1757)</f>
        <v/>
      </c>
      <c r="L1757" s="17" t="str">
        <f aca="false">IF(OR(K1757="",E1757=0,E1757=""),"",K1757/E1757)</f>
        <v/>
      </c>
      <c r="M1757" s="18" t="str">
        <f aca="false">IF(OR(A1757="",E1757=""),"",E1757+ROW()/1000000)</f>
        <v/>
      </c>
    </row>
    <row r="1758" customFormat="false" ht="15" hidden="false" customHeight="false" outlineLevel="0" collapsed="false">
      <c r="A1758" s="12"/>
      <c r="B1758" s="13"/>
      <c r="C1758" s="13"/>
      <c r="D1758" s="14"/>
      <c r="E1758" s="15"/>
      <c r="F1758" s="15"/>
      <c r="G1758" s="15"/>
      <c r="H1758" s="15"/>
      <c r="I1758" s="15"/>
      <c r="J1758" s="15"/>
      <c r="K1758" s="16" t="str">
        <f aca="false">IF(A1758="","",F1758+G1758+H1758+I1758)</f>
        <v/>
      </c>
      <c r="L1758" s="17" t="str">
        <f aca="false">IF(OR(K1758="",E1758=0,E1758=""),"",K1758/E1758)</f>
        <v/>
      </c>
      <c r="M1758" s="18" t="str">
        <f aca="false">IF(OR(A1758="",E1758=""),"",E1758+ROW()/1000000)</f>
        <v/>
      </c>
    </row>
    <row r="1759" customFormat="false" ht="15" hidden="false" customHeight="false" outlineLevel="0" collapsed="false">
      <c r="A1759" s="12"/>
      <c r="B1759" s="13"/>
      <c r="C1759" s="13"/>
      <c r="D1759" s="14"/>
      <c r="E1759" s="15"/>
      <c r="F1759" s="15"/>
      <c r="G1759" s="15"/>
      <c r="H1759" s="15"/>
      <c r="I1759" s="15"/>
      <c r="J1759" s="15"/>
      <c r="K1759" s="16" t="str">
        <f aca="false">IF(A1759="","",F1759+G1759+H1759+I1759)</f>
        <v/>
      </c>
      <c r="L1759" s="17" t="str">
        <f aca="false">IF(OR(K1759="",E1759=0,E1759=""),"",K1759/E1759)</f>
        <v/>
      </c>
      <c r="M1759" s="18" t="str">
        <f aca="false">IF(OR(A1759="",E1759=""),"",E1759+ROW()/1000000)</f>
        <v/>
      </c>
    </row>
    <row r="1760" customFormat="false" ht="15" hidden="false" customHeight="false" outlineLevel="0" collapsed="false">
      <c r="A1760" s="12"/>
      <c r="B1760" s="13"/>
      <c r="C1760" s="13"/>
      <c r="D1760" s="14"/>
      <c r="E1760" s="15"/>
      <c r="F1760" s="15"/>
      <c r="G1760" s="15"/>
      <c r="H1760" s="15"/>
      <c r="I1760" s="15"/>
      <c r="J1760" s="15"/>
      <c r="K1760" s="16" t="str">
        <f aca="false">IF(A1760="","",F1760+G1760+H1760+I1760)</f>
        <v/>
      </c>
      <c r="L1760" s="17" t="str">
        <f aca="false">IF(OR(K1760="",E1760=0,E1760=""),"",K1760/E1760)</f>
        <v/>
      </c>
      <c r="M1760" s="18" t="str">
        <f aca="false">IF(OR(A1760="",E1760=""),"",E1760+ROW()/1000000)</f>
        <v/>
      </c>
    </row>
    <row r="1761" customFormat="false" ht="15" hidden="false" customHeight="false" outlineLevel="0" collapsed="false">
      <c r="A1761" s="12"/>
      <c r="B1761" s="13"/>
      <c r="C1761" s="13"/>
      <c r="D1761" s="14"/>
      <c r="E1761" s="15"/>
      <c r="F1761" s="15"/>
      <c r="G1761" s="15"/>
      <c r="H1761" s="15"/>
      <c r="I1761" s="15"/>
      <c r="J1761" s="15"/>
      <c r="K1761" s="16" t="str">
        <f aca="false">IF(A1761="","",F1761+G1761+H1761+I1761)</f>
        <v/>
      </c>
      <c r="L1761" s="17" t="str">
        <f aca="false">IF(OR(K1761="",E1761=0,E1761=""),"",K1761/E1761)</f>
        <v/>
      </c>
      <c r="M1761" s="18" t="str">
        <f aca="false">IF(OR(A1761="",E1761=""),"",E1761+ROW()/1000000)</f>
        <v/>
      </c>
    </row>
    <row r="1762" customFormat="false" ht="15" hidden="false" customHeight="false" outlineLevel="0" collapsed="false">
      <c r="A1762" s="12"/>
      <c r="B1762" s="13"/>
      <c r="C1762" s="13"/>
      <c r="D1762" s="14"/>
      <c r="E1762" s="15"/>
      <c r="F1762" s="15"/>
      <c r="G1762" s="15"/>
      <c r="H1762" s="15"/>
      <c r="I1762" s="15"/>
      <c r="J1762" s="15"/>
      <c r="K1762" s="16" t="str">
        <f aca="false">IF(A1762="","",F1762+G1762+H1762+I1762)</f>
        <v/>
      </c>
      <c r="L1762" s="17" t="str">
        <f aca="false">IF(OR(K1762="",E1762=0,E1762=""),"",K1762/E1762)</f>
        <v/>
      </c>
      <c r="M1762" s="18" t="str">
        <f aca="false">IF(OR(A1762="",E1762=""),"",E1762+ROW()/1000000)</f>
        <v/>
      </c>
    </row>
    <row r="1763" customFormat="false" ht="15" hidden="false" customHeight="false" outlineLevel="0" collapsed="false">
      <c r="A1763" s="12"/>
      <c r="B1763" s="13"/>
      <c r="C1763" s="13"/>
      <c r="D1763" s="14"/>
      <c r="E1763" s="15"/>
      <c r="F1763" s="15"/>
      <c r="G1763" s="15"/>
      <c r="H1763" s="15"/>
      <c r="I1763" s="15"/>
      <c r="J1763" s="15"/>
      <c r="K1763" s="16" t="str">
        <f aca="false">IF(A1763="","",F1763+G1763+H1763+I1763)</f>
        <v/>
      </c>
      <c r="L1763" s="17" t="str">
        <f aca="false">IF(OR(K1763="",E1763=0,E1763=""),"",K1763/E1763)</f>
        <v/>
      </c>
      <c r="M1763" s="18" t="str">
        <f aca="false">IF(OR(A1763="",E1763=""),"",E1763+ROW()/1000000)</f>
        <v/>
      </c>
    </row>
    <row r="1764" customFormat="false" ht="15" hidden="false" customHeight="false" outlineLevel="0" collapsed="false">
      <c r="A1764" s="12"/>
      <c r="B1764" s="13"/>
      <c r="C1764" s="13"/>
      <c r="D1764" s="14"/>
      <c r="E1764" s="15"/>
      <c r="F1764" s="15"/>
      <c r="G1764" s="15"/>
      <c r="H1764" s="15"/>
      <c r="I1764" s="15"/>
      <c r="J1764" s="15"/>
      <c r="K1764" s="16" t="str">
        <f aca="false">IF(A1764="","",F1764+G1764+H1764+I1764)</f>
        <v/>
      </c>
      <c r="L1764" s="17" t="str">
        <f aca="false">IF(OR(K1764="",E1764=0,E1764=""),"",K1764/E1764)</f>
        <v/>
      </c>
      <c r="M1764" s="18" t="str">
        <f aca="false">IF(OR(A1764="",E1764=""),"",E1764+ROW()/1000000)</f>
        <v/>
      </c>
    </row>
    <row r="1765" customFormat="false" ht="15" hidden="false" customHeight="false" outlineLevel="0" collapsed="false">
      <c r="A1765" s="12"/>
      <c r="B1765" s="13"/>
      <c r="C1765" s="13"/>
      <c r="D1765" s="14"/>
      <c r="E1765" s="15"/>
      <c r="F1765" s="15"/>
      <c r="G1765" s="15"/>
      <c r="H1765" s="15"/>
      <c r="I1765" s="15"/>
      <c r="J1765" s="15"/>
      <c r="K1765" s="16" t="str">
        <f aca="false">IF(A1765="","",F1765+G1765+H1765+I1765)</f>
        <v/>
      </c>
      <c r="L1765" s="17" t="str">
        <f aca="false">IF(OR(K1765="",E1765=0,E1765=""),"",K1765/E1765)</f>
        <v/>
      </c>
      <c r="M1765" s="18" t="str">
        <f aca="false">IF(OR(A1765="",E1765=""),"",E1765+ROW()/1000000)</f>
        <v/>
      </c>
    </row>
    <row r="1766" customFormat="false" ht="15" hidden="false" customHeight="false" outlineLevel="0" collapsed="false">
      <c r="A1766" s="12"/>
      <c r="B1766" s="13"/>
      <c r="C1766" s="13"/>
      <c r="D1766" s="14"/>
      <c r="E1766" s="15"/>
      <c r="F1766" s="15"/>
      <c r="G1766" s="15"/>
      <c r="H1766" s="15"/>
      <c r="I1766" s="15"/>
      <c r="J1766" s="15"/>
      <c r="K1766" s="16" t="str">
        <f aca="false">IF(A1766="","",F1766+G1766+H1766+I1766)</f>
        <v/>
      </c>
      <c r="L1766" s="17" t="str">
        <f aca="false">IF(OR(K1766="",E1766=0,E1766=""),"",K1766/E1766)</f>
        <v/>
      </c>
      <c r="M1766" s="18" t="str">
        <f aca="false">IF(OR(A1766="",E1766=""),"",E1766+ROW()/1000000)</f>
        <v/>
      </c>
    </row>
    <row r="1767" customFormat="false" ht="15" hidden="false" customHeight="false" outlineLevel="0" collapsed="false">
      <c r="A1767" s="12"/>
      <c r="B1767" s="13"/>
      <c r="C1767" s="13"/>
      <c r="D1767" s="14"/>
      <c r="E1767" s="15"/>
      <c r="F1767" s="15"/>
      <c r="G1767" s="15"/>
      <c r="H1767" s="15"/>
      <c r="I1767" s="15"/>
      <c r="J1767" s="15"/>
      <c r="K1767" s="16" t="str">
        <f aca="false">IF(A1767="","",F1767+G1767+H1767+I1767)</f>
        <v/>
      </c>
      <c r="L1767" s="17" t="str">
        <f aca="false">IF(OR(K1767="",E1767=0,E1767=""),"",K1767/E1767)</f>
        <v/>
      </c>
      <c r="M1767" s="18" t="str">
        <f aca="false">IF(OR(A1767="",E1767=""),"",E1767+ROW()/1000000)</f>
        <v/>
      </c>
    </row>
    <row r="1768" customFormat="false" ht="15" hidden="false" customHeight="false" outlineLevel="0" collapsed="false">
      <c r="A1768" s="12"/>
      <c r="B1768" s="13"/>
      <c r="C1768" s="13"/>
      <c r="D1768" s="14"/>
      <c r="E1768" s="15"/>
      <c r="F1768" s="15"/>
      <c r="G1768" s="15"/>
      <c r="H1768" s="15"/>
      <c r="I1768" s="15"/>
      <c r="J1768" s="15"/>
      <c r="K1768" s="16" t="str">
        <f aca="false">IF(A1768="","",F1768+G1768+H1768+I1768)</f>
        <v/>
      </c>
      <c r="L1768" s="17" t="str">
        <f aca="false">IF(OR(K1768="",E1768=0,E1768=""),"",K1768/E1768)</f>
        <v/>
      </c>
      <c r="M1768" s="18" t="str">
        <f aca="false">IF(OR(A1768="",E1768=""),"",E1768+ROW()/1000000)</f>
        <v/>
      </c>
    </row>
    <row r="1769" customFormat="false" ht="15" hidden="false" customHeight="false" outlineLevel="0" collapsed="false">
      <c r="A1769" s="12"/>
      <c r="B1769" s="13"/>
      <c r="C1769" s="13"/>
      <c r="D1769" s="14"/>
      <c r="E1769" s="15"/>
      <c r="F1769" s="15"/>
      <c r="G1769" s="15"/>
      <c r="H1769" s="15"/>
      <c r="I1769" s="15"/>
      <c r="J1769" s="15"/>
      <c r="K1769" s="16" t="str">
        <f aca="false">IF(A1769="","",F1769+G1769+H1769+I1769)</f>
        <v/>
      </c>
      <c r="L1769" s="17" t="str">
        <f aca="false">IF(OR(K1769="",E1769=0,E1769=""),"",K1769/E1769)</f>
        <v/>
      </c>
      <c r="M1769" s="18" t="str">
        <f aca="false">IF(OR(A1769="",E1769=""),"",E1769+ROW()/1000000)</f>
        <v/>
      </c>
    </row>
    <row r="1770" customFormat="false" ht="15" hidden="false" customHeight="false" outlineLevel="0" collapsed="false">
      <c r="A1770" s="12"/>
      <c r="B1770" s="13"/>
      <c r="C1770" s="13"/>
      <c r="D1770" s="14"/>
      <c r="E1770" s="15"/>
      <c r="F1770" s="15"/>
      <c r="G1770" s="15"/>
      <c r="H1770" s="15"/>
      <c r="I1770" s="15"/>
      <c r="J1770" s="15"/>
      <c r="K1770" s="16" t="str">
        <f aca="false">IF(A1770="","",F1770+G1770+H1770+I1770)</f>
        <v/>
      </c>
      <c r="L1770" s="17" t="str">
        <f aca="false">IF(OR(K1770="",E1770=0,E1770=""),"",K1770/E1770)</f>
        <v/>
      </c>
      <c r="M1770" s="18" t="str">
        <f aca="false">IF(OR(A1770="",E1770=""),"",E1770+ROW()/1000000)</f>
        <v/>
      </c>
    </row>
    <row r="1771" customFormat="false" ht="15" hidden="false" customHeight="false" outlineLevel="0" collapsed="false">
      <c r="A1771" s="12"/>
      <c r="B1771" s="13"/>
      <c r="C1771" s="13"/>
      <c r="D1771" s="14"/>
      <c r="E1771" s="15"/>
      <c r="F1771" s="15"/>
      <c r="G1771" s="15"/>
      <c r="H1771" s="15"/>
      <c r="I1771" s="15"/>
      <c r="J1771" s="15"/>
      <c r="K1771" s="16" t="str">
        <f aca="false">IF(A1771="","",F1771+G1771+H1771+I1771)</f>
        <v/>
      </c>
      <c r="L1771" s="17" t="str">
        <f aca="false">IF(OR(K1771="",E1771=0,E1771=""),"",K1771/E1771)</f>
        <v/>
      </c>
      <c r="M1771" s="18" t="str">
        <f aca="false">IF(OR(A1771="",E1771=""),"",E1771+ROW()/1000000)</f>
        <v/>
      </c>
    </row>
    <row r="1772" customFormat="false" ht="15" hidden="false" customHeight="false" outlineLevel="0" collapsed="false">
      <c r="A1772" s="12"/>
      <c r="B1772" s="13"/>
      <c r="C1772" s="13"/>
      <c r="D1772" s="14"/>
      <c r="E1772" s="15"/>
      <c r="F1772" s="15"/>
      <c r="G1772" s="15"/>
      <c r="H1772" s="15"/>
      <c r="I1772" s="15"/>
      <c r="J1772" s="15"/>
      <c r="K1772" s="16" t="str">
        <f aca="false">IF(A1772="","",F1772+G1772+H1772+I1772)</f>
        <v/>
      </c>
      <c r="L1772" s="17" t="str">
        <f aca="false">IF(OR(K1772="",E1772=0,E1772=""),"",K1772/E1772)</f>
        <v/>
      </c>
      <c r="M1772" s="18" t="str">
        <f aca="false">IF(OR(A1772="",E1772=""),"",E1772+ROW()/1000000)</f>
        <v/>
      </c>
    </row>
    <row r="1773" customFormat="false" ht="15" hidden="false" customHeight="false" outlineLevel="0" collapsed="false">
      <c r="A1773" s="12"/>
      <c r="B1773" s="13"/>
      <c r="C1773" s="13"/>
      <c r="D1773" s="14"/>
      <c r="E1773" s="15"/>
      <c r="F1773" s="15"/>
      <c r="G1773" s="15"/>
      <c r="H1773" s="15"/>
      <c r="I1773" s="15"/>
      <c r="J1773" s="15"/>
      <c r="K1773" s="16" t="str">
        <f aca="false">IF(A1773="","",F1773+G1773+H1773+I1773)</f>
        <v/>
      </c>
      <c r="L1773" s="17" t="str">
        <f aca="false">IF(OR(K1773="",E1773=0,E1773=""),"",K1773/E1773)</f>
        <v/>
      </c>
      <c r="M1773" s="18" t="str">
        <f aca="false">IF(OR(A1773="",E1773=""),"",E1773+ROW()/1000000)</f>
        <v/>
      </c>
    </row>
    <row r="1774" customFormat="false" ht="15" hidden="false" customHeight="false" outlineLevel="0" collapsed="false">
      <c r="A1774" s="12"/>
      <c r="B1774" s="13"/>
      <c r="C1774" s="13"/>
      <c r="D1774" s="14"/>
      <c r="E1774" s="15"/>
      <c r="F1774" s="15"/>
      <c r="G1774" s="15"/>
      <c r="H1774" s="15"/>
      <c r="I1774" s="15"/>
      <c r="J1774" s="15"/>
      <c r="K1774" s="16" t="str">
        <f aca="false">IF(A1774="","",F1774+G1774+H1774+I1774)</f>
        <v/>
      </c>
      <c r="L1774" s="17" t="str">
        <f aca="false">IF(OR(K1774="",E1774=0,E1774=""),"",K1774/E1774)</f>
        <v/>
      </c>
      <c r="M1774" s="18" t="str">
        <f aca="false">IF(OR(A1774="",E1774=""),"",E1774+ROW()/1000000)</f>
        <v/>
      </c>
    </row>
    <row r="1775" customFormat="false" ht="15" hidden="false" customHeight="false" outlineLevel="0" collapsed="false">
      <c r="A1775" s="12"/>
      <c r="B1775" s="13"/>
      <c r="C1775" s="13"/>
      <c r="D1775" s="14"/>
      <c r="E1775" s="15"/>
      <c r="F1775" s="15"/>
      <c r="G1775" s="15"/>
      <c r="H1775" s="15"/>
      <c r="I1775" s="15"/>
      <c r="J1775" s="15"/>
      <c r="K1775" s="16" t="str">
        <f aca="false">IF(A1775="","",F1775+G1775+H1775+I1775)</f>
        <v/>
      </c>
      <c r="L1775" s="17" t="str">
        <f aca="false">IF(OR(K1775="",E1775=0,E1775=""),"",K1775/E1775)</f>
        <v/>
      </c>
      <c r="M1775" s="18" t="str">
        <f aca="false">IF(OR(A1775="",E1775=""),"",E1775+ROW()/1000000)</f>
        <v/>
      </c>
    </row>
    <row r="1776" customFormat="false" ht="15" hidden="false" customHeight="false" outlineLevel="0" collapsed="false">
      <c r="A1776" s="12"/>
      <c r="B1776" s="13"/>
      <c r="C1776" s="13"/>
      <c r="D1776" s="14"/>
      <c r="E1776" s="15"/>
      <c r="F1776" s="15"/>
      <c r="G1776" s="15"/>
      <c r="H1776" s="15"/>
      <c r="I1776" s="15"/>
      <c r="J1776" s="15"/>
      <c r="K1776" s="16" t="str">
        <f aca="false">IF(A1776="","",F1776+G1776+H1776+I1776)</f>
        <v/>
      </c>
      <c r="L1776" s="17" t="str">
        <f aca="false">IF(OR(K1776="",E1776=0,E1776=""),"",K1776/E1776)</f>
        <v/>
      </c>
      <c r="M1776" s="18" t="str">
        <f aca="false">IF(OR(A1776="",E1776=""),"",E1776+ROW()/1000000)</f>
        <v/>
      </c>
    </row>
    <row r="1777" customFormat="false" ht="15" hidden="false" customHeight="false" outlineLevel="0" collapsed="false">
      <c r="A1777" s="12"/>
      <c r="B1777" s="13"/>
      <c r="C1777" s="13"/>
      <c r="D1777" s="14"/>
      <c r="E1777" s="15"/>
      <c r="F1777" s="15"/>
      <c r="G1777" s="15"/>
      <c r="H1777" s="15"/>
      <c r="I1777" s="15"/>
      <c r="J1777" s="15"/>
      <c r="K1777" s="16" t="str">
        <f aca="false">IF(A1777="","",F1777+G1777+H1777+I1777)</f>
        <v/>
      </c>
      <c r="L1777" s="17" t="str">
        <f aca="false">IF(OR(K1777="",E1777=0,E1777=""),"",K1777/E1777)</f>
        <v/>
      </c>
      <c r="M1777" s="18" t="str">
        <f aca="false">IF(OR(A1777="",E1777=""),"",E1777+ROW()/1000000)</f>
        <v/>
      </c>
    </row>
    <row r="1778" customFormat="false" ht="15" hidden="false" customHeight="false" outlineLevel="0" collapsed="false">
      <c r="A1778" s="12"/>
      <c r="B1778" s="13"/>
      <c r="C1778" s="13"/>
      <c r="D1778" s="14"/>
      <c r="E1778" s="15"/>
      <c r="F1778" s="15"/>
      <c r="G1778" s="15"/>
      <c r="H1778" s="15"/>
      <c r="I1778" s="15"/>
      <c r="J1778" s="15"/>
      <c r="K1778" s="16" t="str">
        <f aca="false">IF(A1778="","",F1778+G1778+H1778+I1778)</f>
        <v/>
      </c>
      <c r="L1778" s="17" t="str">
        <f aca="false">IF(OR(K1778="",E1778=0,E1778=""),"",K1778/E1778)</f>
        <v/>
      </c>
      <c r="M1778" s="18" t="str">
        <f aca="false">IF(OR(A1778="",E1778=""),"",E1778+ROW()/1000000)</f>
        <v/>
      </c>
    </row>
    <row r="1779" customFormat="false" ht="15" hidden="false" customHeight="false" outlineLevel="0" collapsed="false">
      <c r="A1779" s="12"/>
      <c r="B1779" s="13"/>
      <c r="C1779" s="13"/>
      <c r="D1779" s="14"/>
      <c r="E1779" s="15"/>
      <c r="F1779" s="15"/>
      <c r="G1779" s="15"/>
      <c r="H1779" s="15"/>
      <c r="I1779" s="15"/>
      <c r="J1779" s="15"/>
      <c r="K1779" s="16" t="str">
        <f aca="false">IF(A1779="","",F1779+G1779+H1779+I1779)</f>
        <v/>
      </c>
      <c r="L1779" s="17" t="str">
        <f aca="false">IF(OR(K1779="",E1779=0,E1779=""),"",K1779/E1779)</f>
        <v/>
      </c>
      <c r="M1779" s="18" t="str">
        <f aca="false">IF(OR(A1779="",E1779=""),"",E1779+ROW()/1000000)</f>
        <v/>
      </c>
    </row>
    <row r="1780" customFormat="false" ht="15" hidden="false" customHeight="false" outlineLevel="0" collapsed="false">
      <c r="A1780" s="12"/>
      <c r="B1780" s="13"/>
      <c r="C1780" s="13"/>
      <c r="D1780" s="14"/>
      <c r="E1780" s="15"/>
      <c r="F1780" s="15"/>
      <c r="G1780" s="15"/>
      <c r="H1780" s="15"/>
      <c r="I1780" s="15"/>
      <c r="J1780" s="15"/>
      <c r="K1780" s="16" t="str">
        <f aca="false">IF(A1780="","",F1780+G1780+H1780+I1780)</f>
        <v/>
      </c>
      <c r="L1780" s="17" t="str">
        <f aca="false">IF(OR(K1780="",E1780=0,E1780=""),"",K1780/E1780)</f>
        <v/>
      </c>
      <c r="M1780" s="18" t="str">
        <f aca="false">IF(OR(A1780="",E1780=""),"",E1780+ROW()/1000000)</f>
        <v/>
      </c>
    </row>
    <row r="1781" customFormat="false" ht="15" hidden="false" customHeight="false" outlineLevel="0" collapsed="false">
      <c r="A1781" s="12"/>
      <c r="B1781" s="13"/>
      <c r="C1781" s="13"/>
      <c r="D1781" s="14"/>
      <c r="E1781" s="15"/>
      <c r="F1781" s="15"/>
      <c r="G1781" s="15"/>
      <c r="H1781" s="15"/>
      <c r="I1781" s="15"/>
      <c r="J1781" s="15"/>
      <c r="K1781" s="16" t="str">
        <f aca="false">IF(A1781="","",F1781+G1781+H1781+I1781)</f>
        <v/>
      </c>
      <c r="L1781" s="17" t="str">
        <f aca="false">IF(OR(K1781="",E1781=0,E1781=""),"",K1781/E1781)</f>
        <v/>
      </c>
      <c r="M1781" s="18" t="str">
        <f aca="false">IF(OR(A1781="",E1781=""),"",E1781+ROW()/1000000)</f>
        <v/>
      </c>
    </row>
    <row r="1782" customFormat="false" ht="15" hidden="false" customHeight="false" outlineLevel="0" collapsed="false">
      <c r="A1782" s="12"/>
      <c r="B1782" s="13"/>
      <c r="C1782" s="13"/>
      <c r="D1782" s="14"/>
      <c r="E1782" s="15"/>
      <c r="F1782" s="15"/>
      <c r="G1782" s="15"/>
      <c r="H1782" s="15"/>
      <c r="I1782" s="15"/>
      <c r="J1782" s="15"/>
      <c r="K1782" s="16" t="str">
        <f aca="false">IF(A1782="","",F1782+G1782+H1782+I1782)</f>
        <v/>
      </c>
      <c r="L1782" s="17" t="str">
        <f aca="false">IF(OR(K1782="",E1782=0,E1782=""),"",K1782/E1782)</f>
        <v/>
      </c>
      <c r="M1782" s="18" t="str">
        <f aca="false">IF(OR(A1782="",E1782=""),"",E1782+ROW()/1000000)</f>
        <v/>
      </c>
    </row>
    <row r="1783" customFormat="false" ht="15" hidden="false" customHeight="false" outlineLevel="0" collapsed="false">
      <c r="A1783" s="12"/>
      <c r="B1783" s="13"/>
      <c r="C1783" s="13"/>
      <c r="D1783" s="14"/>
      <c r="E1783" s="15"/>
      <c r="F1783" s="15"/>
      <c r="G1783" s="15"/>
      <c r="H1783" s="15"/>
      <c r="I1783" s="15"/>
      <c r="J1783" s="15"/>
      <c r="K1783" s="16" t="str">
        <f aca="false">IF(A1783="","",F1783+G1783+H1783+I1783)</f>
        <v/>
      </c>
      <c r="L1783" s="17" t="str">
        <f aca="false">IF(OR(K1783="",E1783=0,E1783=""),"",K1783/E1783)</f>
        <v/>
      </c>
      <c r="M1783" s="18" t="str">
        <f aca="false">IF(OR(A1783="",E1783=""),"",E1783+ROW()/1000000)</f>
        <v/>
      </c>
    </row>
    <row r="1784" customFormat="false" ht="15" hidden="false" customHeight="false" outlineLevel="0" collapsed="false">
      <c r="A1784" s="12"/>
      <c r="B1784" s="13"/>
      <c r="C1784" s="13"/>
      <c r="D1784" s="14"/>
      <c r="E1784" s="15"/>
      <c r="F1784" s="15"/>
      <c r="G1784" s="15"/>
      <c r="H1784" s="15"/>
      <c r="I1784" s="15"/>
      <c r="J1784" s="15"/>
      <c r="K1784" s="16" t="str">
        <f aca="false">IF(A1784="","",F1784+G1784+H1784+I1784)</f>
        <v/>
      </c>
      <c r="L1784" s="17" t="str">
        <f aca="false">IF(OR(K1784="",E1784=0,E1784=""),"",K1784/E1784)</f>
        <v/>
      </c>
      <c r="M1784" s="18" t="str">
        <f aca="false">IF(OR(A1784="",E1784=""),"",E1784+ROW()/1000000)</f>
        <v/>
      </c>
    </row>
    <row r="1785" customFormat="false" ht="15" hidden="false" customHeight="false" outlineLevel="0" collapsed="false">
      <c r="A1785" s="12"/>
      <c r="B1785" s="13"/>
      <c r="C1785" s="13"/>
      <c r="D1785" s="14"/>
      <c r="E1785" s="15"/>
      <c r="F1785" s="15"/>
      <c r="G1785" s="15"/>
      <c r="H1785" s="15"/>
      <c r="I1785" s="15"/>
      <c r="J1785" s="15"/>
      <c r="K1785" s="16" t="str">
        <f aca="false">IF(A1785="","",F1785+G1785+H1785+I1785)</f>
        <v/>
      </c>
      <c r="L1785" s="17" t="str">
        <f aca="false">IF(OR(K1785="",E1785=0,E1785=""),"",K1785/E1785)</f>
        <v/>
      </c>
      <c r="M1785" s="18" t="str">
        <f aca="false">IF(OR(A1785="",E1785=""),"",E1785+ROW()/1000000)</f>
        <v/>
      </c>
    </row>
    <row r="1786" customFormat="false" ht="15" hidden="false" customHeight="false" outlineLevel="0" collapsed="false">
      <c r="A1786" s="12"/>
      <c r="B1786" s="13"/>
      <c r="C1786" s="13"/>
      <c r="D1786" s="14"/>
      <c r="E1786" s="15"/>
      <c r="F1786" s="15"/>
      <c r="G1786" s="15"/>
      <c r="H1786" s="15"/>
      <c r="I1786" s="15"/>
      <c r="J1786" s="15"/>
      <c r="K1786" s="16" t="str">
        <f aca="false">IF(A1786="","",F1786+G1786+H1786+I1786)</f>
        <v/>
      </c>
      <c r="L1786" s="17" t="str">
        <f aca="false">IF(OR(K1786="",E1786=0,E1786=""),"",K1786/E1786)</f>
        <v/>
      </c>
      <c r="M1786" s="18" t="str">
        <f aca="false">IF(OR(A1786="",E1786=""),"",E1786+ROW()/1000000)</f>
        <v/>
      </c>
    </row>
    <row r="1787" customFormat="false" ht="15" hidden="false" customHeight="false" outlineLevel="0" collapsed="false">
      <c r="A1787" s="12"/>
      <c r="B1787" s="13"/>
      <c r="C1787" s="13"/>
      <c r="D1787" s="14"/>
      <c r="E1787" s="15"/>
      <c r="F1787" s="15"/>
      <c r="G1787" s="15"/>
      <c r="H1787" s="15"/>
      <c r="I1787" s="15"/>
      <c r="J1787" s="15"/>
      <c r="K1787" s="16" t="str">
        <f aca="false">IF(A1787="","",F1787+G1787+H1787+I1787)</f>
        <v/>
      </c>
      <c r="L1787" s="17" t="str">
        <f aca="false">IF(OR(K1787="",E1787=0,E1787=""),"",K1787/E1787)</f>
        <v/>
      </c>
      <c r="M1787" s="18" t="str">
        <f aca="false">IF(OR(A1787="",E1787=""),"",E1787+ROW()/1000000)</f>
        <v/>
      </c>
    </row>
    <row r="1788" customFormat="false" ht="15" hidden="false" customHeight="false" outlineLevel="0" collapsed="false">
      <c r="A1788" s="12"/>
      <c r="B1788" s="13"/>
      <c r="C1788" s="13"/>
      <c r="D1788" s="14"/>
      <c r="E1788" s="15"/>
      <c r="F1788" s="15"/>
      <c r="G1788" s="15"/>
      <c r="H1788" s="15"/>
      <c r="I1788" s="15"/>
      <c r="J1788" s="15"/>
      <c r="K1788" s="16" t="str">
        <f aca="false">IF(A1788="","",F1788+G1788+H1788+I1788)</f>
        <v/>
      </c>
      <c r="L1788" s="17" t="str">
        <f aca="false">IF(OR(K1788="",E1788=0,E1788=""),"",K1788/E1788)</f>
        <v/>
      </c>
      <c r="M1788" s="18" t="str">
        <f aca="false">IF(OR(A1788="",E1788=""),"",E1788+ROW()/1000000)</f>
        <v/>
      </c>
    </row>
    <row r="1789" customFormat="false" ht="15" hidden="false" customHeight="false" outlineLevel="0" collapsed="false">
      <c r="A1789" s="12"/>
      <c r="B1789" s="13"/>
      <c r="C1789" s="13"/>
      <c r="D1789" s="14"/>
      <c r="E1789" s="15"/>
      <c r="F1789" s="15"/>
      <c r="G1789" s="15"/>
      <c r="H1789" s="15"/>
      <c r="I1789" s="15"/>
      <c r="J1789" s="15"/>
      <c r="K1789" s="16" t="str">
        <f aca="false">IF(A1789="","",F1789+G1789+H1789+I1789)</f>
        <v/>
      </c>
      <c r="L1789" s="17" t="str">
        <f aca="false">IF(OR(K1789="",E1789=0,E1789=""),"",K1789/E1789)</f>
        <v/>
      </c>
      <c r="M1789" s="18" t="str">
        <f aca="false">IF(OR(A1789="",E1789=""),"",E1789+ROW()/1000000)</f>
        <v/>
      </c>
    </row>
    <row r="1790" customFormat="false" ht="15" hidden="false" customHeight="false" outlineLevel="0" collapsed="false">
      <c r="A1790" s="12"/>
      <c r="B1790" s="13"/>
      <c r="C1790" s="13"/>
      <c r="D1790" s="14"/>
      <c r="E1790" s="15"/>
      <c r="F1790" s="15"/>
      <c r="G1790" s="15"/>
      <c r="H1790" s="15"/>
      <c r="I1790" s="15"/>
      <c r="J1790" s="15"/>
      <c r="K1790" s="16" t="str">
        <f aca="false">IF(A1790="","",F1790+G1790+H1790+I1790)</f>
        <v/>
      </c>
      <c r="L1790" s="17" t="str">
        <f aca="false">IF(OR(K1790="",E1790=0,E1790=""),"",K1790/E1790)</f>
        <v/>
      </c>
      <c r="M1790" s="18" t="str">
        <f aca="false">IF(OR(A1790="",E1790=""),"",E1790+ROW()/1000000)</f>
        <v/>
      </c>
    </row>
    <row r="1791" customFormat="false" ht="15" hidden="false" customHeight="false" outlineLevel="0" collapsed="false">
      <c r="A1791" s="12"/>
      <c r="B1791" s="13"/>
      <c r="C1791" s="13"/>
      <c r="D1791" s="14"/>
      <c r="E1791" s="15"/>
      <c r="F1791" s="15"/>
      <c r="G1791" s="15"/>
      <c r="H1791" s="15"/>
      <c r="I1791" s="15"/>
      <c r="J1791" s="15"/>
      <c r="K1791" s="16" t="str">
        <f aca="false">IF(A1791="","",F1791+G1791+H1791+I1791)</f>
        <v/>
      </c>
      <c r="L1791" s="17" t="str">
        <f aca="false">IF(OR(K1791="",E1791=0,E1791=""),"",K1791/E1791)</f>
        <v/>
      </c>
      <c r="M1791" s="18" t="str">
        <f aca="false">IF(OR(A1791="",E1791=""),"",E1791+ROW()/1000000)</f>
        <v/>
      </c>
    </row>
    <row r="1792" customFormat="false" ht="15" hidden="false" customHeight="false" outlineLevel="0" collapsed="false">
      <c r="A1792" s="12"/>
      <c r="B1792" s="13"/>
      <c r="C1792" s="13"/>
      <c r="D1792" s="14"/>
      <c r="E1792" s="15"/>
      <c r="F1792" s="15"/>
      <c r="G1792" s="15"/>
      <c r="H1792" s="15"/>
      <c r="I1792" s="15"/>
      <c r="J1792" s="15"/>
      <c r="K1792" s="16" t="str">
        <f aca="false">IF(A1792="","",F1792+G1792+H1792+I1792)</f>
        <v/>
      </c>
      <c r="L1792" s="17" t="str">
        <f aca="false">IF(OR(K1792="",E1792=0,E1792=""),"",K1792/E1792)</f>
        <v/>
      </c>
      <c r="M1792" s="18" t="str">
        <f aca="false">IF(OR(A1792="",E1792=""),"",E1792+ROW()/1000000)</f>
        <v/>
      </c>
    </row>
    <row r="1793" customFormat="false" ht="15" hidden="false" customHeight="false" outlineLevel="0" collapsed="false">
      <c r="A1793" s="12"/>
      <c r="B1793" s="13"/>
      <c r="C1793" s="13"/>
      <c r="D1793" s="14"/>
      <c r="E1793" s="15"/>
      <c r="F1793" s="15"/>
      <c r="G1793" s="15"/>
      <c r="H1793" s="15"/>
      <c r="I1793" s="15"/>
      <c r="J1793" s="15"/>
      <c r="K1793" s="16" t="str">
        <f aca="false">IF(A1793="","",F1793+G1793+H1793+I1793)</f>
        <v/>
      </c>
      <c r="L1793" s="17" t="str">
        <f aca="false">IF(OR(K1793="",E1793=0,E1793=""),"",K1793/E1793)</f>
        <v/>
      </c>
      <c r="M1793" s="18" t="str">
        <f aca="false">IF(OR(A1793="",E1793=""),"",E1793+ROW()/1000000)</f>
        <v/>
      </c>
    </row>
    <row r="1794" customFormat="false" ht="15" hidden="false" customHeight="false" outlineLevel="0" collapsed="false">
      <c r="A1794" s="12"/>
      <c r="B1794" s="13"/>
      <c r="C1794" s="13"/>
      <c r="D1794" s="14"/>
      <c r="E1794" s="15"/>
      <c r="F1794" s="15"/>
      <c r="G1794" s="15"/>
      <c r="H1794" s="15"/>
      <c r="I1794" s="15"/>
      <c r="J1794" s="15"/>
      <c r="K1794" s="16" t="str">
        <f aca="false">IF(A1794="","",F1794+G1794+H1794+I1794)</f>
        <v/>
      </c>
      <c r="L1794" s="17" t="str">
        <f aca="false">IF(OR(K1794="",E1794=0,E1794=""),"",K1794/E1794)</f>
        <v/>
      </c>
      <c r="M1794" s="18" t="str">
        <f aca="false">IF(OR(A1794="",E1794=""),"",E1794+ROW()/1000000)</f>
        <v/>
      </c>
    </row>
    <row r="1795" customFormat="false" ht="15" hidden="false" customHeight="false" outlineLevel="0" collapsed="false">
      <c r="A1795" s="12"/>
      <c r="B1795" s="13"/>
      <c r="C1795" s="13"/>
      <c r="D1795" s="14"/>
      <c r="E1795" s="15"/>
      <c r="F1795" s="15"/>
      <c r="G1795" s="15"/>
      <c r="H1795" s="15"/>
      <c r="I1795" s="15"/>
      <c r="J1795" s="15"/>
      <c r="K1795" s="16" t="str">
        <f aca="false">IF(A1795="","",F1795+G1795+H1795+I1795)</f>
        <v/>
      </c>
      <c r="L1795" s="17" t="str">
        <f aca="false">IF(OR(K1795="",E1795=0,E1795=""),"",K1795/E1795)</f>
        <v/>
      </c>
      <c r="M1795" s="18" t="str">
        <f aca="false">IF(OR(A1795="",E1795=""),"",E1795+ROW()/1000000)</f>
        <v/>
      </c>
    </row>
    <row r="1796" customFormat="false" ht="15" hidden="false" customHeight="false" outlineLevel="0" collapsed="false">
      <c r="A1796" s="12"/>
      <c r="B1796" s="13"/>
      <c r="C1796" s="13"/>
      <c r="D1796" s="14"/>
      <c r="E1796" s="15"/>
      <c r="F1796" s="15"/>
      <c r="G1796" s="15"/>
      <c r="H1796" s="15"/>
      <c r="I1796" s="15"/>
      <c r="J1796" s="15"/>
      <c r="K1796" s="16" t="str">
        <f aca="false">IF(A1796="","",F1796+G1796+H1796+I1796)</f>
        <v/>
      </c>
      <c r="L1796" s="17" t="str">
        <f aca="false">IF(OR(K1796="",E1796=0,E1796=""),"",K1796/E1796)</f>
        <v/>
      </c>
      <c r="M1796" s="18" t="str">
        <f aca="false">IF(OR(A1796="",E1796=""),"",E1796+ROW()/1000000)</f>
        <v/>
      </c>
    </row>
    <row r="1797" customFormat="false" ht="15" hidden="false" customHeight="false" outlineLevel="0" collapsed="false">
      <c r="A1797" s="12"/>
      <c r="B1797" s="13"/>
      <c r="C1797" s="13"/>
      <c r="D1797" s="14"/>
      <c r="E1797" s="15"/>
      <c r="F1797" s="15"/>
      <c r="G1797" s="15"/>
      <c r="H1797" s="15"/>
      <c r="I1797" s="15"/>
      <c r="J1797" s="15"/>
      <c r="K1797" s="16" t="str">
        <f aca="false">IF(A1797="","",F1797+G1797+H1797+I1797)</f>
        <v/>
      </c>
      <c r="L1797" s="17" t="str">
        <f aca="false">IF(OR(K1797="",E1797=0,E1797=""),"",K1797/E1797)</f>
        <v/>
      </c>
      <c r="M1797" s="18" t="str">
        <f aca="false">IF(OR(A1797="",E1797=""),"",E1797+ROW()/1000000)</f>
        <v/>
      </c>
    </row>
    <row r="1798" customFormat="false" ht="15" hidden="false" customHeight="false" outlineLevel="0" collapsed="false">
      <c r="A1798" s="12"/>
      <c r="B1798" s="13"/>
      <c r="C1798" s="13"/>
      <c r="D1798" s="14"/>
      <c r="E1798" s="15"/>
      <c r="F1798" s="15"/>
      <c r="G1798" s="15"/>
      <c r="H1798" s="15"/>
      <c r="I1798" s="15"/>
      <c r="J1798" s="15"/>
      <c r="K1798" s="16" t="str">
        <f aca="false">IF(A1798="","",F1798+G1798+H1798+I1798)</f>
        <v/>
      </c>
      <c r="L1798" s="17" t="str">
        <f aca="false">IF(OR(K1798="",E1798=0,E1798=""),"",K1798/E1798)</f>
        <v/>
      </c>
      <c r="M1798" s="18" t="str">
        <f aca="false">IF(OR(A1798="",E1798=""),"",E1798+ROW()/1000000)</f>
        <v/>
      </c>
    </row>
    <row r="1799" customFormat="false" ht="15" hidden="false" customHeight="false" outlineLevel="0" collapsed="false">
      <c r="A1799" s="12"/>
      <c r="B1799" s="13"/>
      <c r="C1799" s="13"/>
      <c r="D1799" s="14"/>
      <c r="E1799" s="15"/>
      <c r="F1799" s="15"/>
      <c r="G1799" s="15"/>
      <c r="H1799" s="15"/>
      <c r="I1799" s="15"/>
      <c r="J1799" s="15"/>
      <c r="K1799" s="16" t="str">
        <f aca="false">IF(A1799="","",F1799+G1799+H1799+I1799)</f>
        <v/>
      </c>
      <c r="L1799" s="17" t="str">
        <f aca="false">IF(OR(K1799="",E1799=0,E1799=""),"",K1799/E1799)</f>
        <v/>
      </c>
      <c r="M1799" s="18" t="str">
        <f aca="false">IF(OR(A1799="",E1799=""),"",E1799+ROW()/1000000)</f>
        <v/>
      </c>
    </row>
    <row r="1800" customFormat="false" ht="15" hidden="false" customHeight="false" outlineLevel="0" collapsed="false">
      <c r="A1800" s="12"/>
      <c r="B1800" s="13"/>
      <c r="C1800" s="13"/>
      <c r="D1800" s="14"/>
      <c r="E1800" s="15"/>
      <c r="F1800" s="15"/>
      <c r="G1800" s="15"/>
      <c r="H1800" s="15"/>
      <c r="I1800" s="15"/>
      <c r="J1800" s="15"/>
      <c r="K1800" s="16" t="str">
        <f aca="false">IF(A1800="","",F1800+G1800+H1800+I1800)</f>
        <v/>
      </c>
      <c r="L1800" s="17" t="str">
        <f aca="false">IF(OR(K1800="",E1800=0,E1800=""),"",K1800/E1800)</f>
        <v/>
      </c>
      <c r="M1800" s="18" t="str">
        <f aca="false">IF(OR(A1800="",E1800=""),"",E1800+ROW()/1000000)</f>
        <v/>
      </c>
    </row>
    <row r="1801" customFormat="false" ht="15" hidden="false" customHeight="false" outlineLevel="0" collapsed="false">
      <c r="A1801" s="12"/>
      <c r="B1801" s="13"/>
      <c r="C1801" s="13"/>
      <c r="D1801" s="14"/>
      <c r="E1801" s="15"/>
      <c r="F1801" s="15"/>
      <c r="G1801" s="15"/>
      <c r="H1801" s="15"/>
      <c r="I1801" s="15"/>
      <c r="J1801" s="15"/>
      <c r="K1801" s="16" t="str">
        <f aca="false">IF(A1801="","",F1801+G1801+H1801+I1801)</f>
        <v/>
      </c>
      <c r="L1801" s="17" t="str">
        <f aca="false">IF(OR(K1801="",E1801=0,E1801=""),"",K1801/E1801)</f>
        <v/>
      </c>
      <c r="M1801" s="18" t="str">
        <f aca="false">IF(OR(A1801="",E1801=""),"",E1801+ROW()/1000000)</f>
        <v/>
      </c>
    </row>
    <row r="1802" customFormat="false" ht="15" hidden="false" customHeight="false" outlineLevel="0" collapsed="false">
      <c r="A1802" s="12"/>
      <c r="B1802" s="13"/>
      <c r="C1802" s="13"/>
      <c r="D1802" s="14"/>
      <c r="E1802" s="15"/>
      <c r="F1802" s="15"/>
      <c r="G1802" s="15"/>
      <c r="H1802" s="15"/>
      <c r="I1802" s="15"/>
      <c r="J1802" s="15"/>
      <c r="K1802" s="16" t="str">
        <f aca="false">IF(A1802="","",F1802+G1802+H1802+I1802)</f>
        <v/>
      </c>
      <c r="L1802" s="17" t="str">
        <f aca="false">IF(OR(K1802="",E1802=0,E1802=""),"",K1802/E1802)</f>
        <v/>
      </c>
      <c r="M1802" s="18" t="str">
        <f aca="false">IF(OR(A1802="",E1802=""),"",E1802+ROW()/1000000)</f>
        <v/>
      </c>
    </row>
    <row r="1803" customFormat="false" ht="15" hidden="false" customHeight="false" outlineLevel="0" collapsed="false">
      <c r="A1803" s="12"/>
      <c r="B1803" s="13"/>
      <c r="C1803" s="13"/>
      <c r="D1803" s="14"/>
      <c r="E1803" s="15"/>
      <c r="F1803" s="15"/>
      <c r="G1803" s="15"/>
      <c r="H1803" s="15"/>
      <c r="I1803" s="15"/>
      <c r="J1803" s="15"/>
      <c r="K1803" s="16" t="str">
        <f aca="false">IF(A1803="","",F1803+G1803+H1803+I1803)</f>
        <v/>
      </c>
      <c r="L1803" s="17" t="str">
        <f aca="false">IF(OR(K1803="",E1803=0,E1803=""),"",K1803/E1803)</f>
        <v/>
      </c>
      <c r="M1803" s="18" t="str">
        <f aca="false">IF(OR(A1803="",E1803=""),"",E1803+ROW()/1000000)</f>
        <v/>
      </c>
    </row>
    <row r="1804" customFormat="false" ht="15" hidden="false" customHeight="false" outlineLevel="0" collapsed="false">
      <c r="A1804" s="12"/>
      <c r="B1804" s="13"/>
      <c r="C1804" s="13"/>
      <c r="D1804" s="14"/>
      <c r="E1804" s="15"/>
      <c r="F1804" s="15"/>
      <c r="G1804" s="15"/>
      <c r="H1804" s="15"/>
      <c r="I1804" s="15"/>
      <c r="J1804" s="15"/>
      <c r="K1804" s="16" t="str">
        <f aca="false">IF(A1804="","",F1804+G1804+H1804+I1804)</f>
        <v/>
      </c>
      <c r="L1804" s="17" t="str">
        <f aca="false">IF(OR(K1804="",E1804=0,E1804=""),"",K1804/E1804)</f>
        <v/>
      </c>
      <c r="M1804" s="18" t="str">
        <f aca="false">IF(OR(A1804="",E1804=""),"",E1804+ROW()/1000000)</f>
        <v/>
      </c>
    </row>
    <row r="1805" customFormat="false" ht="15" hidden="false" customHeight="false" outlineLevel="0" collapsed="false">
      <c r="A1805" s="12"/>
      <c r="B1805" s="13"/>
      <c r="C1805" s="13"/>
      <c r="D1805" s="14"/>
      <c r="E1805" s="15"/>
      <c r="F1805" s="15"/>
      <c r="G1805" s="15"/>
      <c r="H1805" s="15"/>
      <c r="I1805" s="15"/>
      <c r="J1805" s="15"/>
      <c r="K1805" s="16" t="str">
        <f aca="false">IF(A1805="","",F1805+G1805+H1805+I1805)</f>
        <v/>
      </c>
      <c r="L1805" s="17" t="str">
        <f aca="false">IF(OR(K1805="",E1805=0,E1805=""),"",K1805/E1805)</f>
        <v/>
      </c>
      <c r="M1805" s="18" t="str">
        <f aca="false">IF(OR(A1805="",E1805=""),"",E1805+ROW()/1000000)</f>
        <v/>
      </c>
    </row>
    <row r="1806" customFormat="false" ht="15" hidden="false" customHeight="false" outlineLevel="0" collapsed="false">
      <c r="A1806" s="12"/>
      <c r="B1806" s="13"/>
      <c r="C1806" s="13"/>
      <c r="D1806" s="14"/>
      <c r="E1806" s="15"/>
      <c r="F1806" s="15"/>
      <c r="G1806" s="15"/>
      <c r="H1806" s="15"/>
      <c r="I1806" s="15"/>
      <c r="J1806" s="15"/>
      <c r="K1806" s="16" t="str">
        <f aca="false">IF(A1806="","",F1806+G1806+H1806+I1806)</f>
        <v/>
      </c>
      <c r="L1806" s="17" t="str">
        <f aca="false">IF(OR(K1806="",E1806=0,E1806=""),"",K1806/E1806)</f>
        <v/>
      </c>
      <c r="M1806" s="18" t="str">
        <f aca="false">IF(OR(A1806="",E1806=""),"",E1806+ROW()/1000000)</f>
        <v/>
      </c>
    </row>
    <row r="1807" customFormat="false" ht="15" hidden="false" customHeight="false" outlineLevel="0" collapsed="false">
      <c r="A1807" s="12"/>
      <c r="B1807" s="13"/>
      <c r="C1807" s="13"/>
      <c r="D1807" s="14"/>
      <c r="E1807" s="15"/>
      <c r="F1807" s="15"/>
      <c r="G1807" s="15"/>
      <c r="H1807" s="15"/>
      <c r="I1807" s="15"/>
      <c r="J1807" s="15"/>
      <c r="K1807" s="16" t="str">
        <f aca="false">IF(A1807="","",F1807+G1807+H1807+I1807)</f>
        <v/>
      </c>
      <c r="L1807" s="17" t="str">
        <f aca="false">IF(OR(K1807="",E1807=0,E1807=""),"",K1807/E1807)</f>
        <v/>
      </c>
      <c r="M1807" s="18" t="str">
        <f aca="false">IF(OR(A1807="",E1807=""),"",E1807+ROW()/1000000)</f>
        <v/>
      </c>
    </row>
    <row r="1808" customFormat="false" ht="15" hidden="false" customHeight="false" outlineLevel="0" collapsed="false">
      <c r="A1808" s="12"/>
      <c r="B1808" s="13"/>
      <c r="C1808" s="13"/>
      <c r="D1808" s="14"/>
      <c r="E1808" s="15"/>
      <c r="F1808" s="15"/>
      <c r="G1808" s="15"/>
      <c r="H1808" s="15"/>
      <c r="I1808" s="15"/>
      <c r="J1808" s="15"/>
      <c r="K1808" s="16" t="str">
        <f aca="false">IF(A1808="","",F1808+G1808+H1808+I1808)</f>
        <v/>
      </c>
      <c r="L1808" s="17" t="str">
        <f aca="false">IF(OR(K1808="",E1808=0,E1808=""),"",K1808/E1808)</f>
        <v/>
      </c>
      <c r="M1808" s="18" t="str">
        <f aca="false">IF(OR(A1808="",E1808=""),"",E1808+ROW()/1000000)</f>
        <v/>
      </c>
    </row>
    <row r="1809" customFormat="false" ht="15" hidden="false" customHeight="false" outlineLevel="0" collapsed="false">
      <c r="A1809" s="12"/>
      <c r="B1809" s="13"/>
      <c r="C1809" s="13"/>
      <c r="D1809" s="14"/>
      <c r="E1809" s="15"/>
      <c r="F1809" s="15"/>
      <c r="G1809" s="15"/>
      <c r="H1809" s="15"/>
      <c r="I1809" s="15"/>
      <c r="J1809" s="15"/>
      <c r="K1809" s="16" t="str">
        <f aca="false">IF(A1809="","",F1809+G1809+H1809+I1809)</f>
        <v/>
      </c>
      <c r="L1809" s="17" t="str">
        <f aca="false">IF(OR(K1809="",E1809=0,E1809=""),"",K1809/E1809)</f>
        <v/>
      </c>
      <c r="M1809" s="18" t="str">
        <f aca="false">IF(OR(A1809="",E1809=""),"",E1809+ROW()/1000000)</f>
        <v/>
      </c>
    </row>
    <row r="1810" customFormat="false" ht="15" hidden="false" customHeight="false" outlineLevel="0" collapsed="false">
      <c r="A1810" s="12"/>
      <c r="B1810" s="13"/>
      <c r="C1810" s="13"/>
      <c r="D1810" s="14"/>
      <c r="E1810" s="15"/>
      <c r="F1810" s="15"/>
      <c r="G1810" s="15"/>
      <c r="H1810" s="15"/>
      <c r="I1810" s="15"/>
      <c r="J1810" s="15"/>
      <c r="K1810" s="16" t="str">
        <f aca="false">IF(A1810="","",F1810+G1810+H1810+I1810)</f>
        <v/>
      </c>
      <c r="L1810" s="17" t="str">
        <f aca="false">IF(OR(K1810="",E1810=0,E1810=""),"",K1810/E1810)</f>
        <v/>
      </c>
      <c r="M1810" s="18" t="str">
        <f aca="false">IF(OR(A1810="",E1810=""),"",E1810+ROW()/1000000)</f>
        <v/>
      </c>
    </row>
    <row r="1811" customFormat="false" ht="15" hidden="false" customHeight="false" outlineLevel="0" collapsed="false">
      <c r="A1811" s="12"/>
      <c r="B1811" s="13"/>
      <c r="C1811" s="13"/>
      <c r="D1811" s="14"/>
      <c r="E1811" s="15"/>
      <c r="F1811" s="15"/>
      <c r="G1811" s="15"/>
      <c r="H1811" s="15"/>
      <c r="I1811" s="15"/>
      <c r="J1811" s="15"/>
      <c r="K1811" s="16" t="str">
        <f aca="false">IF(A1811="","",F1811+G1811+H1811+I1811)</f>
        <v/>
      </c>
      <c r="L1811" s="17" t="str">
        <f aca="false">IF(OR(K1811="",E1811=0,E1811=""),"",K1811/E1811)</f>
        <v/>
      </c>
      <c r="M1811" s="18" t="str">
        <f aca="false">IF(OR(A1811="",E1811=""),"",E1811+ROW()/1000000)</f>
        <v/>
      </c>
    </row>
    <row r="1812" customFormat="false" ht="15" hidden="false" customHeight="false" outlineLevel="0" collapsed="false">
      <c r="A1812" s="12"/>
      <c r="B1812" s="13"/>
      <c r="C1812" s="13"/>
      <c r="D1812" s="14"/>
      <c r="E1812" s="15"/>
      <c r="F1812" s="15"/>
      <c r="G1812" s="15"/>
      <c r="H1812" s="15"/>
      <c r="I1812" s="15"/>
      <c r="J1812" s="15"/>
      <c r="K1812" s="16" t="str">
        <f aca="false">IF(A1812="","",F1812+G1812+H1812+I1812)</f>
        <v/>
      </c>
      <c r="L1812" s="17" t="str">
        <f aca="false">IF(OR(K1812="",E1812=0,E1812=""),"",K1812/E1812)</f>
        <v/>
      </c>
      <c r="M1812" s="18" t="str">
        <f aca="false">IF(OR(A1812="",E1812=""),"",E1812+ROW()/1000000)</f>
        <v/>
      </c>
    </row>
    <row r="1813" customFormat="false" ht="15" hidden="false" customHeight="false" outlineLevel="0" collapsed="false">
      <c r="A1813" s="12"/>
      <c r="B1813" s="13"/>
      <c r="C1813" s="13"/>
      <c r="D1813" s="14"/>
      <c r="E1813" s="15"/>
      <c r="F1813" s="15"/>
      <c r="G1813" s="15"/>
      <c r="H1813" s="15"/>
      <c r="I1813" s="15"/>
      <c r="J1813" s="15"/>
      <c r="K1813" s="16" t="str">
        <f aca="false">IF(A1813="","",F1813+G1813+H1813+I1813)</f>
        <v/>
      </c>
      <c r="L1813" s="17" t="str">
        <f aca="false">IF(OR(K1813="",E1813=0,E1813=""),"",K1813/E1813)</f>
        <v/>
      </c>
      <c r="M1813" s="18" t="str">
        <f aca="false">IF(OR(A1813="",E1813=""),"",E1813+ROW()/1000000)</f>
        <v/>
      </c>
    </row>
    <row r="1814" customFormat="false" ht="15" hidden="false" customHeight="false" outlineLevel="0" collapsed="false">
      <c r="A1814" s="12"/>
      <c r="B1814" s="13"/>
      <c r="C1814" s="13"/>
      <c r="D1814" s="14"/>
      <c r="E1814" s="15"/>
      <c r="F1814" s="15"/>
      <c r="G1814" s="15"/>
      <c r="H1814" s="15"/>
      <c r="I1814" s="15"/>
      <c r="J1814" s="15"/>
      <c r="K1814" s="16" t="str">
        <f aca="false">IF(A1814="","",F1814+G1814+H1814+I1814)</f>
        <v/>
      </c>
      <c r="L1814" s="17" t="str">
        <f aca="false">IF(OR(K1814="",E1814=0,E1814=""),"",K1814/E1814)</f>
        <v/>
      </c>
      <c r="M1814" s="18" t="str">
        <f aca="false">IF(OR(A1814="",E1814=""),"",E1814+ROW()/1000000)</f>
        <v/>
      </c>
    </row>
    <row r="1815" customFormat="false" ht="15" hidden="false" customHeight="false" outlineLevel="0" collapsed="false">
      <c r="A1815" s="12"/>
      <c r="B1815" s="13"/>
      <c r="C1815" s="13"/>
      <c r="D1815" s="14"/>
      <c r="E1815" s="15"/>
      <c r="F1815" s="15"/>
      <c r="G1815" s="15"/>
      <c r="H1815" s="15"/>
      <c r="I1815" s="15"/>
      <c r="J1815" s="15"/>
      <c r="K1815" s="16" t="str">
        <f aca="false">IF(A1815="","",F1815+G1815+H1815+I1815)</f>
        <v/>
      </c>
      <c r="L1815" s="17" t="str">
        <f aca="false">IF(OR(K1815="",E1815=0,E1815=""),"",K1815/E1815)</f>
        <v/>
      </c>
      <c r="M1815" s="18" t="str">
        <f aca="false">IF(OR(A1815="",E1815=""),"",E1815+ROW()/1000000)</f>
        <v/>
      </c>
    </row>
    <row r="1816" customFormat="false" ht="15" hidden="false" customHeight="false" outlineLevel="0" collapsed="false">
      <c r="A1816" s="12"/>
      <c r="B1816" s="13"/>
      <c r="C1816" s="13"/>
      <c r="D1816" s="14"/>
      <c r="E1816" s="15"/>
      <c r="F1816" s="15"/>
      <c r="G1816" s="15"/>
      <c r="H1816" s="15"/>
      <c r="I1816" s="15"/>
      <c r="J1816" s="15"/>
      <c r="K1816" s="16" t="str">
        <f aca="false">IF(A1816="","",F1816+G1816+H1816+I1816)</f>
        <v/>
      </c>
      <c r="L1816" s="17" t="str">
        <f aca="false">IF(OR(K1816="",E1816=0,E1816=""),"",K1816/E1816)</f>
        <v/>
      </c>
      <c r="M1816" s="18" t="str">
        <f aca="false">IF(OR(A1816="",E1816=""),"",E1816+ROW()/1000000)</f>
        <v/>
      </c>
    </row>
    <row r="1817" customFormat="false" ht="15" hidden="false" customHeight="false" outlineLevel="0" collapsed="false">
      <c r="A1817" s="12"/>
      <c r="B1817" s="13"/>
      <c r="C1817" s="13"/>
      <c r="D1817" s="14"/>
      <c r="E1817" s="15"/>
      <c r="F1817" s="15"/>
      <c r="G1817" s="15"/>
      <c r="H1817" s="15"/>
      <c r="I1817" s="15"/>
      <c r="J1817" s="15"/>
      <c r="K1817" s="16" t="str">
        <f aca="false">IF(A1817="","",F1817+G1817+H1817+I1817)</f>
        <v/>
      </c>
      <c r="L1817" s="17" t="str">
        <f aca="false">IF(OR(K1817="",E1817=0,E1817=""),"",K1817/E1817)</f>
        <v/>
      </c>
      <c r="M1817" s="18" t="str">
        <f aca="false">IF(OR(A1817="",E1817=""),"",E1817+ROW()/1000000)</f>
        <v/>
      </c>
    </row>
    <row r="1818" customFormat="false" ht="15" hidden="false" customHeight="false" outlineLevel="0" collapsed="false">
      <c r="A1818" s="12"/>
      <c r="B1818" s="13"/>
      <c r="C1818" s="13"/>
      <c r="D1818" s="14"/>
      <c r="E1818" s="15"/>
      <c r="F1818" s="15"/>
      <c r="G1818" s="15"/>
      <c r="H1818" s="15"/>
      <c r="I1818" s="15"/>
      <c r="J1818" s="15"/>
      <c r="K1818" s="16" t="str">
        <f aca="false">IF(A1818="","",F1818+G1818+H1818+I1818)</f>
        <v/>
      </c>
      <c r="L1818" s="17" t="str">
        <f aca="false">IF(OR(K1818="",E1818=0,E1818=""),"",K1818/E1818)</f>
        <v/>
      </c>
      <c r="M1818" s="18" t="str">
        <f aca="false">IF(OR(A1818="",E1818=""),"",E1818+ROW()/1000000)</f>
        <v/>
      </c>
    </row>
    <row r="1819" customFormat="false" ht="15" hidden="false" customHeight="false" outlineLevel="0" collapsed="false">
      <c r="A1819" s="12"/>
      <c r="B1819" s="13"/>
      <c r="C1819" s="13"/>
      <c r="D1819" s="14"/>
      <c r="E1819" s="15"/>
      <c r="F1819" s="15"/>
      <c r="G1819" s="15"/>
      <c r="H1819" s="15"/>
      <c r="I1819" s="15"/>
      <c r="J1819" s="15"/>
      <c r="K1819" s="16" t="str">
        <f aca="false">IF(A1819="","",F1819+G1819+H1819+I1819)</f>
        <v/>
      </c>
      <c r="L1819" s="17" t="str">
        <f aca="false">IF(OR(K1819="",E1819=0,E1819=""),"",K1819/E1819)</f>
        <v/>
      </c>
      <c r="M1819" s="18" t="str">
        <f aca="false">IF(OR(A1819="",E1819=""),"",E1819+ROW()/1000000)</f>
        <v/>
      </c>
    </row>
    <row r="1820" customFormat="false" ht="15" hidden="false" customHeight="false" outlineLevel="0" collapsed="false">
      <c r="A1820" s="12"/>
      <c r="B1820" s="13"/>
      <c r="C1820" s="13"/>
      <c r="D1820" s="14"/>
      <c r="E1820" s="15"/>
      <c r="F1820" s="15"/>
      <c r="G1820" s="15"/>
      <c r="H1820" s="15"/>
      <c r="I1820" s="15"/>
      <c r="J1820" s="15"/>
      <c r="K1820" s="16" t="str">
        <f aca="false">IF(A1820="","",F1820+G1820+H1820+I1820)</f>
        <v/>
      </c>
      <c r="L1820" s="17" t="str">
        <f aca="false">IF(OR(K1820="",E1820=0,E1820=""),"",K1820/E1820)</f>
        <v/>
      </c>
      <c r="M1820" s="18" t="str">
        <f aca="false">IF(OR(A1820="",E1820=""),"",E1820+ROW()/1000000)</f>
        <v/>
      </c>
    </row>
    <row r="1821" customFormat="false" ht="15" hidden="false" customHeight="false" outlineLevel="0" collapsed="false">
      <c r="A1821" s="12"/>
      <c r="B1821" s="13"/>
      <c r="C1821" s="13"/>
      <c r="D1821" s="14"/>
      <c r="E1821" s="15"/>
      <c r="F1821" s="15"/>
      <c r="G1821" s="15"/>
      <c r="H1821" s="15"/>
      <c r="I1821" s="15"/>
      <c r="J1821" s="15"/>
      <c r="K1821" s="16" t="str">
        <f aca="false">IF(A1821="","",F1821+G1821+H1821+I1821)</f>
        <v/>
      </c>
      <c r="L1821" s="17" t="str">
        <f aca="false">IF(OR(K1821="",E1821=0,E1821=""),"",K1821/E1821)</f>
        <v/>
      </c>
      <c r="M1821" s="18" t="str">
        <f aca="false">IF(OR(A1821="",E1821=""),"",E1821+ROW()/1000000)</f>
        <v/>
      </c>
    </row>
    <row r="1822" customFormat="false" ht="15" hidden="false" customHeight="false" outlineLevel="0" collapsed="false">
      <c r="A1822" s="12"/>
      <c r="B1822" s="13"/>
      <c r="C1822" s="13"/>
      <c r="D1822" s="14"/>
      <c r="E1822" s="15"/>
      <c r="F1822" s="15"/>
      <c r="G1822" s="15"/>
      <c r="H1822" s="15"/>
      <c r="I1822" s="15"/>
      <c r="J1822" s="15"/>
      <c r="K1822" s="16" t="str">
        <f aca="false">IF(A1822="","",F1822+G1822+H1822+I1822)</f>
        <v/>
      </c>
      <c r="L1822" s="17" t="str">
        <f aca="false">IF(OR(K1822="",E1822=0,E1822=""),"",K1822/E1822)</f>
        <v/>
      </c>
      <c r="M1822" s="18" t="str">
        <f aca="false">IF(OR(A1822="",E1822=""),"",E1822+ROW()/1000000)</f>
        <v/>
      </c>
    </row>
    <row r="1823" customFormat="false" ht="15" hidden="false" customHeight="false" outlineLevel="0" collapsed="false">
      <c r="A1823" s="12"/>
      <c r="B1823" s="13"/>
      <c r="C1823" s="13"/>
      <c r="D1823" s="14"/>
      <c r="E1823" s="15"/>
      <c r="F1823" s="15"/>
      <c r="G1823" s="15"/>
      <c r="H1823" s="15"/>
      <c r="I1823" s="15"/>
      <c r="J1823" s="15"/>
      <c r="K1823" s="16" t="str">
        <f aca="false">IF(A1823="","",F1823+G1823+H1823+I1823)</f>
        <v/>
      </c>
      <c r="L1823" s="17" t="str">
        <f aca="false">IF(OR(K1823="",E1823=0,E1823=""),"",K1823/E1823)</f>
        <v/>
      </c>
      <c r="M1823" s="18" t="str">
        <f aca="false">IF(OR(A1823="",E1823=""),"",E1823+ROW()/1000000)</f>
        <v/>
      </c>
    </row>
    <row r="1824" customFormat="false" ht="15" hidden="false" customHeight="false" outlineLevel="0" collapsed="false">
      <c r="A1824" s="12"/>
      <c r="B1824" s="13"/>
      <c r="C1824" s="13"/>
      <c r="D1824" s="14"/>
      <c r="E1824" s="15"/>
      <c r="F1824" s="15"/>
      <c r="G1824" s="15"/>
      <c r="H1824" s="15"/>
      <c r="I1824" s="15"/>
      <c r="J1824" s="15"/>
      <c r="K1824" s="16" t="str">
        <f aca="false">IF(A1824="","",F1824+G1824+H1824+I1824)</f>
        <v/>
      </c>
      <c r="L1824" s="17" t="str">
        <f aca="false">IF(OR(K1824="",E1824=0,E1824=""),"",K1824/E1824)</f>
        <v/>
      </c>
      <c r="M1824" s="18" t="str">
        <f aca="false">IF(OR(A1824="",E1824=""),"",E1824+ROW()/1000000)</f>
        <v/>
      </c>
    </row>
    <row r="1825" customFormat="false" ht="15" hidden="false" customHeight="false" outlineLevel="0" collapsed="false">
      <c r="A1825" s="12"/>
      <c r="B1825" s="13"/>
      <c r="C1825" s="13"/>
      <c r="D1825" s="14"/>
      <c r="E1825" s="15"/>
      <c r="F1825" s="15"/>
      <c r="G1825" s="15"/>
      <c r="H1825" s="15"/>
      <c r="I1825" s="15"/>
      <c r="J1825" s="15"/>
      <c r="K1825" s="16" t="str">
        <f aca="false">IF(A1825="","",F1825+G1825+H1825+I1825)</f>
        <v/>
      </c>
      <c r="L1825" s="17" t="str">
        <f aca="false">IF(OR(K1825="",E1825=0,E1825=""),"",K1825/E1825)</f>
        <v/>
      </c>
      <c r="M1825" s="18" t="str">
        <f aca="false">IF(OR(A1825="",E1825=""),"",E1825+ROW()/1000000)</f>
        <v/>
      </c>
    </row>
    <row r="1826" customFormat="false" ht="15" hidden="false" customHeight="false" outlineLevel="0" collapsed="false">
      <c r="A1826" s="12"/>
      <c r="B1826" s="13"/>
      <c r="C1826" s="13"/>
      <c r="D1826" s="14"/>
      <c r="E1826" s="15"/>
      <c r="F1826" s="15"/>
      <c r="G1826" s="15"/>
      <c r="H1826" s="15"/>
      <c r="I1826" s="15"/>
      <c r="J1826" s="15"/>
      <c r="K1826" s="16" t="str">
        <f aca="false">IF(A1826="","",F1826+G1826+H1826+I1826)</f>
        <v/>
      </c>
      <c r="L1826" s="17" t="str">
        <f aca="false">IF(OR(K1826="",E1826=0,E1826=""),"",K1826/E1826)</f>
        <v/>
      </c>
      <c r="M1826" s="18" t="str">
        <f aca="false">IF(OR(A1826="",E1826=""),"",E1826+ROW()/1000000)</f>
        <v/>
      </c>
    </row>
    <row r="1827" customFormat="false" ht="15" hidden="false" customHeight="false" outlineLevel="0" collapsed="false">
      <c r="A1827" s="12"/>
      <c r="B1827" s="13"/>
      <c r="C1827" s="13"/>
      <c r="D1827" s="14"/>
      <c r="E1827" s="15"/>
      <c r="F1827" s="15"/>
      <c r="G1827" s="15"/>
      <c r="H1827" s="15"/>
      <c r="I1827" s="15"/>
      <c r="J1827" s="15"/>
      <c r="K1827" s="16" t="str">
        <f aca="false">IF(A1827="","",F1827+G1827+H1827+I1827)</f>
        <v/>
      </c>
      <c r="L1827" s="17" t="str">
        <f aca="false">IF(OR(K1827="",E1827=0,E1827=""),"",K1827/E1827)</f>
        <v/>
      </c>
      <c r="M1827" s="18" t="str">
        <f aca="false">IF(OR(A1827="",E1827=""),"",E1827+ROW()/1000000)</f>
        <v/>
      </c>
    </row>
    <row r="1828" customFormat="false" ht="15" hidden="false" customHeight="false" outlineLevel="0" collapsed="false">
      <c r="A1828" s="12"/>
      <c r="B1828" s="13"/>
      <c r="C1828" s="13"/>
      <c r="D1828" s="14"/>
      <c r="E1828" s="15"/>
      <c r="F1828" s="15"/>
      <c r="G1828" s="15"/>
      <c r="H1828" s="15"/>
      <c r="I1828" s="15"/>
      <c r="J1828" s="15"/>
      <c r="K1828" s="16" t="str">
        <f aca="false">IF(A1828="","",F1828+G1828+H1828+I1828)</f>
        <v/>
      </c>
      <c r="L1828" s="17" t="str">
        <f aca="false">IF(OR(K1828="",E1828=0,E1828=""),"",K1828/E1828)</f>
        <v/>
      </c>
      <c r="M1828" s="18" t="str">
        <f aca="false">IF(OR(A1828="",E1828=""),"",E1828+ROW()/1000000)</f>
        <v/>
      </c>
    </row>
    <row r="1829" customFormat="false" ht="15" hidden="false" customHeight="false" outlineLevel="0" collapsed="false">
      <c r="A1829" s="12"/>
      <c r="B1829" s="13"/>
      <c r="C1829" s="13"/>
      <c r="D1829" s="14"/>
      <c r="E1829" s="15"/>
      <c r="F1829" s="15"/>
      <c r="G1829" s="15"/>
      <c r="H1829" s="15"/>
      <c r="I1829" s="15"/>
      <c r="J1829" s="15"/>
      <c r="K1829" s="16" t="str">
        <f aca="false">IF(A1829="","",F1829+G1829+H1829+I1829)</f>
        <v/>
      </c>
      <c r="L1829" s="17" t="str">
        <f aca="false">IF(OR(K1829="",E1829=0,E1829=""),"",K1829/E1829)</f>
        <v/>
      </c>
      <c r="M1829" s="18" t="str">
        <f aca="false">IF(OR(A1829="",E1829=""),"",E1829+ROW()/1000000)</f>
        <v/>
      </c>
    </row>
    <row r="1830" customFormat="false" ht="15" hidden="false" customHeight="false" outlineLevel="0" collapsed="false">
      <c r="A1830" s="12"/>
      <c r="B1830" s="13"/>
      <c r="C1830" s="13"/>
      <c r="D1830" s="14"/>
      <c r="E1830" s="15"/>
      <c r="F1830" s="15"/>
      <c r="G1830" s="15"/>
      <c r="H1830" s="15"/>
      <c r="I1830" s="15"/>
      <c r="J1830" s="15"/>
      <c r="K1830" s="16" t="str">
        <f aca="false">IF(A1830="","",F1830+G1830+H1830+I1830)</f>
        <v/>
      </c>
      <c r="L1830" s="17" t="str">
        <f aca="false">IF(OR(K1830="",E1830=0,E1830=""),"",K1830/E1830)</f>
        <v/>
      </c>
      <c r="M1830" s="18" t="str">
        <f aca="false">IF(OR(A1830="",E1830=""),"",E1830+ROW()/1000000)</f>
        <v/>
      </c>
    </row>
    <row r="1831" customFormat="false" ht="15" hidden="false" customHeight="false" outlineLevel="0" collapsed="false">
      <c r="A1831" s="12"/>
      <c r="B1831" s="13"/>
      <c r="C1831" s="13"/>
      <c r="D1831" s="14"/>
      <c r="E1831" s="15"/>
      <c r="F1831" s="15"/>
      <c r="G1831" s="15"/>
      <c r="H1831" s="15"/>
      <c r="I1831" s="15"/>
      <c r="J1831" s="15"/>
      <c r="K1831" s="16" t="str">
        <f aca="false">IF(A1831="","",F1831+G1831+H1831+I1831)</f>
        <v/>
      </c>
      <c r="L1831" s="17" t="str">
        <f aca="false">IF(OR(K1831="",E1831=0,E1831=""),"",K1831/E1831)</f>
        <v/>
      </c>
      <c r="M1831" s="18" t="str">
        <f aca="false">IF(OR(A1831="",E1831=""),"",E1831+ROW()/1000000)</f>
        <v/>
      </c>
    </row>
    <row r="1832" customFormat="false" ht="15" hidden="false" customHeight="false" outlineLevel="0" collapsed="false">
      <c r="A1832" s="12"/>
      <c r="B1832" s="13"/>
      <c r="C1832" s="13"/>
      <c r="D1832" s="14"/>
      <c r="E1832" s="15"/>
      <c r="F1832" s="15"/>
      <c r="G1832" s="15"/>
      <c r="H1832" s="15"/>
      <c r="I1832" s="15"/>
      <c r="J1832" s="15"/>
      <c r="K1832" s="16" t="str">
        <f aca="false">IF(A1832="","",F1832+G1832+H1832+I1832)</f>
        <v/>
      </c>
      <c r="L1832" s="17" t="str">
        <f aca="false">IF(OR(K1832="",E1832=0,E1832=""),"",K1832/E1832)</f>
        <v/>
      </c>
      <c r="M1832" s="18" t="str">
        <f aca="false">IF(OR(A1832="",E1832=""),"",E1832+ROW()/1000000)</f>
        <v/>
      </c>
    </row>
    <row r="1833" customFormat="false" ht="15" hidden="false" customHeight="false" outlineLevel="0" collapsed="false">
      <c r="A1833" s="12"/>
      <c r="B1833" s="13"/>
      <c r="C1833" s="13"/>
      <c r="D1833" s="14"/>
      <c r="E1833" s="15"/>
      <c r="F1833" s="15"/>
      <c r="G1833" s="15"/>
      <c r="H1833" s="15"/>
      <c r="I1833" s="15"/>
      <c r="J1833" s="15"/>
      <c r="K1833" s="16" t="str">
        <f aca="false">IF(A1833="","",F1833+G1833+H1833+I1833)</f>
        <v/>
      </c>
      <c r="L1833" s="17" t="str">
        <f aca="false">IF(OR(K1833="",E1833=0,E1833=""),"",K1833/E1833)</f>
        <v/>
      </c>
      <c r="M1833" s="18" t="str">
        <f aca="false">IF(OR(A1833="",E1833=""),"",E1833+ROW()/1000000)</f>
        <v/>
      </c>
    </row>
    <row r="1834" customFormat="false" ht="15" hidden="false" customHeight="false" outlineLevel="0" collapsed="false">
      <c r="A1834" s="12"/>
      <c r="B1834" s="13"/>
      <c r="C1834" s="13"/>
      <c r="D1834" s="14"/>
      <c r="E1834" s="15"/>
      <c r="F1834" s="15"/>
      <c r="G1834" s="15"/>
      <c r="H1834" s="15"/>
      <c r="I1834" s="15"/>
      <c r="J1834" s="15"/>
      <c r="K1834" s="16" t="str">
        <f aca="false">IF(A1834="","",F1834+G1834+H1834+I1834)</f>
        <v/>
      </c>
      <c r="L1834" s="17" t="str">
        <f aca="false">IF(OR(K1834="",E1834=0,E1834=""),"",K1834/E1834)</f>
        <v/>
      </c>
      <c r="M1834" s="18" t="str">
        <f aca="false">IF(OR(A1834="",E1834=""),"",E1834+ROW()/1000000)</f>
        <v/>
      </c>
    </row>
    <row r="1835" customFormat="false" ht="15" hidden="false" customHeight="false" outlineLevel="0" collapsed="false">
      <c r="A1835" s="12"/>
      <c r="B1835" s="13"/>
      <c r="C1835" s="13"/>
      <c r="D1835" s="14"/>
      <c r="E1835" s="15"/>
      <c r="F1835" s="15"/>
      <c r="G1835" s="15"/>
      <c r="H1835" s="15"/>
      <c r="I1835" s="15"/>
      <c r="J1835" s="15"/>
      <c r="K1835" s="16" t="str">
        <f aca="false">IF(A1835="","",F1835+G1835+H1835+I1835)</f>
        <v/>
      </c>
      <c r="L1835" s="17" t="str">
        <f aca="false">IF(OR(K1835="",E1835=0,E1835=""),"",K1835/E1835)</f>
        <v/>
      </c>
      <c r="M1835" s="18" t="str">
        <f aca="false">IF(OR(A1835="",E1835=""),"",E1835+ROW()/1000000)</f>
        <v/>
      </c>
    </row>
    <row r="1836" customFormat="false" ht="15" hidden="false" customHeight="false" outlineLevel="0" collapsed="false">
      <c r="A1836" s="12"/>
      <c r="B1836" s="13"/>
      <c r="C1836" s="13"/>
      <c r="D1836" s="14"/>
      <c r="E1836" s="15"/>
      <c r="F1836" s="15"/>
      <c r="G1836" s="15"/>
      <c r="H1836" s="15"/>
      <c r="I1836" s="15"/>
      <c r="J1836" s="15"/>
      <c r="K1836" s="16" t="str">
        <f aca="false">IF(A1836="","",F1836+G1836+H1836+I1836)</f>
        <v/>
      </c>
      <c r="L1836" s="17" t="str">
        <f aca="false">IF(OR(K1836="",E1836=0,E1836=""),"",K1836/E1836)</f>
        <v/>
      </c>
      <c r="M1836" s="18" t="str">
        <f aca="false">IF(OR(A1836="",E1836=""),"",E1836+ROW()/1000000)</f>
        <v/>
      </c>
    </row>
    <row r="1837" customFormat="false" ht="15" hidden="false" customHeight="false" outlineLevel="0" collapsed="false">
      <c r="A1837" s="12"/>
      <c r="B1837" s="13"/>
      <c r="C1837" s="13"/>
      <c r="D1837" s="14"/>
      <c r="E1837" s="15"/>
      <c r="F1837" s="15"/>
      <c r="G1837" s="15"/>
      <c r="H1837" s="15"/>
      <c r="I1837" s="15"/>
      <c r="J1837" s="15"/>
      <c r="K1837" s="16" t="str">
        <f aca="false">IF(A1837="","",F1837+G1837+H1837+I1837)</f>
        <v/>
      </c>
      <c r="L1837" s="17" t="str">
        <f aca="false">IF(OR(K1837="",E1837=0,E1837=""),"",K1837/E1837)</f>
        <v/>
      </c>
      <c r="M1837" s="18" t="str">
        <f aca="false">IF(OR(A1837="",E1837=""),"",E1837+ROW()/1000000)</f>
        <v/>
      </c>
    </row>
    <row r="1838" customFormat="false" ht="15" hidden="false" customHeight="false" outlineLevel="0" collapsed="false">
      <c r="A1838" s="12"/>
      <c r="B1838" s="13"/>
      <c r="C1838" s="13"/>
      <c r="D1838" s="14"/>
      <c r="E1838" s="15"/>
      <c r="F1838" s="15"/>
      <c r="G1838" s="15"/>
      <c r="H1838" s="15"/>
      <c r="I1838" s="15"/>
      <c r="J1838" s="15"/>
      <c r="K1838" s="16" t="str">
        <f aca="false">IF(A1838="","",F1838+G1838+H1838+I1838)</f>
        <v/>
      </c>
      <c r="L1838" s="17" t="str">
        <f aca="false">IF(OR(K1838="",E1838=0,E1838=""),"",K1838/E1838)</f>
        <v/>
      </c>
      <c r="M1838" s="18" t="str">
        <f aca="false">IF(OR(A1838="",E1838=""),"",E1838+ROW()/1000000)</f>
        <v/>
      </c>
    </row>
    <row r="1839" customFormat="false" ht="15" hidden="false" customHeight="false" outlineLevel="0" collapsed="false">
      <c r="A1839" s="12"/>
      <c r="B1839" s="13"/>
      <c r="C1839" s="13"/>
      <c r="D1839" s="14"/>
      <c r="E1839" s="15"/>
      <c r="F1839" s="15"/>
      <c r="G1839" s="15"/>
      <c r="H1839" s="15"/>
      <c r="I1839" s="15"/>
      <c r="J1839" s="15"/>
      <c r="K1839" s="16" t="str">
        <f aca="false">IF(A1839="","",F1839+G1839+H1839+I1839)</f>
        <v/>
      </c>
      <c r="L1839" s="17" t="str">
        <f aca="false">IF(OR(K1839="",E1839=0,E1839=""),"",K1839/E1839)</f>
        <v/>
      </c>
      <c r="M1839" s="18" t="str">
        <f aca="false">IF(OR(A1839="",E1839=""),"",E1839+ROW()/1000000)</f>
        <v/>
      </c>
    </row>
    <row r="1840" customFormat="false" ht="15" hidden="false" customHeight="false" outlineLevel="0" collapsed="false">
      <c r="A1840" s="12"/>
      <c r="B1840" s="13"/>
      <c r="C1840" s="13"/>
      <c r="D1840" s="14"/>
      <c r="E1840" s="15"/>
      <c r="F1840" s="15"/>
      <c r="G1840" s="15"/>
      <c r="H1840" s="15"/>
      <c r="I1840" s="15"/>
      <c r="J1840" s="15"/>
      <c r="K1840" s="16" t="str">
        <f aca="false">IF(A1840="","",F1840+G1840+H1840+I1840)</f>
        <v/>
      </c>
      <c r="L1840" s="17" t="str">
        <f aca="false">IF(OR(K1840="",E1840=0,E1840=""),"",K1840/E1840)</f>
        <v/>
      </c>
      <c r="M1840" s="18" t="str">
        <f aca="false">IF(OR(A1840="",E1840=""),"",E1840+ROW()/1000000)</f>
        <v/>
      </c>
    </row>
    <row r="1841" customFormat="false" ht="15" hidden="false" customHeight="false" outlineLevel="0" collapsed="false">
      <c r="A1841" s="12"/>
      <c r="B1841" s="13"/>
      <c r="C1841" s="13"/>
      <c r="D1841" s="14"/>
      <c r="E1841" s="15"/>
      <c r="F1841" s="15"/>
      <c r="G1841" s="15"/>
      <c r="H1841" s="15"/>
      <c r="I1841" s="15"/>
      <c r="J1841" s="15"/>
      <c r="K1841" s="16" t="str">
        <f aca="false">IF(A1841="","",F1841+G1841+H1841+I1841)</f>
        <v/>
      </c>
      <c r="L1841" s="17" t="str">
        <f aca="false">IF(OR(K1841="",E1841=0,E1841=""),"",K1841/E1841)</f>
        <v/>
      </c>
      <c r="M1841" s="18" t="str">
        <f aca="false">IF(OR(A1841="",E1841=""),"",E1841+ROW()/1000000)</f>
        <v/>
      </c>
    </row>
    <row r="1842" customFormat="false" ht="15" hidden="false" customHeight="false" outlineLevel="0" collapsed="false">
      <c r="A1842" s="12"/>
      <c r="B1842" s="13"/>
      <c r="C1842" s="13"/>
      <c r="D1842" s="14"/>
      <c r="E1842" s="15"/>
      <c r="F1842" s="15"/>
      <c r="G1842" s="15"/>
      <c r="H1842" s="15"/>
      <c r="I1842" s="15"/>
      <c r="J1842" s="15"/>
      <c r="K1842" s="16" t="str">
        <f aca="false">IF(A1842="","",F1842+G1842+H1842+I1842)</f>
        <v/>
      </c>
      <c r="L1842" s="17" t="str">
        <f aca="false">IF(OR(K1842="",E1842=0,E1842=""),"",K1842/E1842)</f>
        <v/>
      </c>
      <c r="M1842" s="18" t="str">
        <f aca="false">IF(OR(A1842="",E1842=""),"",E1842+ROW()/1000000)</f>
        <v/>
      </c>
    </row>
    <row r="1843" customFormat="false" ht="15" hidden="false" customHeight="false" outlineLevel="0" collapsed="false">
      <c r="A1843" s="12"/>
      <c r="B1843" s="13"/>
      <c r="C1843" s="13"/>
      <c r="D1843" s="14"/>
      <c r="E1843" s="15"/>
      <c r="F1843" s="15"/>
      <c r="G1843" s="15"/>
      <c r="H1843" s="15"/>
      <c r="I1843" s="15"/>
      <c r="J1843" s="15"/>
      <c r="K1843" s="16" t="str">
        <f aca="false">IF(A1843="","",F1843+G1843+H1843+I1843)</f>
        <v/>
      </c>
      <c r="L1843" s="17" t="str">
        <f aca="false">IF(OR(K1843="",E1843=0,E1843=""),"",K1843/E1843)</f>
        <v/>
      </c>
      <c r="M1843" s="18" t="str">
        <f aca="false">IF(OR(A1843="",E1843=""),"",E1843+ROW()/1000000)</f>
        <v/>
      </c>
    </row>
    <row r="1844" customFormat="false" ht="15" hidden="false" customHeight="false" outlineLevel="0" collapsed="false">
      <c r="A1844" s="12"/>
      <c r="B1844" s="13"/>
      <c r="C1844" s="13"/>
      <c r="D1844" s="14"/>
      <c r="E1844" s="15"/>
      <c r="F1844" s="15"/>
      <c r="G1844" s="15"/>
      <c r="H1844" s="15"/>
      <c r="I1844" s="15"/>
      <c r="J1844" s="15"/>
      <c r="K1844" s="16" t="str">
        <f aca="false">IF(A1844="","",F1844+G1844+H1844+I1844)</f>
        <v/>
      </c>
      <c r="L1844" s="17" t="str">
        <f aca="false">IF(OR(K1844="",E1844=0,E1844=""),"",K1844/E1844)</f>
        <v/>
      </c>
      <c r="M1844" s="18" t="str">
        <f aca="false">IF(OR(A1844="",E1844=""),"",E1844+ROW()/1000000)</f>
        <v/>
      </c>
    </row>
    <row r="1845" customFormat="false" ht="15" hidden="false" customHeight="false" outlineLevel="0" collapsed="false">
      <c r="A1845" s="12"/>
      <c r="B1845" s="13"/>
      <c r="C1845" s="13"/>
      <c r="D1845" s="14"/>
      <c r="E1845" s="15"/>
      <c r="F1845" s="15"/>
      <c r="G1845" s="15"/>
      <c r="H1845" s="15"/>
      <c r="I1845" s="15"/>
      <c r="J1845" s="15"/>
      <c r="K1845" s="16" t="str">
        <f aca="false">IF(A1845="","",F1845+G1845+H1845+I1845)</f>
        <v/>
      </c>
      <c r="L1845" s="17" t="str">
        <f aca="false">IF(OR(K1845="",E1845=0,E1845=""),"",K1845/E1845)</f>
        <v/>
      </c>
      <c r="M1845" s="18" t="str">
        <f aca="false">IF(OR(A1845="",E1845=""),"",E1845+ROW()/1000000)</f>
        <v/>
      </c>
    </row>
    <row r="1846" customFormat="false" ht="15" hidden="false" customHeight="false" outlineLevel="0" collapsed="false">
      <c r="A1846" s="12"/>
      <c r="B1846" s="13"/>
      <c r="C1846" s="13"/>
      <c r="D1846" s="14"/>
      <c r="E1846" s="15"/>
      <c r="F1846" s="15"/>
      <c r="G1846" s="15"/>
      <c r="H1846" s="15"/>
      <c r="I1846" s="15"/>
      <c r="J1846" s="15"/>
      <c r="K1846" s="16" t="str">
        <f aca="false">IF(A1846="","",F1846+G1846+H1846+I1846)</f>
        <v/>
      </c>
      <c r="L1846" s="17" t="str">
        <f aca="false">IF(OR(K1846="",E1846=0,E1846=""),"",K1846/E1846)</f>
        <v/>
      </c>
      <c r="M1846" s="18" t="str">
        <f aca="false">IF(OR(A1846="",E1846=""),"",E1846+ROW()/1000000)</f>
        <v/>
      </c>
    </row>
    <row r="1847" customFormat="false" ht="15" hidden="false" customHeight="false" outlineLevel="0" collapsed="false">
      <c r="A1847" s="12"/>
      <c r="B1847" s="13"/>
      <c r="C1847" s="13"/>
      <c r="D1847" s="14"/>
      <c r="E1847" s="15"/>
      <c r="F1847" s="15"/>
      <c r="G1847" s="15"/>
      <c r="H1847" s="15"/>
      <c r="I1847" s="15"/>
      <c r="J1847" s="15"/>
      <c r="K1847" s="16" t="str">
        <f aca="false">IF(A1847="","",F1847+G1847+H1847+I1847)</f>
        <v/>
      </c>
      <c r="L1847" s="17" t="str">
        <f aca="false">IF(OR(K1847="",E1847=0,E1847=""),"",K1847/E1847)</f>
        <v/>
      </c>
      <c r="M1847" s="18" t="str">
        <f aca="false">IF(OR(A1847="",E1847=""),"",E1847+ROW()/1000000)</f>
        <v/>
      </c>
    </row>
    <row r="1848" customFormat="false" ht="15" hidden="false" customHeight="false" outlineLevel="0" collapsed="false">
      <c r="A1848" s="12"/>
      <c r="B1848" s="13"/>
      <c r="C1848" s="13"/>
      <c r="D1848" s="14"/>
      <c r="E1848" s="15"/>
      <c r="F1848" s="15"/>
      <c r="G1848" s="15"/>
      <c r="H1848" s="15"/>
      <c r="I1848" s="15"/>
      <c r="J1848" s="15"/>
      <c r="K1848" s="16" t="str">
        <f aca="false">IF(A1848="","",F1848+G1848+H1848+I1848)</f>
        <v/>
      </c>
      <c r="L1848" s="17" t="str">
        <f aca="false">IF(OR(K1848="",E1848=0,E1848=""),"",K1848/E1848)</f>
        <v/>
      </c>
      <c r="M1848" s="18" t="str">
        <f aca="false">IF(OR(A1848="",E1848=""),"",E1848+ROW()/1000000)</f>
        <v/>
      </c>
    </row>
    <row r="1849" customFormat="false" ht="15" hidden="false" customHeight="false" outlineLevel="0" collapsed="false">
      <c r="A1849" s="12"/>
      <c r="B1849" s="13"/>
      <c r="C1849" s="13"/>
      <c r="D1849" s="14"/>
      <c r="E1849" s="15"/>
      <c r="F1849" s="15"/>
      <c r="G1849" s="15"/>
      <c r="H1849" s="15"/>
      <c r="I1849" s="15"/>
      <c r="J1849" s="15"/>
      <c r="K1849" s="16" t="str">
        <f aca="false">IF(A1849="","",F1849+G1849+H1849+I1849)</f>
        <v/>
      </c>
      <c r="L1849" s="17" t="str">
        <f aca="false">IF(OR(K1849="",E1849=0,E1849=""),"",K1849/E1849)</f>
        <v/>
      </c>
      <c r="M1849" s="18" t="str">
        <f aca="false">IF(OR(A1849="",E1849=""),"",E1849+ROW()/1000000)</f>
        <v/>
      </c>
    </row>
    <row r="1850" customFormat="false" ht="15" hidden="false" customHeight="false" outlineLevel="0" collapsed="false">
      <c r="A1850" s="12"/>
      <c r="B1850" s="13"/>
      <c r="C1850" s="13"/>
      <c r="D1850" s="14"/>
      <c r="E1850" s="15"/>
      <c r="F1850" s="15"/>
      <c r="G1850" s="15"/>
      <c r="H1850" s="15"/>
      <c r="I1850" s="15"/>
      <c r="J1850" s="15"/>
      <c r="K1850" s="16" t="str">
        <f aca="false">IF(A1850="","",F1850+G1850+H1850+I1850)</f>
        <v/>
      </c>
      <c r="L1850" s="17" t="str">
        <f aca="false">IF(OR(K1850="",E1850=0,E1850=""),"",K1850/E1850)</f>
        <v/>
      </c>
      <c r="M1850" s="18" t="str">
        <f aca="false">IF(OR(A1850="",E1850=""),"",E1850+ROW()/1000000)</f>
        <v/>
      </c>
    </row>
    <row r="1851" customFormat="false" ht="15" hidden="false" customHeight="false" outlineLevel="0" collapsed="false">
      <c r="A1851" s="12"/>
      <c r="B1851" s="13"/>
      <c r="C1851" s="13"/>
      <c r="D1851" s="14"/>
      <c r="E1851" s="15"/>
      <c r="F1851" s="15"/>
      <c r="G1851" s="15"/>
      <c r="H1851" s="15"/>
      <c r="I1851" s="15"/>
      <c r="J1851" s="15"/>
      <c r="K1851" s="16" t="str">
        <f aca="false">IF(A1851="","",F1851+G1851+H1851+I1851)</f>
        <v/>
      </c>
      <c r="L1851" s="17" t="str">
        <f aca="false">IF(OR(K1851="",E1851=0,E1851=""),"",K1851/E1851)</f>
        <v/>
      </c>
      <c r="M1851" s="18" t="str">
        <f aca="false">IF(OR(A1851="",E1851=""),"",E1851+ROW()/1000000)</f>
        <v/>
      </c>
    </row>
    <row r="1852" customFormat="false" ht="15" hidden="false" customHeight="false" outlineLevel="0" collapsed="false">
      <c r="A1852" s="12"/>
      <c r="B1852" s="13"/>
      <c r="C1852" s="13"/>
      <c r="D1852" s="14"/>
      <c r="E1852" s="15"/>
      <c r="F1852" s="15"/>
      <c r="G1852" s="15"/>
      <c r="H1852" s="15"/>
      <c r="I1852" s="15"/>
      <c r="J1852" s="15"/>
      <c r="K1852" s="16" t="str">
        <f aca="false">IF(A1852="","",F1852+G1852+H1852+I1852)</f>
        <v/>
      </c>
      <c r="L1852" s="17" t="str">
        <f aca="false">IF(OR(K1852="",E1852=0,E1852=""),"",K1852/E1852)</f>
        <v/>
      </c>
      <c r="M1852" s="18" t="str">
        <f aca="false">IF(OR(A1852="",E1852=""),"",E1852+ROW()/1000000)</f>
        <v/>
      </c>
    </row>
    <row r="1853" customFormat="false" ht="15" hidden="false" customHeight="false" outlineLevel="0" collapsed="false">
      <c r="A1853" s="12"/>
      <c r="B1853" s="13"/>
      <c r="C1853" s="13"/>
      <c r="D1853" s="14"/>
      <c r="E1853" s="15"/>
      <c r="F1853" s="15"/>
      <c r="G1853" s="15"/>
      <c r="H1853" s="15"/>
      <c r="I1853" s="15"/>
      <c r="J1853" s="15"/>
      <c r="K1853" s="16" t="str">
        <f aca="false">IF(A1853="","",F1853+G1853+H1853+I1853)</f>
        <v/>
      </c>
      <c r="L1853" s="17" t="str">
        <f aca="false">IF(OR(K1853="",E1853=0,E1853=""),"",K1853/E1853)</f>
        <v/>
      </c>
      <c r="M1853" s="18" t="str">
        <f aca="false">IF(OR(A1853="",E1853=""),"",E1853+ROW()/1000000)</f>
        <v/>
      </c>
    </row>
    <row r="1854" customFormat="false" ht="15" hidden="false" customHeight="false" outlineLevel="0" collapsed="false">
      <c r="A1854" s="12"/>
      <c r="B1854" s="13"/>
      <c r="C1854" s="13"/>
      <c r="D1854" s="14"/>
      <c r="E1854" s="15"/>
      <c r="F1854" s="15"/>
      <c r="G1854" s="15"/>
      <c r="H1854" s="15"/>
      <c r="I1854" s="15"/>
      <c r="J1854" s="15"/>
      <c r="K1854" s="16" t="str">
        <f aca="false">IF(A1854="","",F1854+G1854+H1854+I1854)</f>
        <v/>
      </c>
      <c r="L1854" s="17" t="str">
        <f aca="false">IF(OR(K1854="",E1854=0,E1854=""),"",K1854/E1854)</f>
        <v/>
      </c>
      <c r="M1854" s="18" t="str">
        <f aca="false">IF(OR(A1854="",E1854=""),"",E1854+ROW()/1000000)</f>
        <v/>
      </c>
    </row>
    <row r="1855" customFormat="false" ht="15" hidden="false" customHeight="false" outlineLevel="0" collapsed="false">
      <c r="A1855" s="12"/>
      <c r="B1855" s="13"/>
      <c r="C1855" s="13"/>
      <c r="D1855" s="14"/>
      <c r="E1855" s="15"/>
      <c r="F1855" s="15"/>
      <c r="G1855" s="15"/>
      <c r="H1855" s="15"/>
      <c r="I1855" s="15"/>
      <c r="J1855" s="15"/>
      <c r="K1855" s="16" t="str">
        <f aca="false">IF(A1855="","",F1855+G1855+H1855+I1855)</f>
        <v/>
      </c>
      <c r="L1855" s="17" t="str">
        <f aca="false">IF(OR(K1855="",E1855=0,E1855=""),"",K1855/E1855)</f>
        <v/>
      </c>
      <c r="M1855" s="18" t="str">
        <f aca="false">IF(OR(A1855="",E1855=""),"",E1855+ROW()/1000000)</f>
        <v/>
      </c>
    </row>
    <row r="1856" customFormat="false" ht="15" hidden="false" customHeight="false" outlineLevel="0" collapsed="false">
      <c r="A1856" s="12"/>
      <c r="B1856" s="13"/>
      <c r="C1856" s="13"/>
      <c r="D1856" s="14"/>
      <c r="E1856" s="15"/>
      <c r="F1856" s="15"/>
      <c r="G1856" s="15"/>
      <c r="H1856" s="15"/>
      <c r="I1856" s="15"/>
      <c r="J1856" s="15"/>
      <c r="K1856" s="16" t="str">
        <f aca="false">IF(A1856="","",F1856+G1856+H1856+I1856)</f>
        <v/>
      </c>
      <c r="L1856" s="17" t="str">
        <f aca="false">IF(OR(K1856="",E1856=0,E1856=""),"",K1856/E1856)</f>
        <v/>
      </c>
      <c r="M1856" s="18" t="str">
        <f aca="false">IF(OR(A1856="",E1856=""),"",E1856+ROW()/1000000)</f>
        <v/>
      </c>
    </row>
    <row r="1857" customFormat="false" ht="15" hidden="false" customHeight="false" outlineLevel="0" collapsed="false">
      <c r="A1857" s="12"/>
      <c r="B1857" s="13"/>
      <c r="C1857" s="13"/>
      <c r="D1857" s="14"/>
      <c r="E1857" s="15"/>
      <c r="F1857" s="15"/>
      <c r="G1857" s="15"/>
      <c r="H1857" s="15"/>
      <c r="I1857" s="15"/>
      <c r="J1857" s="15"/>
      <c r="K1857" s="16" t="str">
        <f aca="false">IF(A1857="","",F1857+G1857+H1857+I1857)</f>
        <v/>
      </c>
      <c r="L1857" s="17" t="str">
        <f aca="false">IF(OR(K1857="",E1857=0,E1857=""),"",K1857/E1857)</f>
        <v/>
      </c>
      <c r="M1857" s="18" t="str">
        <f aca="false">IF(OR(A1857="",E1857=""),"",E1857+ROW()/1000000)</f>
        <v/>
      </c>
    </row>
    <row r="1858" customFormat="false" ht="15" hidden="false" customHeight="false" outlineLevel="0" collapsed="false">
      <c r="A1858" s="12"/>
      <c r="B1858" s="13"/>
      <c r="C1858" s="13"/>
      <c r="D1858" s="14"/>
      <c r="E1858" s="15"/>
      <c r="F1858" s="15"/>
      <c r="G1858" s="15"/>
      <c r="H1858" s="15"/>
      <c r="I1858" s="15"/>
      <c r="J1858" s="15"/>
      <c r="K1858" s="16" t="str">
        <f aca="false">IF(A1858="","",F1858+G1858+H1858+I1858)</f>
        <v/>
      </c>
      <c r="L1858" s="17" t="str">
        <f aca="false">IF(OR(K1858="",E1858=0,E1858=""),"",K1858/E1858)</f>
        <v/>
      </c>
      <c r="M1858" s="18" t="str">
        <f aca="false">IF(OR(A1858="",E1858=""),"",E1858+ROW()/1000000)</f>
        <v/>
      </c>
    </row>
    <row r="1859" customFormat="false" ht="15" hidden="false" customHeight="false" outlineLevel="0" collapsed="false">
      <c r="A1859" s="12"/>
      <c r="B1859" s="13"/>
      <c r="C1859" s="13"/>
      <c r="D1859" s="14"/>
      <c r="E1859" s="15"/>
      <c r="F1859" s="15"/>
      <c r="G1859" s="15"/>
      <c r="H1859" s="15"/>
      <c r="I1859" s="15"/>
      <c r="J1859" s="15"/>
      <c r="K1859" s="16" t="str">
        <f aca="false">IF(A1859="","",F1859+G1859+H1859+I1859)</f>
        <v/>
      </c>
      <c r="L1859" s="17" t="str">
        <f aca="false">IF(OR(K1859="",E1859=0,E1859=""),"",K1859/E1859)</f>
        <v/>
      </c>
      <c r="M1859" s="18" t="str">
        <f aca="false">IF(OR(A1859="",E1859=""),"",E1859+ROW()/1000000)</f>
        <v/>
      </c>
    </row>
    <row r="1860" customFormat="false" ht="15" hidden="false" customHeight="false" outlineLevel="0" collapsed="false">
      <c r="A1860" s="12"/>
      <c r="B1860" s="13"/>
      <c r="C1860" s="13"/>
      <c r="D1860" s="14"/>
      <c r="E1860" s="15"/>
      <c r="F1860" s="15"/>
      <c r="G1860" s="15"/>
      <c r="H1860" s="15"/>
      <c r="I1860" s="15"/>
      <c r="J1860" s="15"/>
      <c r="K1860" s="16" t="str">
        <f aca="false">IF(A1860="","",F1860+G1860+H1860+I1860)</f>
        <v/>
      </c>
      <c r="L1860" s="17" t="str">
        <f aca="false">IF(OR(K1860="",E1860=0,E1860=""),"",K1860/E1860)</f>
        <v/>
      </c>
      <c r="M1860" s="18" t="str">
        <f aca="false">IF(OR(A1860="",E1860=""),"",E1860+ROW()/1000000)</f>
        <v/>
      </c>
    </row>
    <row r="1861" customFormat="false" ht="15" hidden="false" customHeight="false" outlineLevel="0" collapsed="false">
      <c r="A1861" s="12"/>
      <c r="B1861" s="13"/>
      <c r="C1861" s="13"/>
      <c r="D1861" s="14"/>
      <c r="E1861" s="15"/>
      <c r="F1861" s="15"/>
      <c r="G1861" s="15"/>
      <c r="H1861" s="15"/>
      <c r="I1861" s="15"/>
      <c r="J1861" s="15"/>
      <c r="K1861" s="16" t="str">
        <f aca="false">IF(A1861="","",F1861+G1861+H1861+I1861)</f>
        <v/>
      </c>
      <c r="L1861" s="17" t="str">
        <f aca="false">IF(OR(K1861="",E1861=0,E1861=""),"",K1861/E1861)</f>
        <v/>
      </c>
      <c r="M1861" s="18" t="str">
        <f aca="false">IF(OR(A1861="",E1861=""),"",E1861+ROW()/1000000)</f>
        <v/>
      </c>
    </row>
    <row r="1862" customFormat="false" ht="15" hidden="false" customHeight="false" outlineLevel="0" collapsed="false">
      <c r="A1862" s="12"/>
      <c r="B1862" s="13"/>
      <c r="C1862" s="13"/>
      <c r="D1862" s="14"/>
      <c r="E1862" s="15"/>
      <c r="F1862" s="15"/>
      <c r="G1862" s="15"/>
      <c r="H1862" s="15"/>
      <c r="I1862" s="15"/>
      <c r="J1862" s="15"/>
      <c r="K1862" s="16" t="str">
        <f aca="false">IF(A1862="","",F1862+G1862+H1862+I1862)</f>
        <v/>
      </c>
      <c r="L1862" s="17" t="str">
        <f aca="false">IF(OR(K1862="",E1862=0,E1862=""),"",K1862/E1862)</f>
        <v/>
      </c>
      <c r="M1862" s="18" t="str">
        <f aca="false">IF(OR(A1862="",E1862=""),"",E1862+ROW()/1000000)</f>
        <v/>
      </c>
    </row>
    <row r="1863" customFormat="false" ht="15" hidden="false" customHeight="false" outlineLevel="0" collapsed="false">
      <c r="A1863" s="12"/>
      <c r="B1863" s="13"/>
      <c r="C1863" s="13"/>
      <c r="D1863" s="14"/>
      <c r="E1863" s="15"/>
      <c r="F1863" s="15"/>
      <c r="G1863" s="15"/>
      <c r="H1863" s="15"/>
      <c r="I1863" s="15"/>
      <c r="J1863" s="15"/>
      <c r="K1863" s="16" t="str">
        <f aca="false">IF(A1863="","",F1863+G1863+H1863+I1863)</f>
        <v/>
      </c>
      <c r="L1863" s="17" t="str">
        <f aca="false">IF(OR(K1863="",E1863=0,E1863=""),"",K1863/E1863)</f>
        <v/>
      </c>
      <c r="M1863" s="18" t="str">
        <f aca="false">IF(OR(A1863="",E1863=""),"",E1863+ROW()/1000000)</f>
        <v/>
      </c>
    </row>
    <row r="1864" customFormat="false" ht="15" hidden="false" customHeight="false" outlineLevel="0" collapsed="false">
      <c r="A1864" s="12"/>
      <c r="B1864" s="13"/>
      <c r="C1864" s="13"/>
      <c r="D1864" s="14"/>
      <c r="E1864" s="15"/>
      <c r="F1864" s="15"/>
      <c r="G1864" s="15"/>
      <c r="H1864" s="15"/>
      <c r="I1864" s="15"/>
      <c r="J1864" s="15"/>
      <c r="K1864" s="16" t="str">
        <f aca="false">IF(A1864="","",F1864+G1864+H1864+I1864)</f>
        <v/>
      </c>
      <c r="L1864" s="17" t="str">
        <f aca="false">IF(OR(K1864="",E1864=0,E1864=""),"",K1864/E1864)</f>
        <v/>
      </c>
      <c r="M1864" s="18" t="str">
        <f aca="false">IF(OR(A1864="",E1864=""),"",E1864+ROW()/1000000)</f>
        <v/>
      </c>
    </row>
    <row r="1865" customFormat="false" ht="15" hidden="false" customHeight="false" outlineLevel="0" collapsed="false">
      <c r="A1865" s="12"/>
      <c r="B1865" s="13"/>
      <c r="C1865" s="13"/>
      <c r="D1865" s="14"/>
      <c r="E1865" s="15"/>
      <c r="F1865" s="15"/>
      <c r="G1865" s="15"/>
      <c r="H1865" s="15"/>
      <c r="I1865" s="15"/>
      <c r="J1865" s="15"/>
      <c r="K1865" s="16" t="str">
        <f aca="false">IF(A1865="","",F1865+G1865+H1865+I1865)</f>
        <v/>
      </c>
      <c r="L1865" s="17" t="str">
        <f aca="false">IF(OR(K1865="",E1865=0,E1865=""),"",K1865/E1865)</f>
        <v/>
      </c>
      <c r="M1865" s="18" t="str">
        <f aca="false">IF(OR(A1865="",E1865=""),"",E1865+ROW()/1000000)</f>
        <v/>
      </c>
    </row>
    <row r="1866" customFormat="false" ht="15" hidden="false" customHeight="false" outlineLevel="0" collapsed="false">
      <c r="A1866" s="12"/>
      <c r="B1866" s="13"/>
      <c r="C1866" s="13"/>
      <c r="D1866" s="14"/>
      <c r="E1866" s="15"/>
      <c r="F1866" s="15"/>
      <c r="G1866" s="15"/>
      <c r="H1866" s="15"/>
      <c r="I1866" s="15"/>
      <c r="J1866" s="15"/>
      <c r="K1866" s="16" t="str">
        <f aca="false">IF(A1866="","",F1866+G1866+H1866+I1866)</f>
        <v/>
      </c>
      <c r="L1866" s="17" t="str">
        <f aca="false">IF(OR(K1866="",E1866=0,E1866=""),"",K1866/E1866)</f>
        <v/>
      </c>
      <c r="M1866" s="18" t="str">
        <f aca="false">IF(OR(A1866="",E1866=""),"",E1866+ROW()/1000000)</f>
        <v/>
      </c>
    </row>
    <row r="1867" customFormat="false" ht="15" hidden="false" customHeight="false" outlineLevel="0" collapsed="false">
      <c r="A1867" s="12"/>
      <c r="B1867" s="13"/>
      <c r="C1867" s="13"/>
      <c r="D1867" s="14"/>
      <c r="E1867" s="15"/>
      <c r="F1867" s="15"/>
      <c r="G1867" s="15"/>
      <c r="H1867" s="15"/>
      <c r="I1867" s="15"/>
      <c r="J1867" s="15"/>
      <c r="K1867" s="16" t="str">
        <f aca="false">IF(A1867="","",F1867+G1867+H1867+I1867)</f>
        <v/>
      </c>
      <c r="L1867" s="17" t="str">
        <f aca="false">IF(OR(K1867="",E1867=0,E1867=""),"",K1867/E1867)</f>
        <v/>
      </c>
      <c r="M1867" s="18" t="str">
        <f aca="false">IF(OR(A1867="",E1867=""),"",E1867+ROW()/1000000)</f>
        <v/>
      </c>
    </row>
    <row r="1868" customFormat="false" ht="15" hidden="false" customHeight="false" outlineLevel="0" collapsed="false">
      <c r="A1868" s="12"/>
      <c r="B1868" s="13"/>
      <c r="C1868" s="13"/>
      <c r="D1868" s="14"/>
      <c r="E1868" s="15"/>
      <c r="F1868" s="15"/>
      <c r="G1868" s="15"/>
      <c r="H1868" s="15"/>
      <c r="I1868" s="15"/>
      <c r="J1868" s="15"/>
      <c r="K1868" s="16" t="str">
        <f aca="false">IF(A1868="","",F1868+G1868+H1868+I1868)</f>
        <v/>
      </c>
      <c r="L1868" s="17" t="str">
        <f aca="false">IF(OR(K1868="",E1868=0,E1868=""),"",K1868/E1868)</f>
        <v/>
      </c>
      <c r="M1868" s="18" t="str">
        <f aca="false">IF(OR(A1868="",E1868=""),"",E1868+ROW()/1000000)</f>
        <v/>
      </c>
    </row>
    <row r="1869" customFormat="false" ht="15" hidden="false" customHeight="false" outlineLevel="0" collapsed="false">
      <c r="A1869" s="12"/>
      <c r="B1869" s="13"/>
      <c r="C1869" s="13"/>
      <c r="D1869" s="14"/>
      <c r="E1869" s="15"/>
      <c r="F1869" s="15"/>
      <c r="G1869" s="15"/>
      <c r="H1869" s="15"/>
      <c r="I1869" s="15"/>
      <c r="J1869" s="15"/>
      <c r="K1869" s="16" t="str">
        <f aca="false">IF(A1869="","",F1869+G1869+H1869+I1869)</f>
        <v/>
      </c>
      <c r="L1869" s="17" t="str">
        <f aca="false">IF(OR(K1869="",E1869=0,E1869=""),"",K1869/E1869)</f>
        <v/>
      </c>
      <c r="M1869" s="18" t="str">
        <f aca="false">IF(OR(A1869="",E1869=""),"",E1869+ROW()/1000000)</f>
        <v/>
      </c>
    </row>
    <row r="1870" customFormat="false" ht="15" hidden="false" customHeight="false" outlineLevel="0" collapsed="false">
      <c r="A1870" s="12"/>
      <c r="B1870" s="13"/>
      <c r="C1870" s="13"/>
      <c r="D1870" s="14"/>
      <c r="E1870" s="15"/>
      <c r="F1870" s="15"/>
      <c r="G1870" s="15"/>
      <c r="H1870" s="15"/>
      <c r="I1870" s="15"/>
      <c r="J1870" s="15"/>
      <c r="K1870" s="16" t="str">
        <f aca="false">IF(A1870="","",F1870+G1870+H1870+I1870)</f>
        <v/>
      </c>
      <c r="L1870" s="17" t="str">
        <f aca="false">IF(OR(K1870="",E1870=0,E1870=""),"",K1870/E1870)</f>
        <v/>
      </c>
      <c r="M1870" s="18" t="str">
        <f aca="false">IF(OR(A1870="",E1870=""),"",E1870+ROW()/1000000)</f>
        <v/>
      </c>
    </row>
    <row r="1871" customFormat="false" ht="15" hidden="false" customHeight="false" outlineLevel="0" collapsed="false">
      <c r="A1871" s="12"/>
      <c r="B1871" s="13"/>
      <c r="C1871" s="13"/>
      <c r="D1871" s="14"/>
      <c r="E1871" s="15"/>
      <c r="F1871" s="15"/>
      <c r="G1871" s="15"/>
      <c r="H1871" s="15"/>
      <c r="I1871" s="15"/>
      <c r="J1871" s="15"/>
      <c r="K1871" s="16" t="str">
        <f aca="false">IF(A1871="","",F1871+G1871+H1871+I1871)</f>
        <v/>
      </c>
      <c r="L1871" s="17" t="str">
        <f aca="false">IF(OR(K1871="",E1871=0,E1871=""),"",K1871/E1871)</f>
        <v/>
      </c>
      <c r="M1871" s="18" t="str">
        <f aca="false">IF(OR(A1871="",E1871=""),"",E1871+ROW()/1000000)</f>
        <v/>
      </c>
    </row>
    <row r="1872" customFormat="false" ht="15" hidden="false" customHeight="false" outlineLevel="0" collapsed="false">
      <c r="A1872" s="12"/>
      <c r="B1872" s="13"/>
      <c r="C1872" s="13"/>
      <c r="D1872" s="14"/>
      <c r="E1872" s="15"/>
      <c r="F1872" s="15"/>
      <c r="G1872" s="15"/>
      <c r="H1872" s="15"/>
      <c r="I1872" s="15"/>
      <c r="J1872" s="15"/>
      <c r="K1872" s="16" t="str">
        <f aca="false">IF(A1872="","",F1872+G1872+H1872+I1872)</f>
        <v/>
      </c>
      <c r="L1872" s="17" t="str">
        <f aca="false">IF(OR(K1872="",E1872=0,E1872=""),"",K1872/E1872)</f>
        <v/>
      </c>
      <c r="M1872" s="18" t="str">
        <f aca="false">IF(OR(A1872="",E1872=""),"",E1872+ROW()/1000000)</f>
        <v/>
      </c>
    </row>
    <row r="1873" customFormat="false" ht="15" hidden="false" customHeight="false" outlineLevel="0" collapsed="false">
      <c r="A1873" s="12"/>
      <c r="B1873" s="13"/>
      <c r="C1873" s="13"/>
      <c r="D1873" s="14"/>
      <c r="E1873" s="15"/>
      <c r="F1873" s="15"/>
      <c r="G1873" s="15"/>
      <c r="H1873" s="15"/>
      <c r="I1873" s="15"/>
      <c r="J1873" s="15"/>
      <c r="K1873" s="16" t="str">
        <f aca="false">IF(A1873="","",F1873+G1873+H1873+I1873)</f>
        <v/>
      </c>
      <c r="L1873" s="17" t="str">
        <f aca="false">IF(OR(K1873="",E1873=0,E1873=""),"",K1873/E1873)</f>
        <v/>
      </c>
      <c r="M1873" s="18" t="str">
        <f aca="false">IF(OR(A1873="",E1873=""),"",E1873+ROW()/1000000)</f>
        <v/>
      </c>
    </row>
    <row r="1874" customFormat="false" ht="15" hidden="false" customHeight="false" outlineLevel="0" collapsed="false">
      <c r="A1874" s="12"/>
      <c r="B1874" s="13"/>
      <c r="C1874" s="13"/>
      <c r="D1874" s="14"/>
      <c r="E1874" s="15"/>
      <c r="F1874" s="15"/>
      <c r="G1874" s="15"/>
      <c r="H1874" s="15"/>
      <c r="I1874" s="15"/>
      <c r="J1874" s="15"/>
      <c r="K1874" s="16" t="str">
        <f aca="false">IF(A1874="","",F1874+G1874+H1874+I1874)</f>
        <v/>
      </c>
      <c r="L1874" s="17" t="str">
        <f aca="false">IF(OR(K1874="",E1874=0,E1874=""),"",K1874/E1874)</f>
        <v/>
      </c>
      <c r="M1874" s="18" t="str">
        <f aca="false">IF(OR(A1874="",E1874=""),"",E1874+ROW()/1000000)</f>
        <v/>
      </c>
    </row>
    <row r="1875" customFormat="false" ht="15" hidden="false" customHeight="false" outlineLevel="0" collapsed="false">
      <c r="A1875" s="12"/>
      <c r="B1875" s="13"/>
      <c r="C1875" s="13"/>
      <c r="D1875" s="14"/>
      <c r="E1875" s="15"/>
      <c r="F1875" s="15"/>
      <c r="G1875" s="15"/>
      <c r="H1875" s="15"/>
      <c r="I1875" s="15"/>
      <c r="J1875" s="15"/>
      <c r="K1875" s="16" t="str">
        <f aca="false">IF(A1875="","",F1875+G1875+H1875+I1875)</f>
        <v/>
      </c>
      <c r="L1875" s="17" t="str">
        <f aca="false">IF(OR(K1875="",E1875=0,E1875=""),"",K1875/E1875)</f>
        <v/>
      </c>
      <c r="M1875" s="18" t="str">
        <f aca="false">IF(OR(A1875="",E1875=""),"",E1875+ROW()/1000000)</f>
        <v/>
      </c>
    </row>
    <row r="1876" customFormat="false" ht="15" hidden="false" customHeight="false" outlineLevel="0" collapsed="false">
      <c r="A1876" s="12"/>
      <c r="B1876" s="13"/>
      <c r="C1876" s="13"/>
      <c r="D1876" s="14"/>
      <c r="E1876" s="15"/>
      <c r="F1876" s="15"/>
      <c r="G1876" s="15"/>
      <c r="H1876" s="15"/>
      <c r="I1876" s="15"/>
      <c r="J1876" s="15"/>
      <c r="K1876" s="16" t="str">
        <f aca="false">IF(A1876="","",F1876+G1876+H1876+I1876)</f>
        <v/>
      </c>
      <c r="L1876" s="17" t="str">
        <f aca="false">IF(OR(K1876="",E1876=0,E1876=""),"",K1876/E1876)</f>
        <v/>
      </c>
      <c r="M1876" s="18" t="str">
        <f aca="false">IF(OR(A1876="",E1876=""),"",E1876+ROW()/1000000)</f>
        <v/>
      </c>
    </row>
    <row r="1877" customFormat="false" ht="15" hidden="false" customHeight="false" outlineLevel="0" collapsed="false">
      <c r="A1877" s="12"/>
      <c r="B1877" s="13"/>
      <c r="C1877" s="13"/>
      <c r="D1877" s="14"/>
      <c r="E1877" s="15"/>
      <c r="F1877" s="15"/>
      <c r="G1877" s="15"/>
      <c r="H1877" s="15"/>
      <c r="I1877" s="15"/>
      <c r="J1877" s="15"/>
      <c r="K1877" s="16" t="str">
        <f aca="false">IF(A1877="","",F1877+G1877+H1877+I1877)</f>
        <v/>
      </c>
      <c r="L1877" s="17" t="str">
        <f aca="false">IF(OR(K1877="",E1877=0,E1877=""),"",K1877/E1877)</f>
        <v/>
      </c>
      <c r="M1877" s="18" t="str">
        <f aca="false">IF(OR(A1877="",E1877=""),"",E1877+ROW()/1000000)</f>
        <v/>
      </c>
    </row>
    <row r="1878" customFormat="false" ht="15" hidden="false" customHeight="false" outlineLevel="0" collapsed="false">
      <c r="A1878" s="12"/>
      <c r="B1878" s="13"/>
      <c r="C1878" s="13"/>
      <c r="D1878" s="14"/>
      <c r="E1878" s="15"/>
      <c r="F1878" s="15"/>
      <c r="G1878" s="15"/>
      <c r="H1878" s="15"/>
      <c r="I1878" s="15"/>
      <c r="J1878" s="15"/>
      <c r="K1878" s="16" t="str">
        <f aca="false">IF(A1878="","",F1878+G1878+H1878+I1878)</f>
        <v/>
      </c>
      <c r="L1878" s="17" t="str">
        <f aca="false">IF(OR(K1878="",E1878=0,E1878=""),"",K1878/E1878)</f>
        <v/>
      </c>
      <c r="M1878" s="18" t="str">
        <f aca="false">IF(OR(A1878="",E1878=""),"",E1878+ROW()/1000000)</f>
        <v/>
      </c>
    </row>
    <row r="1879" customFormat="false" ht="15" hidden="false" customHeight="false" outlineLevel="0" collapsed="false">
      <c r="A1879" s="12"/>
      <c r="B1879" s="13"/>
      <c r="C1879" s="13"/>
      <c r="D1879" s="14"/>
      <c r="E1879" s="15"/>
      <c r="F1879" s="15"/>
      <c r="G1879" s="15"/>
      <c r="H1879" s="15"/>
      <c r="I1879" s="15"/>
      <c r="J1879" s="15"/>
      <c r="K1879" s="16" t="str">
        <f aca="false">IF(A1879="","",F1879+G1879+H1879+I1879)</f>
        <v/>
      </c>
      <c r="L1879" s="17" t="str">
        <f aca="false">IF(OR(K1879="",E1879=0,E1879=""),"",K1879/E1879)</f>
        <v/>
      </c>
      <c r="M1879" s="18" t="str">
        <f aca="false">IF(OR(A1879="",E1879=""),"",E1879+ROW()/1000000)</f>
        <v/>
      </c>
    </row>
    <row r="1880" customFormat="false" ht="15" hidden="false" customHeight="false" outlineLevel="0" collapsed="false">
      <c r="A1880" s="12"/>
      <c r="B1880" s="13"/>
      <c r="C1880" s="13"/>
      <c r="D1880" s="14"/>
      <c r="E1880" s="15"/>
      <c r="F1880" s="15"/>
      <c r="G1880" s="15"/>
      <c r="H1880" s="15"/>
      <c r="I1880" s="15"/>
      <c r="J1880" s="15"/>
      <c r="K1880" s="16" t="str">
        <f aca="false">IF(A1880="","",F1880+G1880+H1880+I1880)</f>
        <v/>
      </c>
      <c r="L1880" s="17" t="str">
        <f aca="false">IF(OR(K1880="",E1880=0,E1880=""),"",K1880/E1880)</f>
        <v/>
      </c>
      <c r="M1880" s="18" t="str">
        <f aca="false">IF(OR(A1880="",E1880=""),"",E1880+ROW()/1000000)</f>
        <v/>
      </c>
    </row>
    <row r="1881" customFormat="false" ht="15" hidden="false" customHeight="false" outlineLevel="0" collapsed="false">
      <c r="A1881" s="12"/>
      <c r="B1881" s="13"/>
      <c r="C1881" s="13"/>
      <c r="D1881" s="14"/>
      <c r="E1881" s="15"/>
      <c r="F1881" s="15"/>
      <c r="G1881" s="15"/>
      <c r="H1881" s="15"/>
      <c r="I1881" s="15"/>
      <c r="J1881" s="15"/>
      <c r="K1881" s="16" t="str">
        <f aca="false">IF(A1881="","",F1881+G1881+H1881+I1881)</f>
        <v/>
      </c>
      <c r="L1881" s="17" t="str">
        <f aca="false">IF(OR(K1881="",E1881=0,E1881=""),"",K1881/E1881)</f>
        <v/>
      </c>
      <c r="M1881" s="18" t="str">
        <f aca="false">IF(OR(A1881="",E1881=""),"",E1881+ROW()/1000000)</f>
        <v/>
      </c>
    </row>
    <row r="1882" customFormat="false" ht="15" hidden="false" customHeight="false" outlineLevel="0" collapsed="false">
      <c r="A1882" s="12"/>
      <c r="B1882" s="13"/>
      <c r="C1882" s="13"/>
      <c r="D1882" s="14"/>
      <c r="E1882" s="15"/>
      <c r="F1882" s="15"/>
      <c r="G1882" s="15"/>
      <c r="H1882" s="15"/>
      <c r="I1882" s="15"/>
      <c r="J1882" s="15"/>
      <c r="K1882" s="16" t="str">
        <f aca="false">IF(A1882="","",F1882+G1882+H1882+I1882)</f>
        <v/>
      </c>
      <c r="L1882" s="17" t="str">
        <f aca="false">IF(OR(K1882="",E1882=0,E1882=""),"",K1882/E1882)</f>
        <v/>
      </c>
      <c r="M1882" s="18" t="str">
        <f aca="false">IF(OR(A1882="",E1882=""),"",E1882+ROW()/1000000)</f>
        <v/>
      </c>
    </row>
    <row r="1883" customFormat="false" ht="15" hidden="false" customHeight="false" outlineLevel="0" collapsed="false">
      <c r="A1883" s="12"/>
      <c r="B1883" s="13"/>
      <c r="C1883" s="13"/>
      <c r="D1883" s="14"/>
      <c r="E1883" s="15"/>
      <c r="F1883" s="15"/>
      <c r="G1883" s="15"/>
      <c r="H1883" s="15"/>
      <c r="I1883" s="15"/>
      <c r="J1883" s="15"/>
      <c r="K1883" s="16" t="str">
        <f aca="false">IF(A1883="","",F1883+G1883+H1883+I1883)</f>
        <v/>
      </c>
      <c r="L1883" s="17" t="str">
        <f aca="false">IF(OR(K1883="",E1883=0,E1883=""),"",K1883/E1883)</f>
        <v/>
      </c>
      <c r="M1883" s="18" t="str">
        <f aca="false">IF(OR(A1883="",E1883=""),"",E1883+ROW()/1000000)</f>
        <v/>
      </c>
    </row>
    <row r="1884" customFormat="false" ht="15" hidden="false" customHeight="false" outlineLevel="0" collapsed="false">
      <c r="A1884" s="12"/>
      <c r="B1884" s="13"/>
      <c r="C1884" s="13"/>
      <c r="D1884" s="14"/>
      <c r="E1884" s="15"/>
      <c r="F1884" s="15"/>
      <c r="G1884" s="15"/>
      <c r="H1884" s="15"/>
      <c r="I1884" s="15"/>
      <c r="J1884" s="15"/>
      <c r="K1884" s="16" t="str">
        <f aca="false">IF(A1884="","",F1884+G1884+H1884+I1884)</f>
        <v/>
      </c>
      <c r="L1884" s="17" t="str">
        <f aca="false">IF(OR(K1884="",E1884=0,E1884=""),"",K1884/E1884)</f>
        <v/>
      </c>
      <c r="M1884" s="18" t="str">
        <f aca="false">IF(OR(A1884="",E1884=""),"",E1884+ROW()/1000000)</f>
        <v/>
      </c>
    </row>
    <row r="1885" customFormat="false" ht="15" hidden="false" customHeight="false" outlineLevel="0" collapsed="false">
      <c r="A1885" s="12"/>
      <c r="B1885" s="13"/>
      <c r="C1885" s="13"/>
      <c r="D1885" s="14"/>
      <c r="E1885" s="15"/>
      <c r="F1885" s="15"/>
      <c r="G1885" s="15"/>
      <c r="H1885" s="15"/>
      <c r="I1885" s="15"/>
      <c r="J1885" s="15"/>
      <c r="K1885" s="16" t="str">
        <f aca="false">IF(A1885="","",F1885+G1885+H1885+I1885)</f>
        <v/>
      </c>
      <c r="L1885" s="17" t="str">
        <f aca="false">IF(OR(K1885="",E1885=0,E1885=""),"",K1885/E1885)</f>
        <v/>
      </c>
      <c r="M1885" s="18" t="str">
        <f aca="false">IF(OR(A1885="",E1885=""),"",E1885+ROW()/1000000)</f>
        <v/>
      </c>
    </row>
    <row r="1886" customFormat="false" ht="15" hidden="false" customHeight="false" outlineLevel="0" collapsed="false">
      <c r="A1886" s="12"/>
      <c r="B1886" s="13"/>
      <c r="C1886" s="13"/>
      <c r="D1886" s="14"/>
      <c r="E1886" s="15"/>
      <c r="F1886" s="15"/>
      <c r="G1886" s="15"/>
      <c r="H1886" s="15"/>
      <c r="I1886" s="15"/>
      <c r="J1886" s="15"/>
      <c r="K1886" s="16" t="str">
        <f aca="false">IF(A1886="","",F1886+G1886+H1886+I1886)</f>
        <v/>
      </c>
      <c r="L1886" s="17" t="str">
        <f aca="false">IF(OR(K1886="",E1886=0,E1886=""),"",K1886/E1886)</f>
        <v/>
      </c>
      <c r="M1886" s="18" t="str">
        <f aca="false">IF(OR(A1886="",E1886=""),"",E1886+ROW()/1000000)</f>
        <v/>
      </c>
    </row>
    <row r="1887" customFormat="false" ht="15" hidden="false" customHeight="false" outlineLevel="0" collapsed="false">
      <c r="A1887" s="12"/>
      <c r="B1887" s="13"/>
      <c r="C1887" s="13"/>
      <c r="D1887" s="14"/>
      <c r="E1887" s="15"/>
      <c r="F1887" s="15"/>
      <c r="G1887" s="15"/>
      <c r="H1887" s="15"/>
      <c r="I1887" s="15"/>
      <c r="J1887" s="15"/>
      <c r="K1887" s="16" t="str">
        <f aca="false">IF(A1887="","",F1887+G1887+H1887+I1887)</f>
        <v/>
      </c>
      <c r="L1887" s="17" t="str">
        <f aca="false">IF(OR(K1887="",E1887=0,E1887=""),"",K1887/E1887)</f>
        <v/>
      </c>
      <c r="M1887" s="18" t="str">
        <f aca="false">IF(OR(A1887="",E1887=""),"",E1887+ROW()/1000000)</f>
        <v/>
      </c>
    </row>
    <row r="1888" customFormat="false" ht="15" hidden="false" customHeight="false" outlineLevel="0" collapsed="false">
      <c r="A1888" s="12"/>
      <c r="B1888" s="13"/>
      <c r="C1888" s="13"/>
      <c r="D1888" s="14"/>
      <c r="E1888" s="15"/>
      <c r="F1888" s="15"/>
      <c r="G1888" s="15"/>
      <c r="H1888" s="15"/>
      <c r="I1888" s="15"/>
      <c r="J1888" s="15"/>
      <c r="K1888" s="16" t="str">
        <f aca="false">IF(A1888="","",F1888+G1888+H1888+I1888)</f>
        <v/>
      </c>
      <c r="L1888" s="17" t="str">
        <f aca="false">IF(OR(K1888="",E1888=0,E1888=""),"",K1888/E1888)</f>
        <v/>
      </c>
      <c r="M1888" s="18" t="str">
        <f aca="false">IF(OR(A1888="",E1888=""),"",E1888+ROW()/1000000)</f>
        <v/>
      </c>
    </row>
    <row r="1889" customFormat="false" ht="15" hidden="false" customHeight="false" outlineLevel="0" collapsed="false">
      <c r="A1889" s="12"/>
      <c r="B1889" s="13"/>
      <c r="C1889" s="13"/>
      <c r="D1889" s="14"/>
      <c r="E1889" s="15"/>
      <c r="F1889" s="15"/>
      <c r="G1889" s="15"/>
      <c r="H1889" s="15"/>
      <c r="I1889" s="15"/>
      <c r="J1889" s="15"/>
      <c r="K1889" s="16" t="str">
        <f aca="false">IF(A1889="","",F1889+G1889+H1889+I1889)</f>
        <v/>
      </c>
      <c r="L1889" s="17" t="str">
        <f aca="false">IF(OR(K1889="",E1889=0,E1889=""),"",K1889/E1889)</f>
        <v/>
      </c>
      <c r="M1889" s="18" t="str">
        <f aca="false">IF(OR(A1889="",E1889=""),"",E1889+ROW()/1000000)</f>
        <v/>
      </c>
    </row>
    <row r="1890" customFormat="false" ht="15" hidden="false" customHeight="false" outlineLevel="0" collapsed="false">
      <c r="A1890" s="12"/>
      <c r="B1890" s="13"/>
      <c r="C1890" s="13"/>
      <c r="D1890" s="14"/>
      <c r="E1890" s="15"/>
      <c r="F1890" s="15"/>
      <c r="G1890" s="15"/>
      <c r="H1890" s="15"/>
      <c r="I1890" s="15"/>
      <c r="J1890" s="15"/>
      <c r="K1890" s="16" t="str">
        <f aca="false">IF(A1890="","",F1890+G1890+H1890+I1890)</f>
        <v/>
      </c>
      <c r="L1890" s="17" t="str">
        <f aca="false">IF(OR(K1890="",E1890=0,E1890=""),"",K1890/E1890)</f>
        <v/>
      </c>
      <c r="M1890" s="18" t="str">
        <f aca="false">IF(OR(A1890="",E1890=""),"",E1890+ROW()/1000000)</f>
        <v/>
      </c>
    </row>
    <row r="1891" customFormat="false" ht="15" hidden="false" customHeight="false" outlineLevel="0" collapsed="false">
      <c r="A1891" s="12"/>
      <c r="B1891" s="13"/>
      <c r="C1891" s="13"/>
      <c r="D1891" s="14"/>
      <c r="E1891" s="15"/>
      <c r="F1891" s="15"/>
      <c r="G1891" s="15"/>
      <c r="H1891" s="15"/>
      <c r="I1891" s="15"/>
      <c r="J1891" s="15"/>
      <c r="K1891" s="16" t="str">
        <f aca="false">IF(A1891="","",F1891+G1891+H1891+I1891)</f>
        <v/>
      </c>
      <c r="L1891" s="17" t="str">
        <f aca="false">IF(OR(K1891="",E1891=0,E1891=""),"",K1891/E1891)</f>
        <v/>
      </c>
      <c r="M1891" s="18" t="str">
        <f aca="false">IF(OR(A1891="",E1891=""),"",E1891+ROW()/1000000)</f>
        <v/>
      </c>
    </row>
    <row r="1892" customFormat="false" ht="15" hidden="false" customHeight="false" outlineLevel="0" collapsed="false">
      <c r="A1892" s="12"/>
      <c r="B1892" s="13"/>
      <c r="C1892" s="13"/>
      <c r="D1892" s="14"/>
      <c r="E1892" s="15"/>
      <c r="F1892" s="15"/>
      <c r="G1892" s="15"/>
      <c r="H1892" s="15"/>
      <c r="I1892" s="15"/>
      <c r="J1892" s="15"/>
      <c r="K1892" s="16" t="str">
        <f aca="false">IF(A1892="","",F1892+G1892+H1892+I1892)</f>
        <v/>
      </c>
      <c r="L1892" s="17" t="str">
        <f aca="false">IF(OR(K1892="",E1892=0,E1892=""),"",K1892/E1892)</f>
        <v/>
      </c>
      <c r="M1892" s="18" t="str">
        <f aca="false">IF(OR(A1892="",E1892=""),"",E1892+ROW()/1000000)</f>
        <v/>
      </c>
    </row>
    <row r="1893" customFormat="false" ht="15" hidden="false" customHeight="false" outlineLevel="0" collapsed="false">
      <c r="A1893" s="12"/>
      <c r="B1893" s="13"/>
      <c r="C1893" s="13"/>
      <c r="D1893" s="14"/>
      <c r="E1893" s="15"/>
      <c r="F1893" s="15"/>
      <c r="G1893" s="15"/>
      <c r="H1893" s="15"/>
      <c r="I1893" s="15"/>
      <c r="J1893" s="15"/>
      <c r="K1893" s="16" t="str">
        <f aca="false">IF(A1893="","",F1893+G1893+H1893+I1893)</f>
        <v/>
      </c>
      <c r="L1893" s="17" t="str">
        <f aca="false">IF(OR(K1893="",E1893=0,E1893=""),"",K1893/E1893)</f>
        <v/>
      </c>
      <c r="M1893" s="18" t="str">
        <f aca="false">IF(OR(A1893="",E1893=""),"",E1893+ROW()/1000000)</f>
        <v/>
      </c>
    </row>
    <row r="1894" customFormat="false" ht="15" hidden="false" customHeight="false" outlineLevel="0" collapsed="false">
      <c r="A1894" s="12"/>
      <c r="B1894" s="13"/>
      <c r="C1894" s="13"/>
      <c r="D1894" s="14"/>
      <c r="E1894" s="15"/>
      <c r="F1894" s="15"/>
      <c r="G1894" s="15"/>
      <c r="H1894" s="15"/>
      <c r="I1894" s="15"/>
      <c r="J1894" s="15"/>
      <c r="K1894" s="16" t="str">
        <f aca="false">IF(A1894="","",F1894+G1894+H1894+I1894)</f>
        <v/>
      </c>
      <c r="L1894" s="17" t="str">
        <f aca="false">IF(OR(K1894="",E1894=0,E1894=""),"",K1894/E1894)</f>
        <v/>
      </c>
      <c r="M1894" s="18" t="str">
        <f aca="false">IF(OR(A1894="",E1894=""),"",E1894+ROW()/1000000)</f>
        <v/>
      </c>
    </row>
    <row r="1895" customFormat="false" ht="15" hidden="false" customHeight="false" outlineLevel="0" collapsed="false">
      <c r="A1895" s="12"/>
      <c r="B1895" s="13"/>
      <c r="C1895" s="13"/>
      <c r="D1895" s="14"/>
      <c r="E1895" s="15"/>
      <c r="F1895" s="15"/>
      <c r="G1895" s="15"/>
      <c r="H1895" s="15"/>
      <c r="I1895" s="15"/>
      <c r="J1895" s="15"/>
      <c r="K1895" s="16" t="str">
        <f aca="false">IF(A1895="","",F1895+G1895+H1895+I1895)</f>
        <v/>
      </c>
      <c r="L1895" s="17" t="str">
        <f aca="false">IF(OR(K1895="",E1895=0,E1895=""),"",K1895/E1895)</f>
        <v/>
      </c>
      <c r="M1895" s="18" t="str">
        <f aca="false">IF(OR(A1895="",E1895=""),"",E1895+ROW()/1000000)</f>
        <v/>
      </c>
    </row>
    <row r="1896" customFormat="false" ht="15" hidden="false" customHeight="false" outlineLevel="0" collapsed="false">
      <c r="A1896" s="12"/>
      <c r="B1896" s="13"/>
      <c r="C1896" s="13"/>
      <c r="D1896" s="14"/>
      <c r="E1896" s="15"/>
      <c r="F1896" s="15"/>
      <c r="G1896" s="15"/>
      <c r="H1896" s="15"/>
      <c r="I1896" s="15"/>
      <c r="J1896" s="15"/>
      <c r="K1896" s="16" t="str">
        <f aca="false">IF(A1896="","",F1896+G1896+H1896+I1896)</f>
        <v/>
      </c>
      <c r="L1896" s="17" t="str">
        <f aca="false">IF(OR(K1896="",E1896=0,E1896=""),"",K1896/E1896)</f>
        <v/>
      </c>
      <c r="M1896" s="18" t="str">
        <f aca="false">IF(OR(A1896="",E1896=""),"",E1896+ROW()/1000000)</f>
        <v/>
      </c>
    </row>
    <row r="1897" customFormat="false" ht="15" hidden="false" customHeight="false" outlineLevel="0" collapsed="false">
      <c r="A1897" s="12"/>
      <c r="B1897" s="13"/>
      <c r="C1897" s="13"/>
      <c r="D1897" s="14"/>
      <c r="E1897" s="15"/>
      <c r="F1897" s="15"/>
      <c r="G1897" s="15"/>
      <c r="H1897" s="15"/>
      <c r="I1897" s="15"/>
      <c r="J1897" s="15"/>
      <c r="K1897" s="16" t="str">
        <f aca="false">IF(A1897="","",F1897+G1897+H1897+I1897)</f>
        <v/>
      </c>
      <c r="L1897" s="17" t="str">
        <f aca="false">IF(OR(K1897="",E1897=0,E1897=""),"",K1897/E1897)</f>
        <v/>
      </c>
      <c r="M1897" s="18" t="str">
        <f aca="false">IF(OR(A1897="",E1897=""),"",E1897+ROW()/1000000)</f>
        <v/>
      </c>
    </row>
    <row r="1898" customFormat="false" ht="15" hidden="false" customHeight="false" outlineLevel="0" collapsed="false">
      <c r="A1898" s="12"/>
      <c r="B1898" s="13"/>
      <c r="C1898" s="13"/>
      <c r="D1898" s="14"/>
      <c r="E1898" s="15"/>
      <c r="F1898" s="15"/>
      <c r="G1898" s="15"/>
      <c r="H1898" s="15"/>
      <c r="I1898" s="15"/>
      <c r="J1898" s="15"/>
      <c r="K1898" s="16" t="str">
        <f aca="false">IF(A1898="","",F1898+G1898+H1898+I1898)</f>
        <v/>
      </c>
      <c r="L1898" s="17" t="str">
        <f aca="false">IF(OR(K1898="",E1898=0,E1898=""),"",K1898/E1898)</f>
        <v/>
      </c>
      <c r="M1898" s="18" t="str">
        <f aca="false">IF(OR(A1898="",E1898=""),"",E1898+ROW()/1000000)</f>
        <v/>
      </c>
    </row>
    <row r="1899" customFormat="false" ht="15" hidden="false" customHeight="false" outlineLevel="0" collapsed="false">
      <c r="A1899" s="12"/>
      <c r="B1899" s="13"/>
      <c r="C1899" s="13"/>
      <c r="D1899" s="14"/>
      <c r="E1899" s="15"/>
      <c r="F1899" s="15"/>
      <c r="G1899" s="15"/>
      <c r="H1899" s="15"/>
      <c r="I1899" s="15"/>
      <c r="J1899" s="15"/>
      <c r="K1899" s="16" t="str">
        <f aca="false">IF(A1899="","",F1899+G1899+H1899+I1899)</f>
        <v/>
      </c>
      <c r="L1899" s="17" t="str">
        <f aca="false">IF(OR(K1899="",E1899=0,E1899=""),"",K1899/E1899)</f>
        <v/>
      </c>
      <c r="M1899" s="18" t="str">
        <f aca="false">IF(OR(A1899="",E1899=""),"",E1899+ROW()/1000000)</f>
        <v/>
      </c>
    </row>
    <row r="1900" customFormat="false" ht="15" hidden="false" customHeight="false" outlineLevel="0" collapsed="false">
      <c r="A1900" s="12"/>
      <c r="B1900" s="13"/>
      <c r="C1900" s="13"/>
      <c r="D1900" s="14"/>
      <c r="E1900" s="15"/>
      <c r="F1900" s="15"/>
      <c r="G1900" s="15"/>
      <c r="H1900" s="15"/>
      <c r="I1900" s="15"/>
      <c r="J1900" s="15"/>
      <c r="K1900" s="16" t="str">
        <f aca="false">IF(A1900="","",F1900+G1900+H1900+I1900)</f>
        <v/>
      </c>
      <c r="L1900" s="17" t="str">
        <f aca="false">IF(OR(K1900="",E1900=0,E1900=""),"",K1900/E1900)</f>
        <v/>
      </c>
      <c r="M1900" s="18" t="str">
        <f aca="false">IF(OR(A1900="",E1900=""),"",E1900+ROW()/1000000)</f>
        <v/>
      </c>
    </row>
    <row r="1901" customFormat="false" ht="15" hidden="false" customHeight="false" outlineLevel="0" collapsed="false">
      <c r="A1901" s="12"/>
      <c r="B1901" s="13"/>
      <c r="C1901" s="13"/>
      <c r="D1901" s="14"/>
      <c r="E1901" s="15"/>
      <c r="F1901" s="15"/>
      <c r="G1901" s="15"/>
      <c r="H1901" s="15"/>
      <c r="I1901" s="15"/>
      <c r="J1901" s="15"/>
      <c r="K1901" s="16" t="str">
        <f aca="false">IF(A1901="","",F1901+G1901+H1901+I1901)</f>
        <v/>
      </c>
      <c r="L1901" s="17" t="str">
        <f aca="false">IF(OR(K1901="",E1901=0,E1901=""),"",K1901/E1901)</f>
        <v/>
      </c>
      <c r="M1901" s="18" t="str">
        <f aca="false">IF(OR(A1901="",E1901=""),"",E1901+ROW()/1000000)</f>
        <v/>
      </c>
    </row>
    <row r="1902" customFormat="false" ht="15" hidden="false" customHeight="false" outlineLevel="0" collapsed="false">
      <c r="A1902" s="12"/>
      <c r="B1902" s="13"/>
      <c r="C1902" s="13"/>
      <c r="D1902" s="14"/>
      <c r="E1902" s="15"/>
      <c r="F1902" s="15"/>
      <c r="G1902" s="15"/>
      <c r="H1902" s="15"/>
      <c r="I1902" s="15"/>
      <c r="J1902" s="15"/>
      <c r="K1902" s="16" t="str">
        <f aca="false">IF(A1902="","",F1902+G1902+H1902+I1902)</f>
        <v/>
      </c>
      <c r="L1902" s="17" t="str">
        <f aca="false">IF(OR(K1902="",E1902=0,E1902=""),"",K1902/E1902)</f>
        <v/>
      </c>
      <c r="M1902" s="18" t="str">
        <f aca="false">IF(OR(A1902="",E1902=""),"",E1902+ROW()/1000000)</f>
        <v/>
      </c>
    </row>
    <row r="1903" customFormat="false" ht="15" hidden="false" customHeight="false" outlineLevel="0" collapsed="false">
      <c r="A1903" s="12"/>
      <c r="B1903" s="13"/>
      <c r="C1903" s="13"/>
      <c r="D1903" s="14"/>
      <c r="E1903" s="15"/>
      <c r="F1903" s="15"/>
      <c r="G1903" s="15"/>
      <c r="H1903" s="15"/>
      <c r="I1903" s="15"/>
      <c r="J1903" s="15"/>
      <c r="K1903" s="16" t="str">
        <f aca="false">IF(A1903="","",F1903+G1903+H1903+I1903)</f>
        <v/>
      </c>
      <c r="L1903" s="17" t="str">
        <f aca="false">IF(OR(K1903="",E1903=0,E1903=""),"",K1903/E1903)</f>
        <v/>
      </c>
      <c r="M1903" s="18" t="str">
        <f aca="false">IF(OR(A1903="",E1903=""),"",E1903+ROW()/1000000)</f>
        <v/>
      </c>
    </row>
    <row r="1904" customFormat="false" ht="15" hidden="false" customHeight="false" outlineLevel="0" collapsed="false">
      <c r="A1904" s="12"/>
      <c r="B1904" s="13"/>
      <c r="C1904" s="13"/>
      <c r="D1904" s="14"/>
      <c r="E1904" s="15"/>
      <c r="F1904" s="15"/>
      <c r="G1904" s="15"/>
      <c r="H1904" s="15"/>
      <c r="I1904" s="15"/>
      <c r="J1904" s="15"/>
      <c r="K1904" s="16" t="str">
        <f aca="false">IF(A1904="","",F1904+G1904+H1904+I1904)</f>
        <v/>
      </c>
      <c r="L1904" s="17" t="str">
        <f aca="false">IF(OR(K1904="",E1904=0,E1904=""),"",K1904/E1904)</f>
        <v/>
      </c>
      <c r="M1904" s="18" t="str">
        <f aca="false">IF(OR(A1904="",E1904=""),"",E1904+ROW()/1000000)</f>
        <v/>
      </c>
    </row>
    <row r="1905" customFormat="false" ht="15" hidden="false" customHeight="false" outlineLevel="0" collapsed="false">
      <c r="A1905" s="12"/>
      <c r="B1905" s="13"/>
      <c r="C1905" s="13"/>
      <c r="D1905" s="14"/>
      <c r="E1905" s="15"/>
      <c r="F1905" s="15"/>
      <c r="G1905" s="15"/>
      <c r="H1905" s="15"/>
      <c r="I1905" s="15"/>
      <c r="J1905" s="15"/>
      <c r="K1905" s="16" t="str">
        <f aca="false">IF(A1905="","",F1905+G1905+H1905+I1905)</f>
        <v/>
      </c>
      <c r="L1905" s="17" t="str">
        <f aca="false">IF(OR(K1905="",E1905=0,E1905=""),"",K1905/E1905)</f>
        <v/>
      </c>
      <c r="M1905" s="18" t="str">
        <f aca="false">IF(OR(A1905="",E1905=""),"",E1905+ROW()/1000000)</f>
        <v/>
      </c>
    </row>
    <row r="1906" customFormat="false" ht="15" hidden="false" customHeight="false" outlineLevel="0" collapsed="false">
      <c r="A1906" s="12"/>
      <c r="B1906" s="13"/>
      <c r="C1906" s="13"/>
      <c r="D1906" s="14"/>
      <c r="E1906" s="15"/>
      <c r="F1906" s="15"/>
      <c r="G1906" s="15"/>
      <c r="H1906" s="15"/>
      <c r="I1906" s="15"/>
      <c r="J1906" s="15"/>
      <c r="K1906" s="16" t="str">
        <f aca="false">IF(A1906="","",F1906+G1906+H1906+I1906)</f>
        <v/>
      </c>
      <c r="L1906" s="17" t="str">
        <f aca="false">IF(OR(K1906="",E1906=0,E1906=""),"",K1906/E1906)</f>
        <v/>
      </c>
      <c r="M1906" s="18" t="str">
        <f aca="false">IF(OR(A1906="",E1906=""),"",E1906+ROW()/1000000)</f>
        <v/>
      </c>
    </row>
    <row r="1907" customFormat="false" ht="15" hidden="false" customHeight="false" outlineLevel="0" collapsed="false">
      <c r="A1907" s="12"/>
      <c r="B1907" s="13"/>
      <c r="C1907" s="13"/>
      <c r="D1907" s="14"/>
      <c r="E1907" s="15"/>
      <c r="F1907" s="15"/>
      <c r="G1907" s="15"/>
      <c r="H1907" s="15"/>
      <c r="I1907" s="15"/>
      <c r="J1907" s="15"/>
      <c r="K1907" s="16" t="str">
        <f aca="false">IF(A1907="","",F1907+G1907+H1907+I1907)</f>
        <v/>
      </c>
      <c r="L1907" s="17" t="str">
        <f aca="false">IF(OR(K1907="",E1907=0,E1907=""),"",K1907/E1907)</f>
        <v/>
      </c>
      <c r="M1907" s="18" t="str">
        <f aca="false">IF(OR(A1907="",E1907=""),"",E1907+ROW()/1000000)</f>
        <v/>
      </c>
    </row>
    <row r="1908" customFormat="false" ht="15" hidden="false" customHeight="false" outlineLevel="0" collapsed="false">
      <c r="A1908" s="12"/>
      <c r="B1908" s="13"/>
      <c r="C1908" s="13"/>
      <c r="D1908" s="14"/>
      <c r="E1908" s="15"/>
      <c r="F1908" s="15"/>
      <c r="G1908" s="15"/>
      <c r="H1908" s="15"/>
      <c r="I1908" s="15"/>
      <c r="J1908" s="15"/>
      <c r="K1908" s="16" t="str">
        <f aca="false">IF(A1908="","",F1908+G1908+H1908+I1908)</f>
        <v/>
      </c>
      <c r="L1908" s="17" t="str">
        <f aca="false">IF(OR(K1908="",E1908=0,E1908=""),"",K1908/E1908)</f>
        <v/>
      </c>
      <c r="M1908" s="18" t="str">
        <f aca="false">IF(OR(A1908="",E1908=""),"",E1908+ROW()/1000000)</f>
        <v/>
      </c>
    </row>
    <row r="1909" customFormat="false" ht="15" hidden="false" customHeight="false" outlineLevel="0" collapsed="false">
      <c r="A1909" s="12"/>
      <c r="B1909" s="13"/>
      <c r="C1909" s="13"/>
      <c r="D1909" s="14"/>
      <c r="E1909" s="15"/>
      <c r="F1909" s="15"/>
      <c r="G1909" s="15"/>
      <c r="H1909" s="15"/>
      <c r="I1909" s="15"/>
      <c r="J1909" s="15"/>
      <c r="K1909" s="16" t="str">
        <f aca="false">IF(A1909="","",F1909+G1909+H1909+I1909)</f>
        <v/>
      </c>
      <c r="L1909" s="17" t="str">
        <f aca="false">IF(OR(K1909="",E1909=0,E1909=""),"",K1909/E1909)</f>
        <v/>
      </c>
      <c r="M1909" s="18" t="str">
        <f aca="false">IF(OR(A1909="",E1909=""),"",E1909+ROW()/1000000)</f>
        <v/>
      </c>
    </row>
    <row r="1910" customFormat="false" ht="15" hidden="false" customHeight="false" outlineLevel="0" collapsed="false">
      <c r="A1910" s="12"/>
      <c r="B1910" s="13"/>
      <c r="C1910" s="13"/>
      <c r="D1910" s="14"/>
      <c r="E1910" s="15"/>
      <c r="F1910" s="15"/>
      <c r="G1910" s="15"/>
      <c r="H1910" s="15"/>
      <c r="I1910" s="15"/>
      <c r="J1910" s="15"/>
      <c r="K1910" s="16" t="str">
        <f aca="false">IF(A1910="","",F1910+G1910+H1910+I1910)</f>
        <v/>
      </c>
      <c r="L1910" s="17" t="str">
        <f aca="false">IF(OR(K1910="",E1910=0,E1910=""),"",K1910/E1910)</f>
        <v/>
      </c>
      <c r="M1910" s="18" t="str">
        <f aca="false">IF(OR(A1910="",E1910=""),"",E1910+ROW()/1000000)</f>
        <v/>
      </c>
    </row>
    <row r="1911" customFormat="false" ht="15" hidden="false" customHeight="false" outlineLevel="0" collapsed="false">
      <c r="A1911" s="12"/>
      <c r="B1911" s="13"/>
      <c r="C1911" s="13"/>
      <c r="D1911" s="14"/>
      <c r="E1911" s="15"/>
      <c r="F1911" s="15"/>
      <c r="G1911" s="15"/>
      <c r="H1911" s="15"/>
      <c r="I1911" s="15"/>
      <c r="J1911" s="15"/>
      <c r="K1911" s="16" t="str">
        <f aca="false">IF(A1911="","",F1911+G1911+H1911+I1911)</f>
        <v/>
      </c>
      <c r="L1911" s="17" t="str">
        <f aca="false">IF(OR(K1911="",E1911=0,E1911=""),"",K1911/E1911)</f>
        <v/>
      </c>
      <c r="M1911" s="18" t="str">
        <f aca="false">IF(OR(A1911="",E1911=""),"",E1911+ROW()/1000000)</f>
        <v/>
      </c>
    </row>
    <row r="1912" customFormat="false" ht="15" hidden="false" customHeight="false" outlineLevel="0" collapsed="false">
      <c r="A1912" s="12"/>
      <c r="B1912" s="13"/>
      <c r="C1912" s="13"/>
      <c r="D1912" s="14"/>
      <c r="E1912" s="15"/>
      <c r="F1912" s="15"/>
      <c r="G1912" s="15"/>
      <c r="H1912" s="15"/>
      <c r="I1912" s="15"/>
      <c r="J1912" s="15"/>
      <c r="K1912" s="16" t="str">
        <f aca="false">IF(A1912="","",F1912+G1912+H1912+I1912)</f>
        <v/>
      </c>
      <c r="L1912" s="17" t="str">
        <f aca="false">IF(OR(K1912="",E1912=0,E1912=""),"",K1912/E1912)</f>
        <v/>
      </c>
      <c r="M1912" s="18" t="str">
        <f aca="false">IF(OR(A1912="",E1912=""),"",E1912+ROW()/1000000)</f>
        <v/>
      </c>
    </row>
    <row r="1913" customFormat="false" ht="15" hidden="false" customHeight="false" outlineLevel="0" collapsed="false">
      <c r="A1913" s="12"/>
      <c r="B1913" s="13"/>
      <c r="C1913" s="13"/>
      <c r="D1913" s="14"/>
      <c r="E1913" s="15"/>
      <c r="F1913" s="15"/>
      <c r="G1913" s="15"/>
      <c r="H1913" s="15"/>
      <c r="I1913" s="15"/>
      <c r="J1913" s="15"/>
      <c r="K1913" s="16" t="str">
        <f aca="false">IF(A1913="","",F1913+G1913+H1913+I1913)</f>
        <v/>
      </c>
      <c r="L1913" s="17" t="str">
        <f aca="false">IF(OR(K1913="",E1913=0,E1913=""),"",K1913/E1913)</f>
        <v/>
      </c>
      <c r="M1913" s="18" t="str">
        <f aca="false">IF(OR(A1913="",E1913=""),"",E1913+ROW()/1000000)</f>
        <v/>
      </c>
    </row>
    <row r="1914" customFormat="false" ht="15" hidden="false" customHeight="false" outlineLevel="0" collapsed="false">
      <c r="A1914" s="12"/>
      <c r="B1914" s="13"/>
      <c r="C1914" s="13"/>
      <c r="D1914" s="14"/>
      <c r="E1914" s="15"/>
      <c r="F1914" s="15"/>
      <c r="G1914" s="15"/>
      <c r="H1914" s="15"/>
      <c r="I1914" s="15"/>
      <c r="J1914" s="15"/>
      <c r="K1914" s="16" t="str">
        <f aca="false">IF(A1914="","",F1914+G1914+H1914+I1914)</f>
        <v/>
      </c>
      <c r="L1914" s="17" t="str">
        <f aca="false">IF(OR(K1914="",E1914=0,E1914=""),"",K1914/E1914)</f>
        <v/>
      </c>
      <c r="M1914" s="18" t="str">
        <f aca="false">IF(OR(A1914="",E1914=""),"",E1914+ROW()/1000000)</f>
        <v/>
      </c>
    </row>
    <row r="1915" customFormat="false" ht="15" hidden="false" customHeight="false" outlineLevel="0" collapsed="false">
      <c r="A1915" s="12"/>
      <c r="B1915" s="13"/>
      <c r="C1915" s="13"/>
      <c r="D1915" s="14"/>
      <c r="E1915" s="15"/>
      <c r="F1915" s="15"/>
      <c r="G1915" s="15"/>
      <c r="H1915" s="15"/>
      <c r="I1915" s="15"/>
      <c r="J1915" s="15"/>
      <c r="K1915" s="16" t="str">
        <f aca="false">IF(A1915="","",F1915+G1915+H1915+I1915)</f>
        <v/>
      </c>
      <c r="L1915" s="17" t="str">
        <f aca="false">IF(OR(K1915="",E1915=0,E1915=""),"",K1915/E1915)</f>
        <v/>
      </c>
      <c r="M1915" s="18" t="str">
        <f aca="false">IF(OR(A1915="",E1915=""),"",E1915+ROW()/1000000)</f>
        <v/>
      </c>
    </row>
    <row r="1916" customFormat="false" ht="15" hidden="false" customHeight="false" outlineLevel="0" collapsed="false">
      <c r="A1916" s="12"/>
      <c r="B1916" s="13"/>
      <c r="C1916" s="13"/>
      <c r="D1916" s="14"/>
      <c r="E1916" s="15"/>
      <c r="F1916" s="15"/>
      <c r="G1916" s="15"/>
      <c r="H1916" s="15"/>
      <c r="I1916" s="15"/>
      <c r="J1916" s="15"/>
      <c r="K1916" s="16" t="str">
        <f aca="false">IF(A1916="","",F1916+G1916+H1916+I1916)</f>
        <v/>
      </c>
      <c r="L1916" s="17" t="str">
        <f aca="false">IF(OR(K1916="",E1916=0,E1916=""),"",K1916/E1916)</f>
        <v/>
      </c>
      <c r="M1916" s="18" t="str">
        <f aca="false">IF(OR(A1916="",E1916=""),"",E1916+ROW()/1000000)</f>
        <v/>
      </c>
    </row>
    <row r="1917" customFormat="false" ht="15" hidden="false" customHeight="false" outlineLevel="0" collapsed="false">
      <c r="A1917" s="12"/>
      <c r="B1917" s="13"/>
      <c r="C1917" s="13"/>
      <c r="D1917" s="14"/>
      <c r="E1917" s="15"/>
      <c r="F1917" s="15"/>
      <c r="G1917" s="15"/>
      <c r="H1917" s="15"/>
      <c r="I1917" s="15"/>
      <c r="J1917" s="15"/>
      <c r="K1917" s="16" t="str">
        <f aca="false">IF(A1917="","",F1917+G1917+H1917+I1917)</f>
        <v/>
      </c>
      <c r="L1917" s="17" t="str">
        <f aca="false">IF(OR(K1917="",E1917=0,E1917=""),"",K1917/E1917)</f>
        <v/>
      </c>
      <c r="M1917" s="18" t="str">
        <f aca="false">IF(OR(A1917="",E1917=""),"",E1917+ROW()/1000000)</f>
        <v/>
      </c>
    </row>
    <row r="1918" customFormat="false" ht="15" hidden="false" customHeight="false" outlineLevel="0" collapsed="false">
      <c r="A1918" s="12"/>
      <c r="B1918" s="13"/>
      <c r="C1918" s="13"/>
      <c r="D1918" s="14"/>
      <c r="E1918" s="15"/>
      <c r="F1918" s="15"/>
      <c r="G1918" s="15"/>
      <c r="H1918" s="15"/>
      <c r="I1918" s="15"/>
      <c r="J1918" s="15"/>
      <c r="K1918" s="16" t="str">
        <f aca="false">IF(A1918="","",F1918+G1918+H1918+I1918)</f>
        <v/>
      </c>
      <c r="L1918" s="17" t="str">
        <f aca="false">IF(OR(K1918="",E1918=0,E1918=""),"",K1918/E1918)</f>
        <v/>
      </c>
      <c r="M1918" s="18" t="str">
        <f aca="false">IF(OR(A1918="",E1918=""),"",E1918+ROW()/1000000)</f>
        <v/>
      </c>
    </row>
    <row r="1919" customFormat="false" ht="15" hidden="false" customHeight="false" outlineLevel="0" collapsed="false">
      <c r="A1919" s="12"/>
      <c r="B1919" s="13"/>
      <c r="C1919" s="13"/>
      <c r="D1919" s="14"/>
      <c r="E1919" s="15"/>
      <c r="F1919" s="15"/>
      <c r="G1919" s="15"/>
      <c r="H1919" s="15"/>
      <c r="I1919" s="15"/>
      <c r="J1919" s="15"/>
      <c r="K1919" s="16" t="str">
        <f aca="false">IF(A1919="","",F1919+G1919+H1919+I1919)</f>
        <v/>
      </c>
      <c r="L1919" s="17" t="str">
        <f aca="false">IF(OR(K1919="",E1919=0,E1919=""),"",K1919/E1919)</f>
        <v/>
      </c>
      <c r="M1919" s="18" t="str">
        <f aca="false">IF(OR(A1919="",E1919=""),"",E1919+ROW()/1000000)</f>
        <v/>
      </c>
    </row>
    <row r="1920" customFormat="false" ht="15" hidden="false" customHeight="false" outlineLevel="0" collapsed="false">
      <c r="A1920" s="12"/>
      <c r="B1920" s="13"/>
      <c r="C1920" s="13"/>
      <c r="D1920" s="14"/>
      <c r="E1920" s="15"/>
      <c r="F1920" s="15"/>
      <c r="G1920" s="15"/>
      <c r="H1920" s="15"/>
      <c r="I1920" s="15"/>
      <c r="J1920" s="15"/>
      <c r="K1920" s="16" t="str">
        <f aca="false">IF(A1920="","",F1920+G1920+H1920+I1920)</f>
        <v/>
      </c>
      <c r="L1920" s="17" t="str">
        <f aca="false">IF(OR(K1920="",E1920=0,E1920=""),"",K1920/E1920)</f>
        <v/>
      </c>
      <c r="M1920" s="18" t="str">
        <f aca="false">IF(OR(A1920="",E1920=""),"",E1920+ROW()/1000000)</f>
        <v/>
      </c>
    </row>
    <row r="1921" customFormat="false" ht="15" hidden="false" customHeight="false" outlineLevel="0" collapsed="false">
      <c r="A1921" s="12"/>
      <c r="B1921" s="13"/>
      <c r="C1921" s="13"/>
      <c r="D1921" s="14"/>
      <c r="E1921" s="15"/>
      <c r="F1921" s="15"/>
      <c r="G1921" s="15"/>
      <c r="H1921" s="15"/>
      <c r="I1921" s="15"/>
      <c r="J1921" s="15"/>
      <c r="K1921" s="16" t="str">
        <f aca="false">IF(A1921="","",F1921+G1921+H1921+I1921)</f>
        <v/>
      </c>
      <c r="L1921" s="17" t="str">
        <f aca="false">IF(OR(K1921="",E1921=0,E1921=""),"",K1921/E1921)</f>
        <v/>
      </c>
      <c r="M1921" s="18" t="str">
        <f aca="false">IF(OR(A1921="",E1921=""),"",E1921+ROW()/1000000)</f>
        <v/>
      </c>
    </row>
    <row r="1922" customFormat="false" ht="15" hidden="false" customHeight="false" outlineLevel="0" collapsed="false">
      <c r="A1922" s="12"/>
      <c r="B1922" s="13"/>
      <c r="C1922" s="13"/>
      <c r="D1922" s="14"/>
      <c r="E1922" s="15"/>
      <c r="F1922" s="15"/>
      <c r="G1922" s="15"/>
      <c r="H1922" s="15"/>
      <c r="I1922" s="15"/>
      <c r="J1922" s="15"/>
      <c r="K1922" s="16" t="str">
        <f aca="false">IF(A1922="","",F1922+G1922+H1922+I1922)</f>
        <v/>
      </c>
      <c r="L1922" s="17" t="str">
        <f aca="false">IF(OR(K1922="",E1922=0,E1922=""),"",K1922/E1922)</f>
        <v/>
      </c>
      <c r="M1922" s="18" t="str">
        <f aca="false">IF(OR(A1922="",E1922=""),"",E1922+ROW()/1000000)</f>
        <v/>
      </c>
    </row>
    <row r="1923" customFormat="false" ht="15" hidden="false" customHeight="false" outlineLevel="0" collapsed="false">
      <c r="A1923" s="12"/>
      <c r="B1923" s="13"/>
      <c r="C1923" s="13"/>
      <c r="D1923" s="14"/>
      <c r="E1923" s="15"/>
      <c r="F1923" s="15"/>
      <c r="G1923" s="15"/>
      <c r="H1923" s="15"/>
      <c r="I1923" s="15"/>
      <c r="J1923" s="15"/>
      <c r="K1923" s="16" t="str">
        <f aca="false">IF(A1923="","",F1923+G1923+H1923+I1923)</f>
        <v/>
      </c>
      <c r="L1923" s="17" t="str">
        <f aca="false">IF(OR(K1923="",E1923=0,E1923=""),"",K1923/E1923)</f>
        <v/>
      </c>
      <c r="M1923" s="18" t="str">
        <f aca="false">IF(OR(A1923="",E1923=""),"",E1923+ROW()/1000000)</f>
        <v/>
      </c>
    </row>
    <row r="1924" customFormat="false" ht="15" hidden="false" customHeight="false" outlineLevel="0" collapsed="false">
      <c r="A1924" s="12"/>
      <c r="B1924" s="13"/>
      <c r="C1924" s="13"/>
      <c r="D1924" s="14"/>
      <c r="E1924" s="15"/>
      <c r="F1924" s="15"/>
      <c r="G1924" s="15"/>
      <c r="H1924" s="15"/>
      <c r="I1924" s="15"/>
      <c r="J1924" s="15"/>
      <c r="K1924" s="16" t="str">
        <f aca="false">IF(A1924="","",F1924+G1924+H1924+I1924)</f>
        <v/>
      </c>
      <c r="L1924" s="17" t="str">
        <f aca="false">IF(OR(K1924="",E1924=0,E1924=""),"",K1924/E1924)</f>
        <v/>
      </c>
      <c r="M1924" s="18" t="str">
        <f aca="false">IF(OR(A1924="",E1924=""),"",E1924+ROW()/1000000)</f>
        <v/>
      </c>
    </row>
    <row r="1925" customFormat="false" ht="15" hidden="false" customHeight="false" outlineLevel="0" collapsed="false">
      <c r="A1925" s="12"/>
      <c r="B1925" s="13"/>
      <c r="C1925" s="13"/>
      <c r="D1925" s="14"/>
      <c r="E1925" s="15"/>
      <c r="F1925" s="15"/>
      <c r="G1925" s="15"/>
      <c r="H1925" s="15"/>
      <c r="I1925" s="15"/>
      <c r="J1925" s="15"/>
      <c r="K1925" s="16" t="str">
        <f aca="false">IF(A1925="","",F1925+G1925+H1925+I1925)</f>
        <v/>
      </c>
      <c r="L1925" s="17" t="str">
        <f aca="false">IF(OR(K1925="",E1925=0,E1925=""),"",K1925/E1925)</f>
        <v/>
      </c>
      <c r="M1925" s="18" t="str">
        <f aca="false">IF(OR(A1925="",E1925=""),"",E1925+ROW()/1000000)</f>
        <v/>
      </c>
    </row>
    <row r="1926" customFormat="false" ht="15" hidden="false" customHeight="false" outlineLevel="0" collapsed="false">
      <c r="A1926" s="12"/>
      <c r="B1926" s="13"/>
      <c r="C1926" s="13"/>
      <c r="D1926" s="14"/>
      <c r="E1926" s="15"/>
      <c r="F1926" s="15"/>
      <c r="G1926" s="15"/>
      <c r="H1926" s="15"/>
      <c r="I1926" s="15"/>
      <c r="J1926" s="15"/>
      <c r="K1926" s="16" t="str">
        <f aca="false">IF(A1926="","",F1926+G1926+H1926+I1926)</f>
        <v/>
      </c>
      <c r="L1926" s="17" t="str">
        <f aca="false">IF(OR(K1926="",E1926=0,E1926=""),"",K1926/E1926)</f>
        <v/>
      </c>
      <c r="M1926" s="18" t="str">
        <f aca="false">IF(OR(A1926="",E1926=""),"",E1926+ROW()/1000000)</f>
        <v/>
      </c>
    </row>
    <row r="1927" customFormat="false" ht="15" hidden="false" customHeight="false" outlineLevel="0" collapsed="false">
      <c r="A1927" s="12"/>
      <c r="B1927" s="13"/>
      <c r="C1927" s="13"/>
      <c r="D1927" s="14"/>
      <c r="E1927" s="15"/>
      <c r="F1927" s="15"/>
      <c r="G1927" s="15"/>
      <c r="H1927" s="15"/>
      <c r="I1927" s="15"/>
      <c r="J1927" s="15"/>
      <c r="K1927" s="16" t="str">
        <f aca="false">IF(A1927="","",F1927+G1927+H1927+I1927)</f>
        <v/>
      </c>
      <c r="L1927" s="17" t="str">
        <f aca="false">IF(OR(K1927="",E1927=0,E1927=""),"",K1927/E1927)</f>
        <v/>
      </c>
      <c r="M1927" s="18" t="str">
        <f aca="false">IF(OR(A1927="",E1927=""),"",E1927+ROW()/1000000)</f>
        <v/>
      </c>
    </row>
    <row r="1928" customFormat="false" ht="15" hidden="false" customHeight="false" outlineLevel="0" collapsed="false">
      <c r="A1928" s="12"/>
      <c r="B1928" s="13"/>
      <c r="C1928" s="13"/>
      <c r="D1928" s="14"/>
      <c r="E1928" s="15"/>
      <c r="F1928" s="15"/>
      <c r="G1928" s="15"/>
      <c r="H1928" s="15"/>
      <c r="I1928" s="15"/>
      <c r="J1928" s="15"/>
      <c r="K1928" s="16" t="str">
        <f aca="false">IF(A1928="","",F1928+G1928+H1928+I1928)</f>
        <v/>
      </c>
      <c r="L1928" s="17" t="str">
        <f aca="false">IF(OR(K1928="",E1928=0,E1928=""),"",K1928/E1928)</f>
        <v/>
      </c>
      <c r="M1928" s="18" t="str">
        <f aca="false">IF(OR(A1928="",E1928=""),"",E1928+ROW()/1000000)</f>
        <v/>
      </c>
    </row>
    <row r="1929" customFormat="false" ht="15" hidden="false" customHeight="false" outlineLevel="0" collapsed="false">
      <c r="A1929" s="12"/>
      <c r="B1929" s="13"/>
      <c r="C1929" s="13"/>
      <c r="D1929" s="14"/>
      <c r="E1929" s="15"/>
      <c r="F1929" s="15"/>
      <c r="G1929" s="15"/>
      <c r="H1929" s="15"/>
      <c r="I1929" s="15"/>
      <c r="J1929" s="15"/>
      <c r="K1929" s="16" t="str">
        <f aca="false">IF(A1929="","",F1929+G1929+H1929+I1929)</f>
        <v/>
      </c>
      <c r="L1929" s="17" t="str">
        <f aca="false">IF(OR(K1929="",E1929=0,E1929=""),"",K1929/E1929)</f>
        <v/>
      </c>
      <c r="M1929" s="18" t="str">
        <f aca="false">IF(OR(A1929="",E1929=""),"",E1929+ROW()/1000000)</f>
        <v/>
      </c>
    </row>
    <row r="1930" customFormat="false" ht="15" hidden="false" customHeight="false" outlineLevel="0" collapsed="false">
      <c r="A1930" s="12"/>
      <c r="B1930" s="13"/>
      <c r="C1930" s="13"/>
      <c r="D1930" s="14"/>
      <c r="E1930" s="15"/>
      <c r="F1930" s="15"/>
      <c r="G1930" s="15"/>
      <c r="H1930" s="15"/>
      <c r="I1930" s="15"/>
      <c r="J1930" s="15"/>
      <c r="K1930" s="16" t="str">
        <f aca="false">IF(A1930="","",F1930+G1930+H1930+I1930)</f>
        <v/>
      </c>
      <c r="L1930" s="17" t="str">
        <f aca="false">IF(OR(K1930="",E1930=0,E1930=""),"",K1930/E1930)</f>
        <v/>
      </c>
      <c r="M1930" s="18" t="str">
        <f aca="false">IF(OR(A1930="",E1930=""),"",E1930+ROW()/1000000)</f>
        <v/>
      </c>
    </row>
    <row r="1931" customFormat="false" ht="15" hidden="false" customHeight="false" outlineLevel="0" collapsed="false">
      <c r="A1931" s="12"/>
      <c r="B1931" s="13"/>
      <c r="C1931" s="13"/>
      <c r="D1931" s="14"/>
      <c r="E1931" s="15"/>
      <c r="F1931" s="15"/>
      <c r="G1931" s="15"/>
      <c r="H1931" s="15"/>
      <c r="I1931" s="15"/>
      <c r="J1931" s="15"/>
      <c r="K1931" s="16" t="str">
        <f aca="false">IF(A1931="","",F1931+G1931+H1931+I1931)</f>
        <v/>
      </c>
      <c r="L1931" s="17" t="str">
        <f aca="false">IF(OR(K1931="",E1931=0,E1931=""),"",K1931/E1931)</f>
        <v/>
      </c>
      <c r="M1931" s="18" t="str">
        <f aca="false">IF(OR(A1931="",E1931=""),"",E1931+ROW()/1000000)</f>
        <v/>
      </c>
    </row>
    <row r="1932" customFormat="false" ht="15" hidden="false" customHeight="false" outlineLevel="0" collapsed="false">
      <c r="A1932" s="12"/>
      <c r="B1932" s="13"/>
      <c r="C1932" s="13"/>
      <c r="D1932" s="14"/>
      <c r="E1932" s="15"/>
      <c r="F1932" s="15"/>
      <c r="G1932" s="15"/>
      <c r="H1932" s="15"/>
      <c r="I1932" s="15"/>
      <c r="J1932" s="15"/>
      <c r="K1932" s="16" t="str">
        <f aca="false">IF(A1932="","",F1932+G1932+H1932+I1932)</f>
        <v/>
      </c>
      <c r="L1932" s="17" t="str">
        <f aca="false">IF(OR(K1932="",E1932=0,E1932=""),"",K1932/E1932)</f>
        <v/>
      </c>
      <c r="M1932" s="18" t="str">
        <f aca="false">IF(OR(A1932="",E1932=""),"",E1932+ROW()/1000000)</f>
        <v/>
      </c>
    </row>
    <row r="1933" customFormat="false" ht="15" hidden="false" customHeight="false" outlineLevel="0" collapsed="false">
      <c r="A1933" s="12"/>
      <c r="B1933" s="13"/>
      <c r="C1933" s="13"/>
      <c r="D1933" s="14"/>
      <c r="E1933" s="15"/>
      <c r="F1933" s="15"/>
      <c r="G1933" s="15"/>
      <c r="H1933" s="15"/>
      <c r="I1933" s="15"/>
      <c r="J1933" s="15"/>
      <c r="K1933" s="16" t="str">
        <f aca="false">IF(A1933="","",F1933+G1933+H1933+I1933)</f>
        <v/>
      </c>
      <c r="L1933" s="17" t="str">
        <f aca="false">IF(OR(K1933="",E1933=0,E1933=""),"",K1933/E1933)</f>
        <v/>
      </c>
      <c r="M1933" s="18" t="str">
        <f aca="false">IF(OR(A1933="",E1933=""),"",E1933+ROW()/1000000)</f>
        <v/>
      </c>
    </row>
    <row r="1934" customFormat="false" ht="15" hidden="false" customHeight="false" outlineLevel="0" collapsed="false">
      <c r="A1934" s="12"/>
      <c r="B1934" s="13"/>
      <c r="C1934" s="13"/>
      <c r="D1934" s="14"/>
      <c r="E1934" s="15"/>
      <c r="F1934" s="15"/>
      <c r="G1934" s="15"/>
      <c r="H1934" s="15"/>
      <c r="I1934" s="15"/>
      <c r="J1934" s="15"/>
      <c r="K1934" s="16" t="str">
        <f aca="false">IF(A1934="","",F1934+G1934+H1934+I1934)</f>
        <v/>
      </c>
      <c r="L1934" s="17" t="str">
        <f aca="false">IF(OR(K1934="",E1934=0,E1934=""),"",K1934/E1934)</f>
        <v/>
      </c>
      <c r="M1934" s="18" t="str">
        <f aca="false">IF(OR(A1934="",E1934=""),"",E1934+ROW()/1000000)</f>
        <v/>
      </c>
    </row>
    <row r="1935" customFormat="false" ht="15" hidden="false" customHeight="false" outlineLevel="0" collapsed="false">
      <c r="A1935" s="12"/>
      <c r="B1935" s="13"/>
      <c r="C1935" s="13"/>
      <c r="D1935" s="14"/>
      <c r="E1935" s="15"/>
      <c r="F1935" s="15"/>
      <c r="G1935" s="15"/>
      <c r="H1935" s="15"/>
      <c r="I1935" s="15"/>
      <c r="J1935" s="15"/>
      <c r="K1935" s="16" t="str">
        <f aca="false">IF(A1935="","",F1935+G1935+H1935+I1935)</f>
        <v/>
      </c>
      <c r="L1935" s="17" t="str">
        <f aca="false">IF(OR(K1935="",E1935=0,E1935=""),"",K1935/E1935)</f>
        <v/>
      </c>
      <c r="M1935" s="18" t="str">
        <f aca="false">IF(OR(A1935="",E1935=""),"",E1935+ROW()/1000000)</f>
        <v/>
      </c>
    </row>
    <row r="1936" customFormat="false" ht="15" hidden="false" customHeight="false" outlineLevel="0" collapsed="false">
      <c r="A1936" s="12"/>
      <c r="B1936" s="13"/>
      <c r="C1936" s="13"/>
      <c r="D1936" s="14"/>
      <c r="E1936" s="15"/>
      <c r="F1936" s="15"/>
      <c r="G1936" s="15"/>
      <c r="H1936" s="15"/>
      <c r="I1936" s="15"/>
      <c r="J1936" s="15"/>
      <c r="K1936" s="16" t="str">
        <f aca="false">IF(A1936="","",F1936+G1936+H1936+I1936)</f>
        <v/>
      </c>
      <c r="L1936" s="17" t="str">
        <f aca="false">IF(OR(K1936="",E1936=0,E1936=""),"",K1936/E1936)</f>
        <v/>
      </c>
      <c r="M1936" s="18" t="str">
        <f aca="false">IF(OR(A1936="",E1936=""),"",E1936+ROW()/1000000)</f>
        <v/>
      </c>
    </row>
    <row r="1937" customFormat="false" ht="15" hidden="false" customHeight="false" outlineLevel="0" collapsed="false">
      <c r="A1937" s="12"/>
      <c r="B1937" s="13"/>
      <c r="C1937" s="13"/>
      <c r="D1937" s="14"/>
      <c r="E1937" s="15"/>
      <c r="F1937" s="15"/>
      <c r="G1937" s="15"/>
      <c r="H1937" s="15"/>
      <c r="I1937" s="15"/>
      <c r="J1937" s="15"/>
      <c r="K1937" s="16" t="str">
        <f aca="false">IF(A1937="","",F1937+G1937+H1937+I1937)</f>
        <v/>
      </c>
      <c r="L1937" s="17" t="str">
        <f aca="false">IF(OR(K1937="",E1937=0,E1937=""),"",K1937/E1937)</f>
        <v/>
      </c>
      <c r="M1937" s="18" t="str">
        <f aca="false">IF(OR(A1937="",E1937=""),"",E1937+ROW()/1000000)</f>
        <v/>
      </c>
    </row>
    <row r="1938" customFormat="false" ht="15" hidden="false" customHeight="false" outlineLevel="0" collapsed="false">
      <c r="A1938" s="12"/>
      <c r="B1938" s="13"/>
      <c r="C1938" s="13"/>
      <c r="D1938" s="14"/>
      <c r="E1938" s="15"/>
      <c r="F1938" s="15"/>
      <c r="G1938" s="15"/>
      <c r="H1938" s="15"/>
      <c r="I1938" s="15"/>
      <c r="J1938" s="15"/>
      <c r="K1938" s="16" t="str">
        <f aca="false">IF(A1938="","",F1938+G1938+H1938+I1938)</f>
        <v/>
      </c>
      <c r="L1938" s="17" t="str">
        <f aca="false">IF(OR(K1938="",E1938=0,E1938=""),"",K1938/E1938)</f>
        <v/>
      </c>
      <c r="M1938" s="18" t="str">
        <f aca="false">IF(OR(A1938="",E1938=""),"",E1938+ROW()/1000000)</f>
        <v/>
      </c>
    </row>
    <row r="1939" customFormat="false" ht="15" hidden="false" customHeight="false" outlineLevel="0" collapsed="false">
      <c r="A1939" s="12"/>
      <c r="B1939" s="13"/>
      <c r="C1939" s="13"/>
      <c r="D1939" s="14"/>
      <c r="E1939" s="15"/>
      <c r="F1939" s="15"/>
      <c r="G1939" s="15"/>
      <c r="H1939" s="15"/>
      <c r="I1939" s="15"/>
      <c r="J1939" s="15"/>
      <c r="K1939" s="16" t="str">
        <f aca="false">IF(A1939="","",F1939+G1939+H1939+I1939)</f>
        <v/>
      </c>
      <c r="L1939" s="17" t="str">
        <f aca="false">IF(OR(K1939="",E1939=0,E1939=""),"",K1939/E1939)</f>
        <v/>
      </c>
      <c r="M1939" s="18" t="str">
        <f aca="false">IF(OR(A1939="",E1939=""),"",E1939+ROW()/1000000)</f>
        <v/>
      </c>
    </row>
    <row r="1940" customFormat="false" ht="15" hidden="false" customHeight="false" outlineLevel="0" collapsed="false">
      <c r="A1940" s="12"/>
      <c r="B1940" s="13"/>
      <c r="C1940" s="13"/>
      <c r="D1940" s="14"/>
      <c r="E1940" s="15"/>
      <c r="F1940" s="15"/>
      <c r="G1940" s="15"/>
      <c r="H1940" s="15"/>
      <c r="I1940" s="15"/>
      <c r="J1940" s="15"/>
      <c r="K1940" s="16" t="str">
        <f aca="false">IF(A1940="","",F1940+G1940+H1940+I1940)</f>
        <v/>
      </c>
      <c r="L1940" s="17" t="str">
        <f aca="false">IF(OR(K1940="",E1940=0,E1940=""),"",K1940/E1940)</f>
        <v/>
      </c>
      <c r="M1940" s="18" t="str">
        <f aca="false">IF(OR(A1940="",E1940=""),"",E1940+ROW()/1000000)</f>
        <v/>
      </c>
    </row>
    <row r="1941" customFormat="false" ht="15" hidden="false" customHeight="false" outlineLevel="0" collapsed="false">
      <c r="A1941" s="12"/>
      <c r="B1941" s="13"/>
      <c r="C1941" s="13"/>
      <c r="D1941" s="14"/>
      <c r="E1941" s="15"/>
      <c r="F1941" s="15"/>
      <c r="G1941" s="15"/>
      <c r="H1941" s="15"/>
      <c r="I1941" s="15"/>
      <c r="J1941" s="15"/>
      <c r="K1941" s="16" t="str">
        <f aca="false">IF(A1941="","",F1941+G1941+H1941+I1941)</f>
        <v/>
      </c>
      <c r="L1941" s="17" t="str">
        <f aca="false">IF(OR(K1941="",E1941=0,E1941=""),"",K1941/E1941)</f>
        <v/>
      </c>
      <c r="M1941" s="18" t="str">
        <f aca="false">IF(OR(A1941="",E1941=""),"",E1941+ROW()/1000000)</f>
        <v/>
      </c>
    </row>
    <row r="1942" customFormat="false" ht="15" hidden="false" customHeight="false" outlineLevel="0" collapsed="false">
      <c r="A1942" s="12"/>
      <c r="B1942" s="13"/>
      <c r="C1942" s="13"/>
      <c r="D1942" s="14"/>
      <c r="E1942" s="15"/>
      <c r="F1942" s="15"/>
      <c r="G1942" s="15"/>
      <c r="H1942" s="15"/>
      <c r="I1942" s="15"/>
      <c r="J1942" s="15"/>
      <c r="K1942" s="16" t="str">
        <f aca="false">IF(A1942="","",F1942+G1942+H1942+I1942)</f>
        <v/>
      </c>
      <c r="L1942" s="17" t="str">
        <f aca="false">IF(OR(K1942="",E1942=0,E1942=""),"",K1942/E1942)</f>
        <v/>
      </c>
      <c r="M1942" s="18" t="str">
        <f aca="false">IF(OR(A1942="",E1942=""),"",E1942+ROW()/1000000)</f>
        <v/>
      </c>
    </row>
    <row r="1943" customFormat="false" ht="15" hidden="false" customHeight="false" outlineLevel="0" collapsed="false">
      <c r="A1943" s="12"/>
      <c r="B1943" s="13"/>
      <c r="C1943" s="13"/>
      <c r="D1943" s="14"/>
      <c r="E1943" s="15"/>
      <c r="F1943" s="15"/>
      <c r="G1943" s="15"/>
      <c r="H1943" s="15"/>
      <c r="I1943" s="15"/>
      <c r="J1943" s="15"/>
      <c r="K1943" s="16" t="str">
        <f aca="false">IF(A1943="","",F1943+G1943+H1943+I1943)</f>
        <v/>
      </c>
      <c r="L1943" s="17" t="str">
        <f aca="false">IF(OR(K1943="",E1943=0,E1943=""),"",K1943/E1943)</f>
        <v/>
      </c>
      <c r="M1943" s="18" t="str">
        <f aca="false">IF(OR(A1943="",E1943=""),"",E1943+ROW()/1000000)</f>
        <v/>
      </c>
    </row>
    <row r="1944" customFormat="false" ht="15" hidden="false" customHeight="false" outlineLevel="0" collapsed="false">
      <c r="A1944" s="12"/>
      <c r="B1944" s="13"/>
      <c r="C1944" s="13"/>
      <c r="D1944" s="14"/>
      <c r="E1944" s="15"/>
      <c r="F1944" s="15"/>
      <c r="G1944" s="15"/>
      <c r="H1944" s="15"/>
      <c r="I1944" s="15"/>
      <c r="J1944" s="15"/>
      <c r="K1944" s="16" t="str">
        <f aca="false">IF(A1944="","",F1944+G1944+H1944+I1944)</f>
        <v/>
      </c>
      <c r="L1944" s="17" t="str">
        <f aca="false">IF(OR(K1944="",E1944=0,E1944=""),"",K1944/E1944)</f>
        <v/>
      </c>
      <c r="M1944" s="18" t="str">
        <f aca="false">IF(OR(A1944="",E1944=""),"",E1944+ROW()/1000000)</f>
        <v/>
      </c>
    </row>
    <row r="1945" customFormat="false" ht="15" hidden="false" customHeight="false" outlineLevel="0" collapsed="false">
      <c r="A1945" s="12"/>
      <c r="B1945" s="13"/>
      <c r="C1945" s="13"/>
      <c r="D1945" s="14"/>
      <c r="E1945" s="15"/>
      <c r="F1945" s="15"/>
      <c r="G1945" s="15"/>
      <c r="H1945" s="15"/>
      <c r="I1945" s="15"/>
      <c r="J1945" s="15"/>
      <c r="K1945" s="16" t="str">
        <f aca="false">IF(A1945="","",F1945+G1945+H1945+I1945)</f>
        <v/>
      </c>
      <c r="L1945" s="17" t="str">
        <f aca="false">IF(OR(K1945="",E1945=0,E1945=""),"",K1945/E1945)</f>
        <v/>
      </c>
      <c r="M1945" s="18" t="str">
        <f aca="false">IF(OR(A1945="",E1945=""),"",E1945+ROW()/1000000)</f>
        <v/>
      </c>
    </row>
    <row r="1946" customFormat="false" ht="15" hidden="false" customHeight="false" outlineLevel="0" collapsed="false">
      <c r="A1946" s="12"/>
      <c r="B1946" s="13"/>
      <c r="C1946" s="13"/>
      <c r="D1946" s="14"/>
      <c r="E1946" s="15"/>
      <c r="F1946" s="15"/>
      <c r="G1946" s="15"/>
      <c r="H1946" s="15"/>
      <c r="I1946" s="15"/>
      <c r="J1946" s="15"/>
      <c r="K1946" s="16" t="str">
        <f aca="false">IF(A1946="","",F1946+G1946+H1946+I1946)</f>
        <v/>
      </c>
      <c r="L1946" s="17" t="str">
        <f aca="false">IF(OR(K1946="",E1946=0,E1946=""),"",K1946/E1946)</f>
        <v/>
      </c>
      <c r="M1946" s="18" t="str">
        <f aca="false">IF(OR(A1946="",E1946=""),"",E1946+ROW()/1000000)</f>
        <v/>
      </c>
    </row>
    <row r="1947" customFormat="false" ht="15" hidden="false" customHeight="false" outlineLevel="0" collapsed="false">
      <c r="A1947" s="12"/>
      <c r="B1947" s="13"/>
      <c r="C1947" s="13"/>
      <c r="D1947" s="14"/>
      <c r="E1947" s="15"/>
      <c r="F1947" s="15"/>
      <c r="G1947" s="15"/>
      <c r="H1947" s="15"/>
      <c r="I1947" s="15"/>
      <c r="J1947" s="15"/>
      <c r="K1947" s="16" t="str">
        <f aca="false">IF(A1947="","",F1947+G1947+H1947+I1947)</f>
        <v/>
      </c>
      <c r="L1947" s="17" t="str">
        <f aca="false">IF(OR(K1947="",E1947=0,E1947=""),"",K1947/E1947)</f>
        <v/>
      </c>
      <c r="M1947" s="18" t="str">
        <f aca="false">IF(OR(A1947="",E1947=""),"",E1947+ROW()/1000000)</f>
        <v/>
      </c>
    </row>
    <row r="1948" customFormat="false" ht="15" hidden="false" customHeight="false" outlineLevel="0" collapsed="false">
      <c r="A1948" s="12"/>
      <c r="B1948" s="13"/>
      <c r="C1948" s="13"/>
      <c r="D1948" s="14"/>
      <c r="E1948" s="15"/>
      <c r="F1948" s="15"/>
      <c r="G1948" s="15"/>
      <c r="H1948" s="15"/>
      <c r="I1948" s="15"/>
      <c r="J1948" s="15"/>
      <c r="K1948" s="16" t="str">
        <f aca="false">IF(A1948="","",F1948+G1948+H1948+I1948)</f>
        <v/>
      </c>
      <c r="L1948" s="17" t="str">
        <f aca="false">IF(OR(K1948="",E1948=0,E1948=""),"",K1948/E1948)</f>
        <v/>
      </c>
      <c r="M1948" s="18" t="str">
        <f aca="false">IF(OR(A1948="",E1948=""),"",E1948+ROW()/1000000)</f>
        <v/>
      </c>
    </row>
    <row r="1949" customFormat="false" ht="15" hidden="false" customHeight="false" outlineLevel="0" collapsed="false">
      <c r="A1949" s="12"/>
      <c r="B1949" s="13"/>
      <c r="C1949" s="13"/>
      <c r="D1949" s="14"/>
      <c r="E1949" s="15"/>
      <c r="F1949" s="15"/>
      <c r="G1949" s="15"/>
      <c r="H1949" s="15"/>
      <c r="I1949" s="15"/>
      <c r="J1949" s="15"/>
      <c r="K1949" s="16" t="str">
        <f aca="false">IF(A1949="","",F1949+G1949+H1949+I1949)</f>
        <v/>
      </c>
      <c r="L1949" s="17" t="str">
        <f aca="false">IF(OR(K1949="",E1949=0,E1949=""),"",K1949/E1949)</f>
        <v/>
      </c>
      <c r="M1949" s="18" t="str">
        <f aca="false">IF(OR(A1949="",E1949=""),"",E1949+ROW()/1000000)</f>
        <v/>
      </c>
    </row>
    <row r="1950" customFormat="false" ht="15" hidden="false" customHeight="false" outlineLevel="0" collapsed="false">
      <c r="A1950" s="12"/>
      <c r="B1950" s="13"/>
      <c r="C1950" s="13"/>
      <c r="D1950" s="14"/>
      <c r="E1950" s="15"/>
      <c r="F1950" s="15"/>
      <c r="G1950" s="15"/>
      <c r="H1950" s="15"/>
      <c r="I1950" s="15"/>
      <c r="J1950" s="15"/>
      <c r="K1950" s="16" t="str">
        <f aca="false">IF(A1950="","",F1950+G1950+H1950+I1950)</f>
        <v/>
      </c>
      <c r="L1950" s="17" t="str">
        <f aca="false">IF(OR(K1950="",E1950=0,E1950=""),"",K1950/E1950)</f>
        <v/>
      </c>
      <c r="M1950" s="18" t="str">
        <f aca="false">IF(OR(A1950="",E1950=""),"",E1950+ROW()/1000000)</f>
        <v/>
      </c>
    </row>
    <row r="1951" customFormat="false" ht="15" hidden="false" customHeight="false" outlineLevel="0" collapsed="false">
      <c r="A1951" s="12"/>
      <c r="B1951" s="13"/>
      <c r="C1951" s="13"/>
      <c r="D1951" s="14"/>
      <c r="E1951" s="15"/>
      <c r="F1951" s="15"/>
      <c r="G1951" s="15"/>
      <c r="H1951" s="15"/>
      <c r="I1951" s="15"/>
      <c r="J1951" s="15"/>
      <c r="K1951" s="16" t="str">
        <f aca="false">IF(A1951="","",F1951+G1951+H1951+I1951)</f>
        <v/>
      </c>
      <c r="L1951" s="17" t="str">
        <f aca="false">IF(OR(K1951="",E1951=0,E1951=""),"",K1951/E1951)</f>
        <v/>
      </c>
      <c r="M1951" s="18" t="str">
        <f aca="false">IF(OR(A1951="",E1951=""),"",E1951+ROW()/1000000)</f>
        <v/>
      </c>
    </row>
    <row r="1952" customFormat="false" ht="15" hidden="false" customHeight="false" outlineLevel="0" collapsed="false">
      <c r="A1952" s="12"/>
      <c r="B1952" s="13"/>
      <c r="C1952" s="13"/>
      <c r="D1952" s="14"/>
      <c r="E1952" s="15"/>
      <c r="F1952" s="15"/>
      <c r="G1952" s="15"/>
      <c r="H1952" s="15"/>
      <c r="I1952" s="15"/>
      <c r="J1952" s="15"/>
      <c r="K1952" s="16" t="str">
        <f aca="false">IF(A1952="","",F1952+G1952+H1952+I1952)</f>
        <v/>
      </c>
      <c r="L1952" s="17" t="str">
        <f aca="false">IF(OR(K1952="",E1952=0,E1952=""),"",K1952/E1952)</f>
        <v/>
      </c>
      <c r="M1952" s="18" t="str">
        <f aca="false">IF(OR(A1952="",E1952=""),"",E1952+ROW()/1000000)</f>
        <v/>
      </c>
    </row>
    <row r="1953" customFormat="false" ht="15" hidden="false" customHeight="false" outlineLevel="0" collapsed="false">
      <c r="A1953" s="12"/>
      <c r="B1953" s="13"/>
      <c r="C1953" s="13"/>
      <c r="D1953" s="14"/>
      <c r="E1953" s="15"/>
      <c r="F1953" s="15"/>
      <c r="G1953" s="15"/>
      <c r="H1953" s="15"/>
      <c r="I1953" s="15"/>
      <c r="J1953" s="15"/>
      <c r="K1953" s="16" t="str">
        <f aca="false">IF(A1953="","",F1953+G1953+H1953+I1953)</f>
        <v/>
      </c>
      <c r="L1953" s="17" t="str">
        <f aca="false">IF(OR(K1953="",E1953=0,E1953=""),"",K1953/E1953)</f>
        <v/>
      </c>
      <c r="M1953" s="18" t="str">
        <f aca="false">IF(OR(A1953="",E1953=""),"",E1953+ROW()/1000000)</f>
        <v/>
      </c>
    </row>
    <row r="1954" customFormat="false" ht="15" hidden="false" customHeight="false" outlineLevel="0" collapsed="false">
      <c r="A1954" s="12"/>
      <c r="B1954" s="13"/>
      <c r="C1954" s="13"/>
      <c r="D1954" s="14"/>
      <c r="E1954" s="15"/>
      <c r="F1954" s="15"/>
      <c r="G1954" s="15"/>
      <c r="H1954" s="15"/>
      <c r="I1954" s="15"/>
      <c r="J1954" s="15"/>
      <c r="K1954" s="16" t="str">
        <f aca="false">IF(A1954="","",F1954+G1954+H1954+I1954)</f>
        <v/>
      </c>
      <c r="L1954" s="17" t="str">
        <f aca="false">IF(OR(K1954="",E1954=0,E1954=""),"",K1954/E1954)</f>
        <v/>
      </c>
      <c r="M1954" s="18" t="str">
        <f aca="false">IF(OR(A1954="",E1954=""),"",E1954+ROW()/1000000)</f>
        <v/>
      </c>
    </row>
    <row r="1955" customFormat="false" ht="15" hidden="false" customHeight="false" outlineLevel="0" collapsed="false">
      <c r="A1955" s="12"/>
      <c r="B1955" s="13"/>
      <c r="C1955" s="13"/>
      <c r="D1955" s="14"/>
      <c r="E1955" s="15"/>
      <c r="F1955" s="15"/>
      <c r="G1955" s="15"/>
      <c r="H1955" s="15"/>
      <c r="I1955" s="15"/>
      <c r="J1955" s="15"/>
      <c r="K1955" s="16" t="str">
        <f aca="false">IF(A1955="","",F1955+G1955+H1955+I1955)</f>
        <v/>
      </c>
      <c r="L1955" s="17" t="str">
        <f aca="false">IF(OR(K1955="",E1955=0,E1955=""),"",K1955/E1955)</f>
        <v/>
      </c>
      <c r="M1955" s="18" t="str">
        <f aca="false">IF(OR(A1955="",E1955=""),"",E1955+ROW()/1000000)</f>
        <v/>
      </c>
    </row>
    <row r="1956" customFormat="false" ht="15" hidden="false" customHeight="false" outlineLevel="0" collapsed="false">
      <c r="A1956" s="12"/>
      <c r="B1956" s="13"/>
      <c r="C1956" s="13"/>
      <c r="D1956" s="14"/>
      <c r="E1956" s="15"/>
      <c r="F1956" s="15"/>
      <c r="G1956" s="15"/>
      <c r="H1956" s="15"/>
      <c r="I1956" s="15"/>
      <c r="J1956" s="15"/>
      <c r="K1956" s="16" t="str">
        <f aca="false">IF(A1956="","",F1956+G1956+H1956+I1956)</f>
        <v/>
      </c>
      <c r="L1956" s="17" t="str">
        <f aca="false">IF(OR(K1956="",E1956=0,E1956=""),"",K1956/E1956)</f>
        <v/>
      </c>
      <c r="M1956" s="18" t="str">
        <f aca="false">IF(OR(A1956="",E1956=""),"",E1956+ROW()/1000000)</f>
        <v/>
      </c>
    </row>
    <row r="1957" customFormat="false" ht="15" hidden="false" customHeight="false" outlineLevel="0" collapsed="false">
      <c r="A1957" s="12"/>
      <c r="B1957" s="13"/>
      <c r="C1957" s="13"/>
      <c r="D1957" s="14"/>
      <c r="E1957" s="15"/>
      <c r="F1957" s="15"/>
      <c r="G1957" s="15"/>
      <c r="H1957" s="15"/>
      <c r="I1957" s="15"/>
      <c r="J1957" s="15"/>
      <c r="K1957" s="16" t="str">
        <f aca="false">IF(A1957="","",F1957+G1957+H1957+I1957)</f>
        <v/>
      </c>
      <c r="L1957" s="17" t="str">
        <f aca="false">IF(OR(K1957="",E1957=0,E1957=""),"",K1957/E1957)</f>
        <v/>
      </c>
      <c r="M1957" s="18" t="str">
        <f aca="false">IF(OR(A1957="",E1957=""),"",E1957+ROW()/1000000)</f>
        <v/>
      </c>
    </row>
    <row r="1958" customFormat="false" ht="15" hidden="false" customHeight="false" outlineLevel="0" collapsed="false">
      <c r="A1958" s="12"/>
      <c r="B1958" s="13"/>
      <c r="C1958" s="13"/>
      <c r="D1958" s="14"/>
      <c r="E1958" s="15"/>
      <c r="F1958" s="15"/>
      <c r="G1958" s="15"/>
      <c r="H1958" s="15"/>
      <c r="I1958" s="15"/>
      <c r="J1958" s="15"/>
      <c r="K1958" s="16" t="str">
        <f aca="false">IF(A1958="","",F1958+G1958+H1958+I1958)</f>
        <v/>
      </c>
      <c r="L1958" s="17" t="str">
        <f aca="false">IF(OR(K1958="",E1958=0,E1958=""),"",K1958/E1958)</f>
        <v/>
      </c>
      <c r="M1958" s="18" t="str">
        <f aca="false">IF(OR(A1958="",E1958=""),"",E1958+ROW()/1000000)</f>
        <v/>
      </c>
    </row>
    <row r="1959" customFormat="false" ht="15" hidden="false" customHeight="false" outlineLevel="0" collapsed="false">
      <c r="A1959" s="12"/>
      <c r="B1959" s="13"/>
      <c r="C1959" s="13"/>
      <c r="D1959" s="14"/>
      <c r="E1959" s="15"/>
      <c r="F1959" s="15"/>
      <c r="G1959" s="15"/>
      <c r="H1959" s="15"/>
      <c r="I1959" s="15"/>
      <c r="J1959" s="15"/>
      <c r="K1959" s="16" t="str">
        <f aca="false">IF(A1959="","",F1959+G1959+H1959+I1959)</f>
        <v/>
      </c>
      <c r="L1959" s="17" t="str">
        <f aca="false">IF(OR(K1959="",E1959=0,E1959=""),"",K1959/E1959)</f>
        <v/>
      </c>
      <c r="M1959" s="18" t="str">
        <f aca="false">IF(OR(A1959="",E1959=""),"",E1959+ROW()/1000000)</f>
        <v/>
      </c>
    </row>
    <row r="1960" customFormat="false" ht="15" hidden="false" customHeight="false" outlineLevel="0" collapsed="false">
      <c r="A1960" s="12"/>
      <c r="B1960" s="13"/>
      <c r="C1960" s="13"/>
      <c r="D1960" s="14"/>
      <c r="E1960" s="15"/>
      <c r="F1960" s="15"/>
      <c r="G1960" s="15"/>
      <c r="H1960" s="15"/>
      <c r="I1960" s="15"/>
      <c r="J1960" s="15"/>
      <c r="K1960" s="16" t="str">
        <f aca="false">IF(A1960="","",F1960+G1960+H1960+I1960)</f>
        <v/>
      </c>
      <c r="L1960" s="17" t="str">
        <f aca="false">IF(OR(K1960="",E1960=0,E1960=""),"",K1960/E1960)</f>
        <v/>
      </c>
      <c r="M1960" s="18" t="str">
        <f aca="false">IF(OR(A1960="",E1960=""),"",E1960+ROW()/1000000)</f>
        <v/>
      </c>
    </row>
    <row r="1961" customFormat="false" ht="15" hidden="false" customHeight="false" outlineLevel="0" collapsed="false">
      <c r="A1961" s="12"/>
      <c r="B1961" s="13"/>
      <c r="C1961" s="13"/>
      <c r="D1961" s="14"/>
      <c r="E1961" s="15"/>
      <c r="F1961" s="15"/>
      <c r="G1961" s="15"/>
      <c r="H1961" s="15"/>
      <c r="I1961" s="15"/>
      <c r="J1961" s="15"/>
      <c r="K1961" s="16" t="str">
        <f aca="false">IF(A1961="","",F1961+G1961+H1961+I1961)</f>
        <v/>
      </c>
      <c r="L1961" s="17" t="str">
        <f aca="false">IF(OR(K1961="",E1961=0,E1961=""),"",K1961/E1961)</f>
        <v/>
      </c>
      <c r="M1961" s="18" t="str">
        <f aca="false">IF(OR(A1961="",E1961=""),"",E1961+ROW()/1000000)</f>
        <v/>
      </c>
    </row>
    <row r="1962" customFormat="false" ht="15" hidden="false" customHeight="false" outlineLevel="0" collapsed="false">
      <c r="A1962" s="12"/>
      <c r="B1962" s="13"/>
      <c r="C1962" s="13"/>
      <c r="D1962" s="14"/>
      <c r="E1962" s="15"/>
      <c r="F1962" s="15"/>
      <c r="G1962" s="15"/>
      <c r="H1962" s="15"/>
      <c r="I1962" s="15"/>
      <c r="J1962" s="15"/>
      <c r="K1962" s="16" t="str">
        <f aca="false">IF(A1962="","",F1962+G1962+H1962+I1962)</f>
        <v/>
      </c>
      <c r="L1962" s="17" t="str">
        <f aca="false">IF(OR(K1962="",E1962=0,E1962=""),"",K1962/E1962)</f>
        <v/>
      </c>
      <c r="M1962" s="18" t="str">
        <f aca="false">IF(OR(A1962="",E1962=""),"",E1962+ROW()/1000000)</f>
        <v/>
      </c>
    </row>
    <row r="1963" customFormat="false" ht="15" hidden="false" customHeight="false" outlineLevel="0" collapsed="false">
      <c r="A1963" s="12"/>
      <c r="B1963" s="13"/>
      <c r="C1963" s="13"/>
      <c r="D1963" s="14"/>
      <c r="E1963" s="15"/>
      <c r="F1963" s="15"/>
      <c r="G1963" s="15"/>
      <c r="H1963" s="15"/>
      <c r="I1963" s="15"/>
      <c r="J1963" s="15"/>
      <c r="K1963" s="16" t="str">
        <f aca="false">IF(A1963="","",F1963+G1963+H1963+I1963)</f>
        <v/>
      </c>
      <c r="L1963" s="17" t="str">
        <f aca="false">IF(OR(K1963="",E1963=0,E1963=""),"",K1963/E1963)</f>
        <v/>
      </c>
      <c r="M1963" s="18" t="str">
        <f aca="false">IF(OR(A1963="",E1963=""),"",E1963+ROW()/1000000)</f>
        <v/>
      </c>
    </row>
    <row r="1964" customFormat="false" ht="15" hidden="false" customHeight="false" outlineLevel="0" collapsed="false">
      <c r="A1964" s="12"/>
      <c r="B1964" s="13"/>
      <c r="C1964" s="13"/>
      <c r="D1964" s="14"/>
      <c r="E1964" s="15"/>
      <c r="F1964" s="15"/>
      <c r="G1964" s="15"/>
      <c r="H1964" s="15"/>
      <c r="I1964" s="15"/>
      <c r="J1964" s="15"/>
      <c r="K1964" s="16" t="str">
        <f aca="false">IF(A1964="","",F1964+G1964+H1964+I1964)</f>
        <v/>
      </c>
      <c r="L1964" s="17" t="str">
        <f aca="false">IF(OR(K1964="",E1964=0,E1964=""),"",K1964/E1964)</f>
        <v/>
      </c>
      <c r="M1964" s="18" t="str">
        <f aca="false">IF(OR(A1964="",E1964=""),"",E1964+ROW()/1000000)</f>
        <v/>
      </c>
    </row>
    <row r="1965" customFormat="false" ht="15" hidden="false" customHeight="false" outlineLevel="0" collapsed="false">
      <c r="A1965" s="12"/>
      <c r="B1965" s="13"/>
      <c r="C1965" s="13"/>
      <c r="D1965" s="14"/>
      <c r="E1965" s="15"/>
      <c r="F1965" s="15"/>
      <c r="G1965" s="15"/>
      <c r="H1965" s="15"/>
      <c r="I1965" s="15"/>
      <c r="J1965" s="15"/>
      <c r="K1965" s="16" t="str">
        <f aca="false">IF(A1965="","",F1965+G1965+H1965+I1965)</f>
        <v/>
      </c>
      <c r="L1965" s="17" t="str">
        <f aca="false">IF(OR(K1965="",E1965=0,E1965=""),"",K1965/E1965)</f>
        <v/>
      </c>
      <c r="M1965" s="18" t="str">
        <f aca="false">IF(OR(A1965="",E1965=""),"",E1965+ROW()/1000000)</f>
        <v/>
      </c>
    </row>
    <row r="1966" customFormat="false" ht="15" hidden="false" customHeight="false" outlineLevel="0" collapsed="false">
      <c r="A1966" s="12"/>
      <c r="B1966" s="13"/>
      <c r="C1966" s="13"/>
      <c r="D1966" s="14"/>
      <c r="E1966" s="15"/>
      <c r="F1966" s="15"/>
      <c r="G1966" s="15"/>
      <c r="H1966" s="15"/>
      <c r="I1966" s="15"/>
      <c r="J1966" s="15"/>
      <c r="K1966" s="16" t="str">
        <f aca="false">IF(A1966="","",F1966+G1966+H1966+I1966)</f>
        <v/>
      </c>
      <c r="L1966" s="17" t="str">
        <f aca="false">IF(OR(K1966="",E1966=0,E1966=""),"",K1966/E1966)</f>
        <v/>
      </c>
      <c r="M1966" s="18" t="str">
        <f aca="false">IF(OR(A1966="",E1966=""),"",E1966+ROW()/1000000)</f>
        <v/>
      </c>
    </row>
    <row r="1967" customFormat="false" ht="15" hidden="false" customHeight="false" outlineLevel="0" collapsed="false">
      <c r="A1967" s="12"/>
      <c r="B1967" s="13"/>
      <c r="C1967" s="13"/>
      <c r="D1967" s="14"/>
      <c r="E1967" s="15"/>
      <c r="F1967" s="15"/>
      <c r="G1967" s="15"/>
      <c r="H1967" s="15"/>
      <c r="I1967" s="15"/>
      <c r="J1967" s="15"/>
      <c r="K1967" s="16" t="str">
        <f aca="false">IF(A1967="","",F1967+G1967+H1967+I1967)</f>
        <v/>
      </c>
      <c r="L1967" s="17" t="str">
        <f aca="false">IF(OR(K1967="",E1967=0,E1967=""),"",K1967/E1967)</f>
        <v/>
      </c>
      <c r="M1967" s="18" t="str">
        <f aca="false">IF(OR(A1967="",E1967=""),"",E1967+ROW()/1000000)</f>
        <v/>
      </c>
    </row>
    <row r="1968" customFormat="false" ht="15" hidden="false" customHeight="false" outlineLevel="0" collapsed="false">
      <c r="A1968" s="12"/>
      <c r="B1968" s="13"/>
      <c r="C1968" s="13"/>
      <c r="D1968" s="14"/>
      <c r="E1968" s="15"/>
      <c r="F1968" s="15"/>
      <c r="G1968" s="15"/>
      <c r="H1968" s="15"/>
      <c r="I1968" s="15"/>
      <c r="J1968" s="15"/>
      <c r="K1968" s="16" t="str">
        <f aca="false">IF(A1968="","",F1968+G1968+H1968+I1968)</f>
        <v/>
      </c>
      <c r="L1968" s="17" t="str">
        <f aca="false">IF(OR(K1968="",E1968=0,E1968=""),"",K1968/E1968)</f>
        <v/>
      </c>
      <c r="M1968" s="18" t="str">
        <f aca="false">IF(OR(A1968="",E1968=""),"",E1968+ROW()/1000000)</f>
        <v/>
      </c>
    </row>
    <row r="1969" customFormat="false" ht="15" hidden="false" customHeight="false" outlineLevel="0" collapsed="false">
      <c r="A1969" s="12"/>
      <c r="B1969" s="13"/>
      <c r="C1969" s="13"/>
      <c r="D1969" s="14"/>
      <c r="E1969" s="15"/>
      <c r="F1969" s="15"/>
      <c r="G1969" s="15"/>
      <c r="H1969" s="15"/>
      <c r="I1969" s="15"/>
      <c r="J1969" s="15"/>
      <c r="K1969" s="16" t="str">
        <f aca="false">IF(A1969="","",F1969+G1969+H1969+I1969)</f>
        <v/>
      </c>
      <c r="L1969" s="17" t="str">
        <f aca="false">IF(OR(K1969="",E1969=0,E1969=""),"",K1969/E1969)</f>
        <v/>
      </c>
      <c r="M1969" s="18" t="str">
        <f aca="false">IF(OR(A1969="",E1969=""),"",E1969+ROW()/1000000)</f>
        <v/>
      </c>
    </row>
    <row r="1970" customFormat="false" ht="15" hidden="false" customHeight="false" outlineLevel="0" collapsed="false">
      <c r="A1970" s="12"/>
      <c r="B1970" s="13"/>
      <c r="C1970" s="13"/>
      <c r="D1970" s="14"/>
      <c r="E1970" s="15"/>
      <c r="F1970" s="15"/>
      <c r="G1970" s="15"/>
      <c r="H1970" s="15"/>
      <c r="I1970" s="15"/>
      <c r="J1970" s="15"/>
      <c r="K1970" s="16" t="str">
        <f aca="false">IF(A1970="","",F1970+G1970+H1970+I1970)</f>
        <v/>
      </c>
      <c r="L1970" s="17" t="str">
        <f aca="false">IF(OR(K1970="",E1970=0,E1970=""),"",K1970/E1970)</f>
        <v/>
      </c>
      <c r="M1970" s="18" t="str">
        <f aca="false">IF(OR(A1970="",E1970=""),"",E1970+ROW()/1000000)</f>
        <v/>
      </c>
    </row>
    <row r="1971" customFormat="false" ht="15" hidden="false" customHeight="false" outlineLevel="0" collapsed="false">
      <c r="A1971" s="12"/>
      <c r="B1971" s="13"/>
      <c r="C1971" s="13"/>
      <c r="D1971" s="14"/>
      <c r="E1971" s="15"/>
      <c r="F1971" s="15"/>
      <c r="G1971" s="15"/>
      <c r="H1971" s="15"/>
      <c r="I1971" s="15"/>
      <c r="J1971" s="15"/>
      <c r="K1971" s="16" t="str">
        <f aca="false">IF(A1971="","",F1971+G1971+H1971+I1971)</f>
        <v/>
      </c>
      <c r="L1971" s="17" t="str">
        <f aca="false">IF(OR(K1971="",E1971=0,E1971=""),"",K1971/E1971)</f>
        <v/>
      </c>
      <c r="M1971" s="18" t="str">
        <f aca="false">IF(OR(A1971="",E1971=""),"",E1971+ROW()/1000000)</f>
        <v/>
      </c>
    </row>
    <row r="1972" customFormat="false" ht="15" hidden="false" customHeight="false" outlineLevel="0" collapsed="false">
      <c r="A1972" s="12"/>
      <c r="B1972" s="13"/>
      <c r="C1972" s="13"/>
      <c r="D1972" s="14"/>
      <c r="E1972" s="15"/>
      <c r="F1972" s="15"/>
      <c r="G1972" s="15"/>
      <c r="H1972" s="15"/>
      <c r="I1972" s="15"/>
      <c r="J1972" s="15"/>
      <c r="K1972" s="16" t="str">
        <f aca="false">IF(A1972="","",F1972+G1972+H1972+I1972)</f>
        <v/>
      </c>
      <c r="L1972" s="17" t="str">
        <f aca="false">IF(OR(K1972="",E1972=0,E1972=""),"",K1972/E1972)</f>
        <v/>
      </c>
      <c r="M1972" s="18" t="str">
        <f aca="false">IF(OR(A1972="",E1972=""),"",E1972+ROW()/1000000)</f>
        <v/>
      </c>
    </row>
    <row r="1973" customFormat="false" ht="15" hidden="false" customHeight="false" outlineLevel="0" collapsed="false">
      <c r="A1973" s="12"/>
      <c r="B1973" s="13"/>
      <c r="C1973" s="13"/>
      <c r="D1973" s="14"/>
      <c r="E1973" s="15"/>
      <c r="F1973" s="15"/>
      <c r="G1973" s="15"/>
      <c r="H1973" s="15"/>
      <c r="I1973" s="15"/>
      <c r="J1973" s="15"/>
      <c r="K1973" s="16" t="str">
        <f aca="false">IF(A1973="","",F1973+G1973+H1973+I1973)</f>
        <v/>
      </c>
      <c r="L1973" s="17" t="str">
        <f aca="false">IF(OR(K1973="",E1973=0,E1973=""),"",K1973/E1973)</f>
        <v/>
      </c>
      <c r="M1973" s="18" t="str">
        <f aca="false">IF(OR(A1973="",E1973=""),"",E1973+ROW()/1000000)</f>
        <v/>
      </c>
    </row>
    <row r="1974" customFormat="false" ht="15" hidden="false" customHeight="false" outlineLevel="0" collapsed="false">
      <c r="A1974" s="12"/>
      <c r="B1974" s="13"/>
      <c r="C1974" s="13"/>
      <c r="D1974" s="14"/>
      <c r="E1974" s="15"/>
      <c r="F1974" s="15"/>
      <c r="G1974" s="15"/>
      <c r="H1974" s="15"/>
      <c r="I1974" s="15"/>
      <c r="J1974" s="15"/>
      <c r="K1974" s="16" t="str">
        <f aca="false">IF(A1974="","",F1974+G1974+H1974+I1974)</f>
        <v/>
      </c>
      <c r="L1974" s="17" t="str">
        <f aca="false">IF(OR(K1974="",E1974=0,E1974=""),"",K1974/E1974)</f>
        <v/>
      </c>
      <c r="M1974" s="18" t="str">
        <f aca="false">IF(OR(A1974="",E1974=""),"",E1974+ROW()/1000000)</f>
        <v/>
      </c>
    </row>
    <row r="1975" customFormat="false" ht="15" hidden="false" customHeight="false" outlineLevel="0" collapsed="false">
      <c r="A1975" s="12"/>
      <c r="B1975" s="13"/>
      <c r="C1975" s="13"/>
      <c r="D1975" s="14"/>
      <c r="E1975" s="15"/>
      <c r="F1975" s="15"/>
      <c r="G1975" s="15"/>
      <c r="H1975" s="15"/>
      <c r="I1975" s="15"/>
      <c r="J1975" s="15"/>
      <c r="K1975" s="16" t="str">
        <f aca="false">IF(A1975="","",F1975+G1975+H1975+I1975)</f>
        <v/>
      </c>
      <c r="L1975" s="17" t="str">
        <f aca="false">IF(OR(K1975="",E1975=0,E1975=""),"",K1975/E1975)</f>
        <v/>
      </c>
      <c r="M1975" s="18" t="str">
        <f aca="false">IF(OR(A1975="",E1975=""),"",E1975+ROW()/1000000)</f>
        <v/>
      </c>
    </row>
    <row r="1976" customFormat="false" ht="15" hidden="false" customHeight="false" outlineLevel="0" collapsed="false">
      <c r="A1976" s="12"/>
      <c r="B1976" s="13"/>
      <c r="C1976" s="13"/>
      <c r="D1976" s="14"/>
      <c r="E1976" s="15"/>
      <c r="F1976" s="15"/>
      <c r="G1976" s="15"/>
      <c r="H1976" s="15"/>
      <c r="I1976" s="15"/>
      <c r="J1976" s="15"/>
      <c r="K1976" s="16" t="str">
        <f aca="false">IF(A1976="","",F1976+G1976+H1976+I1976)</f>
        <v/>
      </c>
      <c r="L1976" s="17" t="str">
        <f aca="false">IF(OR(K1976="",E1976=0,E1976=""),"",K1976/E1976)</f>
        <v/>
      </c>
      <c r="M1976" s="18" t="str">
        <f aca="false">IF(OR(A1976="",E1976=""),"",E1976+ROW()/1000000)</f>
        <v/>
      </c>
    </row>
    <row r="1977" customFormat="false" ht="15" hidden="false" customHeight="false" outlineLevel="0" collapsed="false">
      <c r="A1977" s="12"/>
      <c r="B1977" s="13"/>
      <c r="C1977" s="13"/>
      <c r="D1977" s="14"/>
      <c r="E1977" s="15"/>
      <c r="F1977" s="15"/>
      <c r="G1977" s="15"/>
      <c r="H1977" s="15"/>
      <c r="I1977" s="15"/>
      <c r="J1977" s="15"/>
      <c r="K1977" s="16" t="str">
        <f aca="false">IF(A1977="","",F1977+G1977+H1977+I1977)</f>
        <v/>
      </c>
      <c r="L1977" s="17" t="str">
        <f aca="false">IF(OR(K1977="",E1977=0,E1977=""),"",K1977/E1977)</f>
        <v/>
      </c>
      <c r="M1977" s="18" t="str">
        <f aca="false">IF(OR(A1977="",E1977=""),"",E1977+ROW()/1000000)</f>
        <v/>
      </c>
    </row>
    <row r="1978" customFormat="false" ht="15" hidden="false" customHeight="false" outlineLevel="0" collapsed="false">
      <c r="A1978" s="12"/>
      <c r="B1978" s="13"/>
      <c r="C1978" s="13"/>
      <c r="D1978" s="14"/>
      <c r="E1978" s="15"/>
      <c r="F1978" s="15"/>
      <c r="G1978" s="15"/>
      <c r="H1978" s="15"/>
      <c r="I1978" s="15"/>
      <c r="J1978" s="15"/>
      <c r="K1978" s="16" t="str">
        <f aca="false">IF(A1978="","",F1978+G1978+H1978+I1978)</f>
        <v/>
      </c>
      <c r="L1978" s="17" t="str">
        <f aca="false">IF(OR(K1978="",E1978=0,E1978=""),"",K1978/E1978)</f>
        <v/>
      </c>
      <c r="M1978" s="18" t="str">
        <f aca="false">IF(OR(A1978="",E1978=""),"",E1978+ROW()/1000000)</f>
        <v/>
      </c>
    </row>
    <row r="1979" customFormat="false" ht="15" hidden="false" customHeight="false" outlineLevel="0" collapsed="false">
      <c r="A1979" s="12"/>
      <c r="B1979" s="13"/>
      <c r="C1979" s="13"/>
      <c r="D1979" s="14"/>
      <c r="E1979" s="15"/>
      <c r="F1979" s="15"/>
      <c r="G1979" s="15"/>
      <c r="H1979" s="15"/>
      <c r="I1979" s="15"/>
      <c r="J1979" s="15"/>
      <c r="K1979" s="16" t="str">
        <f aca="false">IF(A1979="","",F1979+G1979+H1979+I1979)</f>
        <v/>
      </c>
      <c r="L1979" s="17" t="str">
        <f aca="false">IF(OR(K1979="",E1979=0,E1979=""),"",K1979/E1979)</f>
        <v/>
      </c>
      <c r="M1979" s="18" t="str">
        <f aca="false">IF(OR(A1979="",E1979=""),"",E1979+ROW()/1000000)</f>
        <v/>
      </c>
    </row>
    <row r="1980" customFormat="false" ht="15" hidden="false" customHeight="false" outlineLevel="0" collapsed="false">
      <c r="A1980" s="12"/>
      <c r="B1980" s="13"/>
      <c r="C1980" s="13"/>
      <c r="D1980" s="14"/>
      <c r="E1980" s="15"/>
      <c r="F1980" s="15"/>
      <c r="G1980" s="15"/>
      <c r="H1980" s="15"/>
      <c r="I1980" s="15"/>
      <c r="J1980" s="15"/>
      <c r="K1980" s="16" t="str">
        <f aca="false">IF(A1980="","",F1980+G1980+H1980+I1980)</f>
        <v/>
      </c>
      <c r="L1980" s="17" t="str">
        <f aca="false">IF(OR(K1980="",E1980=0,E1980=""),"",K1980/E1980)</f>
        <v/>
      </c>
      <c r="M1980" s="18" t="str">
        <f aca="false">IF(OR(A1980="",E1980=""),"",E1980+ROW()/1000000)</f>
        <v/>
      </c>
    </row>
    <row r="1981" customFormat="false" ht="15" hidden="false" customHeight="false" outlineLevel="0" collapsed="false">
      <c r="A1981" s="12"/>
      <c r="B1981" s="13"/>
      <c r="C1981" s="13"/>
      <c r="D1981" s="14"/>
      <c r="E1981" s="15"/>
      <c r="F1981" s="15"/>
      <c r="G1981" s="15"/>
      <c r="H1981" s="15"/>
      <c r="I1981" s="15"/>
      <c r="J1981" s="15"/>
      <c r="K1981" s="16" t="str">
        <f aca="false">IF(A1981="","",F1981+G1981+H1981+I1981)</f>
        <v/>
      </c>
      <c r="L1981" s="17" t="str">
        <f aca="false">IF(OR(K1981="",E1981=0,E1981=""),"",K1981/E1981)</f>
        <v/>
      </c>
      <c r="M1981" s="18" t="str">
        <f aca="false">IF(OR(A1981="",E1981=""),"",E1981+ROW()/1000000)</f>
        <v/>
      </c>
    </row>
    <row r="1982" customFormat="false" ht="15" hidden="false" customHeight="false" outlineLevel="0" collapsed="false">
      <c r="A1982" s="12"/>
      <c r="B1982" s="13"/>
      <c r="C1982" s="13"/>
      <c r="D1982" s="14"/>
      <c r="E1982" s="15"/>
      <c r="F1982" s="15"/>
      <c r="G1982" s="15"/>
      <c r="H1982" s="15"/>
      <c r="I1982" s="15"/>
      <c r="J1982" s="15"/>
      <c r="K1982" s="16" t="str">
        <f aca="false">IF(A1982="","",F1982+G1982+H1982+I1982)</f>
        <v/>
      </c>
      <c r="L1982" s="17" t="str">
        <f aca="false">IF(OR(K1982="",E1982=0,E1982=""),"",K1982/E1982)</f>
        <v/>
      </c>
      <c r="M1982" s="18" t="str">
        <f aca="false">IF(OR(A1982="",E1982=""),"",E1982+ROW()/1000000)</f>
        <v/>
      </c>
    </row>
    <row r="1983" customFormat="false" ht="15" hidden="false" customHeight="false" outlineLevel="0" collapsed="false">
      <c r="A1983" s="12"/>
      <c r="B1983" s="13"/>
      <c r="C1983" s="13"/>
      <c r="D1983" s="14"/>
      <c r="E1983" s="15"/>
      <c r="F1983" s="15"/>
      <c r="G1983" s="15"/>
      <c r="H1983" s="15"/>
      <c r="I1983" s="15"/>
      <c r="J1983" s="15"/>
      <c r="K1983" s="16" t="str">
        <f aca="false">IF(A1983="","",F1983+G1983+H1983+I1983)</f>
        <v/>
      </c>
      <c r="L1983" s="17" t="str">
        <f aca="false">IF(OR(K1983="",E1983=0,E1983=""),"",K1983/E1983)</f>
        <v/>
      </c>
      <c r="M1983" s="18" t="str">
        <f aca="false">IF(OR(A1983="",E1983=""),"",E1983+ROW()/1000000)</f>
        <v/>
      </c>
    </row>
    <row r="1984" customFormat="false" ht="15" hidden="false" customHeight="false" outlineLevel="0" collapsed="false">
      <c r="A1984" s="12"/>
      <c r="B1984" s="13"/>
      <c r="C1984" s="13"/>
      <c r="D1984" s="14"/>
      <c r="E1984" s="15"/>
      <c r="F1984" s="15"/>
      <c r="G1984" s="15"/>
      <c r="H1984" s="15"/>
      <c r="I1984" s="15"/>
      <c r="J1984" s="15"/>
      <c r="K1984" s="16" t="str">
        <f aca="false">IF(A1984="","",F1984+G1984+H1984+I1984)</f>
        <v/>
      </c>
      <c r="L1984" s="17" t="str">
        <f aca="false">IF(OR(K1984="",E1984=0,E1984=""),"",K1984/E1984)</f>
        <v/>
      </c>
      <c r="M1984" s="18" t="str">
        <f aca="false">IF(OR(A1984="",E1984=""),"",E1984+ROW()/1000000)</f>
        <v/>
      </c>
    </row>
    <row r="1985" customFormat="false" ht="15" hidden="false" customHeight="false" outlineLevel="0" collapsed="false">
      <c r="A1985" s="12"/>
      <c r="B1985" s="13"/>
      <c r="C1985" s="13"/>
      <c r="D1985" s="14"/>
      <c r="E1985" s="15"/>
      <c r="F1985" s="15"/>
      <c r="G1985" s="15"/>
      <c r="H1985" s="15"/>
      <c r="I1985" s="15"/>
      <c r="J1985" s="15"/>
      <c r="K1985" s="16" t="str">
        <f aca="false">IF(A1985="","",F1985+G1985+H1985+I1985)</f>
        <v/>
      </c>
      <c r="L1985" s="17" t="str">
        <f aca="false">IF(OR(K1985="",E1985=0,E1985=""),"",K1985/E1985)</f>
        <v/>
      </c>
      <c r="M1985" s="18" t="str">
        <f aca="false">IF(OR(A1985="",E1985=""),"",E1985+ROW()/1000000)</f>
        <v/>
      </c>
    </row>
    <row r="1986" customFormat="false" ht="15" hidden="false" customHeight="false" outlineLevel="0" collapsed="false">
      <c r="A1986" s="12"/>
      <c r="B1986" s="13"/>
      <c r="C1986" s="13"/>
      <c r="D1986" s="14"/>
      <c r="E1986" s="15"/>
      <c r="F1986" s="15"/>
      <c r="G1986" s="15"/>
      <c r="H1986" s="15"/>
      <c r="I1986" s="15"/>
      <c r="J1986" s="15"/>
      <c r="K1986" s="16" t="str">
        <f aca="false">IF(A1986="","",F1986+G1986+H1986+I1986)</f>
        <v/>
      </c>
      <c r="L1986" s="17" t="str">
        <f aca="false">IF(OR(K1986="",E1986=0,E1986=""),"",K1986/E1986)</f>
        <v/>
      </c>
      <c r="M1986" s="18" t="str">
        <f aca="false">IF(OR(A1986="",E1986=""),"",E1986+ROW()/1000000)</f>
        <v/>
      </c>
    </row>
    <row r="1987" customFormat="false" ht="15" hidden="false" customHeight="false" outlineLevel="0" collapsed="false">
      <c r="A1987" s="12"/>
      <c r="B1987" s="13"/>
      <c r="C1987" s="13"/>
      <c r="D1987" s="14"/>
      <c r="E1987" s="15"/>
      <c r="F1987" s="15"/>
      <c r="G1987" s="15"/>
      <c r="H1987" s="15"/>
      <c r="I1987" s="15"/>
      <c r="J1987" s="15"/>
      <c r="K1987" s="16" t="str">
        <f aca="false">IF(A1987="","",F1987+G1987+H1987+I1987)</f>
        <v/>
      </c>
      <c r="L1987" s="17" t="str">
        <f aca="false">IF(OR(K1987="",E1987=0,E1987=""),"",K1987/E1987)</f>
        <v/>
      </c>
      <c r="M1987" s="18" t="str">
        <f aca="false">IF(OR(A1987="",E1987=""),"",E1987+ROW()/1000000)</f>
        <v/>
      </c>
    </row>
    <row r="1988" customFormat="false" ht="15" hidden="false" customHeight="false" outlineLevel="0" collapsed="false">
      <c r="A1988" s="12"/>
      <c r="B1988" s="13"/>
      <c r="C1988" s="13"/>
      <c r="D1988" s="14"/>
      <c r="E1988" s="15"/>
      <c r="F1988" s="15"/>
      <c r="G1988" s="15"/>
      <c r="H1988" s="15"/>
      <c r="I1988" s="15"/>
      <c r="J1988" s="15"/>
      <c r="K1988" s="16" t="str">
        <f aca="false">IF(A1988="","",F1988+G1988+H1988+I1988)</f>
        <v/>
      </c>
      <c r="L1988" s="17" t="str">
        <f aca="false">IF(OR(K1988="",E1988=0,E1988=""),"",K1988/E1988)</f>
        <v/>
      </c>
      <c r="M1988" s="18" t="str">
        <f aca="false">IF(OR(A1988="",E1988=""),"",E1988+ROW()/1000000)</f>
        <v/>
      </c>
    </row>
    <row r="1989" customFormat="false" ht="15" hidden="false" customHeight="false" outlineLevel="0" collapsed="false">
      <c r="A1989" s="12"/>
      <c r="B1989" s="13"/>
      <c r="C1989" s="13"/>
      <c r="D1989" s="14"/>
      <c r="E1989" s="15"/>
      <c r="F1989" s="15"/>
      <c r="G1989" s="15"/>
      <c r="H1989" s="15"/>
      <c r="I1989" s="15"/>
      <c r="J1989" s="15"/>
      <c r="K1989" s="16" t="str">
        <f aca="false">IF(A1989="","",F1989+G1989+H1989+I1989)</f>
        <v/>
      </c>
      <c r="L1989" s="17" t="str">
        <f aca="false">IF(OR(K1989="",E1989=0,E1989=""),"",K1989/E1989)</f>
        <v/>
      </c>
      <c r="M1989" s="18" t="str">
        <f aca="false">IF(OR(A1989="",E1989=""),"",E1989+ROW()/1000000)</f>
        <v/>
      </c>
    </row>
    <row r="1990" customFormat="false" ht="15" hidden="false" customHeight="false" outlineLevel="0" collapsed="false">
      <c r="A1990" s="12"/>
      <c r="B1990" s="13"/>
      <c r="C1990" s="13"/>
      <c r="D1990" s="14"/>
      <c r="E1990" s="15"/>
      <c r="F1990" s="15"/>
      <c r="G1990" s="15"/>
      <c r="H1990" s="15"/>
      <c r="I1990" s="15"/>
      <c r="J1990" s="15"/>
      <c r="K1990" s="16" t="str">
        <f aca="false">IF(A1990="","",F1990+G1990+H1990+I1990)</f>
        <v/>
      </c>
      <c r="L1990" s="17" t="str">
        <f aca="false">IF(OR(K1990="",E1990=0,E1990=""),"",K1990/E1990)</f>
        <v/>
      </c>
      <c r="M1990" s="18" t="str">
        <f aca="false">IF(OR(A1990="",E1990=""),"",E1990+ROW()/1000000)</f>
        <v/>
      </c>
    </row>
    <row r="1991" customFormat="false" ht="15" hidden="false" customHeight="false" outlineLevel="0" collapsed="false">
      <c r="A1991" s="12"/>
      <c r="B1991" s="13"/>
      <c r="C1991" s="13"/>
      <c r="D1991" s="14"/>
      <c r="E1991" s="15"/>
      <c r="F1991" s="15"/>
      <c r="G1991" s="15"/>
      <c r="H1991" s="15"/>
      <c r="I1991" s="15"/>
      <c r="J1991" s="15"/>
      <c r="K1991" s="16" t="str">
        <f aca="false">IF(A1991="","",F1991+G1991+H1991+I1991)</f>
        <v/>
      </c>
      <c r="L1991" s="17" t="str">
        <f aca="false">IF(OR(K1991="",E1991=0,E1991=""),"",K1991/E1991)</f>
        <v/>
      </c>
      <c r="M1991" s="18" t="str">
        <f aca="false">IF(OR(A1991="",E1991=""),"",E1991+ROW()/1000000)</f>
        <v/>
      </c>
    </row>
    <row r="1992" customFormat="false" ht="15" hidden="false" customHeight="false" outlineLevel="0" collapsed="false">
      <c r="A1992" s="12"/>
      <c r="B1992" s="13"/>
      <c r="C1992" s="13"/>
      <c r="D1992" s="14"/>
      <c r="E1992" s="15"/>
      <c r="F1992" s="15"/>
      <c r="G1992" s="15"/>
      <c r="H1992" s="15"/>
      <c r="I1992" s="15"/>
      <c r="J1992" s="15"/>
      <c r="K1992" s="16" t="str">
        <f aca="false">IF(A1992="","",F1992+G1992+H1992+I1992)</f>
        <v/>
      </c>
      <c r="L1992" s="17" t="str">
        <f aca="false">IF(OR(K1992="",E1992=0,E1992=""),"",K1992/E1992)</f>
        <v/>
      </c>
      <c r="M1992" s="18" t="str">
        <f aca="false">IF(OR(A1992="",E1992=""),"",E1992+ROW()/1000000)</f>
        <v/>
      </c>
    </row>
    <row r="1993" customFormat="false" ht="15" hidden="false" customHeight="false" outlineLevel="0" collapsed="false">
      <c r="A1993" s="12"/>
      <c r="B1993" s="13"/>
      <c r="C1993" s="13"/>
      <c r="D1993" s="14"/>
      <c r="E1993" s="15"/>
      <c r="F1993" s="15"/>
      <c r="G1993" s="15"/>
      <c r="H1993" s="15"/>
      <c r="I1993" s="15"/>
      <c r="J1993" s="15"/>
      <c r="K1993" s="16" t="str">
        <f aca="false">IF(A1993="","",F1993+G1993+H1993+I1993)</f>
        <v/>
      </c>
      <c r="L1993" s="17" t="str">
        <f aca="false">IF(OR(K1993="",E1993=0,E1993=""),"",K1993/E1993)</f>
        <v/>
      </c>
      <c r="M1993" s="18" t="str">
        <f aca="false">IF(OR(A1993="",E1993=""),"",E1993+ROW()/1000000)</f>
        <v/>
      </c>
    </row>
    <row r="1994" customFormat="false" ht="15" hidden="false" customHeight="false" outlineLevel="0" collapsed="false">
      <c r="A1994" s="12"/>
      <c r="B1994" s="13"/>
      <c r="C1994" s="13"/>
      <c r="D1994" s="14"/>
      <c r="E1994" s="15"/>
      <c r="F1994" s="15"/>
      <c r="G1994" s="15"/>
      <c r="H1994" s="15"/>
      <c r="I1994" s="15"/>
      <c r="J1994" s="15"/>
      <c r="K1994" s="16" t="str">
        <f aca="false">IF(A1994="","",F1994+G1994+H1994+I1994)</f>
        <v/>
      </c>
      <c r="L1994" s="17" t="str">
        <f aca="false">IF(OR(K1994="",E1994=0,E1994=""),"",K1994/E1994)</f>
        <v/>
      </c>
      <c r="M1994" s="18" t="str">
        <f aca="false">IF(OR(A1994="",E1994=""),"",E1994+ROW()/1000000)</f>
        <v/>
      </c>
    </row>
    <row r="1995" customFormat="false" ht="15" hidden="false" customHeight="false" outlineLevel="0" collapsed="false">
      <c r="A1995" s="12"/>
      <c r="B1995" s="13"/>
      <c r="C1995" s="13"/>
      <c r="D1995" s="14"/>
      <c r="E1995" s="15"/>
      <c r="F1995" s="15"/>
      <c r="G1995" s="15"/>
      <c r="H1995" s="15"/>
      <c r="I1995" s="15"/>
      <c r="J1995" s="15"/>
      <c r="K1995" s="16" t="str">
        <f aca="false">IF(A1995="","",F1995+G1995+H1995+I1995)</f>
        <v/>
      </c>
      <c r="L1995" s="17" t="str">
        <f aca="false">IF(OR(K1995="",E1995=0,E1995=""),"",K1995/E1995)</f>
        <v/>
      </c>
      <c r="M1995" s="18" t="str">
        <f aca="false">IF(OR(A1995="",E1995=""),"",E1995+ROW()/1000000)</f>
        <v/>
      </c>
    </row>
    <row r="1996" customFormat="false" ht="15" hidden="false" customHeight="false" outlineLevel="0" collapsed="false">
      <c r="A1996" s="12"/>
      <c r="B1996" s="13"/>
      <c r="C1996" s="13"/>
      <c r="D1996" s="14"/>
      <c r="E1996" s="15"/>
      <c r="F1996" s="15"/>
      <c r="G1996" s="15"/>
      <c r="H1996" s="15"/>
      <c r="I1996" s="15"/>
      <c r="J1996" s="15"/>
      <c r="K1996" s="16" t="str">
        <f aca="false">IF(A1996="","",F1996+G1996+H1996+I1996)</f>
        <v/>
      </c>
      <c r="L1996" s="17" t="str">
        <f aca="false">IF(OR(K1996="",E1996=0,E1996=""),"",K1996/E1996)</f>
        <v/>
      </c>
      <c r="M1996" s="18" t="str">
        <f aca="false">IF(OR(A1996="",E1996=""),"",E1996+ROW()/1000000)</f>
        <v/>
      </c>
    </row>
    <row r="1997" customFormat="false" ht="15" hidden="false" customHeight="false" outlineLevel="0" collapsed="false">
      <c r="A1997" s="12"/>
      <c r="B1997" s="13"/>
      <c r="C1997" s="13"/>
      <c r="D1997" s="14"/>
      <c r="E1997" s="15"/>
      <c r="F1997" s="15"/>
      <c r="G1997" s="15"/>
      <c r="H1997" s="15"/>
      <c r="I1997" s="15"/>
      <c r="J1997" s="15"/>
      <c r="K1997" s="16" t="str">
        <f aca="false">IF(A1997="","",F1997+G1997+H1997+I1997)</f>
        <v/>
      </c>
      <c r="L1997" s="17" t="str">
        <f aca="false">IF(OR(K1997="",E1997=0,E1997=""),"",K1997/E1997)</f>
        <v/>
      </c>
      <c r="M1997" s="18" t="str">
        <f aca="false">IF(OR(A1997="",E1997=""),"",E1997+ROW()/1000000)</f>
        <v/>
      </c>
    </row>
    <row r="1998" customFormat="false" ht="15" hidden="false" customHeight="false" outlineLevel="0" collapsed="false">
      <c r="A1998" s="12"/>
      <c r="B1998" s="13"/>
      <c r="C1998" s="13"/>
      <c r="D1998" s="14"/>
      <c r="E1998" s="15"/>
      <c r="F1998" s="15"/>
      <c r="G1998" s="15"/>
      <c r="H1998" s="15"/>
      <c r="I1998" s="15"/>
      <c r="J1998" s="15"/>
      <c r="K1998" s="16" t="str">
        <f aca="false">IF(A1998="","",F1998+G1998+H1998+I1998)</f>
        <v/>
      </c>
      <c r="L1998" s="17" t="str">
        <f aca="false">IF(OR(K1998="",E1998=0,E1998=""),"",K1998/E1998)</f>
        <v/>
      </c>
      <c r="M1998" s="18" t="str">
        <f aca="false">IF(OR(A1998="",E1998=""),"",E1998+ROW()/1000000)</f>
        <v/>
      </c>
    </row>
    <row r="1999" customFormat="false" ht="15" hidden="false" customHeight="false" outlineLevel="0" collapsed="false">
      <c r="A1999" s="12"/>
      <c r="B1999" s="13"/>
      <c r="C1999" s="13"/>
      <c r="D1999" s="14"/>
      <c r="E1999" s="15"/>
      <c r="F1999" s="15"/>
      <c r="G1999" s="15"/>
      <c r="H1999" s="15"/>
      <c r="I1999" s="15"/>
      <c r="J1999" s="15"/>
      <c r="K1999" s="16" t="str">
        <f aca="false">IF(A1999="","",F1999+G1999+H1999+I1999)</f>
        <v/>
      </c>
      <c r="L1999" s="17" t="str">
        <f aca="false">IF(OR(K1999="",E1999=0,E1999=""),"",K1999/E1999)</f>
        <v/>
      </c>
      <c r="M1999" s="18" t="str">
        <f aca="false">IF(OR(A1999="",E1999=""),"",E1999+ROW()/1000000)</f>
        <v/>
      </c>
    </row>
    <row r="2000" customFormat="false" ht="15" hidden="false" customHeight="false" outlineLevel="0" collapsed="false">
      <c r="A2000" s="12"/>
      <c r="B2000" s="13"/>
      <c r="C2000" s="13"/>
      <c r="D2000" s="14"/>
      <c r="E2000" s="15"/>
      <c r="F2000" s="15"/>
      <c r="G2000" s="15"/>
      <c r="H2000" s="15"/>
      <c r="I2000" s="15"/>
      <c r="J2000" s="15"/>
      <c r="K2000" s="16" t="str">
        <f aca="false">IF(A2000="","",F2000+G2000+H2000+I2000)</f>
        <v/>
      </c>
      <c r="L2000" s="17" t="str">
        <f aca="false">IF(OR(K2000="",E2000=0,E2000=""),"",K2000/E2000)</f>
        <v/>
      </c>
      <c r="M2000" s="18" t="str">
        <f aca="false">IF(OR(A2000="",E2000=""),"",E2000+ROW()/1000000)</f>
        <v/>
      </c>
    </row>
    <row r="2001" customFormat="false" ht="15" hidden="false" customHeight="false" outlineLevel="0" collapsed="false">
      <c r="A2001" s="12"/>
      <c r="B2001" s="13"/>
      <c r="C2001" s="13"/>
      <c r="D2001" s="14"/>
      <c r="E2001" s="15"/>
      <c r="F2001" s="15"/>
      <c r="G2001" s="15"/>
      <c r="H2001" s="15"/>
      <c r="I2001" s="15"/>
      <c r="J2001" s="15"/>
      <c r="K2001" s="16" t="str">
        <f aca="false">IF(A2001="","",F2001+G2001+H2001+I2001)</f>
        <v/>
      </c>
      <c r="L2001" s="17" t="str">
        <f aca="false">IF(OR(K2001="",E2001=0,E2001=""),"",K2001/E2001)</f>
        <v/>
      </c>
      <c r="M2001" s="18" t="str">
        <f aca="false">IF(OR(A2001="",E2001=""),"",E2001+ROW()/1000000)</f>
        <v/>
      </c>
    </row>
    <row r="2002" customFormat="false" ht="15" hidden="false" customHeight="false" outlineLevel="0" collapsed="false">
      <c r="A2002" s="12"/>
      <c r="B2002" s="13"/>
      <c r="C2002" s="13"/>
      <c r="D2002" s="14"/>
      <c r="E2002" s="15"/>
      <c r="F2002" s="15"/>
      <c r="G2002" s="15"/>
      <c r="H2002" s="15"/>
      <c r="I2002" s="15"/>
      <c r="J2002" s="15"/>
      <c r="K2002" s="16" t="str">
        <f aca="false">IF(A2002="","",F2002+G2002+H2002+I2002)</f>
        <v/>
      </c>
      <c r="L2002" s="17" t="str">
        <f aca="false">IF(OR(K2002="",E2002=0,E2002=""),"",K2002/E2002)</f>
        <v/>
      </c>
      <c r="M2002" s="18" t="str">
        <f aca="false">IF(OR(A2002="",E2002=""),"",E2002+ROW()/1000000)</f>
        <v/>
      </c>
    </row>
    <row r="2003" customFormat="false" ht="15" hidden="false" customHeight="false" outlineLevel="0" collapsed="false">
      <c r="A2003" s="12"/>
      <c r="B2003" s="13"/>
      <c r="C2003" s="13"/>
      <c r="D2003" s="14"/>
      <c r="E2003" s="15"/>
      <c r="F2003" s="15"/>
      <c r="G2003" s="15"/>
      <c r="H2003" s="15"/>
      <c r="I2003" s="15"/>
      <c r="J2003" s="15"/>
      <c r="K2003" s="16" t="str">
        <f aca="false">IF(A2003="","",F2003+G2003+H2003+I2003)</f>
        <v/>
      </c>
      <c r="L2003" s="17" t="str">
        <f aca="false">IF(OR(K2003="",E2003=0,E2003=""),"",K2003/E2003)</f>
        <v/>
      </c>
      <c r="M2003" s="18" t="str">
        <f aca="false">IF(OR(A2003="",E2003=""),"",E2003+ROW()/1000000)</f>
        <v/>
      </c>
    </row>
    <row r="2004" customFormat="false" ht="15" hidden="false" customHeight="false" outlineLevel="0" collapsed="false">
      <c r="A2004" s="12"/>
      <c r="B2004" s="13"/>
      <c r="C2004" s="13"/>
      <c r="D2004" s="14"/>
      <c r="E2004" s="15"/>
      <c r="F2004" s="15"/>
      <c r="G2004" s="15"/>
      <c r="H2004" s="15"/>
      <c r="I2004" s="15"/>
      <c r="J2004" s="15"/>
      <c r="K2004" s="16" t="str">
        <f aca="false">IF(A2004="","",F2004+G2004+H2004+I2004)</f>
        <v/>
      </c>
      <c r="L2004" s="17" t="str">
        <f aca="false">IF(OR(K2004="",E2004=0,E2004=""),"",K2004/E2004)</f>
        <v/>
      </c>
      <c r="M2004" s="18" t="str">
        <f aca="false">IF(OR(A2004="",E2004=""),"",E2004+ROW()/1000000)</f>
        <v/>
      </c>
    </row>
  </sheetData>
  <dataValidations count="4">
    <dataValidation allowBlank="true" error="Geçerli bir tarih gir (örnek: 05.10.2026)." errorStyle="stop" errorTitle="Kontrol" operator="greaterThan" showDropDown="false" showErrorMessage="true" showInputMessage="false" sqref="A5:A2004" type="date">
      <formula1>36526</formula1>
      <formula2>0</formula2>
    </dataValidation>
    <dataValidation allowBlank="true" error="Listeden seç." errorStyle="stop" errorTitle="Kontrol" operator="between" showDropDown="false" showErrorMessage="true" showInputMessage="false" sqref="B5:B2004" type="list">
      <formula1>Listeler!$A$5:$A$34</formula1>
      <formula2>0</formula2>
    </dataValidation>
    <dataValidation allowBlank="true" error="Listeden seç." errorStyle="stop" errorTitle="Kontrol" operator="between" showDropDown="false" showErrorMessage="true" showInputMessage="false" sqref="C5:C2004" type="list">
      <formula1>Listeler!$B$5:$B$34</formula1>
      <formula2>0</formula2>
    </dataValidation>
    <dataValidation allowBlank="true" error="Sıfır ya da daha büyük bir sayı gir." errorStyle="stop" errorTitle="Kontrol" operator="greaterThanOrEqual" showDropDown="false" showErrorMessage="true" showInputMessage="false" sqref="E5:J200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L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7" min="3" style="0" width="16"/>
    <col collapsed="false" customWidth="true" hidden="false" outlineLevel="0" max="8" min="8" style="0" width="3"/>
    <col collapsed="false" customWidth="true" hidden="false" outlineLevel="0" max="9" min="9" style="0" width="26"/>
    <col collapsed="false" customWidth="true" hidden="false" outlineLevel="0" max="12" min="10" style="0" width="15"/>
  </cols>
  <sheetData>
    <row r="1" customFormat="false" ht="19.7" hidden="false" customHeight="false" outlineLevel="0" collapsed="false">
      <c r="A1" s="8" t="s">
        <v>49</v>
      </c>
    </row>
    <row r="2" customFormat="false" ht="15" hidden="false" customHeight="false" outlineLevel="0" collapsed="false">
      <c r="A2" s="9" t="s">
        <v>50</v>
      </c>
    </row>
    <row r="3" customFormat="false" ht="15" hidden="false" customHeight="false" outlineLevel="0" collapsed="false">
      <c r="B3" s="19" t="s">
        <v>51</v>
      </c>
      <c r="C3" s="20" t="n">
        <v>2026</v>
      </c>
    </row>
    <row r="5" customFormat="false" ht="30" hidden="false" customHeight="true" outlineLevel="0" collapsed="false">
      <c r="B5" s="21" t="s">
        <v>52</v>
      </c>
      <c r="C5" s="21" t="s">
        <v>53</v>
      </c>
      <c r="D5" s="21" t="s">
        <v>11</v>
      </c>
      <c r="E5" s="21" t="s">
        <v>35</v>
      </c>
      <c r="F5" s="21" t="s">
        <v>54</v>
      </c>
    </row>
    <row r="6" customFormat="false" ht="27.75" hidden="false" customHeight="true" outlineLevel="0" collapsed="false">
      <c r="B6" s="22" t="n">
        <f aca="false">C23</f>
        <v>5</v>
      </c>
      <c r="C6" s="22" t="n">
        <f aca="false">D23</f>
        <v>45700</v>
      </c>
      <c r="D6" s="23" t="n">
        <f aca="false">IF(D23=0,0,E23/D23)</f>
        <v>0.0934135667396061</v>
      </c>
      <c r="E6" s="22" t="n">
        <f aca="false">F23</f>
        <v>243</v>
      </c>
      <c r="F6" s="22" t="n">
        <f aca="false">IF(C23=0,0,D23/C23)</f>
        <v>9140</v>
      </c>
    </row>
    <row r="9" customFormat="false" ht="15" hidden="false" customHeight="false" outlineLevel="0" collapsed="false">
      <c r="B9" s="24" t="s">
        <v>55</v>
      </c>
      <c r="I9" s="24" t="s">
        <v>56</v>
      </c>
    </row>
    <row r="10" customFormat="false" ht="21.75" hidden="false" customHeight="true" outlineLevel="0" collapsed="false">
      <c r="B10" s="10" t="s">
        <v>57</v>
      </c>
      <c r="C10" s="10" t="s">
        <v>58</v>
      </c>
      <c r="D10" s="10" t="s">
        <v>30</v>
      </c>
      <c r="E10" s="10" t="s">
        <v>36</v>
      </c>
      <c r="F10" s="10" t="s">
        <v>35</v>
      </c>
      <c r="I10" s="10" t="s">
        <v>28</v>
      </c>
      <c r="J10" s="10" t="s">
        <v>58</v>
      </c>
      <c r="K10" s="10" t="s">
        <v>59</v>
      </c>
      <c r="L10" s="10" t="s">
        <v>11</v>
      </c>
    </row>
    <row r="11" customFormat="false" ht="15" hidden="false" customHeight="false" outlineLevel="0" collapsed="false">
      <c r="B11" s="25" t="s">
        <v>60</v>
      </c>
      <c r="C11" s="26" t="n">
        <f aca="false">COUNTIFS(İçerikler!$A$5:$A$2004,"&gt;="&amp;DATE($C$3,1,1),İçerikler!$A$5:$A$2004,"&lt;"&amp;DATE($C$3,2,1))</f>
        <v>0</v>
      </c>
      <c r="D11" s="26" t="n">
        <f aca="false">SUMIFS(İçerikler!$E$5:$E$2004,İçerikler!$A$5:$A$2004,"&gt;="&amp;DATE($C$3,1,1),İçerikler!$A$5:$A$2004,"&lt;"&amp;DATE($C$3,2,1))</f>
        <v>0</v>
      </c>
      <c r="E11" s="26" t="n">
        <f aca="false">SUMIFS(İçerikler!$K$5:$K$2004,İçerikler!$A$5:$A$2004,"&gt;="&amp;DATE($C$3,1,1),İçerikler!$A$5:$A$2004,"&lt;"&amp;DATE($C$3,2,1))</f>
        <v>0</v>
      </c>
      <c r="F11" s="26" t="n">
        <f aca="false">SUMIFS(İçerikler!$J$5:$J$2004,İçerikler!$A$5:$A$2004,"&gt;="&amp;DATE($C$3,1,1),İçerikler!$A$5:$A$2004,"&lt;"&amp;DATE($C$3,2,1))</f>
        <v>0</v>
      </c>
      <c r="I11" s="25" t="str">
        <f aca="false">IF(Listeler!B5="","",Listeler!B5)</f>
        <v>Reels</v>
      </c>
      <c r="J11" s="26" t="n">
        <f aca="false">IF(I11="","",COUNTIF(İçerikler!$C$5:$C$2004,I11))</f>
        <v>2</v>
      </c>
      <c r="K11" s="26" t="n">
        <f aca="false">IF(I11="","",IF(COUNTIF(İçerikler!$C$5:$C$2004,I11)=0,0,SUMIFS(İçerikler!$E$5:$E$2004,İçerikler!$C$5:$C$2004,I11)/COUNTIF(İçerikler!$C$5:$C$2004,I11)))</f>
        <v>16450</v>
      </c>
      <c r="L11" s="27" t="n">
        <f aca="false">IF(I11="","",IF(SUMIFS(İçerikler!$E$5:$E$2004,İçerikler!$C$5:$C$2004,I11)=0,0,SUMIFS(İçerikler!$K$5:$K$2004,İçerikler!$C$5:$C$2004,I11)/SUMIFS(İçerikler!$E$5:$E$2004,İçerikler!$C$5:$C$2004,I11)))</f>
        <v>0.102948328267477</v>
      </c>
    </row>
    <row r="12" customFormat="false" ht="15" hidden="false" customHeight="false" outlineLevel="0" collapsed="false">
      <c r="B12" s="28" t="s">
        <v>61</v>
      </c>
      <c r="C12" s="29" t="n">
        <f aca="false">COUNTIFS(İçerikler!$A$5:$A$2004,"&gt;="&amp;DATE($C$3,2,1),İçerikler!$A$5:$A$2004,"&lt;"&amp;DATE($C$3,3,1))</f>
        <v>0</v>
      </c>
      <c r="D12" s="29" t="n">
        <f aca="false">SUMIFS(İçerikler!$E$5:$E$2004,İçerikler!$A$5:$A$2004,"&gt;="&amp;DATE($C$3,2,1),İçerikler!$A$5:$A$2004,"&lt;"&amp;DATE($C$3,3,1))</f>
        <v>0</v>
      </c>
      <c r="E12" s="29" t="n">
        <f aca="false">SUMIFS(İçerikler!$K$5:$K$2004,İçerikler!$A$5:$A$2004,"&gt;="&amp;DATE($C$3,2,1),İçerikler!$A$5:$A$2004,"&lt;"&amp;DATE($C$3,3,1))</f>
        <v>0</v>
      </c>
      <c r="F12" s="29" t="n">
        <f aca="false">SUMIFS(İçerikler!$J$5:$J$2004,İçerikler!$A$5:$A$2004,"&gt;="&amp;DATE($C$3,2,1),İçerikler!$A$5:$A$2004,"&lt;"&amp;DATE($C$3,3,1))</f>
        <v>0</v>
      </c>
      <c r="I12" s="28" t="str">
        <f aca="false">IF(Listeler!B6="","",Listeler!B6)</f>
        <v>Gönderi</v>
      </c>
      <c r="J12" s="29" t="n">
        <f aca="false">IF(I12="","",COUNTIF(İçerikler!$C$5:$C$2004,I12))</f>
        <v>1</v>
      </c>
      <c r="K12" s="29" t="n">
        <f aca="false">IF(I12="","",IF(COUNTIF(İçerikler!$C$5:$C$2004,I12)=0,0,SUMIFS(İçerikler!$E$5:$E$2004,İçerikler!$C$5:$C$2004,I12)/COUNTIF(İçerikler!$C$5:$C$2004,I12)))</f>
        <v>3100</v>
      </c>
      <c r="L12" s="30" t="n">
        <f aca="false">IF(I12="","",IF(SUMIFS(İçerikler!$E$5:$E$2004,İçerikler!$C$5:$C$2004,I12)=0,0,SUMIFS(İçerikler!$K$5:$K$2004,İçerikler!$C$5:$C$2004,I12)/SUMIFS(İçerikler!$E$5:$E$2004,İçerikler!$C$5:$C$2004,I12)))</f>
        <v>0.136774193548387</v>
      </c>
    </row>
    <row r="13" customFormat="false" ht="15" hidden="false" customHeight="false" outlineLevel="0" collapsed="false">
      <c r="B13" s="25" t="s">
        <v>62</v>
      </c>
      <c r="C13" s="26" t="n">
        <f aca="false">COUNTIFS(İçerikler!$A$5:$A$2004,"&gt;="&amp;DATE($C$3,3,1),İçerikler!$A$5:$A$2004,"&lt;"&amp;DATE($C$3,4,1))</f>
        <v>0</v>
      </c>
      <c r="D13" s="26" t="n">
        <f aca="false">SUMIFS(İçerikler!$E$5:$E$2004,İçerikler!$A$5:$A$2004,"&gt;="&amp;DATE($C$3,3,1),İçerikler!$A$5:$A$2004,"&lt;"&amp;DATE($C$3,4,1))</f>
        <v>0</v>
      </c>
      <c r="E13" s="26" t="n">
        <f aca="false">SUMIFS(İçerikler!$K$5:$K$2004,İçerikler!$A$5:$A$2004,"&gt;="&amp;DATE($C$3,3,1),İçerikler!$A$5:$A$2004,"&lt;"&amp;DATE($C$3,4,1))</f>
        <v>0</v>
      </c>
      <c r="F13" s="26" t="n">
        <f aca="false">SUMIFS(İçerikler!$J$5:$J$2004,İçerikler!$A$5:$A$2004,"&gt;="&amp;DATE($C$3,3,1),İçerikler!$A$5:$A$2004,"&lt;"&amp;DATE($C$3,4,1))</f>
        <v>0</v>
      </c>
      <c r="I13" s="25" t="str">
        <f aca="false">IF(Listeler!B7="","",Listeler!B7)</f>
        <v>Hikâye</v>
      </c>
      <c r="J13" s="26" t="n">
        <f aca="false">IF(I13="","",COUNTIF(İçerikler!$C$5:$C$2004,I13))</f>
        <v>1</v>
      </c>
      <c r="K13" s="26" t="n">
        <f aca="false">IF(I13="","",IF(COUNTIF(İçerikler!$C$5:$C$2004,I13)=0,0,SUMIFS(İçerikler!$E$5:$E$2004,İçerikler!$C$5:$C$2004,I13)/COUNTIF(İçerikler!$C$5:$C$2004,I13)))</f>
        <v>900</v>
      </c>
      <c r="L13" s="27" t="n">
        <f aca="false">IF(I13="","",IF(SUMIFS(İçerikler!$E$5:$E$2004,İçerikler!$C$5:$C$2004,I13)=0,0,SUMIFS(İçerikler!$K$5:$K$2004,İçerikler!$C$5:$C$2004,I13)/SUMIFS(İçerikler!$E$5:$E$2004,İçerikler!$C$5:$C$2004,I13)))</f>
        <v>0.0533333333333333</v>
      </c>
    </row>
    <row r="14" customFormat="false" ht="15" hidden="false" customHeight="false" outlineLevel="0" collapsed="false">
      <c r="B14" s="28" t="s">
        <v>63</v>
      </c>
      <c r="C14" s="29" t="n">
        <f aca="false">COUNTIFS(İçerikler!$A$5:$A$2004,"&gt;="&amp;DATE($C$3,4,1),İçerikler!$A$5:$A$2004,"&lt;"&amp;DATE($C$3,5,1))</f>
        <v>0</v>
      </c>
      <c r="D14" s="29" t="n">
        <f aca="false">SUMIFS(İçerikler!$E$5:$E$2004,İçerikler!$A$5:$A$2004,"&gt;="&amp;DATE($C$3,4,1),İçerikler!$A$5:$A$2004,"&lt;"&amp;DATE($C$3,5,1))</f>
        <v>0</v>
      </c>
      <c r="E14" s="29" t="n">
        <f aca="false">SUMIFS(İçerikler!$K$5:$K$2004,İçerikler!$A$5:$A$2004,"&gt;="&amp;DATE($C$3,4,1),İçerikler!$A$5:$A$2004,"&lt;"&amp;DATE($C$3,5,1))</f>
        <v>0</v>
      </c>
      <c r="F14" s="29" t="n">
        <f aca="false">SUMIFS(İçerikler!$J$5:$J$2004,İçerikler!$A$5:$A$2004,"&gt;="&amp;DATE($C$3,4,1),İçerikler!$A$5:$A$2004,"&lt;"&amp;DATE($C$3,5,1))</f>
        <v>0</v>
      </c>
      <c r="I14" s="28" t="str">
        <f aca="false">IF(Listeler!B8="","",Listeler!B8)</f>
        <v>Video</v>
      </c>
      <c r="J14" s="29" t="n">
        <f aca="false">IF(I14="","",COUNTIF(İçerikler!$C$5:$C$2004,I14))</f>
        <v>0</v>
      </c>
      <c r="K14" s="29" t="n">
        <f aca="false">IF(I14="","",IF(COUNTIF(İçerikler!$C$5:$C$2004,I14)=0,0,SUMIFS(İçerikler!$E$5:$E$2004,İçerikler!$C$5:$C$2004,I14)/COUNTIF(İçerikler!$C$5:$C$2004,I14)))</f>
        <v>0</v>
      </c>
      <c r="L14" s="30" t="n">
        <f aca="false">IF(I14="","",IF(SUMIFS(İçerikler!$E$5:$E$2004,İçerikler!$C$5:$C$2004,I14)=0,0,SUMIFS(İçerikler!$K$5:$K$2004,İçerikler!$C$5:$C$2004,I14)/SUMIFS(İçerikler!$E$5:$E$2004,İçerikler!$C$5:$C$2004,I14)))</f>
        <v>0</v>
      </c>
    </row>
    <row r="15" customFormat="false" ht="15" hidden="false" customHeight="false" outlineLevel="0" collapsed="false">
      <c r="B15" s="25" t="s">
        <v>64</v>
      </c>
      <c r="C15" s="26" t="n">
        <f aca="false">COUNTIFS(İçerikler!$A$5:$A$2004,"&gt;="&amp;DATE($C$3,5,1),İçerikler!$A$5:$A$2004,"&lt;"&amp;DATE($C$3,6,1))</f>
        <v>0</v>
      </c>
      <c r="D15" s="26" t="n">
        <f aca="false">SUMIFS(İçerikler!$E$5:$E$2004,İçerikler!$A$5:$A$2004,"&gt;="&amp;DATE($C$3,5,1),İçerikler!$A$5:$A$2004,"&lt;"&amp;DATE($C$3,6,1))</f>
        <v>0</v>
      </c>
      <c r="E15" s="26" t="n">
        <f aca="false">SUMIFS(İçerikler!$K$5:$K$2004,İçerikler!$A$5:$A$2004,"&gt;="&amp;DATE($C$3,5,1),İçerikler!$A$5:$A$2004,"&lt;"&amp;DATE($C$3,6,1))</f>
        <v>0</v>
      </c>
      <c r="F15" s="26" t="n">
        <f aca="false">SUMIFS(İçerikler!$J$5:$J$2004,İçerikler!$A$5:$A$2004,"&gt;="&amp;DATE($C$3,5,1),İçerikler!$A$5:$A$2004,"&lt;"&amp;DATE($C$3,6,1))</f>
        <v>0</v>
      </c>
      <c r="I15" s="25" t="str">
        <f aca="false">IF(Listeler!B9="","",Listeler!B9)</f>
        <v>Shorts</v>
      </c>
      <c r="J15" s="26" t="n">
        <f aca="false">IF(I15="","",COUNTIF(İçerikler!$C$5:$C$2004,I15))</f>
        <v>1</v>
      </c>
      <c r="K15" s="26" t="n">
        <f aca="false">IF(I15="","",IF(COUNTIF(İçerikler!$C$5:$C$2004,I15)=0,0,SUMIFS(İçerikler!$E$5:$E$2004,İçerikler!$C$5:$C$2004,I15)/COUNTIF(İçerikler!$C$5:$C$2004,I15)))</f>
        <v>8800</v>
      </c>
      <c r="L15" s="27" t="n">
        <f aca="false">IF(I15="","",IF(SUMIFS(İçerikler!$E$5:$E$2004,İçerikler!$C$5:$C$2004,I15)=0,0,SUMIFS(İçerikler!$K$5:$K$2004,İçerikler!$C$5:$C$2004,I15)/SUMIFS(İçerikler!$E$5:$E$2004,İçerikler!$C$5:$C$2004,I15)))</f>
        <v>0.0465909090909091</v>
      </c>
    </row>
    <row r="16" customFormat="false" ht="15" hidden="false" customHeight="false" outlineLevel="0" collapsed="false">
      <c r="B16" s="28" t="s">
        <v>65</v>
      </c>
      <c r="C16" s="29" t="n">
        <f aca="false">COUNTIFS(İçerikler!$A$5:$A$2004,"&gt;="&amp;DATE($C$3,6,1),İçerikler!$A$5:$A$2004,"&lt;"&amp;DATE($C$3,7,1))</f>
        <v>0</v>
      </c>
      <c r="D16" s="29" t="n">
        <f aca="false">SUMIFS(İçerikler!$E$5:$E$2004,İçerikler!$A$5:$A$2004,"&gt;="&amp;DATE($C$3,6,1),İçerikler!$A$5:$A$2004,"&lt;"&amp;DATE($C$3,7,1))</f>
        <v>0</v>
      </c>
      <c r="E16" s="29" t="n">
        <f aca="false">SUMIFS(İçerikler!$K$5:$K$2004,İçerikler!$A$5:$A$2004,"&gt;="&amp;DATE($C$3,6,1),İçerikler!$A$5:$A$2004,"&lt;"&amp;DATE($C$3,7,1))</f>
        <v>0</v>
      </c>
      <c r="F16" s="29" t="n">
        <f aca="false">SUMIFS(İçerikler!$J$5:$J$2004,İçerikler!$A$5:$A$2004,"&gt;="&amp;DATE($C$3,6,1),İçerikler!$A$5:$A$2004,"&lt;"&amp;DATE($C$3,7,1))</f>
        <v>0</v>
      </c>
      <c r="I16" s="28" t="str">
        <f aca="false">IF(Listeler!B10="","",Listeler!B10)</f>
        <v>Kaydırmalı gönderi</v>
      </c>
      <c r="J16" s="29" t="n">
        <f aca="false">IF(I16="","",COUNTIF(İçerikler!$C$5:$C$2004,I16))</f>
        <v>0</v>
      </c>
      <c r="K16" s="29" t="n">
        <f aca="false">IF(I16="","",IF(COUNTIF(İçerikler!$C$5:$C$2004,I16)=0,0,SUMIFS(İçerikler!$E$5:$E$2004,İçerikler!$C$5:$C$2004,I16)/COUNTIF(İçerikler!$C$5:$C$2004,I16)))</f>
        <v>0</v>
      </c>
      <c r="L16" s="30" t="n">
        <f aca="false">IF(I16="","",IF(SUMIFS(İçerikler!$E$5:$E$2004,İçerikler!$C$5:$C$2004,I16)=0,0,SUMIFS(İçerikler!$K$5:$K$2004,İçerikler!$C$5:$C$2004,I16)/SUMIFS(İçerikler!$E$5:$E$2004,İçerikler!$C$5:$C$2004,I16)))</f>
        <v>0</v>
      </c>
    </row>
    <row r="17" customFormat="false" ht="15" hidden="false" customHeight="false" outlineLevel="0" collapsed="false">
      <c r="B17" s="25" t="s">
        <v>66</v>
      </c>
      <c r="C17" s="26" t="n">
        <f aca="false">COUNTIFS(İçerikler!$A$5:$A$2004,"&gt;="&amp;DATE($C$3,7,1),İçerikler!$A$5:$A$2004,"&lt;"&amp;DATE($C$3,8,1))</f>
        <v>0</v>
      </c>
      <c r="D17" s="26" t="n">
        <f aca="false">SUMIFS(İçerikler!$E$5:$E$2004,İçerikler!$A$5:$A$2004,"&gt;="&amp;DATE($C$3,7,1),İçerikler!$A$5:$A$2004,"&lt;"&amp;DATE($C$3,8,1))</f>
        <v>0</v>
      </c>
      <c r="E17" s="26" t="n">
        <f aca="false">SUMIFS(İçerikler!$K$5:$K$2004,İçerikler!$A$5:$A$2004,"&gt;="&amp;DATE($C$3,7,1),İçerikler!$A$5:$A$2004,"&lt;"&amp;DATE($C$3,8,1))</f>
        <v>0</v>
      </c>
      <c r="F17" s="26" t="n">
        <f aca="false">SUMIFS(İçerikler!$J$5:$J$2004,İçerikler!$A$5:$A$2004,"&gt;="&amp;DATE($C$3,7,1),İçerikler!$A$5:$A$2004,"&lt;"&amp;DATE($C$3,8,1))</f>
        <v>0</v>
      </c>
      <c r="I17" s="25" t="str">
        <f aca="false">IF(Listeler!B11="","",Listeler!B11)</f>
        <v/>
      </c>
      <c r="J17" s="26" t="str">
        <f aca="false">IF(I17="","",COUNTIF(İçerikler!$C$5:$C$2004,I17))</f>
        <v/>
      </c>
      <c r="K17" s="26" t="str">
        <f aca="false">IF(I17="","",IF(COUNTIF(İçerikler!$C$5:$C$2004,I17)=0,0,SUMIFS(İçerikler!$E$5:$E$2004,İçerikler!$C$5:$C$2004,I17)/COUNTIF(İçerikler!$C$5:$C$2004,I17)))</f>
        <v/>
      </c>
      <c r="L17" s="27" t="str">
        <f aca="false">IF(I17="","",IF(SUMIFS(İçerikler!$E$5:$E$2004,İçerikler!$C$5:$C$2004,I17)=0,0,SUMIFS(İçerikler!$K$5:$K$2004,İçerikler!$C$5:$C$2004,I17)/SUMIFS(İçerikler!$E$5:$E$2004,İçerikler!$C$5:$C$2004,I17)))</f>
        <v/>
      </c>
    </row>
    <row r="18" customFormat="false" ht="15" hidden="false" customHeight="false" outlineLevel="0" collapsed="false">
      <c r="B18" s="28" t="s">
        <v>67</v>
      </c>
      <c r="C18" s="29" t="n">
        <f aca="false">COUNTIFS(İçerikler!$A$5:$A$2004,"&gt;="&amp;DATE($C$3,8,1),İçerikler!$A$5:$A$2004,"&lt;"&amp;DATE($C$3,9,1))</f>
        <v>0</v>
      </c>
      <c r="D18" s="29" t="n">
        <f aca="false">SUMIFS(İçerikler!$E$5:$E$2004,İçerikler!$A$5:$A$2004,"&gt;="&amp;DATE($C$3,8,1),İçerikler!$A$5:$A$2004,"&lt;"&amp;DATE($C$3,9,1))</f>
        <v>0</v>
      </c>
      <c r="E18" s="29" t="n">
        <f aca="false">SUMIFS(İçerikler!$K$5:$K$2004,İçerikler!$A$5:$A$2004,"&gt;="&amp;DATE($C$3,8,1),İçerikler!$A$5:$A$2004,"&lt;"&amp;DATE($C$3,9,1))</f>
        <v>0</v>
      </c>
      <c r="F18" s="29" t="n">
        <f aca="false">SUMIFS(İçerikler!$J$5:$J$2004,İçerikler!$A$5:$A$2004,"&gt;="&amp;DATE($C$3,8,1),İçerikler!$A$5:$A$2004,"&lt;"&amp;DATE($C$3,9,1))</f>
        <v>0</v>
      </c>
      <c r="I18" s="28" t="str">
        <f aca="false">IF(Listeler!B12="","",Listeler!B12)</f>
        <v/>
      </c>
      <c r="J18" s="29" t="str">
        <f aca="false">IF(I18="","",COUNTIF(İçerikler!$C$5:$C$2004,I18))</f>
        <v/>
      </c>
      <c r="K18" s="29" t="str">
        <f aca="false">IF(I18="","",IF(COUNTIF(İçerikler!$C$5:$C$2004,I18)=0,0,SUMIFS(İçerikler!$E$5:$E$2004,İçerikler!$C$5:$C$2004,I18)/COUNTIF(İçerikler!$C$5:$C$2004,I18)))</f>
        <v/>
      </c>
      <c r="L18" s="30" t="str">
        <f aca="false">IF(I18="","",IF(SUMIFS(İçerikler!$E$5:$E$2004,İçerikler!$C$5:$C$2004,I18)=0,0,SUMIFS(İçerikler!$K$5:$K$2004,İçerikler!$C$5:$C$2004,I18)/SUMIFS(İçerikler!$E$5:$E$2004,İçerikler!$C$5:$C$2004,I18)))</f>
        <v/>
      </c>
    </row>
    <row r="19" customFormat="false" ht="15" hidden="false" customHeight="false" outlineLevel="0" collapsed="false">
      <c r="B19" s="25" t="s">
        <v>68</v>
      </c>
      <c r="C19" s="26" t="n">
        <f aca="false">COUNTIFS(İçerikler!$A$5:$A$2004,"&gt;="&amp;DATE($C$3,9,1),İçerikler!$A$5:$A$2004,"&lt;"&amp;DATE($C$3,10,1))</f>
        <v>2</v>
      </c>
      <c r="D19" s="26" t="n">
        <f aca="false">SUMIFS(İçerikler!$E$5:$E$2004,İçerikler!$A$5:$A$2004,"&gt;="&amp;DATE($C$3,9,1),İçerikler!$A$5:$A$2004,"&lt;"&amp;DATE($C$3,10,1))</f>
        <v>15500</v>
      </c>
      <c r="E19" s="26" t="n">
        <f aca="false">SUMIFS(İçerikler!$K$5:$K$2004,İçerikler!$A$5:$A$2004,"&gt;="&amp;DATE($C$3,9,1),İçerikler!$A$5:$A$2004,"&lt;"&amp;DATE($C$3,10,1))</f>
        <v>1607</v>
      </c>
      <c r="F19" s="26" t="n">
        <f aca="false">SUMIFS(İçerikler!$J$5:$J$2004,İçerikler!$A$5:$A$2004,"&gt;="&amp;DATE($C$3,9,1),İçerikler!$A$5:$A$2004,"&lt;"&amp;DATE($C$3,10,1))</f>
        <v>71</v>
      </c>
      <c r="I19" s="25" t="str">
        <f aca="false">IF(Listeler!B13="","",Listeler!B13)</f>
        <v/>
      </c>
      <c r="J19" s="26" t="str">
        <f aca="false">IF(I19="","",COUNTIF(İçerikler!$C$5:$C$2004,I19))</f>
        <v/>
      </c>
      <c r="K19" s="26" t="str">
        <f aca="false">IF(I19="","",IF(COUNTIF(İçerikler!$C$5:$C$2004,I19)=0,0,SUMIFS(İçerikler!$E$5:$E$2004,İçerikler!$C$5:$C$2004,I19)/COUNTIF(İçerikler!$C$5:$C$2004,I19)))</f>
        <v/>
      </c>
      <c r="L19" s="27" t="str">
        <f aca="false">IF(I19="","",IF(SUMIFS(İçerikler!$E$5:$E$2004,İçerikler!$C$5:$C$2004,I19)=0,0,SUMIFS(İçerikler!$K$5:$K$2004,İçerikler!$C$5:$C$2004,I19)/SUMIFS(İçerikler!$E$5:$E$2004,İçerikler!$C$5:$C$2004,I19)))</f>
        <v/>
      </c>
    </row>
    <row r="20" customFormat="false" ht="15" hidden="false" customHeight="false" outlineLevel="0" collapsed="false">
      <c r="B20" s="28" t="s">
        <v>69</v>
      </c>
      <c r="C20" s="29" t="n">
        <f aca="false">COUNTIFS(İçerikler!$A$5:$A$2004,"&gt;="&amp;DATE($C$3,10,1),İçerikler!$A$5:$A$2004,"&lt;"&amp;DATE($C$3,11,1))</f>
        <v>3</v>
      </c>
      <c r="D20" s="29" t="n">
        <f aca="false">SUMIFS(İçerikler!$E$5:$E$2004,İçerikler!$A$5:$A$2004,"&gt;="&amp;DATE($C$3,10,1),İçerikler!$A$5:$A$2004,"&lt;"&amp;DATE($C$3,11,1))</f>
        <v>30200</v>
      </c>
      <c r="E20" s="29" t="n">
        <f aca="false">SUMIFS(İçerikler!$K$5:$K$2004,İçerikler!$A$5:$A$2004,"&gt;="&amp;DATE($C$3,10,1),İçerikler!$A$5:$A$2004,"&lt;"&amp;DATE($C$3,11,1))</f>
        <v>2662</v>
      </c>
      <c r="F20" s="29" t="n">
        <f aca="false">SUMIFS(İçerikler!$J$5:$J$2004,İçerikler!$A$5:$A$2004,"&gt;="&amp;DATE($C$3,10,1),İçerikler!$A$5:$A$2004,"&lt;"&amp;DATE($C$3,11,1))</f>
        <v>172</v>
      </c>
      <c r="I20" s="28" t="str">
        <f aca="false">IF(Listeler!B14="","",Listeler!B14)</f>
        <v/>
      </c>
      <c r="J20" s="29" t="str">
        <f aca="false">IF(I20="","",COUNTIF(İçerikler!$C$5:$C$2004,I20))</f>
        <v/>
      </c>
      <c r="K20" s="29" t="str">
        <f aca="false">IF(I20="","",IF(COUNTIF(İçerikler!$C$5:$C$2004,I20)=0,0,SUMIFS(İçerikler!$E$5:$E$2004,İçerikler!$C$5:$C$2004,I20)/COUNTIF(İçerikler!$C$5:$C$2004,I20)))</f>
        <v/>
      </c>
      <c r="L20" s="30" t="str">
        <f aca="false">IF(I20="","",IF(SUMIFS(İçerikler!$E$5:$E$2004,İçerikler!$C$5:$C$2004,I20)=0,0,SUMIFS(İçerikler!$K$5:$K$2004,İçerikler!$C$5:$C$2004,I20)/SUMIFS(İçerikler!$E$5:$E$2004,İçerikler!$C$5:$C$2004,I20)))</f>
        <v/>
      </c>
    </row>
    <row r="21" customFormat="false" ht="15" hidden="false" customHeight="false" outlineLevel="0" collapsed="false">
      <c r="B21" s="25" t="s">
        <v>70</v>
      </c>
      <c r="C21" s="26" t="n">
        <f aca="false">COUNTIFS(İçerikler!$A$5:$A$2004,"&gt;="&amp;DATE($C$3,11,1),İçerikler!$A$5:$A$2004,"&lt;"&amp;DATE($C$3,12,1))</f>
        <v>0</v>
      </c>
      <c r="D21" s="26" t="n">
        <f aca="false">SUMIFS(İçerikler!$E$5:$E$2004,İçerikler!$A$5:$A$2004,"&gt;="&amp;DATE($C$3,11,1),İçerikler!$A$5:$A$2004,"&lt;"&amp;DATE($C$3,12,1))</f>
        <v>0</v>
      </c>
      <c r="E21" s="26" t="n">
        <f aca="false">SUMIFS(İçerikler!$K$5:$K$2004,İçerikler!$A$5:$A$2004,"&gt;="&amp;DATE($C$3,11,1),İçerikler!$A$5:$A$2004,"&lt;"&amp;DATE($C$3,12,1))</f>
        <v>0</v>
      </c>
      <c r="F21" s="26" t="n">
        <f aca="false">SUMIFS(İçerikler!$J$5:$J$2004,İçerikler!$A$5:$A$2004,"&gt;="&amp;DATE($C$3,11,1),İçerikler!$A$5:$A$2004,"&lt;"&amp;DATE($C$3,12,1))</f>
        <v>0</v>
      </c>
    </row>
    <row r="22" customFormat="false" ht="15" hidden="false" customHeight="false" outlineLevel="0" collapsed="false">
      <c r="B22" s="28" t="s">
        <v>71</v>
      </c>
      <c r="C22" s="29" t="n">
        <f aca="false">COUNTIFS(İçerikler!$A$5:$A$2004,"&gt;="&amp;DATE($C$3,12,1),İçerikler!$A$5:$A$2004,"&lt;"&amp;DATE($C$3,13,1))</f>
        <v>0</v>
      </c>
      <c r="D22" s="29" t="n">
        <f aca="false">SUMIFS(İçerikler!$E$5:$E$2004,İçerikler!$A$5:$A$2004,"&gt;="&amp;DATE($C$3,12,1),İçerikler!$A$5:$A$2004,"&lt;"&amp;DATE($C$3,13,1))</f>
        <v>0</v>
      </c>
      <c r="E22" s="29" t="n">
        <f aca="false">SUMIFS(İçerikler!$K$5:$K$2004,İçerikler!$A$5:$A$2004,"&gt;="&amp;DATE($C$3,12,1),İçerikler!$A$5:$A$2004,"&lt;"&amp;DATE($C$3,13,1))</f>
        <v>0</v>
      </c>
      <c r="F22" s="29" t="n">
        <f aca="false">SUMIFS(İçerikler!$J$5:$J$2004,İçerikler!$A$5:$A$2004,"&gt;="&amp;DATE($C$3,12,1),İçerikler!$A$5:$A$2004,"&lt;"&amp;DATE($C$3,13,1))</f>
        <v>0</v>
      </c>
      <c r="I22" s="24" t="s">
        <v>72</v>
      </c>
    </row>
    <row r="23" customFormat="false" ht="21.75" hidden="false" customHeight="true" outlineLevel="0" collapsed="false">
      <c r="B23" s="31" t="s">
        <v>73</v>
      </c>
      <c r="C23" s="32" t="n">
        <f aca="false">SUM(C11:C22)</f>
        <v>5</v>
      </c>
      <c r="D23" s="32" t="n">
        <f aca="false">SUM(D11:D22)</f>
        <v>45700</v>
      </c>
      <c r="E23" s="32" t="n">
        <f aca="false">SUM(E11:E22)</f>
        <v>4269</v>
      </c>
      <c r="F23" s="32" t="n">
        <f aca="false">SUM(F11:F22)</f>
        <v>243</v>
      </c>
      <c r="I23" s="10" t="s">
        <v>29</v>
      </c>
      <c r="J23" s="10" t="s">
        <v>30</v>
      </c>
      <c r="K23" s="10" t="s">
        <v>11</v>
      </c>
    </row>
    <row r="24" customFormat="false" ht="15" hidden="false" customHeight="false" outlineLevel="0" collapsed="false">
      <c r="I24" s="25" t="str">
        <f aca="false">IFERROR(INDEX(İçerikler!$D$5:$D$2004,MATCH(LARGE(İçerikler!$M$5:$M$2004,1),İçerikler!$M$5:$M$2004,0))&amp;"","")</f>
        <v>Birleştirilmiş hücre hatası</v>
      </c>
      <c r="J24" s="26" t="n">
        <f aca="false">IF(I24="","",INDEX(İçerikler!$E$5:$E$2004,MATCH(LARGE(İçerikler!$M$5:$M$2004,1),İçerikler!$M$5:$M$2004,0)))</f>
        <v>20500</v>
      </c>
      <c r="K24" s="27" t="n">
        <f aca="false">IF(I24="","",INDEX(İçerikler!$L$5:$L$2004,MATCH(LARGE(İçerikler!$M$5:$M$2004,1),İçerikler!$M$5:$M$2004,0)))</f>
        <v>0.107512195121951</v>
      </c>
    </row>
    <row r="25" customFormat="false" ht="15" hidden="false" customHeight="false" outlineLevel="0" collapsed="false">
      <c r="B25" s="24" t="s">
        <v>74</v>
      </c>
      <c r="I25" s="28" t="str">
        <f aca="false">IFERROR(INDEX(İçerikler!$D$5:$D$2004,MATCH(LARGE(İçerikler!$M$5:$M$2004,2),İçerikler!$M$5:$M$2004,0))&amp;"","")</f>
        <v>Dağınık Excel önce ve sonra</v>
      </c>
      <c r="J25" s="29" t="n">
        <f aca="false">IF(I25="","",INDEX(İçerikler!$E$5:$E$2004,MATCH(LARGE(İçerikler!$M$5:$M$2004,2),İçerikler!$M$5:$M$2004,0)))</f>
        <v>12400</v>
      </c>
      <c r="K25" s="30" t="n">
        <f aca="false">IF(I25="","",INDEX(İçerikler!$L$5:$L$2004,MATCH(LARGE(İçerikler!$M$5:$M$2004,2),İçerikler!$M$5:$M$2004,0)))</f>
        <v>0.0954032258064516</v>
      </c>
    </row>
    <row r="26" customFormat="false" ht="21.75" hidden="false" customHeight="true" outlineLevel="0" collapsed="false">
      <c r="B26" s="10" t="s">
        <v>75</v>
      </c>
      <c r="C26" s="10" t="s">
        <v>58</v>
      </c>
      <c r="D26" s="10" t="s">
        <v>59</v>
      </c>
      <c r="I26" s="25" t="str">
        <f aca="false">IFERROR(INDEX(İçerikler!$D$5:$D$2004,MATCH(LARGE(İçerikler!$M$5:$M$2004,3),İçerikler!$M$5:$M$2004,0))&amp;"","")</f>
        <v>Elle toplamı formüle çevir</v>
      </c>
      <c r="J26" s="26" t="n">
        <f aca="false">IF(I26="","",INDEX(İçerikler!$E$5:$E$2004,MATCH(LARGE(İçerikler!$M$5:$M$2004,3),İçerikler!$M$5:$M$2004,0)))</f>
        <v>8800</v>
      </c>
      <c r="K26" s="27" t="n">
        <f aca="false">IF(I26="","",INDEX(İçerikler!$L$5:$L$2004,MATCH(LARGE(İçerikler!$M$5:$M$2004,3),İçerikler!$M$5:$M$2004,0)))</f>
        <v>0.0465909090909091</v>
      </c>
    </row>
    <row r="27" customFormat="false" ht="15" hidden="false" customHeight="false" outlineLevel="0" collapsed="false">
      <c r="B27" s="25" t="s">
        <v>76</v>
      </c>
      <c r="C27" s="26" t="n">
        <f aca="false">SUMPRODUCT((WEEKDAY(İçerikler!$A$5:$A$2004,2)=1)*(İçerikler!$A$5:$A$2004&gt;0))</f>
        <v>1</v>
      </c>
      <c r="D27" s="26" t="n">
        <f aca="false">IF(C27=0,0,SUMPRODUCT((WEEKDAY(İçerikler!$A$5:$A$2004,2)=1)*(İçerikler!$A$5:$A$2004&gt;0)*İçerikler!$E$5:$E$2004)/C27)</f>
        <v>12400</v>
      </c>
      <c r="I27" s="28" t="str">
        <f aca="false">IFERROR(INDEX(İçerikler!$D$5:$D$2004,MATCH(LARGE(İçerikler!$M$5:$M$2004,4),İçerikler!$M$5:$M$2004,0))&amp;"","")</f>
        <v>5 Excel kısayolu</v>
      </c>
      <c r="J27" s="29" t="n">
        <f aca="false">IF(I27="","",INDEX(İçerikler!$E$5:$E$2004,MATCH(LARGE(İçerikler!$M$5:$M$2004,4),İçerikler!$M$5:$M$2004,0)))</f>
        <v>3100</v>
      </c>
      <c r="K27" s="30" t="n">
        <f aca="false">IF(I27="","",INDEX(İçerikler!$L$5:$L$2004,MATCH(LARGE(İçerikler!$M$5:$M$2004,4),İçerikler!$M$5:$M$2004,0)))</f>
        <v>0.136774193548387</v>
      </c>
    </row>
    <row r="28" customFormat="false" ht="15" hidden="false" customHeight="false" outlineLevel="0" collapsed="false">
      <c r="B28" s="28" t="s">
        <v>77</v>
      </c>
      <c r="C28" s="29" t="n">
        <f aca="false">SUMPRODUCT((WEEKDAY(İçerikler!$A$5:$A$2004,2)=2)*(İçerikler!$A$5:$A$2004&gt;0))</f>
        <v>0</v>
      </c>
      <c r="D28" s="29" t="n">
        <f aca="false">IF(C28=0,0,SUMPRODUCT((WEEKDAY(İçerikler!$A$5:$A$2004,2)=2)*(İçerikler!$A$5:$A$2004&gt;0)*İçerikler!$E$5:$E$2004)/C28)</f>
        <v>0</v>
      </c>
      <c r="I28" s="25" t="str">
        <f aca="false">IFERROR(INDEX(İçerikler!$D$5:$D$2004,MATCH(LARGE(İçerikler!$M$5:$M$2004,5),İçerikler!$M$5:$M$2004,0))&amp;"","")</f>
        <v>Soru cevap</v>
      </c>
      <c r="J28" s="26" t="n">
        <f aca="false">IF(I28="","",INDEX(İçerikler!$E$5:$E$2004,MATCH(LARGE(İçerikler!$M$5:$M$2004,5),İçerikler!$M$5:$M$2004,0)))</f>
        <v>900</v>
      </c>
      <c r="K28" s="27" t="n">
        <f aca="false">IF(I28="","",INDEX(İçerikler!$L$5:$L$2004,MATCH(LARGE(İçerikler!$M$5:$M$2004,5),İçerikler!$M$5:$M$2004,0)))</f>
        <v>0.0533333333333333</v>
      </c>
    </row>
    <row r="29" customFormat="false" ht="15" hidden="false" customHeight="false" outlineLevel="0" collapsed="false">
      <c r="B29" s="25" t="s">
        <v>78</v>
      </c>
      <c r="C29" s="26" t="n">
        <f aca="false">SUMPRODUCT((WEEKDAY(İçerikler!$A$5:$A$2004,2)=3)*(İçerikler!$A$5:$A$2004&gt;0))</f>
        <v>1</v>
      </c>
      <c r="D29" s="26" t="n">
        <f aca="false">IF(C29=0,0,SUMPRODUCT((WEEKDAY(İçerikler!$A$5:$A$2004,2)=3)*(İçerikler!$A$5:$A$2004&gt;0)*İçerikler!$E$5:$E$2004)/C29)</f>
        <v>3100</v>
      </c>
    </row>
    <row r="30" customFormat="false" ht="15" hidden="false" customHeight="false" outlineLevel="0" collapsed="false">
      <c r="B30" s="28" t="s">
        <v>79</v>
      </c>
      <c r="C30" s="29" t="n">
        <f aca="false">SUMPRODUCT((WEEKDAY(İçerikler!$A$5:$A$2004,2)=4)*(İçerikler!$A$5:$A$2004&gt;0))</f>
        <v>1</v>
      </c>
      <c r="D30" s="29" t="n">
        <f aca="false">IF(C30=0,0,SUMPRODUCT((WEEKDAY(İçerikler!$A$5:$A$2004,2)=4)*(İçerikler!$A$5:$A$2004&gt;0)*İçerikler!$E$5:$E$2004)/C30)</f>
        <v>8800</v>
      </c>
    </row>
    <row r="31" customFormat="false" ht="15" hidden="false" customHeight="false" outlineLevel="0" collapsed="false">
      <c r="B31" s="25" t="s">
        <v>80</v>
      </c>
      <c r="C31" s="26" t="n">
        <f aca="false">SUMPRODUCT((WEEKDAY(İçerikler!$A$5:$A$2004,2)=5)*(İçerikler!$A$5:$A$2004&gt;0))</f>
        <v>1</v>
      </c>
      <c r="D31" s="26" t="n">
        <f aca="false">IF(C31=0,0,SUMPRODUCT((WEEKDAY(İçerikler!$A$5:$A$2004,2)=5)*(İçerikler!$A$5:$A$2004&gt;0)*İçerikler!$E$5:$E$2004)/C31)</f>
        <v>20500</v>
      </c>
    </row>
    <row r="32" customFormat="false" ht="15" hidden="false" customHeight="false" outlineLevel="0" collapsed="false">
      <c r="B32" s="28" t="s">
        <v>81</v>
      </c>
      <c r="C32" s="29" t="n">
        <f aca="false">SUMPRODUCT((WEEKDAY(İçerikler!$A$5:$A$2004,2)=6)*(İçerikler!$A$5:$A$2004&gt;0))</f>
        <v>1</v>
      </c>
      <c r="D32" s="29" t="n">
        <f aca="false">IF(C32=0,0,SUMPRODUCT((WEEKDAY(İçerikler!$A$5:$A$2004,2)=6)*(İçerikler!$A$5:$A$2004&gt;0)*İçerikler!$E$5:$E$2004)/C32)</f>
        <v>900</v>
      </c>
    </row>
    <row r="33" customFormat="false" ht="15" hidden="false" customHeight="false" outlineLevel="0" collapsed="false">
      <c r="B33" s="25" t="s">
        <v>82</v>
      </c>
      <c r="C33" s="26" t="n">
        <f aca="false">SUMPRODUCT((WEEKDAY(İçerikler!$A$5:$A$2004,2)=7)*(İçerikler!$A$5:$A$2004&gt;0))</f>
        <v>0</v>
      </c>
      <c r="D33" s="26" t="n">
        <f aca="false">IF(C33=0,0,SUMPRODUCT((WEEKDAY(İçerikler!$A$5:$A$2004,2)=7)*(İçerikler!$A$5:$A$2004&gt;0)*İçerikler!$E$5:$E$2004)/C33)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B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4"/>
  </cols>
  <sheetData>
    <row r="1" customFormat="false" ht="19.7" hidden="false" customHeight="false" outlineLevel="0" collapsed="false">
      <c r="A1" s="8" t="s">
        <v>83</v>
      </c>
    </row>
    <row r="2" customFormat="false" ht="15" hidden="false" customHeight="false" outlineLevel="0" collapsed="false">
      <c r="A2" s="9" t="s">
        <v>84</v>
      </c>
    </row>
    <row r="4" customFormat="false" ht="21.75" hidden="false" customHeight="true" outlineLevel="0" collapsed="false">
      <c r="A4" s="10" t="s">
        <v>27</v>
      </c>
      <c r="B4" s="10" t="s">
        <v>28</v>
      </c>
    </row>
    <row r="5" customFormat="false" ht="15" hidden="false" customHeight="false" outlineLevel="0" collapsed="false">
      <c r="A5" s="14" t="s">
        <v>38</v>
      </c>
      <c r="B5" s="14" t="s">
        <v>39</v>
      </c>
    </row>
    <row r="6" customFormat="false" ht="15" hidden="false" customHeight="false" outlineLevel="0" collapsed="false">
      <c r="A6" s="14" t="s">
        <v>43</v>
      </c>
      <c r="B6" s="14" t="s">
        <v>41</v>
      </c>
    </row>
    <row r="7" customFormat="false" ht="15" hidden="false" customHeight="false" outlineLevel="0" collapsed="false">
      <c r="A7" s="14" t="s">
        <v>85</v>
      </c>
      <c r="B7" s="14" t="s">
        <v>47</v>
      </c>
    </row>
    <row r="8" customFormat="false" ht="15" hidden="false" customHeight="false" outlineLevel="0" collapsed="false">
      <c r="A8" s="14" t="s">
        <v>86</v>
      </c>
      <c r="B8" s="14" t="s">
        <v>87</v>
      </c>
    </row>
    <row r="9" customFormat="false" ht="15" hidden="false" customHeight="false" outlineLevel="0" collapsed="false">
      <c r="A9" s="14"/>
      <c r="B9" s="14" t="s">
        <v>44</v>
      </c>
    </row>
    <row r="10" customFormat="false" ht="15" hidden="false" customHeight="false" outlineLevel="0" collapsed="false">
      <c r="A10" s="14"/>
      <c r="B10" s="14" t="s">
        <v>88</v>
      </c>
    </row>
    <row r="11" customFormat="false" ht="15" hidden="false" customHeight="false" outlineLevel="0" collapsed="false">
      <c r="A11" s="14"/>
      <c r="B11" s="14"/>
    </row>
    <row r="12" customFormat="false" ht="15" hidden="false" customHeight="false" outlineLevel="0" collapsed="false">
      <c r="A12" s="14"/>
      <c r="B12" s="14"/>
    </row>
    <row r="13" customFormat="false" ht="15" hidden="false" customHeight="false" outlineLevel="0" collapsed="false">
      <c r="A13" s="14"/>
      <c r="B13" s="14"/>
    </row>
    <row r="14" customFormat="false" ht="15" hidden="false" customHeight="false" outlineLevel="0" collapsed="false">
      <c r="A14" s="14"/>
      <c r="B14" s="14"/>
    </row>
    <row r="15" customFormat="false" ht="15" hidden="false" customHeight="false" outlineLevel="0" collapsed="false">
      <c r="A15" s="14"/>
      <c r="B15" s="14"/>
    </row>
    <row r="16" customFormat="false" ht="15" hidden="false" customHeight="false" outlineLevel="0" collapsed="false">
      <c r="A16" s="14"/>
      <c r="B16" s="14"/>
    </row>
    <row r="17" customFormat="false" ht="15" hidden="false" customHeight="false" outlineLevel="0" collapsed="false">
      <c r="A17" s="14"/>
      <c r="B17" s="14"/>
    </row>
    <row r="18" customFormat="false" ht="15" hidden="false" customHeight="false" outlineLevel="0" collapsed="false">
      <c r="A18" s="14"/>
      <c r="B18" s="14"/>
    </row>
    <row r="19" customFormat="false" ht="15" hidden="false" customHeight="false" outlineLevel="0" collapsed="false">
      <c r="A19" s="14"/>
      <c r="B19" s="14"/>
    </row>
    <row r="20" customFormat="false" ht="15" hidden="false" customHeight="false" outlineLevel="0" collapsed="false">
      <c r="A20" s="14"/>
      <c r="B20" s="14"/>
    </row>
    <row r="21" customFormat="false" ht="15" hidden="false" customHeight="false" outlineLevel="0" collapsed="false">
      <c r="A21" s="14"/>
      <c r="B21" s="14"/>
    </row>
    <row r="22" customFormat="false" ht="15" hidden="false" customHeight="false" outlineLevel="0" collapsed="false">
      <c r="A22" s="14"/>
      <c r="B22" s="14"/>
    </row>
    <row r="23" customFormat="false" ht="15" hidden="false" customHeight="false" outlineLevel="0" collapsed="false">
      <c r="A23" s="14"/>
      <c r="B23" s="14"/>
    </row>
    <row r="24" customFormat="false" ht="15" hidden="false" customHeight="false" outlineLevel="0" collapsed="false">
      <c r="A24" s="14"/>
      <c r="B24" s="14"/>
    </row>
    <row r="25" customFormat="false" ht="15" hidden="false" customHeight="false" outlineLevel="0" collapsed="false">
      <c r="A25" s="14"/>
      <c r="B25" s="14"/>
    </row>
    <row r="26" customFormat="false" ht="15" hidden="false" customHeight="false" outlineLevel="0" collapsed="false">
      <c r="A26" s="14"/>
      <c r="B26" s="14"/>
    </row>
    <row r="27" customFormat="false" ht="15" hidden="false" customHeight="false" outlineLevel="0" collapsed="false">
      <c r="A27" s="14"/>
      <c r="B27" s="14"/>
    </row>
    <row r="28" customFormat="false" ht="15" hidden="false" customHeight="false" outlineLevel="0" collapsed="false">
      <c r="A28" s="14"/>
      <c r="B28" s="14"/>
    </row>
    <row r="29" customFormat="false" ht="15" hidden="false" customHeight="false" outlineLevel="0" collapsed="false">
      <c r="A29" s="14"/>
      <c r="B29" s="14"/>
    </row>
    <row r="30" customFormat="false" ht="15" hidden="false" customHeight="false" outlineLevel="0" collapsed="false">
      <c r="A30" s="14"/>
      <c r="B30" s="14"/>
    </row>
    <row r="31" customFormat="false" ht="15" hidden="false" customHeight="false" outlineLevel="0" collapsed="false">
      <c r="A31" s="14"/>
      <c r="B31" s="14"/>
    </row>
    <row r="32" customFormat="false" ht="15" hidden="false" customHeight="false" outlineLevel="0" collapsed="false">
      <c r="A32" s="14"/>
      <c r="B32" s="14"/>
    </row>
    <row r="33" customFormat="false" ht="15" hidden="false" customHeight="false" outlineLevel="0" collapsed="false">
      <c r="A33" s="14"/>
      <c r="B33" s="14"/>
    </row>
    <row r="34" customFormat="false" ht="15" hidden="false" customHeight="false" outlineLevel="0" collapsed="false">
      <c r="A34" s="14"/>
      <c r="B34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6"/>
  </cols>
  <sheetData>
    <row r="1" customFormat="false" ht="19.7" hidden="false" customHeight="false" outlineLevel="0" collapsed="false">
      <c r="B1" s="8" t="s">
        <v>89</v>
      </c>
    </row>
    <row r="2" customFormat="false" ht="30" hidden="false" customHeight="true" outlineLevel="0" collapsed="false">
      <c r="B2" s="33" t="s">
        <v>90</v>
      </c>
      <c r="C2" s="33"/>
    </row>
    <row r="3" customFormat="false" ht="31.5" hidden="false" customHeight="true" outlineLevel="0" collapsed="false">
      <c r="B3" s="34" t="s">
        <v>91</v>
      </c>
      <c r="C3" s="34"/>
    </row>
    <row r="5" customFormat="false" ht="15" hidden="false" customHeight="false" outlineLevel="0" collapsed="false">
      <c r="B5" s="35" t="s">
        <v>92</v>
      </c>
      <c r="C5" s="35" t="s">
        <v>93</v>
      </c>
    </row>
    <row r="6" customFormat="false" ht="31.5" hidden="false" customHeight="true" outlineLevel="0" collapsed="false">
      <c r="B6" s="36" t="s">
        <v>94</v>
      </c>
      <c r="C6" s="37" t="s">
        <v>95</v>
      </c>
    </row>
    <row r="7" customFormat="false" ht="31.5" hidden="false" customHeight="true" outlineLevel="0" collapsed="false">
      <c r="B7" s="38" t="s">
        <v>96</v>
      </c>
      <c r="C7" s="39" t="s">
        <v>97</v>
      </c>
    </row>
    <row r="8" customFormat="false" ht="31.5" hidden="false" customHeight="true" outlineLevel="0" collapsed="false">
      <c r="B8" s="36" t="s">
        <v>98</v>
      </c>
      <c r="C8" s="37" t="s">
        <v>99</v>
      </c>
    </row>
    <row r="9" customFormat="false" ht="31.5" hidden="false" customHeight="true" outlineLevel="0" collapsed="false">
      <c r="B9" s="38" t="s">
        <v>100</v>
      </c>
      <c r="C9" s="39" t="s">
        <v>101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2026-10-04T22:00:02Z</dcterms:created>
  <dc:creator>openpyxl</dc:creator>
  <dc:description/>
  <dc:language>en-US</dc:language>
  <cp:lastModifiedBy/>
  <dcterms:modified xsi:type="dcterms:W3CDTF">2026-10-04T22:00:03Z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