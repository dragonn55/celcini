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Siparişler" sheetId="2" state="visible" r:id="rId4"/>
    <sheet name="Kanallar" sheetId="3" state="visible" r:id="rId5"/>
    <sheet name="Özet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<sst xmlns="http://schemas.openxmlformats.org/spreadsheetml/2006/main" count="108" uniqueCount="91">
  <si>
    <t xml:space="preserve">EXCEL KLİNİĞİ</t>
  </si>
  <si>
    <t xml:space="preserve">SİPARİŞ  |  Online sipariş ve net kazanç takibi</t>
  </si>
  <si>
    <t xml:space="preserve">Hangi kanaldan ne sattın, komisyon ve kargodan sonra elinde ne kaldı, iade oranın ne.</t>
  </si>
  <si>
    <t xml:space="preserve">NASIL KULLANILIR</t>
  </si>
  <si>
    <t xml:space="preserve">1. Kanallar</t>
  </si>
  <si>
    <t xml:space="preserve">Sattığın yerleri ve komisyon oranlarını yaz.</t>
  </si>
  <si>
    <t xml:space="preserve">2. Siparişler</t>
  </si>
  <si>
    <t xml:space="preserve">Her siparişi tutarı, ürün maliyeti, kargo ve durumuyla gir.</t>
  </si>
  <si>
    <t xml:space="preserve">3. Özet</t>
  </si>
  <si>
    <t xml:space="preserve">Aylık sipariş, ciro ve net kazanç; kanal bazında iade oranı.</t>
  </si>
  <si>
    <t xml:space="preserve">BİLMEN GEREKENLER</t>
  </si>
  <si>
    <t xml:space="preserve">Net</t>
  </si>
  <si>
    <t xml:space="preserve">Tutar − komisyon − ürün maliyeti − kargo. İadede kargo zarar yazılır, iptalde sıfırdır.</t>
  </si>
  <si>
    <t xml:space="preserve">Komisyon</t>
  </si>
  <si>
    <t xml:space="preserve">Kanal sayfasındaki tek orana göre hesaplanır; kategoriye göre değişen oranlar için ortalama oranı yaz.</t>
  </si>
  <si>
    <t xml:space="preserve">Kapasite</t>
  </si>
  <si>
    <t xml:space="preserve">Kanallar: 15 satır; Siparişler: 3000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</si>
  <si>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</si>
  <si>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</si>
  <si>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</si>
  <si>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</si>
  <si>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</si>
  <si>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Siparişler</t>
  </si>
  <si>
    <t xml:space="preserve">Her sipariş bir satır. Durum değiştikçe güncelle.</t>
  </si>
  <si>
    <t xml:space="preserve">Tarih</t>
  </si>
  <si>
    <t xml:space="preserve">Sipariş no</t>
  </si>
  <si>
    <t xml:space="preserve">Kanal</t>
  </si>
  <si>
    <t xml:space="preserve">Ürün</t>
  </si>
  <si>
    <t xml:space="preserve">Tutar (₺)</t>
  </si>
  <si>
    <t xml:space="preserve">Ürün maliyeti (₺)</t>
  </si>
  <si>
    <t xml:space="preserve">Kargo (₺)</t>
  </si>
  <si>
    <t xml:space="preserve">Durum</t>
  </si>
  <si>
    <t xml:space="preserve">Komisyon (₺)</t>
  </si>
  <si>
    <t xml:space="preserve">Net (₺)</t>
  </si>
  <si>
    <t xml:space="preserve">S-1</t>
  </si>
  <si>
    <t xml:space="preserve">Pazaryeri Alfa</t>
  </si>
  <si>
    <t xml:space="preserve">Ürün 1</t>
  </si>
  <si>
    <t xml:space="preserve">Teslim edildi</t>
  </si>
  <si>
    <t xml:space="preserve">S-2</t>
  </si>
  <si>
    <t xml:space="preserve">Kendi sitem</t>
  </si>
  <si>
    <t xml:space="preserve">Ürün 2</t>
  </si>
  <si>
    <t xml:space="preserve">Kargoda</t>
  </si>
  <si>
    <t xml:space="preserve">S-3</t>
  </si>
  <si>
    <t xml:space="preserve">İade</t>
  </si>
  <si>
    <t xml:space="preserve">S-4</t>
  </si>
  <si>
    <t xml:space="preserve">Instagram</t>
  </si>
  <si>
    <t xml:space="preserve">Ürün 3</t>
  </si>
  <si>
    <t xml:space="preserve">Hazırlanıyor</t>
  </si>
  <si>
    <t xml:space="preserve">S-5</t>
  </si>
  <si>
    <t xml:space="preserve">İptal</t>
  </si>
  <si>
    <t xml:space="preserve">S-0</t>
  </si>
  <si>
    <t xml:space="preserve">Satış Kanalları</t>
  </si>
  <si>
    <t xml:space="preserve">Komisyon oranı</t>
  </si>
  <si>
    <t xml:space="preserve">Sipariş</t>
  </si>
  <si>
    <t xml:space="preserve">Ciro (₺)</t>
  </si>
  <si>
    <t xml:space="preserve">İade oranı</t>
  </si>
  <si>
    <t xml:space="preserve">Özet</t>
  </si>
  <si>
    <t xml:space="preserve">Bu sayfada yalnızca yılı değiştir.</t>
  </si>
  <si>
    <t xml:space="preserve">Yıl</t>
  </si>
  <si>
    <t xml:space="preserve">Yıl cirosu</t>
  </si>
  <si>
    <t xml:space="preserve">Net kazanç</t>
  </si>
  <si>
    <t xml:space="preserve">Net / ciro</t>
  </si>
  <si>
    <t xml:space="preserve">Kargolanacak</t>
  </si>
  <si>
    <t xml:space="preserve">Aylık tablo</t>
  </si>
  <si>
    <t xml:space="preserve">Ay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</si>
  <si>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</si>
  <si>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</si>
  <si>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</si>
  <si>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</si>
  <si>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</si>
  <si>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</si>
  <si>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</si>
  <si>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</si>
  <si>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</si>
  <si>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</si>
  <si>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</si>
  <si>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</si>
  <si>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</si>
  <si>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</si>
  <si>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</si>
  <si>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adı ve adres yazma; sipariş numarası yeterli. Yapay zekanın verdiği rakamları dosyadaki özet sayfasıyla karşılaştır.</t>
  </si>
  <si>
    <t xml:space="preserve">Ne için</t>
  </si>
  <si>
    <t xml:space="preserve">Komut (kopyala, yapıştır)</t>
  </si>
  <si>
    <t xml:space="preserve">Kanal karşılaştırma</t>
  </si>
  <si>
    <t xml:space="preserve">[Kanallar sayfası] Hangi kanal sipariş başına daha çok net bırakıyor? İade oranıyla birlikte yorumla.</t>
  </si>
  <si>
    <t xml:space="preserve">İade nedeni</t>
  </si>
  <si>
    <t xml:space="preserve">[Siparişler sayfası] İade edilen siparişlerde ortak ürün ya da kanal var mı?</t>
  </si>
  <si>
    <t xml:space="preserve">Fiyat</t>
  </si>
  <si>
    <t xml:space="preserve">Komisyon ve kargo sonrası elimde en az [tutar] kalması için satış fiyatı ne olmalı? Ürün maliyetim [tutar].</t>
  </si>
  <si>
    <t xml:space="preserve">Günlük iş</t>
  </si>
  <si>
    <t xml:space="preserve">[Siparişler sayfası] Durumu Hazırlanıyor olan siparişleri kargolama listesi olarak sırala.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</si>
</sst>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.00&quot; ₺&quot;;[RED]\-#,##0.00&quot; ₺&quot;;\-"/>
    <numFmt numFmtId="168" formatCode="0%"/>
    <numFmt numFmtId="169" formatCode="#,##0;[RED]\-#,##0;\-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3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1" t="s">
        <v>32</v>
      </c>
      <c r="J4" s="11" t="s">
        <v>33</v>
      </c>
    </row>
    <row r="5" customFormat="false" ht="15" hidden="false" customHeight="false" outlineLevel="0" collapsed="false">
      <c r="A5" s="12" t="n">
        <v>46296</v>
      </c>
      <c r="B5" s="13" t="s">
        <v>34</v>
      </c>
      <c r="C5" s="14" t="s">
        <v>35</v>
      </c>
      <c r="D5" s="13" t="s">
        <v>36</v>
      </c>
      <c r="E5" s="15" t="n">
        <v>600</v>
      </c>
      <c r="F5" s="15" t="n">
        <v>330</v>
      </c>
      <c r="G5" s="15" t="n">
        <v>70</v>
      </c>
      <c r="H5" s="14" t="s">
        <v>37</v>
      </c>
      <c r="I5" s="16" t="n">
        <f aca="false">IF(OR(A5="",C5=""),"",IF(OR(H5="İade",H5="İptal"),0,E5*IFERROR(INDEX(Kanallar!$B$5:$B$19,MATCH(C5,Kanallar!$A$5:$A$19,0)),0)))</f>
        <v>120</v>
      </c>
      <c r="J5" s="16" t="n">
        <f aca="false">IF(I5="","",IF(H5="İptal",0,IF(H5="İade",-G5,E5-I5-F5-G5)))</f>
        <v>80</v>
      </c>
    </row>
    <row r="6" customFormat="false" ht="15" hidden="false" customHeight="false" outlineLevel="0" collapsed="false">
      <c r="A6" s="12" t="n">
        <v>46297</v>
      </c>
      <c r="B6" s="13" t="s">
        <v>38</v>
      </c>
      <c r="C6" s="14" t="s">
        <v>39</v>
      </c>
      <c r="D6" s="13" t="s">
        <v>40</v>
      </c>
      <c r="E6" s="15" t="n">
        <v>900</v>
      </c>
      <c r="F6" s="15" t="n">
        <v>500</v>
      </c>
      <c r="G6" s="15" t="n">
        <v>70</v>
      </c>
      <c r="H6" s="14" t="s">
        <v>41</v>
      </c>
      <c r="I6" s="16" t="n">
        <f aca="false">IF(OR(A6="",C6=""),"",IF(OR(H6="İade",H6="İptal"),0,E6*IFERROR(INDEX(Kanallar!$B$5:$B$19,MATCH(C6,Kanallar!$A$5:$A$19,0)),0)))</f>
        <v>36</v>
      </c>
      <c r="J6" s="16" t="n">
        <f aca="false">IF(I6="","",IF(H6="İptal",0,IF(H6="İade",-G6,E6-I6-F6-G6)))</f>
        <v>294</v>
      </c>
    </row>
    <row r="7" customFormat="false" ht="15" hidden="false" customHeight="false" outlineLevel="0" collapsed="false">
      <c r="A7" s="12" t="n">
        <v>46297</v>
      </c>
      <c r="B7" s="13" t="s">
        <v>42</v>
      </c>
      <c r="C7" s="14" t="s">
        <v>35</v>
      </c>
      <c r="D7" s="13" t="s">
        <v>36</v>
      </c>
      <c r="E7" s="15" t="n">
        <v>600</v>
      </c>
      <c r="F7" s="15" t="n">
        <v>330</v>
      </c>
      <c r="G7" s="15" t="n">
        <v>70</v>
      </c>
      <c r="H7" s="14" t="s">
        <v>43</v>
      </c>
      <c r="I7" s="16" t="n">
        <f aca="false">IF(OR(A7="",C7=""),"",IF(OR(H7="İade",H7="İptal"),0,E7*IFERROR(INDEX(Kanallar!$B$5:$B$19,MATCH(C7,Kanallar!$A$5:$A$19,0)),0)))</f>
        <v>0</v>
      </c>
      <c r="J7" s="16" t="n">
        <f aca="false">IF(I7="","",IF(H7="İptal",0,IF(H7="İade",-G7,E7-I7-F7-G7)))</f>
        <v>-70</v>
      </c>
    </row>
    <row r="8" customFormat="false" ht="15" hidden="false" customHeight="false" outlineLevel="0" collapsed="false">
      <c r="A8" s="12" t="n">
        <v>46298</v>
      </c>
      <c r="B8" s="13" t="s">
        <v>44</v>
      </c>
      <c r="C8" s="14" t="s">
        <v>45</v>
      </c>
      <c r="D8" s="13" t="s">
        <v>46</v>
      </c>
      <c r="E8" s="15" t="n">
        <v>450</v>
      </c>
      <c r="F8" s="15" t="n">
        <v>200</v>
      </c>
      <c r="G8" s="15" t="n">
        <v>60</v>
      </c>
      <c r="H8" s="14" t="s">
        <v>47</v>
      </c>
      <c r="I8" s="16" t="n">
        <f aca="false">IF(OR(A8="",C8=""),"",IF(OR(H8="İade",H8="İptal"),0,E8*IFERROR(INDEX(Kanallar!$B$5:$B$19,MATCH(C8,Kanallar!$A$5:$A$19,0)),0)))</f>
        <v>0</v>
      </c>
      <c r="J8" s="16" t="n">
        <f aca="false">IF(I8="","",IF(H8="İptal",0,IF(H8="İade",-G8,E8-I8-F8-G8)))</f>
        <v>190</v>
      </c>
    </row>
    <row r="9" customFormat="false" ht="15" hidden="false" customHeight="false" outlineLevel="0" collapsed="false">
      <c r="A9" s="12" t="n">
        <v>46298</v>
      </c>
      <c r="B9" s="13" t="s">
        <v>48</v>
      </c>
      <c r="C9" s="14" t="s">
        <v>35</v>
      </c>
      <c r="D9" s="13" t="s">
        <v>40</v>
      </c>
      <c r="E9" s="15" t="n">
        <v>900</v>
      </c>
      <c r="F9" s="15" t="n">
        <v>500</v>
      </c>
      <c r="G9" s="15" t="n">
        <v>70</v>
      </c>
      <c r="H9" s="14" t="s">
        <v>49</v>
      </c>
      <c r="I9" s="16" t="n">
        <f aca="false">IF(OR(A9="",C9=""),"",IF(OR(H9="İade",H9="İptal"),0,E9*IFERROR(INDEX(Kanallar!$B$5:$B$19,MATCH(C9,Kanallar!$A$5:$A$19,0)),0)))</f>
        <v>0</v>
      </c>
      <c r="J9" s="16" t="n">
        <f aca="false">IF(I9="","",IF(H9="İptal",0,IF(H9="İade",-G9,E9-I9-F9-G9)))</f>
        <v>0</v>
      </c>
    </row>
    <row r="10" customFormat="false" ht="15" hidden="false" customHeight="false" outlineLevel="0" collapsed="false">
      <c r="A10" s="12" t="n">
        <v>46293</v>
      </c>
      <c r="B10" s="13" t="s">
        <v>50</v>
      </c>
      <c r="C10" s="14" t="s">
        <v>35</v>
      </c>
      <c r="D10" s="13" t="s">
        <v>36</v>
      </c>
      <c r="E10" s="15" t="n">
        <v>600</v>
      </c>
      <c r="F10" s="15" t="n">
        <v>330</v>
      </c>
      <c r="G10" s="15" t="n">
        <v>70</v>
      </c>
      <c r="H10" s="14" t="s">
        <v>37</v>
      </c>
      <c r="I10" s="16" t="n">
        <f aca="false">IF(OR(A10="",C10=""),"",IF(OR(H10="İade",H10="İptal"),0,E10*IFERROR(INDEX(Kanallar!$B$5:$B$19,MATCH(C10,Kanallar!$A$5:$A$19,0)),0)))</f>
        <v>120</v>
      </c>
      <c r="J10" s="16" t="n">
        <f aca="false">IF(I10="","",IF(H10="İptal",0,IF(H10="İade",-G10,E10-I10-F10-G10)))</f>
        <v>80</v>
      </c>
    </row>
    <row r="11" customFormat="false" ht="15" hidden="false" customHeight="false" outlineLevel="0" collapsed="false">
      <c r="A11" s="12"/>
      <c r="B11" s="13"/>
      <c r="C11" s="14"/>
      <c r="D11" s="13"/>
      <c r="E11" s="15"/>
      <c r="F11" s="15"/>
      <c r="G11" s="15"/>
      <c r="H11" s="14"/>
      <c r="I11" s="16" t="str">
        <f aca="false">IF(OR(A11="",C11=""),"",IF(OR(H11="İade",H11="İptal"),0,E11*IFERROR(INDEX(Kanallar!$B$5:$B$19,MATCH(C11,Kanallar!$A$5:$A$19,0)),0)))</f>
        <v/>
      </c>
      <c r="J11" s="16" t="str">
        <f aca="false">IF(I11="","",IF(H11="İptal",0,IF(H11="İade",-G11,E11-I11-F11-G11)))</f>
        <v/>
      </c>
    </row>
    <row r="12" customFormat="false" ht="15" hidden="false" customHeight="false" outlineLevel="0" collapsed="false">
      <c r="A12" s="12"/>
      <c r="B12" s="13"/>
      <c r="C12" s="14"/>
      <c r="D12" s="13"/>
      <c r="E12" s="15"/>
      <c r="F12" s="15"/>
      <c r="G12" s="15"/>
      <c r="H12" s="14"/>
      <c r="I12" s="16" t="str">
        <f aca="false">IF(OR(A12="",C12=""),"",IF(OR(H12="İade",H12="İptal"),0,E12*IFERROR(INDEX(Kanallar!$B$5:$B$19,MATCH(C12,Kanallar!$A$5:$A$19,0)),0)))</f>
        <v/>
      </c>
      <c r="J12" s="16" t="str">
        <f aca="false">IF(I12="","",IF(H12="İptal",0,IF(H12="İade",-G12,E12-I12-F12-G12)))</f>
        <v/>
      </c>
    </row>
    <row r="13" customFormat="false" ht="15" hidden="false" customHeight="false" outlineLevel="0" collapsed="false">
      <c r="A13" s="12"/>
      <c r="B13" s="13"/>
      <c r="C13" s="14"/>
      <c r="D13" s="13"/>
      <c r="E13" s="15"/>
      <c r="F13" s="15"/>
      <c r="G13" s="15"/>
      <c r="H13" s="14"/>
      <c r="I13" s="16" t="str">
        <f aca="false">IF(OR(A13="",C13=""),"",IF(OR(H13="İade",H13="İptal"),0,E13*IFERROR(INDEX(Kanallar!$B$5:$B$19,MATCH(C13,Kanallar!$A$5:$A$19,0)),0)))</f>
        <v/>
      </c>
      <c r="J13" s="16" t="str">
        <f aca="false">IF(I13="","",IF(H13="İptal",0,IF(H13="İade",-G13,E13-I13-F13-G13)))</f>
        <v/>
      </c>
    </row>
    <row r="14" customFormat="false" ht="15" hidden="false" customHeight="false" outlineLevel="0" collapsed="false">
      <c r="A14" s="12"/>
      <c r="B14" s="13"/>
      <c r="C14" s="14"/>
      <c r="D14" s="13"/>
      <c r="E14" s="15"/>
      <c r="F14" s="15"/>
      <c r="G14" s="15"/>
      <c r="H14" s="14"/>
      <c r="I14" s="16" t="str">
        <f aca="false">IF(OR(A14="",C14=""),"",IF(OR(H14="İade",H14="İptal"),0,E14*IFERROR(INDEX(Kanallar!$B$5:$B$19,MATCH(C14,Kanallar!$A$5:$A$19,0)),0)))</f>
        <v/>
      </c>
      <c r="J14" s="16" t="str">
        <f aca="false">IF(I14="","",IF(H14="İptal",0,IF(H14="İade",-G14,E14-I14-F14-G14)))</f>
        <v/>
      </c>
    </row>
    <row r="15" customFormat="false" ht="15" hidden="false" customHeight="false" outlineLevel="0" collapsed="false">
      <c r="A15" s="12"/>
      <c r="B15" s="13"/>
      <c r="C15" s="14"/>
      <c r="D15" s="13"/>
      <c r="E15" s="15"/>
      <c r="F15" s="15"/>
      <c r="G15" s="15"/>
      <c r="H15" s="14"/>
      <c r="I15" s="16" t="str">
        <f aca="false">IF(OR(A15="",C15=""),"",IF(OR(H15="İade",H15="İptal"),0,E15*IFERROR(INDEX(Kanallar!$B$5:$B$19,MATCH(C15,Kanallar!$A$5:$A$19,0)),0)))</f>
        <v/>
      </c>
      <c r="J15" s="16" t="str">
        <f aca="false">IF(I15="","",IF(H15="İptal",0,IF(H15="İade",-G15,E15-I15-F15-G15)))</f>
        <v/>
      </c>
    </row>
    <row r="16" customFormat="false" ht="15" hidden="false" customHeight="false" outlineLevel="0" collapsed="false">
      <c r="A16" s="12"/>
      <c r="B16" s="13"/>
      <c r="C16" s="14"/>
      <c r="D16" s="13"/>
      <c r="E16" s="15"/>
      <c r="F16" s="15"/>
      <c r="G16" s="15"/>
      <c r="H16" s="14"/>
      <c r="I16" s="16" t="str">
        <f aca="false">IF(OR(A16="",C16=""),"",IF(OR(H16="İade",H16="İptal"),0,E16*IFERROR(INDEX(Kanallar!$B$5:$B$19,MATCH(C16,Kanallar!$A$5:$A$19,0)),0)))</f>
        <v/>
      </c>
      <c r="J16" s="16" t="str">
        <f aca="false">IF(I16="","",IF(H16="İptal",0,IF(H16="İade",-G16,E16-I16-F16-G16)))</f>
        <v/>
      </c>
    </row>
    <row r="17" customFormat="false" ht="15" hidden="false" customHeight="false" outlineLevel="0" collapsed="false">
      <c r="A17" s="12"/>
      <c r="B17" s="13"/>
      <c r="C17" s="14"/>
      <c r="D17" s="13"/>
      <c r="E17" s="15"/>
      <c r="F17" s="15"/>
      <c r="G17" s="15"/>
      <c r="H17" s="14"/>
      <c r="I17" s="16" t="str">
        <f aca="false">IF(OR(A17="",C17=""),"",IF(OR(H17="İade",H17="İptal"),0,E17*IFERROR(INDEX(Kanallar!$B$5:$B$19,MATCH(C17,Kanallar!$A$5:$A$19,0)),0)))</f>
        <v/>
      </c>
      <c r="J17" s="16" t="str">
        <f aca="false">IF(I17="","",IF(H17="İptal",0,IF(H17="İade",-G17,E17-I17-F17-G17)))</f>
        <v/>
      </c>
    </row>
    <row r="18" customFormat="false" ht="15" hidden="false" customHeight="false" outlineLevel="0" collapsed="false">
      <c r="A18" s="12"/>
      <c r="B18" s="13"/>
      <c r="C18" s="14"/>
      <c r="D18" s="13"/>
      <c r="E18" s="15"/>
      <c r="F18" s="15"/>
      <c r="G18" s="15"/>
      <c r="H18" s="14"/>
      <c r="I18" s="16" t="str">
        <f aca="false">IF(OR(A18="",C18=""),"",IF(OR(H18="İade",H18="İptal"),0,E18*IFERROR(INDEX(Kanallar!$B$5:$B$19,MATCH(C18,Kanallar!$A$5:$A$19,0)),0)))</f>
        <v/>
      </c>
      <c r="J18" s="16" t="str">
        <f aca="false">IF(I18="","",IF(H18="İptal",0,IF(H18="İade",-G18,E18-I18-F18-G18)))</f>
        <v/>
      </c>
    </row>
    <row r="19" customFormat="false" ht="15" hidden="false" customHeight="false" outlineLevel="0" collapsed="false">
      <c r="A19" s="12"/>
      <c r="B19" s="13"/>
      <c r="C19" s="14"/>
      <c r="D19" s="13"/>
      <c r="E19" s="15"/>
      <c r="F19" s="15"/>
      <c r="G19" s="15"/>
      <c r="H19" s="14"/>
      <c r="I19" s="16" t="str">
        <f aca="false">IF(OR(A19="",C19=""),"",IF(OR(H19="İade",H19="İptal"),0,E19*IFERROR(INDEX(Kanallar!$B$5:$B$19,MATCH(C19,Kanallar!$A$5:$A$19,0)),0)))</f>
        <v/>
      </c>
      <c r="J19" s="16" t="str">
        <f aca="false">IF(I19="","",IF(H19="İptal",0,IF(H19="İade",-G19,E19-I19-F19-G19)))</f>
        <v/>
      </c>
    </row>
    <row r="20" customFormat="false" ht="15" hidden="false" customHeight="false" outlineLevel="0" collapsed="false">
      <c r="A20" s="12"/>
      <c r="B20" s="13"/>
      <c r="C20" s="14"/>
      <c r="D20" s="13"/>
      <c r="E20" s="15"/>
      <c r="F20" s="15"/>
      <c r="G20" s="15"/>
      <c r="H20" s="14"/>
      <c r="I20" s="16" t="str">
        <f aca="false">IF(OR(A20="",C20=""),"",IF(OR(H20="İade",H20="İptal"),0,E20*IFERROR(INDEX(Kanallar!$B$5:$B$19,MATCH(C20,Kanallar!$A$5:$A$19,0)),0)))</f>
        <v/>
      </c>
      <c r="J20" s="16" t="str">
        <f aca="false">IF(I20="","",IF(H20="İptal",0,IF(H20="İade",-G20,E20-I20-F20-G20)))</f>
        <v/>
      </c>
    </row>
    <row r="21" customFormat="false" ht="15" hidden="false" customHeight="false" outlineLevel="0" collapsed="false">
      <c r="A21" s="12"/>
      <c r="B21" s="13"/>
      <c r="C21" s="14"/>
      <c r="D21" s="13"/>
      <c r="E21" s="15"/>
      <c r="F21" s="15"/>
      <c r="G21" s="15"/>
      <c r="H21" s="14"/>
      <c r="I21" s="16" t="str">
        <f aca="false">IF(OR(A21="",C21=""),"",IF(OR(H21="İade",H21="İptal"),0,E21*IFERROR(INDEX(Kanallar!$B$5:$B$19,MATCH(C21,Kanallar!$A$5:$A$19,0)),0)))</f>
        <v/>
      </c>
      <c r="J21" s="16" t="str">
        <f aca="false">IF(I21="","",IF(H21="İptal",0,IF(H21="İade",-G21,E21-I21-F21-G21)))</f>
        <v/>
      </c>
    </row>
    <row r="22" customFormat="false" ht="15" hidden="false" customHeight="false" outlineLevel="0" collapsed="false">
      <c r="A22" s="12"/>
      <c r="B22" s="13"/>
      <c r="C22" s="14"/>
      <c r="D22" s="13"/>
      <c r="E22" s="15"/>
      <c r="F22" s="15"/>
      <c r="G22" s="15"/>
      <c r="H22" s="14"/>
      <c r="I22" s="16" t="str">
        <f aca="false">IF(OR(A22="",C22=""),"",IF(OR(H22="İade",H22="İptal"),0,E22*IFERROR(INDEX(Kanallar!$B$5:$B$19,MATCH(C22,Kanallar!$A$5:$A$19,0)),0)))</f>
        <v/>
      </c>
      <c r="J22" s="16" t="str">
        <f aca="false">IF(I22="","",IF(H22="İptal",0,IF(H22="İade",-G22,E22-I22-F22-G22)))</f>
        <v/>
      </c>
    </row>
    <row r="23" customFormat="false" ht="15" hidden="false" customHeight="false" outlineLevel="0" collapsed="false">
      <c r="A23" s="12"/>
      <c r="B23" s="13"/>
      <c r="C23" s="14"/>
      <c r="D23" s="13"/>
      <c r="E23" s="15"/>
      <c r="F23" s="15"/>
      <c r="G23" s="15"/>
      <c r="H23" s="14"/>
      <c r="I23" s="16" t="str">
        <f aca="false">IF(OR(A23="",C23=""),"",IF(OR(H23="İade",H23="İptal"),0,E23*IFERROR(INDEX(Kanallar!$B$5:$B$19,MATCH(C23,Kanallar!$A$5:$A$19,0)),0)))</f>
        <v/>
      </c>
      <c r="J23" s="16" t="str">
        <f aca="false">IF(I23="","",IF(H23="İptal",0,IF(H23="İade",-G23,E23-I23-F23-G23)))</f>
        <v/>
      </c>
    </row>
    <row r="24" customFormat="false" ht="15" hidden="false" customHeight="false" outlineLevel="0" collapsed="false">
      <c r="A24" s="12"/>
      <c r="B24" s="13"/>
      <c r="C24" s="14"/>
      <c r="D24" s="13"/>
      <c r="E24" s="15"/>
      <c r="F24" s="15"/>
      <c r="G24" s="15"/>
      <c r="H24" s="14"/>
      <c r="I24" s="16" t="str">
        <f aca="false">IF(OR(A24="",C24=""),"",IF(OR(H24="İade",H24="İptal"),0,E24*IFERROR(INDEX(Kanallar!$B$5:$B$19,MATCH(C24,Kanallar!$A$5:$A$19,0)),0)))</f>
        <v/>
      </c>
      <c r="J24" s="16" t="str">
        <f aca="false">IF(I24="","",IF(H24="İptal",0,IF(H24="İade",-G24,E24-I24-F24-G24)))</f>
        <v/>
      </c>
    </row>
    <row r="25" customFormat="false" ht="15" hidden="false" customHeight="false" outlineLevel="0" collapsed="false">
      <c r="A25" s="12"/>
      <c r="B25" s="13"/>
      <c r="C25" s="14"/>
      <c r="D25" s="13"/>
      <c r="E25" s="15"/>
      <c r="F25" s="15"/>
      <c r="G25" s="15"/>
      <c r="H25" s="14"/>
      <c r="I25" s="16" t="str">
        <f aca="false">IF(OR(A25="",C25=""),"",IF(OR(H25="İade",H25="İptal"),0,E25*IFERROR(INDEX(Kanallar!$B$5:$B$19,MATCH(C25,Kanallar!$A$5:$A$19,0)),0)))</f>
        <v/>
      </c>
      <c r="J25" s="16" t="str">
        <f aca="false">IF(I25="","",IF(H25="İptal",0,IF(H25="İade",-G25,E25-I25-F25-G25)))</f>
        <v/>
      </c>
    </row>
    <row r="26" customFormat="false" ht="15" hidden="false" customHeight="false" outlineLevel="0" collapsed="false">
      <c r="A26" s="12"/>
      <c r="B26" s="13"/>
      <c r="C26" s="14"/>
      <c r="D26" s="13"/>
      <c r="E26" s="15"/>
      <c r="F26" s="15"/>
      <c r="G26" s="15"/>
      <c r="H26" s="14"/>
      <c r="I26" s="16" t="str">
        <f aca="false">IF(OR(A26="",C26=""),"",IF(OR(H26="İade",H26="İptal"),0,E26*IFERROR(INDEX(Kanallar!$B$5:$B$19,MATCH(C26,Kanallar!$A$5:$A$19,0)),0)))</f>
        <v/>
      </c>
      <c r="J26" s="16" t="str">
        <f aca="false">IF(I26="","",IF(H26="İptal",0,IF(H26="İade",-G26,E26-I26-F26-G26)))</f>
        <v/>
      </c>
    </row>
    <row r="27" customFormat="false" ht="15" hidden="false" customHeight="false" outlineLevel="0" collapsed="false">
      <c r="A27" s="12"/>
      <c r="B27" s="13"/>
      <c r="C27" s="14"/>
      <c r="D27" s="13"/>
      <c r="E27" s="15"/>
      <c r="F27" s="15"/>
      <c r="G27" s="15"/>
      <c r="H27" s="14"/>
      <c r="I27" s="16" t="str">
        <f aca="false">IF(OR(A27="",C27=""),"",IF(OR(H27="İade",H27="İptal"),0,E27*IFERROR(INDEX(Kanallar!$B$5:$B$19,MATCH(C27,Kanallar!$A$5:$A$19,0)),0)))</f>
        <v/>
      </c>
      <c r="J27" s="16" t="str">
        <f aca="false">IF(I27="","",IF(H27="İptal",0,IF(H27="İade",-G27,E27-I27-F27-G27)))</f>
        <v/>
      </c>
    </row>
    <row r="28" customFormat="false" ht="15" hidden="false" customHeight="false" outlineLevel="0" collapsed="false">
      <c r="A28" s="12"/>
      <c r="B28" s="13"/>
      <c r="C28" s="14"/>
      <c r="D28" s="13"/>
      <c r="E28" s="15"/>
      <c r="F28" s="15"/>
      <c r="G28" s="15"/>
      <c r="H28" s="14"/>
      <c r="I28" s="16" t="str">
        <f aca="false">IF(OR(A28="",C28=""),"",IF(OR(H28="İade",H28="İptal"),0,E28*IFERROR(INDEX(Kanallar!$B$5:$B$19,MATCH(C28,Kanallar!$A$5:$A$19,0)),0)))</f>
        <v/>
      </c>
      <c r="J28" s="16" t="str">
        <f aca="false">IF(I28="","",IF(H28="İptal",0,IF(H28="İade",-G28,E28-I28-F28-G28)))</f>
        <v/>
      </c>
    </row>
    <row r="29" customFormat="false" ht="15" hidden="false" customHeight="false" outlineLevel="0" collapsed="false">
      <c r="A29" s="12"/>
      <c r="B29" s="13"/>
      <c r="C29" s="14"/>
      <c r="D29" s="13"/>
      <c r="E29" s="15"/>
      <c r="F29" s="15"/>
      <c r="G29" s="15"/>
      <c r="H29" s="14"/>
      <c r="I29" s="16" t="str">
        <f aca="false">IF(OR(A29="",C29=""),"",IF(OR(H29="İade",H29="İptal"),0,E29*IFERROR(INDEX(Kanallar!$B$5:$B$19,MATCH(C29,Kanallar!$A$5:$A$19,0)),0)))</f>
        <v/>
      </c>
      <c r="J29" s="16" t="str">
        <f aca="false">IF(I29="","",IF(H29="İptal",0,IF(H29="İade",-G29,E29-I29-F29-G29)))</f>
        <v/>
      </c>
    </row>
    <row r="30" customFormat="false" ht="15" hidden="false" customHeight="false" outlineLevel="0" collapsed="false">
      <c r="A30" s="12"/>
      <c r="B30" s="13"/>
      <c r="C30" s="14"/>
      <c r="D30" s="13"/>
      <c r="E30" s="15"/>
      <c r="F30" s="15"/>
      <c r="G30" s="15"/>
      <c r="H30" s="14"/>
      <c r="I30" s="16" t="str">
        <f aca="false">IF(OR(A30="",C30=""),"",IF(OR(H30="İade",H30="İptal"),0,E30*IFERROR(INDEX(Kanallar!$B$5:$B$19,MATCH(C30,Kanallar!$A$5:$A$19,0)),0)))</f>
        <v/>
      </c>
      <c r="J30" s="16" t="str">
        <f aca="false">IF(I30="","",IF(H30="İptal",0,IF(H30="İade",-G30,E30-I30-F30-G30)))</f>
        <v/>
      </c>
    </row>
    <row r="31" customFormat="false" ht="15" hidden="false" customHeight="false" outlineLevel="0" collapsed="false">
      <c r="A31" s="12"/>
      <c r="B31" s="13"/>
      <c r="C31" s="14"/>
      <c r="D31" s="13"/>
      <c r="E31" s="15"/>
      <c r="F31" s="15"/>
      <c r="G31" s="15"/>
      <c r="H31" s="14"/>
      <c r="I31" s="16" t="str">
        <f aca="false">IF(OR(A31="",C31=""),"",IF(OR(H31="İade",H31="İptal"),0,E31*IFERROR(INDEX(Kanallar!$B$5:$B$19,MATCH(C31,Kanallar!$A$5:$A$19,0)),0)))</f>
        <v/>
      </c>
      <c r="J31" s="16" t="str">
        <f aca="false">IF(I31="","",IF(H31="İptal",0,IF(H31="İade",-G31,E31-I31-F31-G31)))</f>
        <v/>
      </c>
    </row>
    <row r="32" customFormat="false" ht="15" hidden="false" customHeight="false" outlineLevel="0" collapsed="false">
      <c r="A32" s="12"/>
      <c r="B32" s="13"/>
      <c r="C32" s="14"/>
      <c r="D32" s="13"/>
      <c r="E32" s="15"/>
      <c r="F32" s="15"/>
      <c r="G32" s="15"/>
      <c r="H32" s="14"/>
      <c r="I32" s="16" t="str">
        <f aca="false">IF(OR(A32="",C32=""),"",IF(OR(H32="İade",H32="İptal"),0,E32*IFERROR(INDEX(Kanallar!$B$5:$B$19,MATCH(C32,Kanallar!$A$5:$A$19,0)),0)))</f>
        <v/>
      </c>
      <c r="J32" s="16" t="str">
        <f aca="false">IF(I32="","",IF(H32="İptal",0,IF(H32="İade",-G32,E32-I32-F32-G32)))</f>
        <v/>
      </c>
    </row>
    <row r="33" customFormat="false" ht="15" hidden="false" customHeight="false" outlineLevel="0" collapsed="false">
      <c r="A33" s="12"/>
      <c r="B33" s="13"/>
      <c r="C33" s="14"/>
      <c r="D33" s="13"/>
      <c r="E33" s="15"/>
      <c r="F33" s="15"/>
      <c r="G33" s="15"/>
      <c r="H33" s="14"/>
      <c r="I33" s="16" t="str">
        <f aca="false">IF(OR(A33="",C33=""),"",IF(OR(H33="İade",H33="İptal"),0,E33*IFERROR(INDEX(Kanallar!$B$5:$B$19,MATCH(C33,Kanallar!$A$5:$A$19,0)),0)))</f>
        <v/>
      </c>
      <c r="J33" s="16" t="str">
        <f aca="false">IF(I33="","",IF(H33="İptal",0,IF(H33="İade",-G33,E33-I33-F33-G33)))</f>
        <v/>
      </c>
    </row>
    <row r="34" customFormat="false" ht="15" hidden="false" customHeight="false" outlineLevel="0" collapsed="false">
      <c r="A34" s="12"/>
      <c r="B34" s="13"/>
      <c r="C34" s="14"/>
      <c r="D34" s="13"/>
      <c r="E34" s="15"/>
      <c r="F34" s="15"/>
      <c r="G34" s="15"/>
      <c r="H34" s="14"/>
      <c r="I34" s="16" t="str">
        <f aca="false">IF(OR(A34="",C34=""),"",IF(OR(H34="İade",H34="İptal"),0,E34*IFERROR(INDEX(Kanallar!$B$5:$B$19,MATCH(C34,Kanallar!$A$5:$A$19,0)),0)))</f>
        <v/>
      </c>
      <c r="J34" s="16" t="str">
        <f aca="false">IF(I34="","",IF(H34="İptal",0,IF(H34="İade",-G34,E34-I34-F34-G34)))</f>
        <v/>
      </c>
    </row>
    <row r="35" customFormat="false" ht="15" hidden="false" customHeight="false" outlineLevel="0" collapsed="false">
      <c r="A35" s="12"/>
      <c r="B35" s="13"/>
      <c r="C35" s="14"/>
      <c r="D35" s="13"/>
      <c r="E35" s="15"/>
      <c r="F35" s="15"/>
      <c r="G35" s="15"/>
      <c r="H35" s="14"/>
      <c r="I35" s="16" t="str">
        <f aca="false">IF(OR(A35="",C35=""),"",IF(OR(H35="İade",H35="İptal"),0,E35*IFERROR(INDEX(Kanallar!$B$5:$B$19,MATCH(C35,Kanallar!$A$5:$A$19,0)),0)))</f>
        <v/>
      </c>
      <c r="J35" s="16" t="str">
        <f aca="false">IF(I35="","",IF(H35="İptal",0,IF(H35="İade",-G35,E35-I35-F35-G35)))</f>
        <v/>
      </c>
    </row>
    <row r="36" customFormat="false" ht="15" hidden="false" customHeight="false" outlineLevel="0" collapsed="false">
      <c r="A36" s="12"/>
      <c r="B36" s="13"/>
      <c r="C36" s="14"/>
      <c r="D36" s="13"/>
      <c r="E36" s="15"/>
      <c r="F36" s="15"/>
      <c r="G36" s="15"/>
      <c r="H36" s="14"/>
      <c r="I36" s="16" t="str">
        <f aca="false">IF(OR(A36="",C36=""),"",IF(OR(H36="İade",H36="İptal"),0,E36*IFERROR(INDEX(Kanallar!$B$5:$B$19,MATCH(C36,Kanallar!$A$5:$A$19,0)),0)))</f>
        <v/>
      </c>
      <c r="J36" s="16" t="str">
        <f aca="false">IF(I36="","",IF(H36="İptal",0,IF(H36="İade",-G36,E36-I36-F36-G36)))</f>
        <v/>
      </c>
    </row>
    <row r="37" customFormat="false" ht="15" hidden="false" customHeight="false" outlineLevel="0" collapsed="false">
      <c r="A37" s="12"/>
      <c r="B37" s="13"/>
      <c r="C37" s="14"/>
      <c r="D37" s="13"/>
      <c r="E37" s="15"/>
      <c r="F37" s="15"/>
      <c r="G37" s="15"/>
      <c r="H37" s="14"/>
      <c r="I37" s="16" t="str">
        <f aca="false">IF(OR(A37="",C37=""),"",IF(OR(H37="İade",H37="İptal"),0,E37*IFERROR(INDEX(Kanallar!$B$5:$B$19,MATCH(C37,Kanallar!$A$5:$A$19,0)),0)))</f>
        <v/>
      </c>
      <c r="J37" s="16" t="str">
        <f aca="false">IF(I37="","",IF(H37="İptal",0,IF(H37="İade",-G37,E37-I37-F37-G37)))</f>
        <v/>
      </c>
    </row>
    <row r="38" customFormat="false" ht="15" hidden="false" customHeight="false" outlineLevel="0" collapsed="false">
      <c r="A38" s="12"/>
      <c r="B38" s="13"/>
      <c r="C38" s="14"/>
      <c r="D38" s="13"/>
      <c r="E38" s="15"/>
      <c r="F38" s="15"/>
      <c r="G38" s="15"/>
      <c r="H38" s="14"/>
      <c r="I38" s="16" t="str">
        <f aca="false">IF(OR(A38="",C38=""),"",IF(OR(H38="İade",H38="İptal"),0,E38*IFERROR(INDEX(Kanallar!$B$5:$B$19,MATCH(C38,Kanallar!$A$5:$A$19,0)),0)))</f>
        <v/>
      </c>
      <c r="J38" s="16" t="str">
        <f aca="false">IF(I38="","",IF(H38="İptal",0,IF(H38="İade",-G38,E38-I38-F38-G38)))</f>
        <v/>
      </c>
    </row>
    <row r="39" customFormat="false" ht="15" hidden="false" customHeight="false" outlineLevel="0" collapsed="false">
      <c r="A39" s="12"/>
      <c r="B39" s="13"/>
      <c r="C39" s="14"/>
      <c r="D39" s="13"/>
      <c r="E39" s="15"/>
      <c r="F39" s="15"/>
      <c r="G39" s="15"/>
      <c r="H39" s="14"/>
      <c r="I39" s="16" t="str">
        <f aca="false">IF(OR(A39="",C39=""),"",IF(OR(H39="İade",H39="İptal"),0,E39*IFERROR(INDEX(Kanallar!$B$5:$B$19,MATCH(C39,Kanallar!$A$5:$A$19,0)),0)))</f>
        <v/>
      </c>
      <c r="J39" s="16" t="str">
        <f aca="false">IF(I39="","",IF(H39="İptal",0,IF(H39="İade",-G39,E39-I39-F39-G39)))</f>
        <v/>
      </c>
    </row>
    <row r="40" customFormat="false" ht="15" hidden="false" customHeight="false" outlineLevel="0" collapsed="false">
      <c r="A40" s="12"/>
      <c r="B40" s="13"/>
      <c r="C40" s="14"/>
      <c r="D40" s="13"/>
      <c r="E40" s="15"/>
      <c r="F40" s="15"/>
      <c r="G40" s="15"/>
      <c r="H40" s="14"/>
      <c r="I40" s="16" t="str">
        <f aca="false">IF(OR(A40="",C40=""),"",IF(OR(H40="İade",H40="İptal"),0,E40*IFERROR(INDEX(Kanallar!$B$5:$B$19,MATCH(C40,Kanallar!$A$5:$A$19,0)),0)))</f>
        <v/>
      </c>
      <c r="J40" s="16" t="str">
        <f aca="false">IF(I40="","",IF(H40="İptal",0,IF(H40="İade",-G40,E40-I40-F40-G40)))</f>
        <v/>
      </c>
    </row>
    <row r="41" customFormat="false" ht="15" hidden="false" customHeight="false" outlineLevel="0" collapsed="false">
      <c r="A41" s="12"/>
      <c r="B41" s="13"/>
      <c r="C41" s="14"/>
      <c r="D41" s="13"/>
      <c r="E41" s="15"/>
      <c r="F41" s="15"/>
      <c r="G41" s="15"/>
      <c r="H41" s="14"/>
      <c r="I41" s="16" t="str">
        <f aca="false">IF(OR(A41="",C41=""),"",IF(OR(H41="İade",H41="İptal"),0,E41*IFERROR(INDEX(Kanallar!$B$5:$B$19,MATCH(C41,Kanallar!$A$5:$A$19,0)),0)))</f>
        <v/>
      </c>
      <c r="J41" s="16" t="str">
        <f aca="false">IF(I41="","",IF(H41="İptal",0,IF(H41="İade",-G41,E41-I41-F41-G41)))</f>
        <v/>
      </c>
    </row>
    <row r="42" customFormat="false" ht="15" hidden="false" customHeight="false" outlineLevel="0" collapsed="false">
      <c r="A42" s="12"/>
      <c r="B42" s="13"/>
      <c r="C42" s="14"/>
      <c r="D42" s="13"/>
      <c r="E42" s="15"/>
      <c r="F42" s="15"/>
      <c r="G42" s="15"/>
      <c r="H42" s="14"/>
      <c r="I42" s="16" t="str">
        <f aca="false">IF(OR(A42="",C42=""),"",IF(OR(H42="İade",H42="İptal"),0,E42*IFERROR(INDEX(Kanallar!$B$5:$B$19,MATCH(C42,Kanallar!$A$5:$A$19,0)),0)))</f>
        <v/>
      </c>
      <c r="J42" s="16" t="str">
        <f aca="false">IF(I42="","",IF(H42="İptal",0,IF(H42="İade",-G42,E42-I42-F42-G42)))</f>
        <v/>
      </c>
    </row>
    <row r="43" customFormat="false" ht="15" hidden="false" customHeight="false" outlineLevel="0" collapsed="false">
      <c r="A43" s="12"/>
      <c r="B43" s="13"/>
      <c r="C43" s="14"/>
      <c r="D43" s="13"/>
      <c r="E43" s="15"/>
      <c r="F43" s="15"/>
      <c r="G43" s="15"/>
      <c r="H43" s="14"/>
      <c r="I43" s="16" t="str">
        <f aca="false">IF(OR(A43="",C43=""),"",IF(OR(H43="İade",H43="İptal"),0,E43*IFERROR(INDEX(Kanallar!$B$5:$B$19,MATCH(C43,Kanallar!$A$5:$A$19,0)),0)))</f>
        <v/>
      </c>
      <c r="J43" s="16" t="str">
        <f aca="false">IF(I43="","",IF(H43="İptal",0,IF(H43="İade",-G43,E43-I43-F43-G43)))</f>
        <v/>
      </c>
    </row>
    <row r="44" customFormat="false" ht="15" hidden="false" customHeight="false" outlineLevel="0" collapsed="false">
      <c r="A44" s="12"/>
      <c r="B44" s="13"/>
      <c r="C44" s="14"/>
      <c r="D44" s="13"/>
      <c r="E44" s="15"/>
      <c r="F44" s="15"/>
      <c r="G44" s="15"/>
      <c r="H44" s="14"/>
      <c r="I44" s="16" t="str">
        <f aca="false">IF(OR(A44="",C44=""),"",IF(OR(H44="İade",H44="İptal"),0,E44*IFERROR(INDEX(Kanallar!$B$5:$B$19,MATCH(C44,Kanallar!$A$5:$A$19,0)),0)))</f>
        <v/>
      </c>
      <c r="J44" s="16" t="str">
        <f aca="false">IF(I44="","",IF(H44="İptal",0,IF(H44="İade",-G44,E44-I44-F44-G44)))</f>
        <v/>
      </c>
    </row>
    <row r="45" customFormat="false" ht="15" hidden="false" customHeight="false" outlineLevel="0" collapsed="false">
      <c r="A45" s="12"/>
      <c r="B45" s="13"/>
      <c r="C45" s="14"/>
      <c r="D45" s="13"/>
      <c r="E45" s="15"/>
      <c r="F45" s="15"/>
      <c r="G45" s="15"/>
      <c r="H45" s="14"/>
      <c r="I45" s="16" t="str">
        <f aca="false">IF(OR(A45="",C45=""),"",IF(OR(H45="İade",H45="İptal"),0,E45*IFERROR(INDEX(Kanallar!$B$5:$B$19,MATCH(C45,Kanallar!$A$5:$A$19,0)),0)))</f>
        <v/>
      </c>
      <c r="J45" s="16" t="str">
        <f aca="false">IF(I45="","",IF(H45="İptal",0,IF(H45="İade",-G45,E45-I45-F45-G45)))</f>
        <v/>
      </c>
    </row>
    <row r="46" customFormat="false" ht="15" hidden="false" customHeight="false" outlineLevel="0" collapsed="false">
      <c r="A46" s="12"/>
      <c r="B46" s="13"/>
      <c r="C46" s="14"/>
      <c r="D46" s="13"/>
      <c r="E46" s="15"/>
      <c r="F46" s="15"/>
      <c r="G46" s="15"/>
      <c r="H46" s="14"/>
      <c r="I46" s="16" t="str">
        <f aca="false">IF(OR(A46="",C46=""),"",IF(OR(H46="İade",H46="İptal"),0,E46*IFERROR(INDEX(Kanallar!$B$5:$B$19,MATCH(C46,Kanallar!$A$5:$A$19,0)),0)))</f>
        <v/>
      </c>
      <c r="J46" s="16" t="str">
        <f aca="false">IF(I46="","",IF(H46="İptal",0,IF(H46="İade",-G46,E46-I46-F46-G46)))</f>
        <v/>
      </c>
    </row>
    <row r="47" customFormat="false" ht="15" hidden="false" customHeight="false" outlineLevel="0" collapsed="false">
      <c r="A47" s="12"/>
      <c r="B47" s="13"/>
      <c r="C47" s="14"/>
      <c r="D47" s="13"/>
      <c r="E47" s="15"/>
      <c r="F47" s="15"/>
      <c r="G47" s="15"/>
      <c r="H47" s="14"/>
      <c r="I47" s="16" t="str">
        <f aca="false">IF(OR(A47="",C47=""),"",IF(OR(H47="İade",H47="İptal"),0,E47*IFERROR(INDEX(Kanallar!$B$5:$B$19,MATCH(C47,Kanallar!$A$5:$A$19,0)),0)))</f>
        <v/>
      </c>
      <c r="J47" s="16" t="str">
        <f aca="false">IF(I47="","",IF(H47="İptal",0,IF(H47="İade",-G47,E47-I47-F47-G47)))</f>
        <v/>
      </c>
    </row>
    <row r="48" customFormat="false" ht="15" hidden="false" customHeight="false" outlineLevel="0" collapsed="false">
      <c r="A48" s="12"/>
      <c r="B48" s="13"/>
      <c r="C48" s="14"/>
      <c r="D48" s="13"/>
      <c r="E48" s="15"/>
      <c r="F48" s="15"/>
      <c r="G48" s="15"/>
      <c r="H48" s="14"/>
      <c r="I48" s="16" t="str">
        <f aca="false">IF(OR(A48="",C48=""),"",IF(OR(H48="İade",H48="İptal"),0,E48*IFERROR(INDEX(Kanallar!$B$5:$B$19,MATCH(C48,Kanallar!$A$5:$A$19,0)),0)))</f>
        <v/>
      </c>
      <c r="J48" s="16" t="str">
        <f aca="false">IF(I48="","",IF(H48="İptal",0,IF(H48="İade",-G48,E48-I48-F48-G48)))</f>
        <v/>
      </c>
    </row>
    <row r="49" customFormat="false" ht="15" hidden="false" customHeight="false" outlineLevel="0" collapsed="false">
      <c r="A49" s="12"/>
      <c r="B49" s="13"/>
      <c r="C49" s="14"/>
      <c r="D49" s="13"/>
      <c r="E49" s="15"/>
      <c r="F49" s="15"/>
      <c r="G49" s="15"/>
      <c r="H49" s="14"/>
      <c r="I49" s="16" t="str">
        <f aca="false">IF(OR(A49="",C49=""),"",IF(OR(H49="İade",H49="İptal"),0,E49*IFERROR(INDEX(Kanallar!$B$5:$B$19,MATCH(C49,Kanallar!$A$5:$A$19,0)),0)))</f>
        <v/>
      </c>
      <c r="J49" s="16" t="str">
        <f aca="false">IF(I49="","",IF(H49="İptal",0,IF(H49="İade",-G49,E49-I49-F49-G49)))</f>
        <v/>
      </c>
    </row>
    <row r="50" customFormat="false" ht="15" hidden="false" customHeight="false" outlineLevel="0" collapsed="false">
      <c r="A50" s="12"/>
      <c r="B50" s="13"/>
      <c r="C50" s="14"/>
      <c r="D50" s="13"/>
      <c r="E50" s="15"/>
      <c r="F50" s="15"/>
      <c r="G50" s="15"/>
      <c r="H50" s="14"/>
      <c r="I50" s="16" t="str">
        <f aca="false">IF(OR(A50="",C50=""),"",IF(OR(H50="İade",H50="İptal"),0,E50*IFERROR(INDEX(Kanallar!$B$5:$B$19,MATCH(C50,Kanallar!$A$5:$A$19,0)),0)))</f>
        <v/>
      </c>
      <c r="J50" s="16" t="str">
        <f aca="false">IF(I50="","",IF(H50="İptal",0,IF(H50="İade",-G50,E50-I50-F50-G50)))</f>
        <v/>
      </c>
    </row>
    <row r="51" customFormat="false" ht="15" hidden="false" customHeight="false" outlineLevel="0" collapsed="false">
      <c r="A51" s="12"/>
      <c r="B51" s="13"/>
      <c r="C51" s="14"/>
      <c r="D51" s="13"/>
      <c r="E51" s="15"/>
      <c r="F51" s="15"/>
      <c r="G51" s="15"/>
      <c r="H51" s="14"/>
      <c r="I51" s="16" t="str">
        <f aca="false">IF(OR(A51="",C51=""),"",IF(OR(H51="İade",H51="İptal"),0,E51*IFERROR(INDEX(Kanallar!$B$5:$B$19,MATCH(C51,Kanallar!$A$5:$A$19,0)),0)))</f>
        <v/>
      </c>
      <c r="J51" s="16" t="str">
        <f aca="false">IF(I51="","",IF(H51="İptal",0,IF(H51="İade",-G51,E51-I51-F51-G51)))</f>
        <v/>
      </c>
    </row>
    <row r="52" customFormat="false" ht="15" hidden="false" customHeight="false" outlineLevel="0" collapsed="false">
      <c r="A52" s="12"/>
      <c r="B52" s="13"/>
      <c r="C52" s="14"/>
      <c r="D52" s="13"/>
      <c r="E52" s="15"/>
      <c r="F52" s="15"/>
      <c r="G52" s="15"/>
      <c r="H52" s="14"/>
      <c r="I52" s="16" t="str">
        <f aca="false">IF(OR(A52="",C52=""),"",IF(OR(H52="İade",H52="İptal"),0,E52*IFERROR(INDEX(Kanallar!$B$5:$B$19,MATCH(C52,Kanallar!$A$5:$A$19,0)),0)))</f>
        <v/>
      </c>
      <c r="J52" s="16" t="str">
        <f aca="false">IF(I52="","",IF(H52="İptal",0,IF(H52="İade",-G52,E52-I52-F52-G52)))</f>
        <v/>
      </c>
    </row>
    <row r="53" customFormat="false" ht="15" hidden="false" customHeight="false" outlineLevel="0" collapsed="false">
      <c r="A53" s="12"/>
      <c r="B53" s="13"/>
      <c r="C53" s="14"/>
      <c r="D53" s="13"/>
      <c r="E53" s="15"/>
      <c r="F53" s="15"/>
      <c r="G53" s="15"/>
      <c r="H53" s="14"/>
      <c r="I53" s="16" t="str">
        <f aca="false">IF(OR(A53="",C53=""),"",IF(OR(H53="İade",H53="İptal"),0,E53*IFERROR(INDEX(Kanallar!$B$5:$B$19,MATCH(C53,Kanallar!$A$5:$A$19,0)),0)))</f>
        <v/>
      </c>
      <c r="J53" s="16" t="str">
        <f aca="false">IF(I53="","",IF(H53="İptal",0,IF(H53="İade",-G53,E53-I53-F53-G53)))</f>
        <v/>
      </c>
    </row>
    <row r="54" customFormat="false" ht="15" hidden="false" customHeight="false" outlineLevel="0" collapsed="false">
      <c r="A54" s="12"/>
      <c r="B54" s="13"/>
      <c r="C54" s="14"/>
      <c r="D54" s="13"/>
      <c r="E54" s="15"/>
      <c r="F54" s="15"/>
      <c r="G54" s="15"/>
      <c r="H54" s="14"/>
      <c r="I54" s="16" t="str">
        <f aca="false">IF(OR(A54="",C54=""),"",IF(OR(H54="İade",H54="İptal"),0,E54*IFERROR(INDEX(Kanallar!$B$5:$B$19,MATCH(C54,Kanallar!$A$5:$A$19,0)),0)))</f>
        <v/>
      </c>
      <c r="J54" s="16" t="str">
        <f aca="false">IF(I54="","",IF(H54="İptal",0,IF(H54="İade",-G54,E54-I54-F54-G54)))</f>
        <v/>
      </c>
    </row>
    <row r="55" customFormat="false" ht="15" hidden="false" customHeight="false" outlineLevel="0" collapsed="false">
      <c r="A55" s="12"/>
      <c r="B55" s="13"/>
      <c r="C55" s="14"/>
      <c r="D55" s="13"/>
      <c r="E55" s="15"/>
      <c r="F55" s="15"/>
      <c r="G55" s="15"/>
      <c r="H55" s="14"/>
      <c r="I55" s="16" t="str">
        <f aca="false">IF(OR(A55="",C55=""),"",IF(OR(H55="İade",H55="İptal"),0,E55*IFERROR(INDEX(Kanallar!$B$5:$B$19,MATCH(C55,Kanallar!$A$5:$A$19,0)),0)))</f>
        <v/>
      </c>
      <c r="J55" s="16" t="str">
        <f aca="false">IF(I55="","",IF(H55="İptal",0,IF(H55="İade",-G55,E55-I55-F55-G55)))</f>
        <v/>
      </c>
    </row>
    <row r="56" customFormat="false" ht="15" hidden="false" customHeight="false" outlineLevel="0" collapsed="false">
      <c r="A56" s="12"/>
      <c r="B56" s="13"/>
      <c r="C56" s="14"/>
      <c r="D56" s="13"/>
      <c r="E56" s="15"/>
      <c r="F56" s="15"/>
      <c r="G56" s="15"/>
      <c r="H56" s="14"/>
      <c r="I56" s="16" t="str">
        <f aca="false">IF(OR(A56="",C56=""),"",IF(OR(H56="İade",H56="İptal"),0,E56*IFERROR(INDEX(Kanallar!$B$5:$B$19,MATCH(C56,Kanallar!$A$5:$A$19,0)),0)))</f>
        <v/>
      </c>
      <c r="J56" s="16" t="str">
        <f aca="false">IF(I56="","",IF(H56="İptal",0,IF(H56="İade",-G56,E56-I56-F56-G56)))</f>
        <v/>
      </c>
    </row>
    <row r="57" customFormat="false" ht="15" hidden="false" customHeight="false" outlineLevel="0" collapsed="false">
      <c r="A57" s="12"/>
      <c r="B57" s="13"/>
      <c r="C57" s="14"/>
      <c r="D57" s="13"/>
      <c r="E57" s="15"/>
      <c r="F57" s="15"/>
      <c r="G57" s="15"/>
      <c r="H57" s="14"/>
      <c r="I57" s="16" t="str">
        <f aca="false">IF(OR(A57="",C57=""),"",IF(OR(H57="İade",H57="İptal"),0,E57*IFERROR(INDEX(Kanallar!$B$5:$B$19,MATCH(C57,Kanallar!$A$5:$A$19,0)),0)))</f>
        <v/>
      </c>
      <c r="J57" s="16" t="str">
        <f aca="false">IF(I57="","",IF(H57="İptal",0,IF(H57="İade",-G57,E57-I57-F57-G57)))</f>
        <v/>
      </c>
    </row>
    <row r="58" customFormat="false" ht="15" hidden="false" customHeight="false" outlineLevel="0" collapsed="false">
      <c r="A58" s="12"/>
      <c r="B58" s="13"/>
      <c r="C58" s="14"/>
      <c r="D58" s="13"/>
      <c r="E58" s="15"/>
      <c r="F58" s="15"/>
      <c r="G58" s="15"/>
      <c r="H58" s="14"/>
      <c r="I58" s="16" t="str">
        <f aca="false">IF(OR(A58="",C58=""),"",IF(OR(H58="İade",H58="İptal"),0,E58*IFERROR(INDEX(Kanallar!$B$5:$B$19,MATCH(C58,Kanallar!$A$5:$A$19,0)),0)))</f>
        <v/>
      </c>
      <c r="J58" s="16" t="str">
        <f aca="false">IF(I58="","",IF(H58="İptal",0,IF(H58="İade",-G58,E58-I58-F58-G58)))</f>
        <v/>
      </c>
    </row>
    <row r="59" customFormat="false" ht="15" hidden="false" customHeight="false" outlineLevel="0" collapsed="false">
      <c r="A59" s="12"/>
      <c r="B59" s="13"/>
      <c r="C59" s="14"/>
      <c r="D59" s="13"/>
      <c r="E59" s="15"/>
      <c r="F59" s="15"/>
      <c r="G59" s="15"/>
      <c r="H59" s="14"/>
      <c r="I59" s="16" t="str">
        <f aca="false">IF(OR(A59="",C59=""),"",IF(OR(H59="İade",H59="İptal"),0,E59*IFERROR(INDEX(Kanallar!$B$5:$B$19,MATCH(C59,Kanallar!$A$5:$A$19,0)),0)))</f>
        <v/>
      </c>
      <c r="J59" s="16" t="str">
        <f aca="false">IF(I59="","",IF(H59="İptal",0,IF(H59="İade",-G59,E59-I59-F59-G59)))</f>
        <v/>
      </c>
    </row>
    <row r="60" customFormat="false" ht="15" hidden="false" customHeight="false" outlineLevel="0" collapsed="false">
      <c r="A60" s="12"/>
      <c r="B60" s="13"/>
      <c r="C60" s="14"/>
      <c r="D60" s="13"/>
      <c r="E60" s="15"/>
      <c r="F60" s="15"/>
      <c r="G60" s="15"/>
      <c r="H60" s="14"/>
      <c r="I60" s="16" t="str">
        <f aca="false">IF(OR(A60="",C60=""),"",IF(OR(H60="İade",H60="İptal"),0,E60*IFERROR(INDEX(Kanallar!$B$5:$B$19,MATCH(C60,Kanallar!$A$5:$A$19,0)),0)))</f>
        <v/>
      </c>
      <c r="J60" s="16" t="str">
        <f aca="false">IF(I60="","",IF(H60="İptal",0,IF(H60="İade",-G60,E60-I60-F60-G60)))</f>
        <v/>
      </c>
    </row>
    <row r="61" customFormat="false" ht="15" hidden="false" customHeight="false" outlineLevel="0" collapsed="false">
      <c r="A61" s="12"/>
      <c r="B61" s="13"/>
      <c r="C61" s="14"/>
      <c r="D61" s="13"/>
      <c r="E61" s="15"/>
      <c r="F61" s="15"/>
      <c r="G61" s="15"/>
      <c r="H61" s="14"/>
      <c r="I61" s="16" t="str">
        <f aca="false">IF(OR(A61="",C61=""),"",IF(OR(H61="İade",H61="İptal"),0,E61*IFERROR(INDEX(Kanallar!$B$5:$B$19,MATCH(C61,Kanallar!$A$5:$A$19,0)),0)))</f>
        <v/>
      </c>
      <c r="J61" s="16" t="str">
        <f aca="false">IF(I61="","",IF(H61="İptal",0,IF(H61="İade",-G61,E61-I61-F61-G61)))</f>
        <v/>
      </c>
    </row>
    <row r="62" customFormat="false" ht="15" hidden="false" customHeight="false" outlineLevel="0" collapsed="false">
      <c r="A62" s="12"/>
      <c r="B62" s="13"/>
      <c r="C62" s="14"/>
      <c r="D62" s="13"/>
      <c r="E62" s="15"/>
      <c r="F62" s="15"/>
      <c r="G62" s="15"/>
      <c r="H62" s="14"/>
      <c r="I62" s="16" t="str">
        <f aca="false">IF(OR(A62="",C62=""),"",IF(OR(H62="İade",H62="İptal"),0,E62*IFERROR(INDEX(Kanallar!$B$5:$B$19,MATCH(C62,Kanallar!$A$5:$A$19,0)),0)))</f>
        <v/>
      </c>
      <c r="J62" s="16" t="str">
        <f aca="false">IF(I62="","",IF(H62="İptal",0,IF(H62="İade",-G62,E62-I62-F62-G62)))</f>
        <v/>
      </c>
    </row>
    <row r="63" customFormat="false" ht="15" hidden="false" customHeight="false" outlineLevel="0" collapsed="false">
      <c r="A63" s="12"/>
      <c r="B63" s="13"/>
      <c r="C63" s="14"/>
      <c r="D63" s="13"/>
      <c r="E63" s="15"/>
      <c r="F63" s="15"/>
      <c r="G63" s="15"/>
      <c r="H63" s="14"/>
      <c r="I63" s="16" t="str">
        <f aca="false">IF(OR(A63="",C63=""),"",IF(OR(H63="İade",H63="İptal"),0,E63*IFERROR(INDEX(Kanallar!$B$5:$B$19,MATCH(C63,Kanallar!$A$5:$A$19,0)),0)))</f>
        <v/>
      </c>
      <c r="J63" s="16" t="str">
        <f aca="false">IF(I63="","",IF(H63="İptal",0,IF(H63="İade",-G63,E63-I63-F63-G63)))</f>
        <v/>
      </c>
    </row>
    <row r="64" customFormat="false" ht="15" hidden="false" customHeight="false" outlineLevel="0" collapsed="false">
      <c r="A64" s="12"/>
      <c r="B64" s="13"/>
      <c r="C64" s="14"/>
      <c r="D64" s="13"/>
      <c r="E64" s="15"/>
      <c r="F64" s="15"/>
      <c r="G64" s="15"/>
      <c r="H64" s="14"/>
      <c r="I64" s="16" t="str">
        <f aca="false">IF(OR(A64="",C64=""),"",IF(OR(H64="İade",H64="İptal"),0,E64*IFERROR(INDEX(Kanallar!$B$5:$B$19,MATCH(C64,Kanallar!$A$5:$A$19,0)),0)))</f>
        <v/>
      </c>
      <c r="J64" s="16" t="str">
        <f aca="false">IF(I64="","",IF(H64="İptal",0,IF(H64="İade",-G64,E64-I64-F64-G64)))</f>
        <v/>
      </c>
    </row>
    <row r="65" customFormat="false" ht="15" hidden="false" customHeight="false" outlineLevel="0" collapsed="false">
      <c r="A65" s="12"/>
      <c r="B65" s="13"/>
      <c r="C65" s="14"/>
      <c r="D65" s="13"/>
      <c r="E65" s="15"/>
      <c r="F65" s="15"/>
      <c r="G65" s="15"/>
      <c r="H65" s="14"/>
      <c r="I65" s="16" t="str">
        <f aca="false">IF(OR(A65="",C65=""),"",IF(OR(H65="İade",H65="İptal"),0,E65*IFERROR(INDEX(Kanallar!$B$5:$B$19,MATCH(C65,Kanallar!$A$5:$A$19,0)),0)))</f>
        <v/>
      </c>
      <c r="J65" s="16" t="str">
        <f aca="false">IF(I65="","",IF(H65="İptal",0,IF(H65="İade",-G65,E65-I65-F65-G65)))</f>
        <v/>
      </c>
    </row>
    <row r="66" customFormat="false" ht="15" hidden="false" customHeight="false" outlineLevel="0" collapsed="false">
      <c r="A66" s="12"/>
      <c r="B66" s="13"/>
      <c r="C66" s="14"/>
      <c r="D66" s="13"/>
      <c r="E66" s="15"/>
      <c r="F66" s="15"/>
      <c r="G66" s="15"/>
      <c r="H66" s="14"/>
      <c r="I66" s="16" t="str">
        <f aca="false">IF(OR(A66="",C66=""),"",IF(OR(H66="İade",H66="İptal"),0,E66*IFERROR(INDEX(Kanallar!$B$5:$B$19,MATCH(C66,Kanallar!$A$5:$A$19,0)),0)))</f>
        <v/>
      </c>
      <c r="J66" s="16" t="str">
        <f aca="false">IF(I66="","",IF(H66="İptal",0,IF(H66="İade",-G66,E66-I66-F66-G66)))</f>
        <v/>
      </c>
    </row>
    <row r="67" customFormat="false" ht="15" hidden="false" customHeight="false" outlineLevel="0" collapsed="false">
      <c r="A67" s="12"/>
      <c r="B67" s="13"/>
      <c r="C67" s="14"/>
      <c r="D67" s="13"/>
      <c r="E67" s="15"/>
      <c r="F67" s="15"/>
      <c r="G67" s="15"/>
      <c r="H67" s="14"/>
      <c r="I67" s="16" t="str">
        <f aca="false">IF(OR(A67="",C67=""),"",IF(OR(H67="İade",H67="İptal"),0,E67*IFERROR(INDEX(Kanallar!$B$5:$B$19,MATCH(C67,Kanallar!$A$5:$A$19,0)),0)))</f>
        <v/>
      </c>
      <c r="J67" s="16" t="str">
        <f aca="false">IF(I67="","",IF(H67="İptal",0,IF(H67="İade",-G67,E67-I67-F67-G67)))</f>
        <v/>
      </c>
    </row>
    <row r="68" customFormat="false" ht="15" hidden="false" customHeight="false" outlineLevel="0" collapsed="false">
      <c r="A68" s="12"/>
      <c r="B68" s="13"/>
      <c r="C68" s="14"/>
      <c r="D68" s="13"/>
      <c r="E68" s="15"/>
      <c r="F68" s="15"/>
      <c r="G68" s="15"/>
      <c r="H68" s="14"/>
      <c r="I68" s="16" t="str">
        <f aca="false">IF(OR(A68="",C68=""),"",IF(OR(H68="İade",H68="İptal"),0,E68*IFERROR(INDEX(Kanallar!$B$5:$B$19,MATCH(C68,Kanallar!$A$5:$A$19,0)),0)))</f>
        <v/>
      </c>
      <c r="J68" s="16" t="str">
        <f aca="false">IF(I68="","",IF(H68="İptal",0,IF(H68="İade",-G68,E68-I68-F68-G68)))</f>
        <v/>
      </c>
    </row>
    <row r="69" customFormat="false" ht="15" hidden="false" customHeight="false" outlineLevel="0" collapsed="false">
      <c r="A69" s="12"/>
      <c r="B69" s="13"/>
      <c r="C69" s="14"/>
      <c r="D69" s="13"/>
      <c r="E69" s="15"/>
      <c r="F69" s="15"/>
      <c r="G69" s="15"/>
      <c r="H69" s="14"/>
      <c r="I69" s="16" t="str">
        <f aca="false">IF(OR(A69="",C69=""),"",IF(OR(H69="İade",H69="İptal"),0,E69*IFERROR(INDEX(Kanallar!$B$5:$B$19,MATCH(C69,Kanallar!$A$5:$A$19,0)),0)))</f>
        <v/>
      </c>
      <c r="J69" s="16" t="str">
        <f aca="false">IF(I69="","",IF(H69="İptal",0,IF(H69="İade",-G69,E69-I69-F69-G69)))</f>
        <v/>
      </c>
    </row>
    <row r="70" customFormat="false" ht="15" hidden="false" customHeight="false" outlineLevel="0" collapsed="false">
      <c r="A70" s="12"/>
      <c r="B70" s="13"/>
      <c r="C70" s="14"/>
      <c r="D70" s="13"/>
      <c r="E70" s="15"/>
      <c r="F70" s="15"/>
      <c r="G70" s="15"/>
      <c r="H70" s="14"/>
      <c r="I70" s="16" t="str">
        <f aca="false">IF(OR(A70="",C70=""),"",IF(OR(H70="İade",H70="İptal"),0,E70*IFERROR(INDEX(Kanallar!$B$5:$B$19,MATCH(C70,Kanallar!$A$5:$A$19,0)),0)))</f>
        <v/>
      </c>
      <c r="J70" s="16" t="str">
        <f aca="false">IF(I70="","",IF(H70="İptal",0,IF(H70="İade",-G70,E70-I70-F70-G70)))</f>
        <v/>
      </c>
    </row>
    <row r="71" customFormat="false" ht="15" hidden="false" customHeight="false" outlineLevel="0" collapsed="false">
      <c r="A71" s="12"/>
      <c r="B71" s="13"/>
      <c r="C71" s="14"/>
      <c r="D71" s="13"/>
      <c r="E71" s="15"/>
      <c r="F71" s="15"/>
      <c r="G71" s="15"/>
      <c r="H71" s="14"/>
      <c r="I71" s="16" t="str">
        <f aca="false">IF(OR(A71="",C71=""),"",IF(OR(H71="İade",H71="İptal"),0,E71*IFERROR(INDEX(Kanallar!$B$5:$B$19,MATCH(C71,Kanallar!$A$5:$A$19,0)),0)))</f>
        <v/>
      </c>
      <c r="J71" s="16" t="str">
        <f aca="false">IF(I71="","",IF(H71="İptal",0,IF(H71="İade",-G71,E71-I71-F71-G71)))</f>
        <v/>
      </c>
    </row>
    <row r="72" customFormat="false" ht="15" hidden="false" customHeight="false" outlineLevel="0" collapsed="false">
      <c r="A72" s="12"/>
      <c r="B72" s="13"/>
      <c r="C72" s="14"/>
      <c r="D72" s="13"/>
      <c r="E72" s="15"/>
      <c r="F72" s="15"/>
      <c r="G72" s="15"/>
      <c r="H72" s="14"/>
      <c r="I72" s="16" t="str">
        <f aca="false">IF(OR(A72="",C72=""),"",IF(OR(H72="İade",H72="İptal"),0,E72*IFERROR(INDEX(Kanallar!$B$5:$B$19,MATCH(C72,Kanallar!$A$5:$A$19,0)),0)))</f>
        <v/>
      </c>
      <c r="J72" s="16" t="str">
        <f aca="false">IF(I72="","",IF(H72="İptal",0,IF(H72="İade",-G72,E72-I72-F72-G72)))</f>
        <v/>
      </c>
    </row>
    <row r="73" customFormat="false" ht="15" hidden="false" customHeight="false" outlineLevel="0" collapsed="false">
      <c r="A73" s="12"/>
      <c r="B73" s="13"/>
      <c r="C73" s="14"/>
      <c r="D73" s="13"/>
      <c r="E73" s="15"/>
      <c r="F73" s="15"/>
      <c r="G73" s="15"/>
      <c r="H73" s="14"/>
      <c r="I73" s="16" t="str">
        <f aca="false">IF(OR(A73="",C73=""),"",IF(OR(H73="İade",H73="İptal"),0,E73*IFERROR(INDEX(Kanallar!$B$5:$B$19,MATCH(C73,Kanallar!$A$5:$A$19,0)),0)))</f>
        <v/>
      </c>
      <c r="J73" s="16" t="str">
        <f aca="false">IF(I73="","",IF(H73="İptal",0,IF(H73="İade",-G73,E73-I73-F73-G73)))</f>
        <v/>
      </c>
    </row>
    <row r="74" customFormat="false" ht="15" hidden="false" customHeight="false" outlineLevel="0" collapsed="false">
      <c r="A74" s="12"/>
      <c r="B74" s="13"/>
      <c r="C74" s="14"/>
      <c r="D74" s="13"/>
      <c r="E74" s="15"/>
      <c r="F74" s="15"/>
      <c r="G74" s="15"/>
      <c r="H74" s="14"/>
      <c r="I74" s="16" t="str">
        <f aca="false">IF(OR(A74="",C74=""),"",IF(OR(H74="İade",H74="İptal"),0,E74*IFERROR(INDEX(Kanallar!$B$5:$B$19,MATCH(C74,Kanallar!$A$5:$A$19,0)),0)))</f>
        <v/>
      </c>
      <c r="J74" s="16" t="str">
        <f aca="false">IF(I74="","",IF(H74="İptal",0,IF(H74="İade",-G74,E74-I74-F74-G74)))</f>
        <v/>
      </c>
    </row>
    <row r="75" customFormat="false" ht="15" hidden="false" customHeight="false" outlineLevel="0" collapsed="false">
      <c r="A75" s="12"/>
      <c r="B75" s="13"/>
      <c r="C75" s="14"/>
      <c r="D75" s="13"/>
      <c r="E75" s="15"/>
      <c r="F75" s="15"/>
      <c r="G75" s="15"/>
      <c r="H75" s="14"/>
      <c r="I75" s="16" t="str">
        <f aca="false">IF(OR(A75="",C75=""),"",IF(OR(H75="İade",H75="İptal"),0,E75*IFERROR(INDEX(Kanallar!$B$5:$B$19,MATCH(C75,Kanallar!$A$5:$A$19,0)),0)))</f>
        <v/>
      </c>
      <c r="J75" s="16" t="str">
        <f aca="false">IF(I75="","",IF(H75="İptal",0,IF(H75="İade",-G75,E75-I75-F75-G75)))</f>
        <v/>
      </c>
    </row>
    <row r="76" customFormat="false" ht="15" hidden="false" customHeight="false" outlineLevel="0" collapsed="false">
      <c r="A76" s="12"/>
      <c r="B76" s="13"/>
      <c r="C76" s="14"/>
      <c r="D76" s="13"/>
      <c r="E76" s="15"/>
      <c r="F76" s="15"/>
      <c r="G76" s="15"/>
      <c r="H76" s="14"/>
      <c r="I76" s="16" t="str">
        <f aca="false">IF(OR(A76="",C76=""),"",IF(OR(H76="İade",H76="İptal"),0,E76*IFERROR(INDEX(Kanallar!$B$5:$B$19,MATCH(C76,Kanallar!$A$5:$A$19,0)),0)))</f>
        <v/>
      </c>
      <c r="J76" s="16" t="str">
        <f aca="false">IF(I76="","",IF(H76="İptal",0,IF(H76="İade",-G76,E76-I76-F76-G76)))</f>
        <v/>
      </c>
    </row>
    <row r="77" customFormat="false" ht="15" hidden="false" customHeight="false" outlineLevel="0" collapsed="false">
      <c r="A77" s="12"/>
      <c r="B77" s="13"/>
      <c r="C77" s="14"/>
      <c r="D77" s="13"/>
      <c r="E77" s="15"/>
      <c r="F77" s="15"/>
      <c r="G77" s="15"/>
      <c r="H77" s="14"/>
      <c r="I77" s="16" t="str">
        <f aca="false">IF(OR(A77="",C77=""),"",IF(OR(H77="İade",H77="İptal"),0,E77*IFERROR(INDEX(Kanallar!$B$5:$B$19,MATCH(C77,Kanallar!$A$5:$A$19,0)),0)))</f>
        <v/>
      </c>
      <c r="J77" s="16" t="str">
        <f aca="false">IF(I77="","",IF(H77="İptal",0,IF(H77="İade",-G77,E77-I77-F77-G77)))</f>
        <v/>
      </c>
    </row>
    <row r="78" customFormat="false" ht="15" hidden="false" customHeight="false" outlineLevel="0" collapsed="false">
      <c r="A78" s="12"/>
      <c r="B78" s="13"/>
      <c r="C78" s="14"/>
      <c r="D78" s="13"/>
      <c r="E78" s="15"/>
      <c r="F78" s="15"/>
      <c r="G78" s="15"/>
      <c r="H78" s="14"/>
      <c r="I78" s="16" t="str">
        <f aca="false">IF(OR(A78="",C78=""),"",IF(OR(H78="İade",H78="İptal"),0,E78*IFERROR(INDEX(Kanallar!$B$5:$B$19,MATCH(C78,Kanallar!$A$5:$A$19,0)),0)))</f>
        <v/>
      </c>
      <c r="J78" s="16" t="str">
        <f aca="false">IF(I78="","",IF(H78="İptal",0,IF(H78="İade",-G78,E78-I78-F78-G78)))</f>
        <v/>
      </c>
    </row>
    <row r="79" customFormat="false" ht="15" hidden="false" customHeight="false" outlineLevel="0" collapsed="false">
      <c r="A79" s="12"/>
      <c r="B79" s="13"/>
      <c r="C79" s="14"/>
      <c r="D79" s="13"/>
      <c r="E79" s="15"/>
      <c r="F79" s="15"/>
      <c r="G79" s="15"/>
      <c r="H79" s="14"/>
      <c r="I79" s="16" t="str">
        <f aca="false">IF(OR(A79="",C79=""),"",IF(OR(H79="İade",H79="İptal"),0,E79*IFERROR(INDEX(Kanallar!$B$5:$B$19,MATCH(C79,Kanallar!$A$5:$A$19,0)),0)))</f>
        <v/>
      </c>
      <c r="J79" s="16" t="str">
        <f aca="false">IF(I79="","",IF(H79="İptal",0,IF(H79="İade",-G79,E79-I79-F79-G79)))</f>
        <v/>
      </c>
    </row>
    <row r="80" customFormat="false" ht="15" hidden="false" customHeight="false" outlineLevel="0" collapsed="false">
      <c r="A80" s="12"/>
      <c r="B80" s="13"/>
      <c r="C80" s="14"/>
      <c r="D80" s="13"/>
      <c r="E80" s="15"/>
      <c r="F80" s="15"/>
      <c r="G80" s="15"/>
      <c r="H80" s="14"/>
      <c r="I80" s="16" t="str">
        <f aca="false">IF(OR(A80="",C80=""),"",IF(OR(H80="İade",H80="İptal"),0,E80*IFERROR(INDEX(Kanallar!$B$5:$B$19,MATCH(C80,Kanallar!$A$5:$A$19,0)),0)))</f>
        <v/>
      </c>
      <c r="J80" s="16" t="str">
        <f aca="false">IF(I80="","",IF(H80="İptal",0,IF(H80="İade",-G80,E80-I80-F80-G80)))</f>
        <v/>
      </c>
    </row>
    <row r="81" customFormat="false" ht="15" hidden="false" customHeight="false" outlineLevel="0" collapsed="false">
      <c r="A81" s="12"/>
      <c r="B81" s="13"/>
      <c r="C81" s="14"/>
      <c r="D81" s="13"/>
      <c r="E81" s="15"/>
      <c r="F81" s="15"/>
      <c r="G81" s="15"/>
      <c r="H81" s="14"/>
      <c r="I81" s="16" t="str">
        <f aca="false">IF(OR(A81="",C81=""),"",IF(OR(H81="İade",H81="İptal"),0,E81*IFERROR(INDEX(Kanallar!$B$5:$B$19,MATCH(C81,Kanallar!$A$5:$A$19,0)),0)))</f>
        <v/>
      </c>
      <c r="J81" s="16" t="str">
        <f aca="false">IF(I81="","",IF(H81="İptal",0,IF(H81="İade",-G81,E81-I81-F81-G81)))</f>
        <v/>
      </c>
    </row>
    <row r="82" customFormat="false" ht="15" hidden="false" customHeight="false" outlineLevel="0" collapsed="false">
      <c r="A82" s="12"/>
      <c r="B82" s="13"/>
      <c r="C82" s="14"/>
      <c r="D82" s="13"/>
      <c r="E82" s="15"/>
      <c r="F82" s="15"/>
      <c r="G82" s="15"/>
      <c r="H82" s="14"/>
      <c r="I82" s="16" t="str">
        <f aca="false">IF(OR(A82="",C82=""),"",IF(OR(H82="İade",H82="İptal"),0,E82*IFERROR(INDEX(Kanallar!$B$5:$B$19,MATCH(C82,Kanallar!$A$5:$A$19,0)),0)))</f>
        <v/>
      </c>
      <c r="J82" s="16" t="str">
        <f aca="false">IF(I82="","",IF(H82="İptal",0,IF(H82="İade",-G82,E82-I82-F82-G82)))</f>
        <v/>
      </c>
    </row>
    <row r="83" customFormat="false" ht="15" hidden="false" customHeight="false" outlineLevel="0" collapsed="false">
      <c r="A83" s="12"/>
      <c r="B83" s="13"/>
      <c r="C83" s="14"/>
      <c r="D83" s="13"/>
      <c r="E83" s="15"/>
      <c r="F83" s="15"/>
      <c r="G83" s="15"/>
      <c r="H83" s="14"/>
      <c r="I83" s="16" t="str">
        <f aca="false">IF(OR(A83="",C83=""),"",IF(OR(H83="İade",H83="İptal"),0,E83*IFERROR(INDEX(Kanallar!$B$5:$B$19,MATCH(C83,Kanallar!$A$5:$A$19,0)),0)))</f>
        <v/>
      </c>
      <c r="J83" s="16" t="str">
        <f aca="false">IF(I83="","",IF(H83="İptal",0,IF(H83="İade",-G83,E83-I83-F83-G83)))</f>
        <v/>
      </c>
    </row>
    <row r="84" customFormat="false" ht="15" hidden="false" customHeight="false" outlineLevel="0" collapsed="false">
      <c r="A84" s="12"/>
      <c r="B84" s="13"/>
      <c r="C84" s="14"/>
      <c r="D84" s="13"/>
      <c r="E84" s="15"/>
      <c r="F84" s="15"/>
      <c r="G84" s="15"/>
      <c r="H84" s="14"/>
      <c r="I84" s="16" t="str">
        <f aca="false">IF(OR(A84="",C84=""),"",IF(OR(H84="İade",H84="İptal"),0,E84*IFERROR(INDEX(Kanallar!$B$5:$B$19,MATCH(C84,Kanallar!$A$5:$A$19,0)),0)))</f>
        <v/>
      </c>
      <c r="J84" s="16" t="str">
        <f aca="false">IF(I84="","",IF(H84="İptal",0,IF(H84="İade",-G84,E84-I84-F84-G84)))</f>
        <v/>
      </c>
    </row>
    <row r="85" customFormat="false" ht="15" hidden="false" customHeight="false" outlineLevel="0" collapsed="false">
      <c r="A85" s="12"/>
      <c r="B85" s="13"/>
      <c r="C85" s="14"/>
      <c r="D85" s="13"/>
      <c r="E85" s="15"/>
      <c r="F85" s="15"/>
      <c r="G85" s="15"/>
      <c r="H85" s="14"/>
      <c r="I85" s="16" t="str">
        <f aca="false">IF(OR(A85="",C85=""),"",IF(OR(H85="İade",H85="İptal"),0,E85*IFERROR(INDEX(Kanallar!$B$5:$B$19,MATCH(C85,Kanallar!$A$5:$A$19,0)),0)))</f>
        <v/>
      </c>
      <c r="J85" s="16" t="str">
        <f aca="false">IF(I85="","",IF(H85="İptal",0,IF(H85="İade",-G85,E85-I85-F85-G85)))</f>
        <v/>
      </c>
    </row>
    <row r="86" customFormat="false" ht="15" hidden="false" customHeight="false" outlineLevel="0" collapsed="false">
      <c r="A86" s="12"/>
      <c r="B86" s="13"/>
      <c r="C86" s="14"/>
      <c r="D86" s="13"/>
      <c r="E86" s="15"/>
      <c r="F86" s="15"/>
      <c r="G86" s="15"/>
      <c r="H86" s="14"/>
      <c r="I86" s="16" t="str">
        <f aca="false">IF(OR(A86="",C86=""),"",IF(OR(H86="İade",H86="İptal"),0,E86*IFERROR(INDEX(Kanallar!$B$5:$B$19,MATCH(C86,Kanallar!$A$5:$A$19,0)),0)))</f>
        <v/>
      </c>
      <c r="J86" s="16" t="str">
        <f aca="false">IF(I86="","",IF(H86="İptal",0,IF(H86="İade",-G86,E86-I86-F86-G86)))</f>
        <v/>
      </c>
    </row>
    <row r="87" customFormat="false" ht="15" hidden="false" customHeight="false" outlineLevel="0" collapsed="false">
      <c r="A87" s="12"/>
      <c r="B87" s="13"/>
      <c r="C87" s="14"/>
      <c r="D87" s="13"/>
      <c r="E87" s="15"/>
      <c r="F87" s="15"/>
      <c r="G87" s="15"/>
      <c r="H87" s="14"/>
      <c r="I87" s="16" t="str">
        <f aca="false">IF(OR(A87="",C87=""),"",IF(OR(H87="İade",H87="İptal"),0,E87*IFERROR(INDEX(Kanallar!$B$5:$B$19,MATCH(C87,Kanallar!$A$5:$A$19,0)),0)))</f>
        <v/>
      </c>
      <c r="J87" s="16" t="str">
        <f aca="false">IF(I87="","",IF(H87="İptal",0,IF(H87="İade",-G87,E87-I87-F87-G87)))</f>
        <v/>
      </c>
    </row>
    <row r="88" customFormat="false" ht="15" hidden="false" customHeight="false" outlineLevel="0" collapsed="false">
      <c r="A88" s="12"/>
      <c r="B88" s="13"/>
      <c r="C88" s="14"/>
      <c r="D88" s="13"/>
      <c r="E88" s="15"/>
      <c r="F88" s="15"/>
      <c r="G88" s="15"/>
      <c r="H88" s="14"/>
      <c r="I88" s="16" t="str">
        <f aca="false">IF(OR(A88="",C88=""),"",IF(OR(H88="İade",H88="İptal"),0,E88*IFERROR(INDEX(Kanallar!$B$5:$B$19,MATCH(C88,Kanallar!$A$5:$A$19,0)),0)))</f>
        <v/>
      </c>
      <c r="J88" s="16" t="str">
        <f aca="false">IF(I88="","",IF(H88="İptal",0,IF(H88="İade",-G88,E88-I88-F88-G88)))</f>
        <v/>
      </c>
    </row>
    <row r="89" customFormat="false" ht="15" hidden="false" customHeight="false" outlineLevel="0" collapsed="false">
      <c r="A89" s="12"/>
      <c r="B89" s="13"/>
      <c r="C89" s="14"/>
      <c r="D89" s="13"/>
      <c r="E89" s="15"/>
      <c r="F89" s="15"/>
      <c r="G89" s="15"/>
      <c r="H89" s="14"/>
      <c r="I89" s="16" t="str">
        <f aca="false">IF(OR(A89="",C89=""),"",IF(OR(H89="İade",H89="İptal"),0,E89*IFERROR(INDEX(Kanallar!$B$5:$B$19,MATCH(C89,Kanallar!$A$5:$A$19,0)),0)))</f>
        <v/>
      </c>
      <c r="J89" s="16" t="str">
        <f aca="false">IF(I89="","",IF(H89="İptal",0,IF(H89="İade",-G89,E89-I89-F89-G89)))</f>
        <v/>
      </c>
    </row>
    <row r="90" customFormat="false" ht="15" hidden="false" customHeight="false" outlineLevel="0" collapsed="false">
      <c r="A90" s="12"/>
      <c r="B90" s="13"/>
      <c r="C90" s="14"/>
      <c r="D90" s="13"/>
      <c r="E90" s="15"/>
      <c r="F90" s="15"/>
      <c r="G90" s="15"/>
      <c r="H90" s="14"/>
      <c r="I90" s="16" t="str">
        <f aca="false">IF(OR(A90="",C90=""),"",IF(OR(H90="İade",H90="İptal"),0,E90*IFERROR(INDEX(Kanallar!$B$5:$B$19,MATCH(C90,Kanallar!$A$5:$A$19,0)),0)))</f>
        <v/>
      </c>
      <c r="J90" s="16" t="str">
        <f aca="false">IF(I90="","",IF(H90="İptal",0,IF(H90="İade",-G90,E90-I90-F90-G90)))</f>
        <v/>
      </c>
    </row>
    <row r="91" customFormat="false" ht="15" hidden="false" customHeight="false" outlineLevel="0" collapsed="false">
      <c r="A91" s="12"/>
      <c r="B91" s="13"/>
      <c r="C91" s="14"/>
      <c r="D91" s="13"/>
      <c r="E91" s="15"/>
      <c r="F91" s="15"/>
      <c r="G91" s="15"/>
      <c r="H91" s="14"/>
      <c r="I91" s="16" t="str">
        <f aca="false">IF(OR(A91="",C91=""),"",IF(OR(H91="İade",H91="İptal"),0,E91*IFERROR(INDEX(Kanallar!$B$5:$B$19,MATCH(C91,Kanallar!$A$5:$A$19,0)),0)))</f>
        <v/>
      </c>
      <c r="J91" s="16" t="str">
        <f aca="false">IF(I91="","",IF(H91="İptal",0,IF(H91="İade",-G91,E91-I91-F91-G91)))</f>
        <v/>
      </c>
    </row>
    <row r="92" customFormat="false" ht="15" hidden="false" customHeight="false" outlineLevel="0" collapsed="false">
      <c r="A92" s="12"/>
      <c r="B92" s="13"/>
      <c r="C92" s="14"/>
      <c r="D92" s="13"/>
      <c r="E92" s="15"/>
      <c r="F92" s="15"/>
      <c r="G92" s="15"/>
      <c r="H92" s="14"/>
      <c r="I92" s="16" t="str">
        <f aca="false">IF(OR(A92="",C92=""),"",IF(OR(H92="İade",H92="İptal"),0,E92*IFERROR(INDEX(Kanallar!$B$5:$B$19,MATCH(C92,Kanallar!$A$5:$A$19,0)),0)))</f>
        <v/>
      </c>
      <c r="J92" s="16" t="str">
        <f aca="false">IF(I92="","",IF(H92="İptal",0,IF(H92="İade",-G92,E92-I92-F92-G92)))</f>
        <v/>
      </c>
    </row>
    <row r="93" customFormat="false" ht="15" hidden="false" customHeight="false" outlineLevel="0" collapsed="false">
      <c r="A93" s="12"/>
      <c r="B93" s="13"/>
      <c r="C93" s="14"/>
      <c r="D93" s="13"/>
      <c r="E93" s="15"/>
      <c r="F93" s="15"/>
      <c r="G93" s="15"/>
      <c r="H93" s="14"/>
      <c r="I93" s="16" t="str">
        <f aca="false">IF(OR(A93="",C93=""),"",IF(OR(H93="İade",H93="İptal"),0,E93*IFERROR(INDEX(Kanallar!$B$5:$B$19,MATCH(C93,Kanallar!$A$5:$A$19,0)),0)))</f>
        <v/>
      </c>
      <c r="J93" s="16" t="str">
        <f aca="false">IF(I93="","",IF(H93="İptal",0,IF(H93="İade",-G93,E93-I93-F93-G93)))</f>
        <v/>
      </c>
    </row>
    <row r="94" customFormat="false" ht="15" hidden="false" customHeight="false" outlineLevel="0" collapsed="false">
      <c r="A94" s="12"/>
      <c r="B94" s="13"/>
      <c r="C94" s="14"/>
      <c r="D94" s="13"/>
      <c r="E94" s="15"/>
      <c r="F94" s="15"/>
      <c r="G94" s="15"/>
      <c r="H94" s="14"/>
      <c r="I94" s="16" t="str">
        <f aca="false">IF(OR(A94="",C94=""),"",IF(OR(H94="İade",H94="İptal"),0,E94*IFERROR(INDEX(Kanallar!$B$5:$B$19,MATCH(C94,Kanallar!$A$5:$A$19,0)),0)))</f>
        <v/>
      </c>
      <c r="J94" s="16" t="str">
        <f aca="false">IF(I94="","",IF(H94="İptal",0,IF(H94="İade",-G94,E94-I94-F94-G94)))</f>
        <v/>
      </c>
    </row>
    <row r="95" customFormat="false" ht="15" hidden="false" customHeight="false" outlineLevel="0" collapsed="false">
      <c r="A95" s="12"/>
      <c r="B95" s="13"/>
      <c r="C95" s="14"/>
      <c r="D95" s="13"/>
      <c r="E95" s="15"/>
      <c r="F95" s="15"/>
      <c r="G95" s="15"/>
      <c r="H95" s="14"/>
      <c r="I95" s="16" t="str">
        <f aca="false">IF(OR(A95="",C95=""),"",IF(OR(H95="İade",H95="İptal"),0,E95*IFERROR(INDEX(Kanallar!$B$5:$B$19,MATCH(C95,Kanallar!$A$5:$A$19,0)),0)))</f>
        <v/>
      </c>
      <c r="J95" s="16" t="str">
        <f aca="false">IF(I95="","",IF(H95="İptal",0,IF(H95="İade",-G95,E95-I95-F95-G95)))</f>
        <v/>
      </c>
    </row>
    <row r="96" customFormat="false" ht="15" hidden="false" customHeight="false" outlineLevel="0" collapsed="false">
      <c r="A96" s="12"/>
      <c r="B96" s="13"/>
      <c r="C96" s="14"/>
      <c r="D96" s="13"/>
      <c r="E96" s="15"/>
      <c r="F96" s="15"/>
      <c r="G96" s="15"/>
      <c r="H96" s="14"/>
      <c r="I96" s="16" t="str">
        <f aca="false">IF(OR(A96="",C96=""),"",IF(OR(H96="İade",H96="İptal"),0,E96*IFERROR(INDEX(Kanallar!$B$5:$B$19,MATCH(C96,Kanallar!$A$5:$A$19,0)),0)))</f>
        <v/>
      </c>
      <c r="J96" s="16" t="str">
        <f aca="false">IF(I96="","",IF(H96="İptal",0,IF(H96="İade",-G96,E96-I96-F96-G96)))</f>
        <v/>
      </c>
    </row>
    <row r="97" customFormat="false" ht="15" hidden="false" customHeight="false" outlineLevel="0" collapsed="false">
      <c r="A97" s="12"/>
      <c r="B97" s="13"/>
      <c r="C97" s="14"/>
      <c r="D97" s="13"/>
      <c r="E97" s="15"/>
      <c r="F97" s="15"/>
      <c r="G97" s="15"/>
      <c r="H97" s="14"/>
      <c r="I97" s="16" t="str">
        <f aca="false">IF(OR(A97="",C97=""),"",IF(OR(H97="İade",H97="İptal"),0,E97*IFERROR(INDEX(Kanallar!$B$5:$B$19,MATCH(C97,Kanallar!$A$5:$A$19,0)),0)))</f>
        <v/>
      </c>
      <c r="J97" s="16" t="str">
        <f aca="false">IF(I97="","",IF(H97="İptal",0,IF(H97="İade",-G97,E97-I97-F97-G97)))</f>
        <v/>
      </c>
    </row>
    <row r="98" customFormat="false" ht="15" hidden="false" customHeight="false" outlineLevel="0" collapsed="false">
      <c r="A98" s="12"/>
      <c r="B98" s="13"/>
      <c r="C98" s="14"/>
      <c r="D98" s="13"/>
      <c r="E98" s="15"/>
      <c r="F98" s="15"/>
      <c r="G98" s="15"/>
      <c r="H98" s="14"/>
      <c r="I98" s="16" t="str">
        <f aca="false">IF(OR(A98="",C98=""),"",IF(OR(H98="İade",H98="İptal"),0,E98*IFERROR(INDEX(Kanallar!$B$5:$B$19,MATCH(C98,Kanallar!$A$5:$A$19,0)),0)))</f>
        <v/>
      </c>
      <c r="J98" s="16" t="str">
        <f aca="false">IF(I98="","",IF(H98="İptal",0,IF(H98="İade",-G98,E98-I98-F98-G98)))</f>
        <v/>
      </c>
    </row>
    <row r="99" customFormat="false" ht="15" hidden="false" customHeight="false" outlineLevel="0" collapsed="false">
      <c r="A99" s="12"/>
      <c r="B99" s="13"/>
      <c r="C99" s="14"/>
      <c r="D99" s="13"/>
      <c r="E99" s="15"/>
      <c r="F99" s="15"/>
      <c r="G99" s="15"/>
      <c r="H99" s="14"/>
      <c r="I99" s="16" t="str">
        <f aca="false">IF(OR(A99="",C99=""),"",IF(OR(H99="İade",H99="İptal"),0,E99*IFERROR(INDEX(Kanallar!$B$5:$B$19,MATCH(C99,Kanallar!$A$5:$A$19,0)),0)))</f>
        <v/>
      </c>
      <c r="J99" s="16" t="str">
        <f aca="false">IF(I99="","",IF(H99="İptal",0,IF(H99="İade",-G99,E99-I99-F99-G99)))</f>
        <v/>
      </c>
    </row>
    <row r="100" customFormat="false" ht="15" hidden="false" customHeight="false" outlineLevel="0" collapsed="false">
      <c r="A100" s="12"/>
      <c r="B100" s="13"/>
      <c r="C100" s="14"/>
      <c r="D100" s="13"/>
      <c r="E100" s="15"/>
      <c r="F100" s="15"/>
      <c r="G100" s="15"/>
      <c r="H100" s="14"/>
      <c r="I100" s="16" t="str">
        <f aca="false">IF(OR(A100="",C100=""),"",IF(OR(H100="İade",H100="İptal"),0,E100*IFERROR(INDEX(Kanallar!$B$5:$B$19,MATCH(C100,Kanallar!$A$5:$A$19,0)),0)))</f>
        <v/>
      </c>
      <c r="J100" s="16" t="str">
        <f aca="false">IF(I100="","",IF(H100="İptal",0,IF(H100="İade",-G100,E100-I100-F100-G100)))</f>
        <v/>
      </c>
    </row>
    <row r="101" customFormat="false" ht="15" hidden="false" customHeight="false" outlineLevel="0" collapsed="false">
      <c r="A101" s="12"/>
      <c r="B101" s="13"/>
      <c r="C101" s="14"/>
      <c r="D101" s="13"/>
      <c r="E101" s="15"/>
      <c r="F101" s="15"/>
      <c r="G101" s="15"/>
      <c r="H101" s="14"/>
      <c r="I101" s="16" t="str">
        <f aca="false">IF(OR(A101="",C101=""),"",IF(OR(H101="İade",H101="İptal"),0,E101*IFERROR(INDEX(Kanallar!$B$5:$B$19,MATCH(C101,Kanallar!$A$5:$A$19,0)),0)))</f>
        <v/>
      </c>
      <c r="J101" s="16" t="str">
        <f aca="false">IF(I101="","",IF(H101="İptal",0,IF(H101="İade",-G101,E101-I101-F101-G101)))</f>
        <v/>
      </c>
    </row>
    <row r="102" customFormat="false" ht="15" hidden="false" customHeight="false" outlineLevel="0" collapsed="false">
      <c r="A102" s="12"/>
      <c r="B102" s="13"/>
      <c r="C102" s="14"/>
      <c r="D102" s="13"/>
      <c r="E102" s="15"/>
      <c r="F102" s="15"/>
      <c r="G102" s="15"/>
      <c r="H102" s="14"/>
      <c r="I102" s="16" t="str">
        <f aca="false">IF(OR(A102="",C102=""),"",IF(OR(H102="İade",H102="İptal"),0,E102*IFERROR(INDEX(Kanallar!$B$5:$B$19,MATCH(C102,Kanallar!$A$5:$A$19,0)),0)))</f>
        <v/>
      </c>
      <c r="J102" s="16" t="str">
        <f aca="false">IF(I102="","",IF(H102="İptal",0,IF(H102="İade",-G102,E102-I102-F102-G102)))</f>
        <v/>
      </c>
    </row>
    <row r="103" customFormat="false" ht="15" hidden="false" customHeight="false" outlineLevel="0" collapsed="false">
      <c r="A103" s="12"/>
      <c r="B103" s="13"/>
      <c r="C103" s="14"/>
      <c r="D103" s="13"/>
      <c r="E103" s="15"/>
      <c r="F103" s="15"/>
      <c r="G103" s="15"/>
      <c r="H103" s="14"/>
      <c r="I103" s="16" t="str">
        <f aca="false">IF(OR(A103="",C103=""),"",IF(OR(H103="İade",H103="İptal"),0,E103*IFERROR(INDEX(Kanallar!$B$5:$B$19,MATCH(C103,Kanallar!$A$5:$A$19,0)),0)))</f>
        <v/>
      </c>
      <c r="J103" s="16" t="str">
        <f aca="false">IF(I103="","",IF(H103="İptal",0,IF(H103="İade",-G103,E103-I103-F103-G103)))</f>
        <v/>
      </c>
    </row>
    <row r="104" customFormat="false" ht="15" hidden="false" customHeight="false" outlineLevel="0" collapsed="false">
      <c r="A104" s="12"/>
      <c r="B104" s="13"/>
      <c r="C104" s="14"/>
      <c r="D104" s="13"/>
      <c r="E104" s="15"/>
      <c r="F104" s="15"/>
      <c r="G104" s="15"/>
      <c r="H104" s="14"/>
      <c r="I104" s="16" t="str">
        <f aca="false">IF(OR(A104="",C104=""),"",IF(OR(H104="İade",H104="İptal"),0,E104*IFERROR(INDEX(Kanallar!$B$5:$B$19,MATCH(C104,Kanallar!$A$5:$A$19,0)),0)))</f>
        <v/>
      </c>
      <c r="J104" s="16" t="str">
        <f aca="false">IF(I104="","",IF(H104="İptal",0,IF(H104="İade",-G104,E104-I104-F104-G104)))</f>
        <v/>
      </c>
    </row>
    <row r="105" customFormat="false" ht="15" hidden="false" customHeight="false" outlineLevel="0" collapsed="false">
      <c r="A105" s="12"/>
      <c r="B105" s="13"/>
      <c r="C105" s="14"/>
      <c r="D105" s="13"/>
      <c r="E105" s="15"/>
      <c r="F105" s="15"/>
      <c r="G105" s="15"/>
      <c r="H105" s="14"/>
      <c r="I105" s="16" t="str">
        <f aca="false">IF(OR(A105="",C105=""),"",IF(OR(H105="İade",H105="İptal"),0,E105*IFERROR(INDEX(Kanallar!$B$5:$B$19,MATCH(C105,Kanallar!$A$5:$A$19,0)),0)))</f>
        <v/>
      </c>
      <c r="J105" s="16" t="str">
        <f aca="false">IF(I105="","",IF(H105="İptal",0,IF(H105="İade",-G105,E105-I105-F105-G105)))</f>
        <v/>
      </c>
    </row>
    <row r="106" customFormat="false" ht="15" hidden="false" customHeight="false" outlineLevel="0" collapsed="false">
      <c r="A106" s="12"/>
      <c r="B106" s="13"/>
      <c r="C106" s="14"/>
      <c r="D106" s="13"/>
      <c r="E106" s="15"/>
      <c r="F106" s="15"/>
      <c r="G106" s="15"/>
      <c r="H106" s="14"/>
      <c r="I106" s="16" t="str">
        <f aca="false">IF(OR(A106="",C106=""),"",IF(OR(H106="İade",H106="İptal"),0,E106*IFERROR(INDEX(Kanallar!$B$5:$B$19,MATCH(C106,Kanallar!$A$5:$A$19,0)),0)))</f>
        <v/>
      </c>
      <c r="J106" s="16" t="str">
        <f aca="false">IF(I106="","",IF(H106="İptal",0,IF(H106="İade",-G106,E106-I106-F106-G106)))</f>
        <v/>
      </c>
    </row>
    <row r="107" customFormat="false" ht="15" hidden="false" customHeight="false" outlineLevel="0" collapsed="false">
      <c r="A107" s="12"/>
      <c r="B107" s="13"/>
      <c r="C107" s="14"/>
      <c r="D107" s="13"/>
      <c r="E107" s="15"/>
      <c r="F107" s="15"/>
      <c r="G107" s="15"/>
      <c r="H107" s="14"/>
      <c r="I107" s="16" t="str">
        <f aca="false">IF(OR(A107="",C107=""),"",IF(OR(H107="İade",H107="İptal"),0,E107*IFERROR(INDEX(Kanallar!$B$5:$B$19,MATCH(C107,Kanallar!$A$5:$A$19,0)),0)))</f>
        <v/>
      </c>
      <c r="J107" s="16" t="str">
        <f aca="false">IF(I107="","",IF(H107="İptal",0,IF(H107="İade",-G107,E107-I107-F107-G107)))</f>
        <v/>
      </c>
    </row>
    <row r="108" customFormat="false" ht="15" hidden="false" customHeight="false" outlineLevel="0" collapsed="false">
      <c r="A108" s="12"/>
      <c r="B108" s="13"/>
      <c r="C108" s="14"/>
      <c r="D108" s="13"/>
      <c r="E108" s="15"/>
      <c r="F108" s="15"/>
      <c r="G108" s="15"/>
      <c r="H108" s="14"/>
      <c r="I108" s="16" t="str">
        <f aca="false">IF(OR(A108="",C108=""),"",IF(OR(H108="İade",H108="İptal"),0,E108*IFERROR(INDEX(Kanallar!$B$5:$B$19,MATCH(C108,Kanallar!$A$5:$A$19,0)),0)))</f>
        <v/>
      </c>
      <c r="J108" s="16" t="str">
        <f aca="false">IF(I108="","",IF(H108="İptal",0,IF(H108="İade",-G108,E108-I108-F108-G108)))</f>
        <v/>
      </c>
    </row>
    <row r="109" customFormat="false" ht="15" hidden="false" customHeight="false" outlineLevel="0" collapsed="false">
      <c r="A109" s="12"/>
      <c r="B109" s="13"/>
      <c r="C109" s="14"/>
      <c r="D109" s="13"/>
      <c r="E109" s="15"/>
      <c r="F109" s="15"/>
      <c r="G109" s="15"/>
      <c r="H109" s="14"/>
      <c r="I109" s="16" t="str">
        <f aca="false">IF(OR(A109="",C109=""),"",IF(OR(H109="İade",H109="İptal"),0,E109*IFERROR(INDEX(Kanallar!$B$5:$B$19,MATCH(C109,Kanallar!$A$5:$A$19,0)),0)))</f>
        <v/>
      </c>
      <c r="J109" s="16" t="str">
        <f aca="false">IF(I109="","",IF(H109="İptal",0,IF(H109="İade",-G109,E109-I109-F109-G109)))</f>
        <v/>
      </c>
    </row>
    <row r="110" customFormat="false" ht="15" hidden="false" customHeight="false" outlineLevel="0" collapsed="false">
      <c r="A110" s="12"/>
      <c r="B110" s="13"/>
      <c r="C110" s="14"/>
      <c r="D110" s="13"/>
      <c r="E110" s="15"/>
      <c r="F110" s="15"/>
      <c r="G110" s="15"/>
      <c r="H110" s="14"/>
      <c r="I110" s="16" t="str">
        <f aca="false">IF(OR(A110="",C110=""),"",IF(OR(H110="İade",H110="İptal"),0,E110*IFERROR(INDEX(Kanallar!$B$5:$B$19,MATCH(C110,Kanallar!$A$5:$A$19,0)),0)))</f>
        <v/>
      </c>
      <c r="J110" s="16" t="str">
        <f aca="false">IF(I110="","",IF(H110="İptal",0,IF(H110="İade",-G110,E110-I110-F110-G110)))</f>
        <v/>
      </c>
    </row>
    <row r="111" customFormat="false" ht="15" hidden="false" customHeight="false" outlineLevel="0" collapsed="false">
      <c r="A111" s="12"/>
      <c r="B111" s="13"/>
      <c r="C111" s="14"/>
      <c r="D111" s="13"/>
      <c r="E111" s="15"/>
      <c r="F111" s="15"/>
      <c r="G111" s="15"/>
      <c r="H111" s="14"/>
      <c r="I111" s="16" t="str">
        <f aca="false">IF(OR(A111="",C111=""),"",IF(OR(H111="İade",H111="İptal"),0,E111*IFERROR(INDEX(Kanallar!$B$5:$B$19,MATCH(C111,Kanallar!$A$5:$A$19,0)),0)))</f>
        <v/>
      </c>
      <c r="J111" s="16" t="str">
        <f aca="false">IF(I111="","",IF(H111="İptal",0,IF(H111="İade",-G111,E111-I111-F111-G111)))</f>
        <v/>
      </c>
    </row>
    <row r="112" customFormat="false" ht="15" hidden="false" customHeight="false" outlineLevel="0" collapsed="false">
      <c r="A112" s="12"/>
      <c r="B112" s="13"/>
      <c r="C112" s="14"/>
      <c r="D112" s="13"/>
      <c r="E112" s="15"/>
      <c r="F112" s="15"/>
      <c r="G112" s="15"/>
      <c r="H112" s="14"/>
      <c r="I112" s="16" t="str">
        <f aca="false">IF(OR(A112="",C112=""),"",IF(OR(H112="İade",H112="İptal"),0,E112*IFERROR(INDEX(Kanallar!$B$5:$B$19,MATCH(C112,Kanallar!$A$5:$A$19,0)),0)))</f>
        <v/>
      </c>
      <c r="J112" s="16" t="str">
        <f aca="false">IF(I112="","",IF(H112="İptal",0,IF(H112="İade",-G112,E112-I112-F112-G112)))</f>
        <v/>
      </c>
    </row>
    <row r="113" customFormat="false" ht="15" hidden="false" customHeight="false" outlineLevel="0" collapsed="false">
      <c r="A113" s="12"/>
      <c r="B113" s="13"/>
      <c r="C113" s="14"/>
      <c r="D113" s="13"/>
      <c r="E113" s="15"/>
      <c r="F113" s="15"/>
      <c r="G113" s="15"/>
      <c r="H113" s="14"/>
      <c r="I113" s="16" t="str">
        <f aca="false">IF(OR(A113="",C113=""),"",IF(OR(H113="İade",H113="İptal"),0,E113*IFERROR(INDEX(Kanallar!$B$5:$B$19,MATCH(C113,Kanallar!$A$5:$A$19,0)),0)))</f>
        <v/>
      </c>
      <c r="J113" s="16" t="str">
        <f aca="false">IF(I113="","",IF(H113="İptal",0,IF(H113="İade",-G113,E113-I113-F113-G113)))</f>
        <v/>
      </c>
    </row>
    <row r="114" customFormat="false" ht="15" hidden="false" customHeight="false" outlineLevel="0" collapsed="false">
      <c r="A114" s="12"/>
      <c r="B114" s="13"/>
      <c r="C114" s="14"/>
      <c r="D114" s="13"/>
      <c r="E114" s="15"/>
      <c r="F114" s="15"/>
      <c r="G114" s="15"/>
      <c r="H114" s="14"/>
      <c r="I114" s="16" t="str">
        <f aca="false">IF(OR(A114="",C114=""),"",IF(OR(H114="İade",H114="İptal"),0,E114*IFERROR(INDEX(Kanallar!$B$5:$B$19,MATCH(C114,Kanallar!$A$5:$A$19,0)),0)))</f>
        <v/>
      </c>
      <c r="J114" s="16" t="str">
        <f aca="false">IF(I114="","",IF(H114="İptal",0,IF(H114="İade",-G114,E114-I114-F114-G114)))</f>
        <v/>
      </c>
    </row>
    <row r="115" customFormat="false" ht="15" hidden="false" customHeight="false" outlineLevel="0" collapsed="false">
      <c r="A115" s="12"/>
      <c r="B115" s="13"/>
      <c r="C115" s="14"/>
      <c r="D115" s="13"/>
      <c r="E115" s="15"/>
      <c r="F115" s="15"/>
      <c r="G115" s="15"/>
      <c r="H115" s="14"/>
      <c r="I115" s="16" t="str">
        <f aca="false">IF(OR(A115="",C115=""),"",IF(OR(H115="İade",H115="İptal"),0,E115*IFERROR(INDEX(Kanallar!$B$5:$B$19,MATCH(C115,Kanallar!$A$5:$A$19,0)),0)))</f>
        <v/>
      </c>
      <c r="J115" s="16" t="str">
        <f aca="false">IF(I115="","",IF(H115="İptal",0,IF(H115="İade",-G115,E115-I115-F115-G115)))</f>
        <v/>
      </c>
    </row>
    <row r="116" customFormat="false" ht="15" hidden="false" customHeight="false" outlineLevel="0" collapsed="false">
      <c r="A116" s="12"/>
      <c r="B116" s="13"/>
      <c r="C116" s="14"/>
      <c r="D116" s="13"/>
      <c r="E116" s="15"/>
      <c r="F116" s="15"/>
      <c r="G116" s="15"/>
      <c r="H116" s="14"/>
      <c r="I116" s="16" t="str">
        <f aca="false">IF(OR(A116="",C116=""),"",IF(OR(H116="İade",H116="İptal"),0,E116*IFERROR(INDEX(Kanallar!$B$5:$B$19,MATCH(C116,Kanallar!$A$5:$A$19,0)),0)))</f>
        <v/>
      </c>
      <c r="J116" s="16" t="str">
        <f aca="false">IF(I116="","",IF(H116="İptal",0,IF(H116="İade",-G116,E116-I116-F116-G116)))</f>
        <v/>
      </c>
    </row>
    <row r="117" customFormat="false" ht="15" hidden="false" customHeight="false" outlineLevel="0" collapsed="false">
      <c r="A117" s="12"/>
      <c r="B117" s="13"/>
      <c r="C117" s="14"/>
      <c r="D117" s="13"/>
      <c r="E117" s="15"/>
      <c r="F117" s="15"/>
      <c r="G117" s="15"/>
      <c r="H117" s="14"/>
      <c r="I117" s="16" t="str">
        <f aca="false">IF(OR(A117="",C117=""),"",IF(OR(H117="İade",H117="İptal"),0,E117*IFERROR(INDEX(Kanallar!$B$5:$B$19,MATCH(C117,Kanallar!$A$5:$A$19,0)),0)))</f>
        <v/>
      </c>
      <c r="J117" s="16" t="str">
        <f aca="false">IF(I117="","",IF(H117="İptal",0,IF(H117="İade",-G117,E117-I117-F117-G117)))</f>
        <v/>
      </c>
    </row>
    <row r="118" customFormat="false" ht="15" hidden="false" customHeight="false" outlineLevel="0" collapsed="false">
      <c r="A118" s="12"/>
      <c r="B118" s="13"/>
      <c r="C118" s="14"/>
      <c r="D118" s="13"/>
      <c r="E118" s="15"/>
      <c r="F118" s="15"/>
      <c r="G118" s="15"/>
      <c r="H118" s="14"/>
      <c r="I118" s="16" t="str">
        <f aca="false">IF(OR(A118="",C118=""),"",IF(OR(H118="İade",H118="İptal"),0,E118*IFERROR(INDEX(Kanallar!$B$5:$B$19,MATCH(C118,Kanallar!$A$5:$A$19,0)),0)))</f>
        <v/>
      </c>
      <c r="J118" s="16" t="str">
        <f aca="false">IF(I118="","",IF(H118="İptal",0,IF(H118="İade",-G118,E118-I118-F118-G118)))</f>
        <v/>
      </c>
    </row>
    <row r="119" customFormat="false" ht="15" hidden="false" customHeight="false" outlineLevel="0" collapsed="false">
      <c r="A119" s="12"/>
      <c r="B119" s="13"/>
      <c r="C119" s="14"/>
      <c r="D119" s="13"/>
      <c r="E119" s="15"/>
      <c r="F119" s="15"/>
      <c r="G119" s="15"/>
      <c r="H119" s="14"/>
      <c r="I119" s="16" t="str">
        <f aca="false">IF(OR(A119="",C119=""),"",IF(OR(H119="İade",H119="İptal"),0,E119*IFERROR(INDEX(Kanallar!$B$5:$B$19,MATCH(C119,Kanallar!$A$5:$A$19,0)),0)))</f>
        <v/>
      </c>
      <c r="J119" s="16" t="str">
        <f aca="false">IF(I119="","",IF(H119="İptal",0,IF(H119="İade",-G119,E119-I119-F119-G119)))</f>
        <v/>
      </c>
    </row>
    <row r="120" customFormat="false" ht="15" hidden="false" customHeight="false" outlineLevel="0" collapsed="false">
      <c r="A120" s="12"/>
      <c r="B120" s="13"/>
      <c r="C120" s="14"/>
      <c r="D120" s="13"/>
      <c r="E120" s="15"/>
      <c r="F120" s="15"/>
      <c r="G120" s="15"/>
      <c r="H120" s="14"/>
      <c r="I120" s="16" t="str">
        <f aca="false">IF(OR(A120="",C120=""),"",IF(OR(H120="İade",H120="İptal"),0,E120*IFERROR(INDEX(Kanallar!$B$5:$B$19,MATCH(C120,Kanallar!$A$5:$A$19,0)),0)))</f>
        <v/>
      </c>
      <c r="J120" s="16" t="str">
        <f aca="false">IF(I120="","",IF(H120="İptal",0,IF(H120="İade",-G120,E120-I120-F120-G120)))</f>
        <v/>
      </c>
    </row>
    <row r="121" customFormat="false" ht="15" hidden="false" customHeight="false" outlineLevel="0" collapsed="false">
      <c r="A121" s="12"/>
      <c r="B121" s="13"/>
      <c r="C121" s="14"/>
      <c r="D121" s="13"/>
      <c r="E121" s="15"/>
      <c r="F121" s="15"/>
      <c r="G121" s="15"/>
      <c r="H121" s="14"/>
      <c r="I121" s="16" t="str">
        <f aca="false">IF(OR(A121="",C121=""),"",IF(OR(H121="İade",H121="İptal"),0,E121*IFERROR(INDEX(Kanallar!$B$5:$B$19,MATCH(C121,Kanallar!$A$5:$A$19,0)),0)))</f>
        <v/>
      </c>
      <c r="J121" s="16" t="str">
        <f aca="false">IF(I121="","",IF(H121="İptal",0,IF(H121="İade",-G121,E121-I121-F121-G121)))</f>
        <v/>
      </c>
    </row>
    <row r="122" customFormat="false" ht="15" hidden="false" customHeight="false" outlineLevel="0" collapsed="false">
      <c r="A122" s="12"/>
      <c r="B122" s="13"/>
      <c r="C122" s="14"/>
      <c r="D122" s="13"/>
      <c r="E122" s="15"/>
      <c r="F122" s="15"/>
      <c r="G122" s="15"/>
      <c r="H122" s="14"/>
      <c r="I122" s="16" t="str">
        <f aca="false">IF(OR(A122="",C122=""),"",IF(OR(H122="İade",H122="İptal"),0,E122*IFERROR(INDEX(Kanallar!$B$5:$B$19,MATCH(C122,Kanallar!$A$5:$A$19,0)),0)))</f>
        <v/>
      </c>
      <c r="J122" s="16" t="str">
        <f aca="false">IF(I122="","",IF(H122="İptal",0,IF(H122="İade",-G122,E122-I122-F122-G122)))</f>
        <v/>
      </c>
    </row>
    <row r="123" customFormat="false" ht="15" hidden="false" customHeight="false" outlineLevel="0" collapsed="false">
      <c r="A123" s="12"/>
      <c r="B123" s="13"/>
      <c r="C123" s="14"/>
      <c r="D123" s="13"/>
      <c r="E123" s="15"/>
      <c r="F123" s="15"/>
      <c r="G123" s="15"/>
      <c r="H123" s="14"/>
      <c r="I123" s="16" t="str">
        <f aca="false">IF(OR(A123="",C123=""),"",IF(OR(H123="İade",H123="İptal"),0,E123*IFERROR(INDEX(Kanallar!$B$5:$B$19,MATCH(C123,Kanallar!$A$5:$A$19,0)),0)))</f>
        <v/>
      </c>
      <c r="J123" s="16" t="str">
        <f aca="false">IF(I123="","",IF(H123="İptal",0,IF(H123="İade",-G123,E123-I123-F123-G123)))</f>
        <v/>
      </c>
    </row>
    <row r="124" customFormat="false" ht="15" hidden="false" customHeight="false" outlineLevel="0" collapsed="false">
      <c r="A124" s="12"/>
      <c r="B124" s="13"/>
      <c r="C124" s="14"/>
      <c r="D124" s="13"/>
      <c r="E124" s="15"/>
      <c r="F124" s="15"/>
      <c r="G124" s="15"/>
      <c r="H124" s="14"/>
      <c r="I124" s="16" t="str">
        <f aca="false">IF(OR(A124="",C124=""),"",IF(OR(H124="İade",H124="İptal"),0,E124*IFERROR(INDEX(Kanallar!$B$5:$B$19,MATCH(C124,Kanallar!$A$5:$A$19,0)),0)))</f>
        <v/>
      </c>
      <c r="J124" s="16" t="str">
        <f aca="false">IF(I124="","",IF(H124="İptal",0,IF(H124="İade",-G124,E124-I124-F124-G124)))</f>
        <v/>
      </c>
    </row>
    <row r="125" customFormat="false" ht="15" hidden="false" customHeight="false" outlineLevel="0" collapsed="false">
      <c r="A125" s="12"/>
      <c r="B125" s="13"/>
      <c r="C125" s="14"/>
      <c r="D125" s="13"/>
      <c r="E125" s="15"/>
      <c r="F125" s="15"/>
      <c r="G125" s="15"/>
      <c r="H125" s="14"/>
      <c r="I125" s="16" t="str">
        <f aca="false">IF(OR(A125="",C125=""),"",IF(OR(H125="İade",H125="İptal"),0,E125*IFERROR(INDEX(Kanallar!$B$5:$B$19,MATCH(C125,Kanallar!$A$5:$A$19,0)),0)))</f>
        <v/>
      </c>
      <c r="J125" s="16" t="str">
        <f aca="false">IF(I125="","",IF(H125="İptal",0,IF(H125="İade",-G125,E125-I125-F125-G125)))</f>
        <v/>
      </c>
    </row>
    <row r="126" customFormat="false" ht="15" hidden="false" customHeight="false" outlineLevel="0" collapsed="false">
      <c r="A126" s="12"/>
      <c r="B126" s="13"/>
      <c r="C126" s="14"/>
      <c r="D126" s="13"/>
      <c r="E126" s="15"/>
      <c r="F126" s="15"/>
      <c r="G126" s="15"/>
      <c r="H126" s="14"/>
      <c r="I126" s="16" t="str">
        <f aca="false">IF(OR(A126="",C126=""),"",IF(OR(H126="İade",H126="İptal"),0,E126*IFERROR(INDEX(Kanallar!$B$5:$B$19,MATCH(C126,Kanallar!$A$5:$A$19,0)),0)))</f>
        <v/>
      </c>
      <c r="J126" s="16" t="str">
        <f aca="false">IF(I126="","",IF(H126="İptal",0,IF(H126="İade",-G126,E126-I126-F126-G126)))</f>
        <v/>
      </c>
    </row>
    <row r="127" customFormat="false" ht="15" hidden="false" customHeight="false" outlineLevel="0" collapsed="false">
      <c r="A127" s="12"/>
      <c r="B127" s="13"/>
      <c r="C127" s="14"/>
      <c r="D127" s="13"/>
      <c r="E127" s="15"/>
      <c r="F127" s="15"/>
      <c r="G127" s="15"/>
      <c r="H127" s="14"/>
      <c r="I127" s="16" t="str">
        <f aca="false">IF(OR(A127="",C127=""),"",IF(OR(H127="İade",H127="İptal"),0,E127*IFERROR(INDEX(Kanallar!$B$5:$B$19,MATCH(C127,Kanallar!$A$5:$A$19,0)),0)))</f>
        <v/>
      </c>
      <c r="J127" s="16" t="str">
        <f aca="false">IF(I127="","",IF(H127="İptal",0,IF(H127="İade",-G127,E127-I127-F127-G127)))</f>
        <v/>
      </c>
    </row>
    <row r="128" customFormat="false" ht="15" hidden="false" customHeight="false" outlineLevel="0" collapsed="false">
      <c r="A128" s="12"/>
      <c r="B128" s="13"/>
      <c r="C128" s="14"/>
      <c r="D128" s="13"/>
      <c r="E128" s="15"/>
      <c r="F128" s="15"/>
      <c r="G128" s="15"/>
      <c r="H128" s="14"/>
      <c r="I128" s="16" t="str">
        <f aca="false">IF(OR(A128="",C128=""),"",IF(OR(H128="İade",H128="İptal"),0,E128*IFERROR(INDEX(Kanallar!$B$5:$B$19,MATCH(C128,Kanallar!$A$5:$A$19,0)),0)))</f>
        <v/>
      </c>
      <c r="J128" s="16" t="str">
        <f aca="false">IF(I128="","",IF(H128="İptal",0,IF(H128="İade",-G128,E128-I128-F128-G128)))</f>
        <v/>
      </c>
    </row>
    <row r="129" customFormat="false" ht="15" hidden="false" customHeight="false" outlineLevel="0" collapsed="false">
      <c r="A129" s="12"/>
      <c r="B129" s="13"/>
      <c r="C129" s="14"/>
      <c r="D129" s="13"/>
      <c r="E129" s="15"/>
      <c r="F129" s="15"/>
      <c r="G129" s="15"/>
      <c r="H129" s="14"/>
      <c r="I129" s="16" t="str">
        <f aca="false">IF(OR(A129="",C129=""),"",IF(OR(H129="İade",H129="İptal"),0,E129*IFERROR(INDEX(Kanallar!$B$5:$B$19,MATCH(C129,Kanallar!$A$5:$A$19,0)),0)))</f>
        <v/>
      </c>
      <c r="J129" s="16" t="str">
        <f aca="false">IF(I129="","",IF(H129="İptal",0,IF(H129="İade",-G129,E129-I129-F129-G129)))</f>
        <v/>
      </c>
    </row>
    <row r="130" customFormat="false" ht="15" hidden="false" customHeight="false" outlineLevel="0" collapsed="false">
      <c r="A130" s="12"/>
      <c r="B130" s="13"/>
      <c r="C130" s="14"/>
      <c r="D130" s="13"/>
      <c r="E130" s="15"/>
      <c r="F130" s="15"/>
      <c r="G130" s="15"/>
      <c r="H130" s="14"/>
      <c r="I130" s="16" t="str">
        <f aca="false">IF(OR(A130="",C130=""),"",IF(OR(H130="İade",H130="İptal"),0,E130*IFERROR(INDEX(Kanallar!$B$5:$B$19,MATCH(C130,Kanallar!$A$5:$A$19,0)),0)))</f>
        <v/>
      </c>
      <c r="J130" s="16" t="str">
        <f aca="false">IF(I130="","",IF(H130="İptal",0,IF(H130="İade",-G130,E130-I130-F130-G130)))</f>
        <v/>
      </c>
    </row>
    <row r="131" customFormat="false" ht="15" hidden="false" customHeight="false" outlineLevel="0" collapsed="false">
      <c r="A131" s="12"/>
      <c r="B131" s="13"/>
      <c r="C131" s="14"/>
      <c r="D131" s="13"/>
      <c r="E131" s="15"/>
      <c r="F131" s="15"/>
      <c r="G131" s="15"/>
      <c r="H131" s="14"/>
      <c r="I131" s="16" t="str">
        <f aca="false">IF(OR(A131="",C131=""),"",IF(OR(H131="İade",H131="İptal"),0,E131*IFERROR(INDEX(Kanallar!$B$5:$B$19,MATCH(C131,Kanallar!$A$5:$A$19,0)),0)))</f>
        <v/>
      </c>
      <c r="J131" s="16" t="str">
        <f aca="false">IF(I131="","",IF(H131="İptal",0,IF(H131="İade",-G131,E131-I131-F131-G131)))</f>
        <v/>
      </c>
    </row>
    <row r="132" customFormat="false" ht="15" hidden="false" customHeight="false" outlineLevel="0" collapsed="false">
      <c r="A132" s="12"/>
      <c r="B132" s="13"/>
      <c r="C132" s="14"/>
      <c r="D132" s="13"/>
      <c r="E132" s="15"/>
      <c r="F132" s="15"/>
      <c r="G132" s="15"/>
      <c r="H132" s="14"/>
      <c r="I132" s="16" t="str">
        <f aca="false">IF(OR(A132="",C132=""),"",IF(OR(H132="İade",H132="İptal"),0,E132*IFERROR(INDEX(Kanallar!$B$5:$B$19,MATCH(C132,Kanallar!$A$5:$A$19,0)),0)))</f>
        <v/>
      </c>
      <c r="J132" s="16" t="str">
        <f aca="false">IF(I132="","",IF(H132="İptal",0,IF(H132="İade",-G132,E132-I132-F132-G132)))</f>
        <v/>
      </c>
    </row>
    <row r="133" customFormat="false" ht="15" hidden="false" customHeight="false" outlineLevel="0" collapsed="false">
      <c r="A133" s="12"/>
      <c r="B133" s="13"/>
      <c r="C133" s="14"/>
      <c r="D133" s="13"/>
      <c r="E133" s="15"/>
      <c r="F133" s="15"/>
      <c r="G133" s="15"/>
      <c r="H133" s="14"/>
      <c r="I133" s="16" t="str">
        <f aca="false">IF(OR(A133="",C133=""),"",IF(OR(H133="İade",H133="İptal"),0,E133*IFERROR(INDEX(Kanallar!$B$5:$B$19,MATCH(C133,Kanallar!$A$5:$A$19,0)),0)))</f>
        <v/>
      </c>
      <c r="J133" s="16" t="str">
        <f aca="false">IF(I133="","",IF(H133="İptal",0,IF(H133="İade",-G133,E133-I133-F133-G133)))</f>
        <v/>
      </c>
    </row>
    <row r="134" customFormat="false" ht="15" hidden="false" customHeight="false" outlineLevel="0" collapsed="false">
      <c r="A134" s="12"/>
      <c r="B134" s="13"/>
      <c r="C134" s="14"/>
      <c r="D134" s="13"/>
      <c r="E134" s="15"/>
      <c r="F134" s="15"/>
      <c r="G134" s="15"/>
      <c r="H134" s="14"/>
      <c r="I134" s="16" t="str">
        <f aca="false">IF(OR(A134="",C134=""),"",IF(OR(H134="İade",H134="İptal"),0,E134*IFERROR(INDEX(Kanallar!$B$5:$B$19,MATCH(C134,Kanallar!$A$5:$A$19,0)),0)))</f>
        <v/>
      </c>
      <c r="J134" s="16" t="str">
        <f aca="false">IF(I134="","",IF(H134="İptal",0,IF(H134="İade",-G134,E134-I134-F134-G134)))</f>
        <v/>
      </c>
    </row>
    <row r="135" customFormat="false" ht="15" hidden="false" customHeight="false" outlineLevel="0" collapsed="false">
      <c r="A135" s="12"/>
      <c r="B135" s="13"/>
      <c r="C135" s="14"/>
      <c r="D135" s="13"/>
      <c r="E135" s="15"/>
      <c r="F135" s="15"/>
      <c r="G135" s="15"/>
      <c r="H135" s="14"/>
      <c r="I135" s="16" t="str">
        <f aca="false">IF(OR(A135="",C135=""),"",IF(OR(H135="İade",H135="İptal"),0,E135*IFERROR(INDEX(Kanallar!$B$5:$B$19,MATCH(C135,Kanallar!$A$5:$A$19,0)),0)))</f>
        <v/>
      </c>
      <c r="J135" s="16" t="str">
        <f aca="false">IF(I135="","",IF(H135="İptal",0,IF(H135="İade",-G135,E135-I135-F135-G135)))</f>
        <v/>
      </c>
    </row>
    <row r="136" customFormat="false" ht="15" hidden="false" customHeight="false" outlineLevel="0" collapsed="false">
      <c r="A136" s="12"/>
      <c r="B136" s="13"/>
      <c r="C136" s="14"/>
      <c r="D136" s="13"/>
      <c r="E136" s="15"/>
      <c r="F136" s="15"/>
      <c r="G136" s="15"/>
      <c r="H136" s="14"/>
      <c r="I136" s="16" t="str">
        <f aca="false">IF(OR(A136="",C136=""),"",IF(OR(H136="İade",H136="İptal"),0,E136*IFERROR(INDEX(Kanallar!$B$5:$B$19,MATCH(C136,Kanallar!$A$5:$A$19,0)),0)))</f>
        <v/>
      </c>
      <c r="J136" s="16" t="str">
        <f aca="false">IF(I136="","",IF(H136="İptal",0,IF(H136="İade",-G136,E136-I136-F136-G136)))</f>
        <v/>
      </c>
    </row>
    <row r="137" customFormat="false" ht="15" hidden="false" customHeight="false" outlineLevel="0" collapsed="false">
      <c r="A137" s="12"/>
      <c r="B137" s="13"/>
      <c r="C137" s="14"/>
      <c r="D137" s="13"/>
      <c r="E137" s="15"/>
      <c r="F137" s="15"/>
      <c r="G137" s="15"/>
      <c r="H137" s="14"/>
      <c r="I137" s="16" t="str">
        <f aca="false">IF(OR(A137="",C137=""),"",IF(OR(H137="İade",H137="İptal"),0,E137*IFERROR(INDEX(Kanallar!$B$5:$B$19,MATCH(C137,Kanallar!$A$5:$A$19,0)),0)))</f>
        <v/>
      </c>
      <c r="J137" s="16" t="str">
        <f aca="false">IF(I137="","",IF(H137="İptal",0,IF(H137="İade",-G137,E137-I137-F137-G137)))</f>
        <v/>
      </c>
    </row>
    <row r="138" customFormat="false" ht="15" hidden="false" customHeight="false" outlineLevel="0" collapsed="false">
      <c r="A138" s="12"/>
      <c r="B138" s="13"/>
      <c r="C138" s="14"/>
      <c r="D138" s="13"/>
      <c r="E138" s="15"/>
      <c r="F138" s="15"/>
      <c r="G138" s="15"/>
      <c r="H138" s="14"/>
      <c r="I138" s="16" t="str">
        <f aca="false">IF(OR(A138="",C138=""),"",IF(OR(H138="İade",H138="İptal"),0,E138*IFERROR(INDEX(Kanallar!$B$5:$B$19,MATCH(C138,Kanallar!$A$5:$A$19,0)),0)))</f>
        <v/>
      </c>
      <c r="J138" s="16" t="str">
        <f aca="false">IF(I138="","",IF(H138="İptal",0,IF(H138="İade",-G138,E138-I138-F138-G138)))</f>
        <v/>
      </c>
    </row>
    <row r="139" customFormat="false" ht="15" hidden="false" customHeight="false" outlineLevel="0" collapsed="false">
      <c r="A139" s="12"/>
      <c r="B139" s="13"/>
      <c r="C139" s="14"/>
      <c r="D139" s="13"/>
      <c r="E139" s="15"/>
      <c r="F139" s="15"/>
      <c r="G139" s="15"/>
      <c r="H139" s="14"/>
      <c r="I139" s="16" t="str">
        <f aca="false">IF(OR(A139="",C139=""),"",IF(OR(H139="İade",H139="İptal"),0,E139*IFERROR(INDEX(Kanallar!$B$5:$B$19,MATCH(C139,Kanallar!$A$5:$A$19,0)),0)))</f>
        <v/>
      </c>
      <c r="J139" s="16" t="str">
        <f aca="false">IF(I139="","",IF(H139="İptal",0,IF(H139="İade",-G139,E139-I139-F139-G139)))</f>
        <v/>
      </c>
    </row>
    <row r="140" customFormat="false" ht="15" hidden="false" customHeight="false" outlineLevel="0" collapsed="false">
      <c r="A140" s="12"/>
      <c r="B140" s="13"/>
      <c r="C140" s="14"/>
      <c r="D140" s="13"/>
      <c r="E140" s="15"/>
      <c r="F140" s="15"/>
      <c r="G140" s="15"/>
      <c r="H140" s="14"/>
      <c r="I140" s="16" t="str">
        <f aca="false">IF(OR(A140="",C140=""),"",IF(OR(H140="İade",H140="İptal"),0,E140*IFERROR(INDEX(Kanallar!$B$5:$B$19,MATCH(C140,Kanallar!$A$5:$A$19,0)),0)))</f>
        <v/>
      </c>
      <c r="J140" s="16" t="str">
        <f aca="false">IF(I140="","",IF(H140="İptal",0,IF(H140="İade",-G140,E140-I140-F140-G140)))</f>
        <v/>
      </c>
    </row>
    <row r="141" customFormat="false" ht="15" hidden="false" customHeight="false" outlineLevel="0" collapsed="false">
      <c r="A141" s="12"/>
      <c r="B141" s="13"/>
      <c r="C141" s="14"/>
      <c r="D141" s="13"/>
      <c r="E141" s="15"/>
      <c r="F141" s="15"/>
      <c r="G141" s="15"/>
      <c r="H141" s="14"/>
      <c r="I141" s="16" t="str">
        <f aca="false">IF(OR(A141="",C141=""),"",IF(OR(H141="İade",H141="İptal"),0,E141*IFERROR(INDEX(Kanallar!$B$5:$B$19,MATCH(C141,Kanallar!$A$5:$A$19,0)),0)))</f>
        <v/>
      </c>
      <c r="J141" s="16" t="str">
        <f aca="false">IF(I141="","",IF(H141="İptal",0,IF(H141="İade",-G141,E141-I141-F141-G141)))</f>
        <v/>
      </c>
    </row>
    <row r="142" customFormat="false" ht="15" hidden="false" customHeight="false" outlineLevel="0" collapsed="false">
      <c r="A142" s="12"/>
      <c r="B142" s="13"/>
      <c r="C142" s="14"/>
      <c r="D142" s="13"/>
      <c r="E142" s="15"/>
      <c r="F142" s="15"/>
      <c r="G142" s="15"/>
      <c r="H142" s="14"/>
      <c r="I142" s="16" t="str">
        <f aca="false">IF(OR(A142="",C142=""),"",IF(OR(H142="İade",H142="İptal"),0,E142*IFERROR(INDEX(Kanallar!$B$5:$B$19,MATCH(C142,Kanallar!$A$5:$A$19,0)),0)))</f>
        <v/>
      </c>
      <c r="J142" s="16" t="str">
        <f aca="false">IF(I142="","",IF(H142="İptal",0,IF(H142="İade",-G142,E142-I142-F142-G142)))</f>
        <v/>
      </c>
    </row>
    <row r="143" customFormat="false" ht="15" hidden="false" customHeight="false" outlineLevel="0" collapsed="false">
      <c r="A143" s="12"/>
      <c r="B143" s="13"/>
      <c r="C143" s="14"/>
      <c r="D143" s="13"/>
      <c r="E143" s="15"/>
      <c r="F143" s="15"/>
      <c r="G143" s="15"/>
      <c r="H143" s="14"/>
      <c r="I143" s="16" t="str">
        <f aca="false">IF(OR(A143="",C143=""),"",IF(OR(H143="İade",H143="İptal"),0,E143*IFERROR(INDEX(Kanallar!$B$5:$B$19,MATCH(C143,Kanallar!$A$5:$A$19,0)),0)))</f>
        <v/>
      </c>
      <c r="J143" s="16" t="str">
        <f aca="false">IF(I143="","",IF(H143="İptal",0,IF(H143="İade",-G143,E143-I143-F143-G143)))</f>
        <v/>
      </c>
    </row>
    <row r="144" customFormat="false" ht="15" hidden="false" customHeight="false" outlineLevel="0" collapsed="false">
      <c r="A144" s="12"/>
      <c r="B144" s="13"/>
      <c r="C144" s="14"/>
      <c r="D144" s="13"/>
      <c r="E144" s="15"/>
      <c r="F144" s="15"/>
      <c r="G144" s="15"/>
      <c r="H144" s="14"/>
      <c r="I144" s="16" t="str">
        <f aca="false">IF(OR(A144="",C144=""),"",IF(OR(H144="İade",H144="İptal"),0,E144*IFERROR(INDEX(Kanallar!$B$5:$B$19,MATCH(C144,Kanallar!$A$5:$A$19,0)),0)))</f>
        <v/>
      </c>
      <c r="J144" s="16" t="str">
        <f aca="false">IF(I144="","",IF(H144="İptal",0,IF(H144="İade",-G144,E144-I144-F144-G144)))</f>
        <v/>
      </c>
    </row>
    <row r="145" customFormat="false" ht="15" hidden="false" customHeight="false" outlineLevel="0" collapsed="false">
      <c r="A145" s="12"/>
      <c r="B145" s="13"/>
      <c r="C145" s="14"/>
      <c r="D145" s="13"/>
      <c r="E145" s="15"/>
      <c r="F145" s="15"/>
      <c r="G145" s="15"/>
      <c r="H145" s="14"/>
      <c r="I145" s="16" t="str">
        <f aca="false">IF(OR(A145="",C145=""),"",IF(OR(H145="İade",H145="İptal"),0,E145*IFERROR(INDEX(Kanallar!$B$5:$B$19,MATCH(C145,Kanallar!$A$5:$A$19,0)),0)))</f>
        <v/>
      </c>
      <c r="J145" s="16" t="str">
        <f aca="false">IF(I145="","",IF(H145="İptal",0,IF(H145="İade",-G145,E145-I145-F145-G145)))</f>
        <v/>
      </c>
    </row>
    <row r="146" customFormat="false" ht="15" hidden="false" customHeight="false" outlineLevel="0" collapsed="false">
      <c r="A146" s="12"/>
      <c r="B146" s="13"/>
      <c r="C146" s="14"/>
      <c r="D146" s="13"/>
      <c r="E146" s="15"/>
      <c r="F146" s="15"/>
      <c r="G146" s="15"/>
      <c r="H146" s="14"/>
      <c r="I146" s="16" t="str">
        <f aca="false">IF(OR(A146="",C146=""),"",IF(OR(H146="İade",H146="İptal"),0,E146*IFERROR(INDEX(Kanallar!$B$5:$B$19,MATCH(C146,Kanallar!$A$5:$A$19,0)),0)))</f>
        <v/>
      </c>
      <c r="J146" s="16" t="str">
        <f aca="false">IF(I146="","",IF(H146="İptal",0,IF(H146="İade",-G146,E146-I146-F146-G146)))</f>
        <v/>
      </c>
    </row>
    <row r="147" customFormat="false" ht="15" hidden="false" customHeight="false" outlineLevel="0" collapsed="false">
      <c r="A147" s="12"/>
      <c r="B147" s="13"/>
      <c r="C147" s="14"/>
      <c r="D147" s="13"/>
      <c r="E147" s="15"/>
      <c r="F147" s="15"/>
      <c r="G147" s="15"/>
      <c r="H147" s="14"/>
      <c r="I147" s="16" t="str">
        <f aca="false">IF(OR(A147="",C147=""),"",IF(OR(H147="İade",H147="İptal"),0,E147*IFERROR(INDEX(Kanallar!$B$5:$B$19,MATCH(C147,Kanallar!$A$5:$A$19,0)),0)))</f>
        <v/>
      </c>
      <c r="J147" s="16" t="str">
        <f aca="false">IF(I147="","",IF(H147="İptal",0,IF(H147="İade",-G147,E147-I147-F147-G147)))</f>
        <v/>
      </c>
    </row>
    <row r="148" customFormat="false" ht="15" hidden="false" customHeight="false" outlineLevel="0" collapsed="false">
      <c r="A148" s="12"/>
      <c r="B148" s="13"/>
      <c r="C148" s="14"/>
      <c r="D148" s="13"/>
      <c r="E148" s="15"/>
      <c r="F148" s="15"/>
      <c r="G148" s="15"/>
      <c r="H148" s="14"/>
      <c r="I148" s="16" t="str">
        <f aca="false">IF(OR(A148="",C148=""),"",IF(OR(H148="İade",H148="İptal"),0,E148*IFERROR(INDEX(Kanallar!$B$5:$B$19,MATCH(C148,Kanallar!$A$5:$A$19,0)),0)))</f>
        <v/>
      </c>
      <c r="J148" s="16" t="str">
        <f aca="false">IF(I148="","",IF(H148="İptal",0,IF(H148="İade",-G148,E148-I148-F148-G148)))</f>
        <v/>
      </c>
    </row>
    <row r="149" customFormat="false" ht="15" hidden="false" customHeight="false" outlineLevel="0" collapsed="false">
      <c r="A149" s="12"/>
      <c r="B149" s="13"/>
      <c r="C149" s="14"/>
      <c r="D149" s="13"/>
      <c r="E149" s="15"/>
      <c r="F149" s="15"/>
      <c r="G149" s="15"/>
      <c r="H149" s="14"/>
      <c r="I149" s="16" t="str">
        <f aca="false">IF(OR(A149="",C149=""),"",IF(OR(H149="İade",H149="İptal"),0,E149*IFERROR(INDEX(Kanallar!$B$5:$B$19,MATCH(C149,Kanallar!$A$5:$A$19,0)),0)))</f>
        <v/>
      </c>
      <c r="J149" s="16" t="str">
        <f aca="false">IF(I149="","",IF(H149="İptal",0,IF(H149="İade",-G149,E149-I149-F149-G149)))</f>
        <v/>
      </c>
    </row>
    <row r="150" customFormat="false" ht="15" hidden="false" customHeight="false" outlineLevel="0" collapsed="false">
      <c r="A150" s="12"/>
      <c r="B150" s="13"/>
      <c r="C150" s="14"/>
      <c r="D150" s="13"/>
      <c r="E150" s="15"/>
      <c r="F150" s="15"/>
      <c r="G150" s="15"/>
      <c r="H150" s="14"/>
      <c r="I150" s="16" t="str">
        <f aca="false">IF(OR(A150="",C150=""),"",IF(OR(H150="İade",H150="İptal"),0,E150*IFERROR(INDEX(Kanallar!$B$5:$B$19,MATCH(C150,Kanallar!$A$5:$A$19,0)),0)))</f>
        <v/>
      </c>
      <c r="J150" s="16" t="str">
        <f aca="false">IF(I150="","",IF(H150="İptal",0,IF(H150="İade",-G150,E150-I150-F150-G150)))</f>
        <v/>
      </c>
    </row>
    <row r="151" customFormat="false" ht="15" hidden="false" customHeight="false" outlineLevel="0" collapsed="false">
      <c r="A151" s="12"/>
      <c r="B151" s="13"/>
      <c r="C151" s="14"/>
      <c r="D151" s="13"/>
      <c r="E151" s="15"/>
      <c r="F151" s="15"/>
      <c r="G151" s="15"/>
      <c r="H151" s="14"/>
      <c r="I151" s="16" t="str">
        <f aca="false">IF(OR(A151="",C151=""),"",IF(OR(H151="İade",H151="İptal"),0,E151*IFERROR(INDEX(Kanallar!$B$5:$B$19,MATCH(C151,Kanallar!$A$5:$A$19,0)),0)))</f>
        <v/>
      </c>
      <c r="J151" s="16" t="str">
        <f aca="false">IF(I151="","",IF(H151="İptal",0,IF(H151="İade",-G151,E151-I151-F151-G151)))</f>
        <v/>
      </c>
    </row>
    <row r="152" customFormat="false" ht="15" hidden="false" customHeight="false" outlineLevel="0" collapsed="false">
      <c r="A152" s="12"/>
      <c r="B152" s="13"/>
      <c r="C152" s="14"/>
      <c r="D152" s="13"/>
      <c r="E152" s="15"/>
      <c r="F152" s="15"/>
      <c r="G152" s="15"/>
      <c r="H152" s="14"/>
      <c r="I152" s="16" t="str">
        <f aca="false">IF(OR(A152="",C152=""),"",IF(OR(H152="İade",H152="İptal"),0,E152*IFERROR(INDEX(Kanallar!$B$5:$B$19,MATCH(C152,Kanallar!$A$5:$A$19,0)),0)))</f>
        <v/>
      </c>
      <c r="J152" s="16" t="str">
        <f aca="false">IF(I152="","",IF(H152="İptal",0,IF(H152="İade",-G152,E152-I152-F152-G152)))</f>
        <v/>
      </c>
    </row>
    <row r="153" customFormat="false" ht="15" hidden="false" customHeight="false" outlineLevel="0" collapsed="false">
      <c r="A153" s="12"/>
      <c r="B153" s="13"/>
      <c r="C153" s="14"/>
      <c r="D153" s="13"/>
      <c r="E153" s="15"/>
      <c r="F153" s="15"/>
      <c r="G153" s="15"/>
      <c r="H153" s="14"/>
      <c r="I153" s="16" t="str">
        <f aca="false">IF(OR(A153="",C153=""),"",IF(OR(H153="İade",H153="İptal"),0,E153*IFERROR(INDEX(Kanallar!$B$5:$B$19,MATCH(C153,Kanallar!$A$5:$A$19,0)),0)))</f>
        <v/>
      </c>
      <c r="J153" s="16" t="str">
        <f aca="false">IF(I153="","",IF(H153="İptal",0,IF(H153="İade",-G153,E153-I153-F153-G153)))</f>
        <v/>
      </c>
    </row>
    <row r="154" customFormat="false" ht="15" hidden="false" customHeight="false" outlineLevel="0" collapsed="false">
      <c r="A154" s="12"/>
      <c r="B154" s="13"/>
      <c r="C154" s="14"/>
      <c r="D154" s="13"/>
      <c r="E154" s="15"/>
      <c r="F154" s="15"/>
      <c r="G154" s="15"/>
      <c r="H154" s="14"/>
      <c r="I154" s="16" t="str">
        <f aca="false">IF(OR(A154="",C154=""),"",IF(OR(H154="İade",H154="İptal"),0,E154*IFERROR(INDEX(Kanallar!$B$5:$B$19,MATCH(C154,Kanallar!$A$5:$A$19,0)),0)))</f>
        <v/>
      </c>
      <c r="J154" s="16" t="str">
        <f aca="false">IF(I154="","",IF(H154="İptal",0,IF(H154="İade",-G154,E154-I154-F154-G154)))</f>
        <v/>
      </c>
    </row>
    <row r="155" customFormat="false" ht="15" hidden="false" customHeight="false" outlineLevel="0" collapsed="false">
      <c r="A155" s="12"/>
      <c r="B155" s="13"/>
      <c r="C155" s="14"/>
      <c r="D155" s="13"/>
      <c r="E155" s="15"/>
      <c r="F155" s="15"/>
      <c r="G155" s="15"/>
      <c r="H155" s="14"/>
      <c r="I155" s="16" t="str">
        <f aca="false">IF(OR(A155="",C155=""),"",IF(OR(H155="İade",H155="İptal"),0,E155*IFERROR(INDEX(Kanallar!$B$5:$B$19,MATCH(C155,Kanallar!$A$5:$A$19,0)),0)))</f>
        <v/>
      </c>
      <c r="J155" s="16" t="str">
        <f aca="false">IF(I155="","",IF(H155="İptal",0,IF(H155="İade",-G155,E155-I155-F155-G155)))</f>
        <v/>
      </c>
    </row>
    <row r="156" customFormat="false" ht="15" hidden="false" customHeight="false" outlineLevel="0" collapsed="false">
      <c r="A156" s="12"/>
      <c r="B156" s="13"/>
      <c r="C156" s="14"/>
      <c r="D156" s="13"/>
      <c r="E156" s="15"/>
      <c r="F156" s="15"/>
      <c r="G156" s="15"/>
      <c r="H156" s="14"/>
      <c r="I156" s="16" t="str">
        <f aca="false">IF(OR(A156="",C156=""),"",IF(OR(H156="İade",H156="İptal"),0,E156*IFERROR(INDEX(Kanallar!$B$5:$B$19,MATCH(C156,Kanallar!$A$5:$A$19,0)),0)))</f>
        <v/>
      </c>
      <c r="J156" s="16" t="str">
        <f aca="false">IF(I156="","",IF(H156="İptal",0,IF(H156="İade",-G156,E156-I156-F156-G156)))</f>
        <v/>
      </c>
    </row>
    <row r="157" customFormat="false" ht="15" hidden="false" customHeight="false" outlineLevel="0" collapsed="false">
      <c r="A157" s="12"/>
      <c r="B157" s="13"/>
      <c r="C157" s="14"/>
      <c r="D157" s="13"/>
      <c r="E157" s="15"/>
      <c r="F157" s="15"/>
      <c r="G157" s="15"/>
      <c r="H157" s="14"/>
      <c r="I157" s="16" t="str">
        <f aca="false">IF(OR(A157="",C157=""),"",IF(OR(H157="İade",H157="İptal"),0,E157*IFERROR(INDEX(Kanallar!$B$5:$B$19,MATCH(C157,Kanallar!$A$5:$A$19,0)),0)))</f>
        <v/>
      </c>
      <c r="J157" s="16" t="str">
        <f aca="false">IF(I157="","",IF(H157="İptal",0,IF(H157="İade",-G157,E157-I157-F157-G157)))</f>
        <v/>
      </c>
    </row>
    <row r="158" customFormat="false" ht="15" hidden="false" customHeight="false" outlineLevel="0" collapsed="false">
      <c r="A158" s="12"/>
      <c r="B158" s="13"/>
      <c r="C158" s="14"/>
      <c r="D158" s="13"/>
      <c r="E158" s="15"/>
      <c r="F158" s="15"/>
      <c r="G158" s="15"/>
      <c r="H158" s="14"/>
      <c r="I158" s="16" t="str">
        <f aca="false">IF(OR(A158="",C158=""),"",IF(OR(H158="İade",H158="İptal"),0,E158*IFERROR(INDEX(Kanallar!$B$5:$B$19,MATCH(C158,Kanallar!$A$5:$A$19,0)),0)))</f>
        <v/>
      </c>
      <c r="J158" s="16" t="str">
        <f aca="false">IF(I158="","",IF(H158="İptal",0,IF(H158="İade",-G158,E158-I158-F158-G158)))</f>
        <v/>
      </c>
    </row>
    <row r="159" customFormat="false" ht="15" hidden="false" customHeight="false" outlineLevel="0" collapsed="false">
      <c r="A159" s="12"/>
      <c r="B159" s="13"/>
      <c r="C159" s="14"/>
      <c r="D159" s="13"/>
      <c r="E159" s="15"/>
      <c r="F159" s="15"/>
      <c r="G159" s="15"/>
      <c r="H159" s="14"/>
      <c r="I159" s="16" t="str">
        <f aca="false">IF(OR(A159="",C159=""),"",IF(OR(H159="İade",H159="İptal"),0,E159*IFERROR(INDEX(Kanallar!$B$5:$B$19,MATCH(C159,Kanallar!$A$5:$A$19,0)),0)))</f>
        <v/>
      </c>
      <c r="J159" s="16" t="str">
        <f aca="false">IF(I159="","",IF(H159="İptal",0,IF(H159="İade",-G159,E159-I159-F159-G159)))</f>
        <v/>
      </c>
    </row>
    <row r="160" customFormat="false" ht="15" hidden="false" customHeight="false" outlineLevel="0" collapsed="false">
      <c r="A160" s="12"/>
      <c r="B160" s="13"/>
      <c r="C160" s="14"/>
      <c r="D160" s="13"/>
      <c r="E160" s="15"/>
      <c r="F160" s="15"/>
      <c r="G160" s="15"/>
      <c r="H160" s="14"/>
      <c r="I160" s="16" t="str">
        <f aca="false">IF(OR(A160="",C160=""),"",IF(OR(H160="İade",H160="İptal"),0,E160*IFERROR(INDEX(Kanallar!$B$5:$B$19,MATCH(C160,Kanallar!$A$5:$A$19,0)),0)))</f>
        <v/>
      </c>
      <c r="J160" s="16" t="str">
        <f aca="false">IF(I160="","",IF(H160="İptal",0,IF(H160="İade",-G160,E160-I160-F160-G160)))</f>
        <v/>
      </c>
    </row>
    <row r="161" customFormat="false" ht="15" hidden="false" customHeight="false" outlineLevel="0" collapsed="false">
      <c r="A161" s="12"/>
      <c r="B161" s="13"/>
      <c r="C161" s="14"/>
      <c r="D161" s="13"/>
      <c r="E161" s="15"/>
      <c r="F161" s="15"/>
      <c r="G161" s="15"/>
      <c r="H161" s="14"/>
      <c r="I161" s="16" t="str">
        <f aca="false">IF(OR(A161="",C161=""),"",IF(OR(H161="İade",H161="İptal"),0,E161*IFERROR(INDEX(Kanallar!$B$5:$B$19,MATCH(C161,Kanallar!$A$5:$A$19,0)),0)))</f>
        <v/>
      </c>
      <c r="J161" s="16" t="str">
        <f aca="false">IF(I161="","",IF(H161="İptal",0,IF(H161="İade",-G161,E161-I161-F161-G161)))</f>
        <v/>
      </c>
    </row>
    <row r="162" customFormat="false" ht="15" hidden="false" customHeight="false" outlineLevel="0" collapsed="false">
      <c r="A162" s="12"/>
      <c r="B162" s="13"/>
      <c r="C162" s="14"/>
      <c r="D162" s="13"/>
      <c r="E162" s="15"/>
      <c r="F162" s="15"/>
      <c r="G162" s="15"/>
      <c r="H162" s="14"/>
      <c r="I162" s="16" t="str">
        <f aca="false">IF(OR(A162="",C162=""),"",IF(OR(H162="İade",H162="İptal"),0,E162*IFERROR(INDEX(Kanallar!$B$5:$B$19,MATCH(C162,Kanallar!$A$5:$A$19,0)),0)))</f>
        <v/>
      </c>
      <c r="J162" s="16" t="str">
        <f aca="false">IF(I162="","",IF(H162="İptal",0,IF(H162="İade",-G162,E162-I162-F162-G162)))</f>
        <v/>
      </c>
    </row>
    <row r="163" customFormat="false" ht="15" hidden="false" customHeight="false" outlineLevel="0" collapsed="false">
      <c r="A163" s="12"/>
      <c r="B163" s="13"/>
      <c r="C163" s="14"/>
      <c r="D163" s="13"/>
      <c r="E163" s="15"/>
      <c r="F163" s="15"/>
      <c r="G163" s="15"/>
      <c r="H163" s="14"/>
      <c r="I163" s="16" t="str">
        <f aca="false">IF(OR(A163="",C163=""),"",IF(OR(H163="İade",H163="İptal"),0,E163*IFERROR(INDEX(Kanallar!$B$5:$B$19,MATCH(C163,Kanallar!$A$5:$A$19,0)),0)))</f>
        <v/>
      </c>
      <c r="J163" s="16" t="str">
        <f aca="false">IF(I163="","",IF(H163="İptal",0,IF(H163="İade",-G163,E163-I163-F163-G163)))</f>
        <v/>
      </c>
    </row>
    <row r="164" customFormat="false" ht="15" hidden="false" customHeight="false" outlineLevel="0" collapsed="false">
      <c r="A164" s="12"/>
      <c r="B164" s="13"/>
      <c r="C164" s="14"/>
      <c r="D164" s="13"/>
      <c r="E164" s="15"/>
      <c r="F164" s="15"/>
      <c r="G164" s="15"/>
      <c r="H164" s="14"/>
      <c r="I164" s="16" t="str">
        <f aca="false">IF(OR(A164="",C164=""),"",IF(OR(H164="İade",H164="İptal"),0,E164*IFERROR(INDEX(Kanallar!$B$5:$B$19,MATCH(C164,Kanallar!$A$5:$A$19,0)),0)))</f>
        <v/>
      </c>
      <c r="J164" s="16" t="str">
        <f aca="false">IF(I164="","",IF(H164="İptal",0,IF(H164="İade",-G164,E164-I164-F164-G164)))</f>
        <v/>
      </c>
    </row>
    <row r="165" customFormat="false" ht="15" hidden="false" customHeight="false" outlineLevel="0" collapsed="false">
      <c r="A165" s="12"/>
      <c r="B165" s="13"/>
      <c r="C165" s="14"/>
      <c r="D165" s="13"/>
      <c r="E165" s="15"/>
      <c r="F165" s="15"/>
      <c r="G165" s="15"/>
      <c r="H165" s="14"/>
      <c r="I165" s="16" t="str">
        <f aca="false">IF(OR(A165="",C165=""),"",IF(OR(H165="İade",H165="İptal"),0,E165*IFERROR(INDEX(Kanallar!$B$5:$B$19,MATCH(C165,Kanallar!$A$5:$A$19,0)),0)))</f>
        <v/>
      </c>
      <c r="J165" s="16" t="str">
        <f aca="false">IF(I165="","",IF(H165="İptal",0,IF(H165="İade",-G165,E165-I165-F165-G165)))</f>
        <v/>
      </c>
    </row>
    <row r="166" customFormat="false" ht="15" hidden="false" customHeight="false" outlineLevel="0" collapsed="false">
      <c r="A166" s="12"/>
      <c r="B166" s="13"/>
      <c r="C166" s="14"/>
      <c r="D166" s="13"/>
      <c r="E166" s="15"/>
      <c r="F166" s="15"/>
      <c r="G166" s="15"/>
      <c r="H166" s="14"/>
      <c r="I166" s="16" t="str">
        <f aca="false">IF(OR(A166="",C166=""),"",IF(OR(H166="İade",H166="İptal"),0,E166*IFERROR(INDEX(Kanallar!$B$5:$B$19,MATCH(C166,Kanallar!$A$5:$A$19,0)),0)))</f>
        <v/>
      </c>
      <c r="J166" s="16" t="str">
        <f aca="false">IF(I166="","",IF(H166="İptal",0,IF(H166="İade",-G166,E166-I166-F166-G166)))</f>
        <v/>
      </c>
    </row>
    <row r="167" customFormat="false" ht="15" hidden="false" customHeight="false" outlineLevel="0" collapsed="false">
      <c r="A167" s="12"/>
      <c r="B167" s="13"/>
      <c r="C167" s="14"/>
      <c r="D167" s="13"/>
      <c r="E167" s="15"/>
      <c r="F167" s="15"/>
      <c r="G167" s="15"/>
      <c r="H167" s="14"/>
      <c r="I167" s="16" t="str">
        <f aca="false">IF(OR(A167="",C167=""),"",IF(OR(H167="İade",H167="İptal"),0,E167*IFERROR(INDEX(Kanallar!$B$5:$B$19,MATCH(C167,Kanallar!$A$5:$A$19,0)),0)))</f>
        <v/>
      </c>
      <c r="J167" s="16" t="str">
        <f aca="false">IF(I167="","",IF(H167="İptal",0,IF(H167="İade",-G167,E167-I167-F167-G167)))</f>
        <v/>
      </c>
    </row>
    <row r="168" customFormat="false" ht="15" hidden="false" customHeight="false" outlineLevel="0" collapsed="false">
      <c r="A168" s="12"/>
      <c r="B168" s="13"/>
      <c r="C168" s="14"/>
      <c r="D168" s="13"/>
      <c r="E168" s="15"/>
      <c r="F168" s="15"/>
      <c r="G168" s="15"/>
      <c r="H168" s="14"/>
      <c r="I168" s="16" t="str">
        <f aca="false">IF(OR(A168="",C168=""),"",IF(OR(H168="İade",H168="İptal"),0,E168*IFERROR(INDEX(Kanallar!$B$5:$B$19,MATCH(C168,Kanallar!$A$5:$A$19,0)),0)))</f>
        <v/>
      </c>
      <c r="J168" s="16" t="str">
        <f aca="false">IF(I168="","",IF(H168="İptal",0,IF(H168="İade",-G168,E168-I168-F168-G168)))</f>
        <v/>
      </c>
    </row>
    <row r="169" customFormat="false" ht="15" hidden="false" customHeight="false" outlineLevel="0" collapsed="false">
      <c r="A169" s="12"/>
      <c r="B169" s="13"/>
      <c r="C169" s="14"/>
      <c r="D169" s="13"/>
      <c r="E169" s="15"/>
      <c r="F169" s="15"/>
      <c r="G169" s="15"/>
      <c r="H169" s="14"/>
      <c r="I169" s="16" t="str">
        <f aca="false">IF(OR(A169="",C169=""),"",IF(OR(H169="İade",H169="İptal"),0,E169*IFERROR(INDEX(Kanallar!$B$5:$B$19,MATCH(C169,Kanallar!$A$5:$A$19,0)),0)))</f>
        <v/>
      </c>
      <c r="J169" s="16" t="str">
        <f aca="false">IF(I169="","",IF(H169="İptal",0,IF(H169="İade",-G169,E169-I169-F169-G169)))</f>
        <v/>
      </c>
    </row>
    <row r="170" customFormat="false" ht="15" hidden="false" customHeight="false" outlineLevel="0" collapsed="false">
      <c r="A170" s="12"/>
      <c r="B170" s="13"/>
      <c r="C170" s="14"/>
      <c r="D170" s="13"/>
      <c r="E170" s="15"/>
      <c r="F170" s="15"/>
      <c r="G170" s="15"/>
      <c r="H170" s="14"/>
      <c r="I170" s="16" t="str">
        <f aca="false">IF(OR(A170="",C170=""),"",IF(OR(H170="İade",H170="İptal"),0,E170*IFERROR(INDEX(Kanallar!$B$5:$B$19,MATCH(C170,Kanallar!$A$5:$A$19,0)),0)))</f>
        <v/>
      </c>
      <c r="J170" s="16" t="str">
        <f aca="false">IF(I170="","",IF(H170="İptal",0,IF(H170="İade",-G170,E170-I170-F170-G170)))</f>
        <v/>
      </c>
    </row>
    <row r="171" customFormat="false" ht="15" hidden="false" customHeight="false" outlineLevel="0" collapsed="false">
      <c r="A171" s="12"/>
      <c r="B171" s="13"/>
      <c r="C171" s="14"/>
      <c r="D171" s="13"/>
      <c r="E171" s="15"/>
      <c r="F171" s="15"/>
      <c r="G171" s="15"/>
      <c r="H171" s="14"/>
      <c r="I171" s="16" t="str">
        <f aca="false">IF(OR(A171="",C171=""),"",IF(OR(H171="İade",H171="İptal"),0,E171*IFERROR(INDEX(Kanallar!$B$5:$B$19,MATCH(C171,Kanallar!$A$5:$A$19,0)),0)))</f>
        <v/>
      </c>
      <c r="J171" s="16" t="str">
        <f aca="false">IF(I171="","",IF(H171="İptal",0,IF(H171="İade",-G171,E171-I171-F171-G171)))</f>
        <v/>
      </c>
    </row>
    <row r="172" customFormat="false" ht="15" hidden="false" customHeight="false" outlineLevel="0" collapsed="false">
      <c r="A172" s="12"/>
      <c r="B172" s="13"/>
      <c r="C172" s="14"/>
      <c r="D172" s="13"/>
      <c r="E172" s="15"/>
      <c r="F172" s="15"/>
      <c r="G172" s="15"/>
      <c r="H172" s="14"/>
      <c r="I172" s="16" t="str">
        <f aca="false">IF(OR(A172="",C172=""),"",IF(OR(H172="İade",H172="İptal"),0,E172*IFERROR(INDEX(Kanallar!$B$5:$B$19,MATCH(C172,Kanallar!$A$5:$A$19,0)),0)))</f>
        <v/>
      </c>
      <c r="J172" s="16" t="str">
        <f aca="false">IF(I172="","",IF(H172="İptal",0,IF(H172="İade",-G172,E172-I172-F172-G172)))</f>
        <v/>
      </c>
    </row>
    <row r="173" customFormat="false" ht="15" hidden="false" customHeight="false" outlineLevel="0" collapsed="false">
      <c r="A173" s="12"/>
      <c r="B173" s="13"/>
      <c r="C173" s="14"/>
      <c r="D173" s="13"/>
      <c r="E173" s="15"/>
      <c r="F173" s="15"/>
      <c r="G173" s="15"/>
      <c r="H173" s="14"/>
      <c r="I173" s="16" t="str">
        <f aca="false">IF(OR(A173="",C173=""),"",IF(OR(H173="İade",H173="İptal"),0,E173*IFERROR(INDEX(Kanallar!$B$5:$B$19,MATCH(C173,Kanallar!$A$5:$A$19,0)),0)))</f>
        <v/>
      </c>
      <c r="J173" s="16" t="str">
        <f aca="false">IF(I173="","",IF(H173="İptal",0,IF(H173="İade",-G173,E173-I173-F173-G173)))</f>
        <v/>
      </c>
    </row>
    <row r="174" customFormat="false" ht="15" hidden="false" customHeight="false" outlineLevel="0" collapsed="false">
      <c r="A174" s="12"/>
      <c r="B174" s="13"/>
      <c r="C174" s="14"/>
      <c r="D174" s="13"/>
      <c r="E174" s="15"/>
      <c r="F174" s="15"/>
      <c r="G174" s="15"/>
      <c r="H174" s="14"/>
      <c r="I174" s="16" t="str">
        <f aca="false">IF(OR(A174="",C174=""),"",IF(OR(H174="İade",H174="İptal"),0,E174*IFERROR(INDEX(Kanallar!$B$5:$B$19,MATCH(C174,Kanallar!$A$5:$A$19,0)),0)))</f>
        <v/>
      </c>
      <c r="J174" s="16" t="str">
        <f aca="false">IF(I174="","",IF(H174="İptal",0,IF(H174="İade",-G174,E174-I174-F174-G174)))</f>
        <v/>
      </c>
    </row>
    <row r="175" customFormat="false" ht="15" hidden="false" customHeight="false" outlineLevel="0" collapsed="false">
      <c r="A175" s="12"/>
      <c r="B175" s="13"/>
      <c r="C175" s="14"/>
      <c r="D175" s="13"/>
      <c r="E175" s="15"/>
      <c r="F175" s="15"/>
      <c r="G175" s="15"/>
      <c r="H175" s="14"/>
      <c r="I175" s="16" t="str">
        <f aca="false">IF(OR(A175="",C175=""),"",IF(OR(H175="İade",H175="İptal"),0,E175*IFERROR(INDEX(Kanallar!$B$5:$B$19,MATCH(C175,Kanallar!$A$5:$A$19,0)),0)))</f>
        <v/>
      </c>
      <c r="J175" s="16" t="str">
        <f aca="false">IF(I175="","",IF(H175="İptal",0,IF(H175="İade",-G175,E175-I175-F175-G175)))</f>
        <v/>
      </c>
    </row>
    <row r="176" customFormat="false" ht="15" hidden="false" customHeight="false" outlineLevel="0" collapsed="false">
      <c r="A176" s="12"/>
      <c r="B176" s="13"/>
      <c r="C176" s="14"/>
      <c r="D176" s="13"/>
      <c r="E176" s="15"/>
      <c r="F176" s="15"/>
      <c r="G176" s="15"/>
      <c r="H176" s="14"/>
      <c r="I176" s="16" t="str">
        <f aca="false">IF(OR(A176="",C176=""),"",IF(OR(H176="İade",H176="İptal"),0,E176*IFERROR(INDEX(Kanallar!$B$5:$B$19,MATCH(C176,Kanallar!$A$5:$A$19,0)),0)))</f>
        <v/>
      </c>
      <c r="J176" s="16" t="str">
        <f aca="false">IF(I176="","",IF(H176="İptal",0,IF(H176="İade",-G176,E176-I176-F176-G176)))</f>
        <v/>
      </c>
    </row>
    <row r="177" customFormat="false" ht="15" hidden="false" customHeight="false" outlineLevel="0" collapsed="false">
      <c r="A177" s="12"/>
      <c r="B177" s="13"/>
      <c r="C177" s="14"/>
      <c r="D177" s="13"/>
      <c r="E177" s="15"/>
      <c r="F177" s="15"/>
      <c r="G177" s="15"/>
      <c r="H177" s="14"/>
      <c r="I177" s="16" t="str">
        <f aca="false">IF(OR(A177="",C177=""),"",IF(OR(H177="İade",H177="İptal"),0,E177*IFERROR(INDEX(Kanallar!$B$5:$B$19,MATCH(C177,Kanallar!$A$5:$A$19,0)),0)))</f>
        <v/>
      </c>
      <c r="J177" s="16" t="str">
        <f aca="false">IF(I177="","",IF(H177="İptal",0,IF(H177="İade",-G177,E177-I177-F177-G177)))</f>
        <v/>
      </c>
    </row>
    <row r="178" customFormat="false" ht="15" hidden="false" customHeight="false" outlineLevel="0" collapsed="false">
      <c r="A178" s="12"/>
      <c r="B178" s="13"/>
      <c r="C178" s="14"/>
      <c r="D178" s="13"/>
      <c r="E178" s="15"/>
      <c r="F178" s="15"/>
      <c r="G178" s="15"/>
      <c r="H178" s="14"/>
      <c r="I178" s="16" t="str">
        <f aca="false">IF(OR(A178="",C178=""),"",IF(OR(H178="İade",H178="İptal"),0,E178*IFERROR(INDEX(Kanallar!$B$5:$B$19,MATCH(C178,Kanallar!$A$5:$A$19,0)),0)))</f>
        <v/>
      </c>
      <c r="J178" s="16" t="str">
        <f aca="false">IF(I178="","",IF(H178="İptal",0,IF(H178="İade",-G178,E178-I178-F178-G178)))</f>
        <v/>
      </c>
    </row>
    <row r="179" customFormat="false" ht="15" hidden="false" customHeight="false" outlineLevel="0" collapsed="false">
      <c r="A179" s="12"/>
      <c r="B179" s="13"/>
      <c r="C179" s="14"/>
      <c r="D179" s="13"/>
      <c r="E179" s="15"/>
      <c r="F179" s="15"/>
      <c r="G179" s="15"/>
      <c r="H179" s="14"/>
      <c r="I179" s="16" t="str">
        <f aca="false">IF(OR(A179="",C179=""),"",IF(OR(H179="İade",H179="İptal"),0,E179*IFERROR(INDEX(Kanallar!$B$5:$B$19,MATCH(C179,Kanallar!$A$5:$A$19,0)),0)))</f>
        <v/>
      </c>
      <c r="J179" s="16" t="str">
        <f aca="false">IF(I179="","",IF(H179="İptal",0,IF(H179="İade",-G179,E179-I179-F179-G179)))</f>
        <v/>
      </c>
    </row>
    <row r="180" customFormat="false" ht="15" hidden="false" customHeight="false" outlineLevel="0" collapsed="false">
      <c r="A180" s="12"/>
      <c r="B180" s="13"/>
      <c r="C180" s="14"/>
      <c r="D180" s="13"/>
      <c r="E180" s="15"/>
      <c r="F180" s="15"/>
      <c r="G180" s="15"/>
      <c r="H180" s="14"/>
      <c r="I180" s="16" t="str">
        <f aca="false">IF(OR(A180="",C180=""),"",IF(OR(H180="İade",H180="İptal"),0,E180*IFERROR(INDEX(Kanallar!$B$5:$B$19,MATCH(C180,Kanallar!$A$5:$A$19,0)),0)))</f>
        <v/>
      </c>
      <c r="J180" s="16" t="str">
        <f aca="false">IF(I180="","",IF(H180="İptal",0,IF(H180="İade",-G180,E180-I180-F180-G180)))</f>
        <v/>
      </c>
    </row>
    <row r="181" customFormat="false" ht="15" hidden="false" customHeight="false" outlineLevel="0" collapsed="false">
      <c r="A181" s="12"/>
      <c r="B181" s="13"/>
      <c r="C181" s="14"/>
      <c r="D181" s="13"/>
      <c r="E181" s="15"/>
      <c r="F181" s="15"/>
      <c r="G181" s="15"/>
      <c r="H181" s="14"/>
      <c r="I181" s="16" t="str">
        <f aca="false">IF(OR(A181="",C181=""),"",IF(OR(H181="İade",H181="İptal"),0,E181*IFERROR(INDEX(Kanallar!$B$5:$B$19,MATCH(C181,Kanallar!$A$5:$A$19,0)),0)))</f>
        <v/>
      </c>
      <c r="J181" s="16" t="str">
        <f aca="false">IF(I181="","",IF(H181="İptal",0,IF(H181="İade",-G181,E181-I181-F181-G181)))</f>
        <v/>
      </c>
    </row>
    <row r="182" customFormat="false" ht="15" hidden="false" customHeight="false" outlineLevel="0" collapsed="false">
      <c r="A182" s="12"/>
      <c r="B182" s="13"/>
      <c r="C182" s="14"/>
      <c r="D182" s="13"/>
      <c r="E182" s="15"/>
      <c r="F182" s="15"/>
      <c r="G182" s="15"/>
      <c r="H182" s="14"/>
      <c r="I182" s="16" t="str">
        <f aca="false">IF(OR(A182="",C182=""),"",IF(OR(H182="İade",H182="İptal"),0,E182*IFERROR(INDEX(Kanallar!$B$5:$B$19,MATCH(C182,Kanallar!$A$5:$A$19,0)),0)))</f>
        <v/>
      </c>
      <c r="J182" s="16" t="str">
        <f aca="false">IF(I182="","",IF(H182="İptal",0,IF(H182="İade",-G182,E182-I182-F182-G182)))</f>
        <v/>
      </c>
    </row>
    <row r="183" customFormat="false" ht="15" hidden="false" customHeight="false" outlineLevel="0" collapsed="false">
      <c r="A183" s="12"/>
      <c r="B183" s="13"/>
      <c r="C183" s="14"/>
      <c r="D183" s="13"/>
      <c r="E183" s="15"/>
      <c r="F183" s="15"/>
      <c r="G183" s="15"/>
      <c r="H183" s="14"/>
      <c r="I183" s="16" t="str">
        <f aca="false">IF(OR(A183="",C183=""),"",IF(OR(H183="İade",H183="İptal"),0,E183*IFERROR(INDEX(Kanallar!$B$5:$B$19,MATCH(C183,Kanallar!$A$5:$A$19,0)),0)))</f>
        <v/>
      </c>
      <c r="J183" s="16" t="str">
        <f aca="false">IF(I183="","",IF(H183="İptal",0,IF(H183="İade",-G183,E183-I183-F183-G183)))</f>
        <v/>
      </c>
    </row>
    <row r="184" customFormat="false" ht="15" hidden="false" customHeight="false" outlineLevel="0" collapsed="false">
      <c r="A184" s="12"/>
      <c r="B184" s="13"/>
      <c r="C184" s="14"/>
      <c r="D184" s="13"/>
      <c r="E184" s="15"/>
      <c r="F184" s="15"/>
      <c r="G184" s="15"/>
      <c r="H184" s="14"/>
      <c r="I184" s="16" t="str">
        <f aca="false">IF(OR(A184="",C184=""),"",IF(OR(H184="İade",H184="İptal"),0,E184*IFERROR(INDEX(Kanallar!$B$5:$B$19,MATCH(C184,Kanallar!$A$5:$A$19,0)),0)))</f>
        <v/>
      </c>
      <c r="J184" s="16" t="str">
        <f aca="false">IF(I184="","",IF(H184="İptal",0,IF(H184="İade",-G184,E184-I184-F184-G184)))</f>
        <v/>
      </c>
    </row>
    <row r="185" customFormat="false" ht="15" hidden="false" customHeight="false" outlineLevel="0" collapsed="false">
      <c r="A185" s="12"/>
      <c r="B185" s="13"/>
      <c r="C185" s="14"/>
      <c r="D185" s="13"/>
      <c r="E185" s="15"/>
      <c r="F185" s="15"/>
      <c r="G185" s="15"/>
      <c r="H185" s="14"/>
      <c r="I185" s="16" t="str">
        <f aca="false">IF(OR(A185="",C185=""),"",IF(OR(H185="İade",H185="İptal"),0,E185*IFERROR(INDEX(Kanallar!$B$5:$B$19,MATCH(C185,Kanallar!$A$5:$A$19,0)),0)))</f>
        <v/>
      </c>
      <c r="J185" s="16" t="str">
        <f aca="false">IF(I185="","",IF(H185="İptal",0,IF(H185="İade",-G185,E185-I185-F185-G185)))</f>
        <v/>
      </c>
    </row>
    <row r="186" customFormat="false" ht="15" hidden="false" customHeight="false" outlineLevel="0" collapsed="false">
      <c r="A186" s="12"/>
      <c r="B186" s="13"/>
      <c r="C186" s="14"/>
      <c r="D186" s="13"/>
      <c r="E186" s="15"/>
      <c r="F186" s="15"/>
      <c r="G186" s="15"/>
      <c r="H186" s="14"/>
      <c r="I186" s="16" t="str">
        <f aca="false">IF(OR(A186="",C186=""),"",IF(OR(H186="İade",H186="İptal"),0,E186*IFERROR(INDEX(Kanallar!$B$5:$B$19,MATCH(C186,Kanallar!$A$5:$A$19,0)),0)))</f>
        <v/>
      </c>
      <c r="J186" s="16" t="str">
        <f aca="false">IF(I186="","",IF(H186="İptal",0,IF(H186="İade",-G186,E186-I186-F186-G186)))</f>
        <v/>
      </c>
    </row>
    <row r="187" customFormat="false" ht="15" hidden="false" customHeight="false" outlineLevel="0" collapsed="false">
      <c r="A187" s="12"/>
      <c r="B187" s="13"/>
      <c r="C187" s="14"/>
      <c r="D187" s="13"/>
      <c r="E187" s="15"/>
      <c r="F187" s="15"/>
      <c r="G187" s="15"/>
      <c r="H187" s="14"/>
      <c r="I187" s="16" t="str">
        <f aca="false">IF(OR(A187="",C187=""),"",IF(OR(H187="İade",H187="İptal"),0,E187*IFERROR(INDEX(Kanallar!$B$5:$B$19,MATCH(C187,Kanallar!$A$5:$A$19,0)),0)))</f>
        <v/>
      </c>
      <c r="J187" s="16" t="str">
        <f aca="false">IF(I187="","",IF(H187="İptal",0,IF(H187="İade",-G187,E187-I187-F187-G187)))</f>
        <v/>
      </c>
    </row>
    <row r="188" customFormat="false" ht="15" hidden="false" customHeight="false" outlineLevel="0" collapsed="false">
      <c r="A188" s="12"/>
      <c r="B188" s="13"/>
      <c r="C188" s="14"/>
      <c r="D188" s="13"/>
      <c r="E188" s="15"/>
      <c r="F188" s="15"/>
      <c r="G188" s="15"/>
      <c r="H188" s="14"/>
      <c r="I188" s="16" t="str">
        <f aca="false">IF(OR(A188="",C188=""),"",IF(OR(H188="İade",H188="İptal"),0,E188*IFERROR(INDEX(Kanallar!$B$5:$B$19,MATCH(C188,Kanallar!$A$5:$A$19,0)),0)))</f>
        <v/>
      </c>
      <c r="J188" s="16" t="str">
        <f aca="false">IF(I188="","",IF(H188="İptal",0,IF(H188="İade",-G188,E188-I188-F188-G188)))</f>
        <v/>
      </c>
    </row>
    <row r="189" customFormat="false" ht="15" hidden="false" customHeight="false" outlineLevel="0" collapsed="false">
      <c r="A189" s="12"/>
      <c r="B189" s="13"/>
      <c r="C189" s="14"/>
      <c r="D189" s="13"/>
      <c r="E189" s="15"/>
      <c r="F189" s="15"/>
      <c r="G189" s="15"/>
      <c r="H189" s="14"/>
      <c r="I189" s="16" t="str">
        <f aca="false">IF(OR(A189="",C189=""),"",IF(OR(H189="İade",H189="İptal"),0,E189*IFERROR(INDEX(Kanallar!$B$5:$B$19,MATCH(C189,Kanallar!$A$5:$A$19,0)),0)))</f>
        <v/>
      </c>
      <c r="J189" s="16" t="str">
        <f aca="false">IF(I189="","",IF(H189="İptal",0,IF(H189="İade",-G189,E189-I189-F189-G189)))</f>
        <v/>
      </c>
    </row>
    <row r="190" customFormat="false" ht="15" hidden="false" customHeight="false" outlineLevel="0" collapsed="false">
      <c r="A190" s="12"/>
      <c r="B190" s="13"/>
      <c r="C190" s="14"/>
      <c r="D190" s="13"/>
      <c r="E190" s="15"/>
      <c r="F190" s="15"/>
      <c r="G190" s="15"/>
      <c r="H190" s="14"/>
      <c r="I190" s="16" t="str">
        <f aca="false">IF(OR(A190="",C190=""),"",IF(OR(H190="İade",H190="İptal"),0,E190*IFERROR(INDEX(Kanallar!$B$5:$B$19,MATCH(C190,Kanallar!$A$5:$A$19,0)),0)))</f>
        <v/>
      </c>
      <c r="J190" s="16" t="str">
        <f aca="false">IF(I190="","",IF(H190="İptal",0,IF(H190="İade",-G190,E190-I190-F190-G190)))</f>
        <v/>
      </c>
    </row>
    <row r="191" customFormat="false" ht="15" hidden="false" customHeight="false" outlineLevel="0" collapsed="false">
      <c r="A191" s="12"/>
      <c r="B191" s="13"/>
      <c r="C191" s="14"/>
      <c r="D191" s="13"/>
      <c r="E191" s="15"/>
      <c r="F191" s="15"/>
      <c r="G191" s="15"/>
      <c r="H191" s="14"/>
      <c r="I191" s="16" t="str">
        <f aca="false">IF(OR(A191="",C191=""),"",IF(OR(H191="İade",H191="İptal"),0,E191*IFERROR(INDEX(Kanallar!$B$5:$B$19,MATCH(C191,Kanallar!$A$5:$A$19,0)),0)))</f>
        <v/>
      </c>
      <c r="J191" s="16" t="str">
        <f aca="false">IF(I191="","",IF(H191="İptal",0,IF(H191="İade",-G191,E191-I191-F191-G191)))</f>
        <v/>
      </c>
    </row>
    <row r="192" customFormat="false" ht="15" hidden="false" customHeight="false" outlineLevel="0" collapsed="false">
      <c r="A192" s="12"/>
      <c r="B192" s="13"/>
      <c r="C192" s="14"/>
      <c r="D192" s="13"/>
      <c r="E192" s="15"/>
      <c r="F192" s="15"/>
      <c r="G192" s="15"/>
      <c r="H192" s="14"/>
      <c r="I192" s="16" t="str">
        <f aca="false">IF(OR(A192="",C192=""),"",IF(OR(H192="İade",H192="İptal"),0,E192*IFERROR(INDEX(Kanallar!$B$5:$B$19,MATCH(C192,Kanallar!$A$5:$A$19,0)),0)))</f>
        <v/>
      </c>
      <c r="J192" s="16" t="str">
        <f aca="false">IF(I192="","",IF(H192="İptal",0,IF(H192="İade",-G192,E192-I192-F192-G192)))</f>
        <v/>
      </c>
    </row>
    <row r="193" customFormat="false" ht="15" hidden="false" customHeight="false" outlineLevel="0" collapsed="false">
      <c r="A193" s="12"/>
      <c r="B193" s="13"/>
      <c r="C193" s="14"/>
      <c r="D193" s="13"/>
      <c r="E193" s="15"/>
      <c r="F193" s="15"/>
      <c r="G193" s="15"/>
      <c r="H193" s="14"/>
      <c r="I193" s="16" t="str">
        <f aca="false">IF(OR(A193="",C193=""),"",IF(OR(H193="İade",H193="İptal"),0,E193*IFERROR(INDEX(Kanallar!$B$5:$B$19,MATCH(C193,Kanallar!$A$5:$A$19,0)),0)))</f>
        <v/>
      </c>
      <c r="J193" s="16" t="str">
        <f aca="false">IF(I193="","",IF(H193="İptal",0,IF(H193="İade",-G193,E193-I193-F193-G193)))</f>
        <v/>
      </c>
    </row>
    <row r="194" customFormat="false" ht="15" hidden="false" customHeight="false" outlineLevel="0" collapsed="false">
      <c r="A194" s="12"/>
      <c r="B194" s="13"/>
      <c r="C194" s="14"/>
      <c r="D194" s="13"/>
      <c r="E194" s="15"/>
      <c r="F194" s="15"/>
      <c r="G194" s="15"/>
      <c r="H194" s="14"/>
      <c r="I194" s="16" t="str">
        <f aca="false">IF(OR(A194="",C194=""),"",IF(OR(H194="İade",H194="İptal"),0,E194*IFERROR(INDEX(Kanallar!$B$5:$B$19,MATCH(C194,Kanallar!$A$5:$A$19,0)),0)))</f>
        <v/>
      </c>
      <c r="J194" s="16" t="str">
        <f aca="false">IF(I194="","",IF(H194="İptal",0,IF(H194="İade",-G194,E194-I194-F194-G194)))</f>
        <v/>
      </c>
    </row>
    <row r="195" customFormat="false" ht="15" hidden="false" customHeight="false" outlineLevel="0" collapsed="false">
      <c r="A195" s="12"/>
      <c r="B195" s="13"/>
      <c r="C195" s="14"/>
      <c r="D195" s="13"/>
      <c r="E195" s="15"/>
      <c r="F195" s="15"/>
      <c r="G195" s="15"/>
      <c r="H195" s="14"/>
      <c r="I195" s="16" t="str">
        <f aca="false">IF(OR(A195="",C195=""),"",IF(OR(H195="İade",H195="İptal"),0,E195*IFERROR(INDEX(Kanallar!$B$5:$B$19,MATCH(C195,Kanallar!$A$5:$A$19,0)),0)))</f>
        <v/>
      </c>
      <c r="J195" s="16" t="str">
        <f aca="false">IF(I195="","",IF(H195="İptal",0,IF(H195="İade",-G195,E195-I195-F195-G195)))</f>
        <v/>
      </c>
    </row>
    <row r="196" customFormat="false" ht="15" hidden="false" customHeight="false" outlineLevel="0" collapsed="false">
      <c r="A196" s="12"/>
      <c r="B196" s="13"/>
      <c r="C196" s="14"/>
      <c r="D196" s="13"/>
      <c r="E196" s="15"/>
      <c r="F196" s="15"/>
      <c r="G196" s="15"/>
      <c r="H196" s="14"/>
      <c r="I196" s="16" t="str">
        <f aca="false">IF(OR(A196="",C196=""),"",IF(OR(H196="İade",H196="İptal"),0,E196*IFERROR(INDEX(Kanallar!$B$5:$B$19,MATCH(C196,Kanallar!$A$5:$A$19,0)),0)))</f>
        <v/>
      </c>
      <c r="J196" s="16" t="str">
        <f aca="false">IF(I196="","",IF(H196="İptal",0,IF(H196="İade",-G196,E196-I196-F196-G196)))</f>
        <v/>
      </c>
    </row>
    <row r="197" customFormat="false" ht="15" hidden="false" customHeight="false" outlineLevel="0" collapsed="false">
      <c r="A197" s="12"/>
      <c r="B197" s="13"/>
      <c r="C197" s="14"/>
      <c r="D197" s="13"/>
      <c r="E197" s="15"/>
      <c r="F197" s="15"/>
      <c r="G197" s="15"/>
      <c r="H197" s="14"/>
      <c r="I197" s="16" t="str">
        <f aca="false">IF(OR(A197="",C197=""),"",IF(OR(H197="İade",H197="İptal"),0,E197*IFERROR(INDEX(Kanallar!$B$5:$B$19,MATCH(C197,Kanallar!$A$5:$A$19,0)),0)))</f>
        <v/>
      </c>
      <c r="J197" s="16" t="str">
        <f aca="false">IF(I197="","",IF(H197="İptal",0,IF(H197="İade",-G197,E197-I197-F197-G197)))</f>
        <v/>
      </c>
    </row>
    <row r="198" customFormat="false" ht="15" hidden="false" customHeight="false" outlineLevel="0" collapsed="false">
      <c r="A198" s="12"/>
      <c r="B198" s="13"/>
      <c r="C198" s="14"/>
      <c r="D198" s="13"/>
      <c r="E198" s="15"/>
      <c r="F198" s="15"/>
      <c r="G198" s="15"/>
      <c r="H198" s="14"/>
      <c r="I198" s="16" t="str">
        <f aca="false">IF(OR(A198="",C198=""),"",IF(OR(H198="İade",H198="İptal"),0,E198*IFERROR(INDEX(Kanallar!$B$5:$B$19,MATCH(C198,Kanallar!$A$5:$A$19,0)),0)))</f>
        <v/>
      </c>
      <c r="J198" s="16" t="str">
        <f aca="false">IF(I198="","",IF(H198="İptal",0,IF(H198="İade",-G198,E198-I198-F198-G198)))</f>
        <v/>
      </c>
    </row>
    <row r="199" customFormat="false" ht="15" hidden="false" customHeight="false" outlineLevel="0" collapsed="false">
      <c r="A199" s="12"/>
      <c r="B199" s="13"/>
      <c r="C199" s="14"/>
      <c r="D199" s="13"/>
      <c r="E199" s="15"/>
      <c r="F199" s="15"/>
      <c r="G199" s="15"/>
      <c r="H199" s="14"/>
      <c r="I199" s="16" t="str">
        <f aca="false">IF(OR(A199="",C199=""),"",IF(OR(H199="İade",H199="İptal"),0,E199*IFERROR(INDEX(Kanallar!$B$5:$B$19,MATCH(C199,Kanallar!$A$5:$A$19,0)),0)))</f>
        <v/>
      </c>
      <c r="J199" s="16" t="str">
        <f aca="false">IF(I199="","",IF(H199="İptal",0,IF(H199="İade",-G199,E199-I199-F199-G199)))</f>
        <v/>
      </c>
    </row>
    <row r="200" customFormat="false" ht="15" hidden="false" customHeight="false" outlineLevel="0" collapsed="false">
      <c r="A200" s="12"/>
      <c r="B200" s="13"/>
      <c r="C200" s="14"/>
      <c r="D200" s="13"/>
      <c r="E200" s="15"/>
      <c r="F200" s="15"/>
      <c r="G200" s="15"/>
      <c r="H200" s="14"/>
      <c r="I200" s="16" t="str">
        <f aca="false">IF(OR(A200="",C200=""),"",IF(OR(H200="İade",H200="İptal"),0,E200*IFERROR(INDEX(Kanallar!$B$5:$B$19,MATCH(C200,Kanallar!$A$5:$A$19,0)),0)))</f>
        <v/>
      </c>
      <c r="J200" s="16" t="str">
        <f aca="false">IF(I200="","",IF(H200="İptal",0,IF(H200="İade",-G200,E200-I200-F200-G200)))</f>
        <v/>
      </c>
    </row>
    <row r="201" customFormat="false" ht="15" hidden="false" customHeight="false" outlineLevel="0" collapsed="false">
      <c r="A201" s="12"/>
      <c r="B201" s="13"/>
      <c r="C201" s="14"/>
      <c r="D201" s="13"/>
      <c r="E201" s="15"/>
      <c r="F201" s="15"/>
      <c r="G201" s="15"/>
      <c r="H201" s="14"/>
      <c r="I201" s="16" t="str">
        <f aca="false">IF(OR(A201="",C201=""),"",IF(OR(H201="İade",H201="İptal"),0,E201*IFERROR(INDEX(Kanallar!$B$5:$B$19,MATCH(C201,Kanallar!$A$5:$A$19,0)),0)))</f>
        <v/>
      </c>
      <c r="J201" s="16" t="str">
        <f aca="false">IF(I201="","",IF(H201="İptal",0,IF(H201="İade",-G201,E201-I201-F201-G201)))</f>
        <v/>
      </c>
    </row>
    <row r="202" customFormat="false" ht="15" hidden="false" customHeight="false" outlineLevel="0" collapsed="false">
      <c r="A202" s="12"/>
      <c r="B202" s="13"/>
      <c r="C202" s="14"/>
      <c r="D202" s="13"/>
      <c r="E202" s="15"/>
      <c r="F202" s="15"/>
      <c r="G202" s="15"/>
      <c r="H202" s="14"/>
      <c r="I202" s="16" t="str">
        <f aca="false">IF(OR(A202="",C202=""),"",IF(OR(H202="İade",H202="İptal"),0,E202*IFERROR(INDEX(Kanallar!$B$5:$B$19,MATCH(C202,Kanallar!$A$5:$A$19,0)),0)))</f>
        <v/>
      </c>
      <c r="J202" s="16" t="str">
        <f aca="false">IF(I202="","",IF(H202="İptal",0,IF(H202="İade",-G202,E202-I202-F202-G202)))</f>
        <v/>
      </c>
    </row>
    <row r="203" customFormat="false" ht="15" hidden="false" customHeight="false" outlineLevel="0" collapsed="false">
      <c r="A203" s="12"/>
      <c r="B203" s="13"/>
      <c r="C203" s="14"/>
      <c r="D203" s="13"/>
      <c r="E203" s="15"/>
      <c r="F203" s="15"/>
      <c r="G203" s="15"/>
      <c r="H203" s="14"/>
      <c r="I203" s="16" t="str">
        <f aca="false">IF(OR(A203="",C203=""),"",IF(OR(H203="İade",H203="İptal"),0,E203*IFERROR(INDEX(Kanallar!$B$5:$B$19,MATCH(C203,Kanallar!$A$5:$A$19,0)),0)))</f>
        <v/>
      </c>
      <c r="J203" s="16" t="str">
        <f aca="false">IF(I203="","",IF(H203="İptal",0,IF(H203="İade",-G203,E203-I203-F203-G203)))</f>
        <v/>
      </c>
    </row>
    <row r="204" customFormat="false" ht="15" hidden="false" customHeight="false" outlineLevel="0" collapsed="false">
      <c r="A204" s="12"/>
      <c r="B204" s="13"/>
      <c r="C204" s="14"/>
      <c r="D204" s="13"/>
      <c r="E204" s="15"/>
      <c r="F204" s="15"/>
      <c r="G204" s="15"/>
      <c r="H204" s="14"/>
      <c r="I204" s="16" t="str">
        <f aca="false">IF(OR(A204="",C204=""),"",IF(OR(H204="İade",H204="İptal"),0,E204*IFERROR(INDEX(Kanallar!$B$5:$B$19,MATCH(C204,Kanallar!$A$5:$A$19,0)),0)))</f>
        <v/>
      </c>
      <c r="J204" s="16" t="str">
        <f aca="false">IF(I204="","",IF(H204="İptal",0,IF(H204="İade",-G204,E204-I204-F204-G204)))</f>
        <v/>
      </c>
    </row>
    <row r="205" customFormat="false" ht="15" hidden="false" customHeight="false" outlineLevel="0" collapsed="false">
      <c r="A205" s="12"/>
      <c r="B205" s="13"/>
      <c r="C205" s="14"/>
      <c r="D205" s="13"/>
      <c r="E205" s="15"/>
      <c r="F205" s="15"/>
      <c r="G205" s="15"/>
      <c r="H205" s="14"/>
      <c r="I205" s="16" t="str">
        <f aca="false">IF(OR(A205="",C205=""),"",IF(OR(H205="İade",H205="İptal"),0,E205*IFERROR(INDEX(Kanallar!$B$5:$B$19,MATCH(C205,Kanallar!$A$5:$A$19,0)),0)))</f>
        <v/>
      </c>
      <c r="J205" s="16" t="str">
        <f aca="false">IF(I205="","",IF(H205="İptal",0,IF(H205="İade",-G205,E205-I205-F205-G205)))</f>
        <v/>
      </c>
    </row>
    <row r="206" customFormat="false" ht="15" hidden="false" customHeight="false" outlineLevel="0" collapsed="false">
      <c r="A206" s="12"/>
      <c r="B206" s="13"/>
      <c r="C206" s="14"/>
      <c r="D206" s="13"/>
      <c r="E206" s="15"/>
      <c r="F206" s="15"/>
      <c r="G206" s="15"/>
      <c r="H206" s="14"/>
      <c r="I206" s="16" t="str">
        <f aca="false">IF(OR(A206="",C206=""),"",IF(OR(H206="İade",H206="İptal"),0,E206*IFERROR(INDEX(Kanallar!$B$5:$B$19,MATCH(C206,Kanallar!$A$5:$A$19,0)),0)))</f>
        <v/>
      </c>
      <c r="J206" s="16" t="str">
        <f aca="false">IF(I206="","",IF(H206="İptal",0,IF(H206="İade",-G206,E206-I206-F206-G206)))</f>
        <v/>
      </c>
    </row>
    <row r="207" customFormat="false" ht="15" hidden="false" customHeight="false" outlineLevel="0" collapsed="false">
      <c r="A207" s="12"/>
      <c r="B207" s="13"/>
      <c r="C207" s="14"/>
      <c r="D207" s="13"/>
      <c r="E207" s="15"/>
      <c r="F207" s="15"/>
      <c r="G207" s="15"/>
      <c r="H207" s="14"/>
      <c r="I207" s="16" t="str">
        <f aca="false">IF(OR(A207="",C207=""),"",IF(OR(H207="İade",H207="İptal"),0,E207*IFERROR(INDEX(Kanallar!$B$5:$B$19,MATCH(C207,Kanallar!$A$5:$A$19,0)),0)))</f>
        <v/>
      </c>
      <c r="J207" s="16" t="str">
        <f aca="false">IF(I207="","",IF(H207="İptal",0,IF(H207="İade",-G207,E207-I207-F207-G207)))</f>
        <v/>
      </c>
    </row>
    <row r="208" customFormat="false" ht="15" hidden="false" customHeight="false" outlineLevel="0" collapsed="false">
      <c r="A208" s="12"/>
      <c r="B208" s="13"/>
      <c r="C208" s="14"/>
      <c r="D208" s="13"/>
      <c r="E208" s="15"/>
      <c r="F208" s="15"/>
      <c r="G208" s="15"/>
      <c r="H208" s="14"/>
      <c r="I208" s="16" t="str">
        <f aca="false">IF(OR(A208="",C208=""),"",IF(OR(H208="İade",H208="İptal"),0,E208*IFERROR(INDEX(Kanallar!$B$5:$B$19,MATCH(C208,Kanallar!$A$5:$A$19,0)),0)))</f>
        <v/>
      </c>
      <c r="J208" s="16" t="str">
        <f aca="false">IF(I208="","",IF(H208="İptal",0,IF(H208="İade",-G208,E208-I208-F208-G208)))</f>
        <v/>
      </c>
    </row>
    <row r="209" customFormat="false" ht="15" hidden="false" customHeight="false" outlineLevel="0" collapsed="false">
      <c r="A209" s="12"/>
      <c r="B209" s="13"/>
      <c r="C209" s="14"/>
      <c r="D209" s="13"/>
      <c r="E209" s="15"/>
      <c r="F209" s="15"/>
      <c r="G209" s="15"/>
      <c r="H209" s="14"/>
      <c r="I209" s="16" t="str">
        <f aca="false">IF(OR(A209="",C209=""),"",IF(OR(H209="İade",H209="İptal"),0,E209*IFERROR(INDEX(Kanallar!$B$5:$B$19,MATCH(C209,Kanallar!$A$5:$A$19,0)),0)))</f>
        <v/>
      </c>
      <c r="J209" s="16" t="str">
        <f aca="false">IF(I209="","",IF(H209="İptal",0,IF(H209="İade",-G209,E209-I209-F209-G209)))</f>
        <v/>
      </c>
    </row>
    <row r="210" customFormat="false" ht="15" hidden="false" customHeight="false" outlineLevel="0" collapsed="false">
      <c r="A210" s="12"/>
      <c r="B210" s="13"/>
      <c r="C210" s="14"/>
      <c r="D210" s="13"/>
      <c r="E210" s="15"/>
      <c r="F210" s="15"/>
      <c r="G210" s="15"/>
      <c r="H210" s="14"/>
      <c r="I210" s="16" t="str">
        <f aca="false">IF(OR(A210="",C210=""),"",IF(OR(H210="İade",H210="İptal"),0,E210*IFERROR(INDEX(Kanallar!$B$5:$B$19,MATCH(C210,Kanallar!$A$5:$A$19,0)),0)))</f>
        <v/>
      </c>
      <c r="J210" s="16" t="str">
        <f aca="false">IF(I210="","",IF(H210="İptal",0,IF(H210="İade",-G210,E210-I210-F210-G210)))</f>
        <v/>
      </c>
    </row>
    <row r="211" customFormat="false" ht="15" hidden="false" customHeight="false" outlineLevel="0" collapsed="false">
      <c r="A211" s="12"/>
      <c r="B211" s="13"/>
      <c r="C211" s="14"/>
      <c r="D211" s="13"/>
      <c r="E211" s="15"/>
      <c r="F211" s="15"/>
      <c r="G211" s="15"/>
      <c r="H211" s="14"/>
      <c r="I211" s="16" t="str">
        <f aca="false">IF(OR(A211="",C211=""),"",IF(OR(H211="İade",H211="İptal"),0,E211*IFERROR(INDEX(Kanallar!$B$5:$B$19,MATCH(C211,Kanallar!$A$5:$A$19,0)),0)))</f>
        <v/>
      </c>
      <c r="J211" s="16" t="str">
        <f aca="false">IF(I211="","",IF(H211="İptal",0,IF(H211="İade",-G211,E211-I211-F211-G211)))</f>
        <v/>
      </c>
    </row>
    <row r="212" customFormat="false" ht="15" hidden="false" customHeight="false" outlineLevel="0" collapsed="false">
      <c r="A212" s="12"/>
      <c r="B212" s="13"/>
      <c r="C212" s="14"/>
      <c r="D212" s="13"/>
      <c r="E212" s="15"/>
      <c r="F212" s="15"/>
      <c r="G212" s="15"/>
      <c r="H212" s="14"/>
      <c r="I212" s="16" t="str">
        <f aca="false">IF(OR(A212="",C212=""),"",IF(OR(H212="İade",H212="İptal"),0,E212*IFERROR(INDEX(Kanallar!$B$5:$B$19,MATCH(C212,Kanallar!$A$5:$A$19,0)),0)))</f>
        <v/>
      </c>
      <c r="J212" s="16" t="str">
        <f aca="false">IF(I212="","",IF(H212="İptal",0,IF(H212="İade",-G212,E212-I212-F212-G212)))</f>
        <v/>
      </c>
    </row>
    <row r="213" customFormat="false" ht="15" hidden="false" customHeight="false" outlineLevel="0" collapsed="false">
      <c r="A213" s="12"/>
      <c r="B213" s="13"/>
      <c r="C213" s="14"/>
      <c r="D213" s="13"/>
      <c r="E213" s="15"/>
      <c r="F213" s="15"/>
      <c r="G213" s="15"/>
      <c r="H213" s="14"/>
      <c r="I213" s="16" t="str">
        <f aca="false">IF(OR(A213="",C213=""),"",IF(OR(H213="İade",H213="İptal"),0,E213*IFERROR(INDEX(Kanallar!$B$5:$B$19,MATCH(C213,Kanallar!$A$5:$A$19,0)),0)))</f>
        <v/>
      </c>
      <c r="J213" s="16" t="str">
        <f aca="false">IF(I213="","",IF(H213="İptal",0,IF(H213="İade",-G213,E213-I213-F213-G213)))</f>
        <v/>
      </c>
    </row>
    <row r="214" customFormat="false" ht="15" hidden="false" customHeight="false" outlineLevel="0" collapsed="false">
      <c r="A214" s="12"/>
      <c r="B214" s="13"/>
      <c r="C214" s="14"/>
      <c r="D214" s="13"/>
      <c r="E214" s="15"/>
      <c r="F214" s="15"/>
      <c r="G214" s="15"/>
      <c r="H214" s="14"/>
      <c r="I214" s="16" t="str">
        <f aca="false">IF(OR(A214="",C214=""),"",IF(OR(H214="İade",H214="İptal"),0,E214*IFERROR(INDEX(Kanallar!$B$5:$B$19,MATCH(C214,Kanallar!$A$5:$A$19,0)),0)))</f>
        <v/>
      </c>
      <c r="J214" s="16" t="str">
        <f aca="false">IF(I214="","",IF(H214="İptal",0,IF(H214="İade",-G214,E214-I214-F214-G214)))</f>
        <v/>
      </c>
    </row>
    <row r="215" customFormat="false" ht="15" hidden="false" customHeight="false" outlineLevel="0" collapsed="false">
      <c r="A215" s="12"/>
      <c r="B215" s="13"/>
      <c r="C215" s="14"/>
      <c r="D215" s="13"/>
      <c r="E215" s="15"/>
      <c r="F215" s="15"/>
      <c r="G215" s="15"/>
      <c r="H215" s="14"/>
      <c r="I215" s="16" t="str">
        <f aca="false">IF(OR(A215="",C215=""),"",IF(OR(H215="İade",H215="İptal"),0,E215*IFERROR(INDEX(Kanallar!$B$5:$B$19,MATCH(C215,Kanallar!$A$5:$A$19,0)),0)))</f>
        <v/>
      </c>
      <c r="J215" s="16" t="str">
        <f aca="false">IF(I215="","",IF(H215="İptal",0,IF(H215="İade",-G215,E215-I215-F215-G215)))</f>
        <v/>
      </c>
    </row>
    <row r="216" customFormat="false" ht="15" hidden="false" customHeight="false" outlineLevel="0" collapsed="false">
      <c r="A216" s="12"/>
      <c r="B216" s="13"/>
      <c r="C216" s="14"/>
      <c r="D216" s="13"/>
      <c r="E216" s="15"/>
      <c r="F216" s="15"/>
      <c r="G216" s="15"/>
      <c r="H216" s="14"/>
      <c r="I216" s="16" t="str">
        <f aca="false">IF(OR(A216="",C216=""),"",IF(OR(H216="İade",H216="İptal"),0,E216*IFERROR(INDEX(Kanallar!$B$5:$B$19,MATCH(C216,Kanallar!$A$5:$A$19,0)),0)))</f>
        <v/>
      </c>
      <c r="J216" s="16" t="str">
        <f aca="false">IF(I216="","",IF(H216="İptal",0,IF(H216="İade",-G216,E216-I216-F216-G216)))</f>
        <v/>
      </c>
    </row>
    <row r="217" customFormat="false" ht="15" hidden="false" customHeight="false" outlineLevel="0" collapsed="false">
      <c r="A217" s="12"/>
      <c r="B217" s="13"/>
      <c r="C217" s="14"/>
      <c r="D217" s="13"/>
      <c r="E217" s="15"/>
      <c r="F217" s="15"/>
      <c r="G217" s="15"/>
      <c r="H217" s="14"/>
      <c r="I217" s="16" t="str">
        <f aca="false">IF(OR(A217="",C217=""),"",IF(OR(H217="İade",H217="İptal"),0,E217*IFERROR(INDEX(Kanallar!$B$5:$B$19,MATCH(C217,Kanallar!$A$5:$A$19,0)),0)))</f>
        <v/>
      </c>
      <c r="J217" s="16" t="str">
        <f aca="false">IF(I217="","",IF(H217="İptal",0,IF(H217="İade",-G217,E217-I217-F217-G217)))</f>
        <v/>
      </c>
    </row>
    <row r="218" customFormat="false" ht="15" hidden="false" customHeight="false" outlineLevel="0" collapsed="false">
      <c r="A218" s="12"/>
      <c r="B218" s="13"/>
      <c r="C218" s="14"/>
      <c r="D218" s="13"/>
      <c r="E218" s="15"/>
      <c r="F218" s="15"/>
      <c r="G218" s="15"/>
      <c r="H218" s="14"/>
      <c r="I218" s="16" t="str">
        <f aca="false">IF(OR(A218="",C218=""),"",IF(OR(H218="İade",H218="İptal"),0,E218*IFERROR(INDEX(Kanallar!$B$5:$B$19,MATCH(C218,Kanallar!$A$5:$A$19,0)),0)))</f>
        <v/>
      </c>
      <c r="J218" s="16" t="str">
        <f aca="false">IF(I218="","",IF(H218="İptal",0,IF(H218="İade",-G218,E218-I218-F218-G218)))</f>
        <v/>
      </c>
    </row>
    <row r="219" customFormat="false" ht="15" hidden="false" customHeight="false" outlineLevel="0" collapsed="false">
      <c r="A219" s="12"/>
      <c r="B219" s="13"/>
      <c r="C219" s="14"/>
      <c r="D219" s="13"/>
      <c r="E219" s="15"/>
      <c r="F219" s="15"/>
      <c r="G219" s="15"/>
      <c r="H219" s="14"/>
      <c r="I219" s="16" t="str">
        <f aca="false">IF(OR(A219="",C219=""),"",IF(OR(H219="İade",H219="İptal"),0,E219*IFERROR(INDEX(Kanallar!$B$5:$B$19,MATCH(C219,Kanallar!$A$5:$A$19,0)),0)))</f>
        <v/>
      </c>
      <c r="J219" s="16" t="str">
        <f aca="false">IF(I219="","",IF(H219="İptal",0,IF(H219="İade",-G219,E219-I219-F219-G219)))</f>
        <v/>
      </c>
    </row>
    <row r="220" customFormat="false" ht="15" hidden="false" customHeight="false" outlineLevel="0" collapsed="false">
      <c r="A220" s="12"/>
      <c r="B220" s="13"/>
      <c r="C220" s="14"/>
      <c r="D220" s="13"/>
      <c r="E220" s="15"/>
      <c r="F220" s="15"/>
      <c r="G220" s="15"/>
      <c r="H220" s="14"/>
      <c r="I220" s="16" t="str">
        <f aca="false">IF(OR(A220="",C220=""),"",IF(OR(H220="İade",H220="İptal"),0,E220*IFERROR(INDEX(Kanallar!$B$5:$B$19,MATCH(C220,Kanallar!$A$5:$A$19,0)),0)))</f>
        <v/>
      </c>
      <c r="J220" s="16" t="str">
        <f aca="false">IF(I220="","",IF(H220="İptal",0,IF(H220="İade",-G220,E220-I220-F220-G220)))</f>
        <v/>
      </c>
    </row>
    <row r="221" customFormat="false" ht="15" hidden="false" customHeight="false" outlineLevel="0" collapsed="false">
      <c r="A221" s="12"/>
      <c r="B221" s="13"/>
      <c r="C221" s="14"/>
      <c r="D221" s="13"/>
      <c r="E221" s="15"/>
      <c r="F221" s="15"/>
      <c r="G221" s="15"/>
      <c r="H221" s="14"/>
      <c r="I221" s="16" t="str">
        <f aca="false">IF(OR(A221="",C221=""),"",IF(OR(H221="İade",H221="İptal"),0,E221*IFERROR(INDEX(Kanallar!$B$5:$B$19,MATCH(C221,Kanallar!$A$5:$A$19,0)),0)))</f>
        <v/>
      </c>
      <c r="J221" s="16" t="str">
        <f aca="false">IF(I221="","",IF(H221="İptal",0,IF(H221="İade",-G221,E221-I221-F221-G221)))</f>
        <v/>
      </c>
    </row>
    <row r="222" customFormat="false" ht="15" hidden="false" customHeight="false" outlineLevel="0" collapsed="false">
      <c r="A222" s="12"/>
      <c r="B222" s="13"/>
      <c r="C222" s="14"/>
      <c r="D222" s="13"/>
      <c r="E222" s="15"/>
      <c r="F222" s="15"/>
      <c r="G222" s="15"/>
      <c r="H222" s="14"/>
      <c r="I222" s="16" t="str">
        <f aca="false">IF(OR(A222="",C222=""),"",IF(OR(H222="İade",H222="İptal"),0,E222*IFERROR(INDEX(Kanallar!$B$5:$B$19,MATCH(C222,Kanallar!$A$5:$A$19,0)),0)))</f>
        <v/>
      </c>
      <c r="J222" s="16" t="str">
        <f aca="false">IF(I222="","",IF(H222="İptal",0,IF(H222="İade",-G222,E222-I222-F222-G222)))</f>
        <v/>
      </c>
    </row>
    <row r="223" customFormat="false" ht="15" hidden="false" customHeight="false" outlineLevel="0" collapsed="false">
      <c r="A223" s="12"/>
      <c r="B223" s="13"/>
      <c r="C223" s="14"/>
      <c r="D223" s="13"/>
      <c r="E223" s="15"/>
      <c r="F223" s="15"/>
      <c r="G223" s="15"/>
      <c r="H223" s="14"/>
      <c r="I223" s="16" t="str">
        <f aca="false">IF(OR(A223="",C223=""),"",IF(OR(H223="İade",H223="İptal"),0,E223*IFERROR(INDEX(Kanallar!$B$5:$B$19,MATCH(C223,Kanallar!$A$5:$A$19,0)),0)))</f>
        <v/>
      </c>
      <c r="J223" s="16" t="str">
        <f aca="false">IF(I223="","",IF(H223="İptal",0,IF(H223="İade",-G223,E223-I223-F223-G223)))</f>
        <v/>
      </c>
    </row>
    <row r="224" customFormat="false" ht="15" hidden="false" customHeight="false" outlineLevel="0" collapsed="false">
      <c r="A224" s="12"/>
      <c r="B224" s="13"/>
      <c r="C224" s="14"/>
      <c r="D224" s="13"/>
      <c r="E224" s="15"/>
      <c r="F224" s="15"/>
      <c r="G224" s="15"/>
      <c r="H224" s="14"/>
      <c r="I224" s="16" t="str">
        <f aca="false">IF(OR(A224="",C224=""),"",IF(OR(H224="İade",H224="İptal"),0,E224*IFERROR(INDEX(Kanallar!$B$5:$B$19,MATCH(C224,Kanallar!$A$5:$A$19,0)),0)))</f>
        <v/>
      </c>
      <c r="J224" s="16" t="str">
        <f aca="false">IF(I224="","",IF(H224="İptal",0,IF(H224="İade",-G224,E224-I224-F224-G224)))</f>
        <v/>
      </c>
    </row>
    <row r="225" customFormat="false" ht="15" hidden="false" customHeight="false" outlineLevel="0" collapsed="false">
      <c r="A225" s="12"/>
      <c r="B225" s="13"/>
      <c r="C225" s="14"/>
      <c r="D225" s="13"/>
      <c r="E225" s="15"/>
      <c r="F225" s="15"/>
      <c r="G225" s="15"/>
      <c r="H225" s="14"/>
      <c r="I225" s="16" t="str">
        <f aca="false">IF(OR(A225="",C225=""),"",IF(OR(H225="İade",H225="İptal"),0,E225*IFERROR(INDEX(Kanallar!$B$5:$B$19,MATCH(C225,Kanallar!$A$5:$A$19,0)),0)))</f>
        <v/>
      </c>
      <c r="J225" s="16" t="str">
        <f aca="false">IF(I225="","",IF(H225="İptal",0,IF(H225="İade",-G225,E225-I225-F225-G225)))</f>
        <v/>
      </c>
    </row>
    <row r="226" customFormat="false" ht="15" hidden="false" customHeight="false" outlineLevel="0" collapsed="false">
      <c r="A226" s="12"/>
      <c r="B226" s="13"/>
      <c r="C226" s="14"/>
      <c r="D226" s="13"/>
      <c r="E226" s="15"/>
      <c r="F226" s="15"/>
      <c r="G226" s="15"/>
      <c r="H226" s="14"/>
      <c r="I226" s="16" t="str">
        <f aca="false">IF(OR(A226="",C226=""),"",IF(OR(H226="İade",H226="İptal"),0,E226*IFERROR(INDEX(Kanallar!$B$5:$B$19,MATCH(C226,Kanallar!$A$5:$A$19,0)),0)))</f>
        <v/>
      </c>
      <c r="J226" s="16" t="str">
        <f aca="false">IF(I226="","",IF(H226="İptal",0,IF(H226="İade",-G226,E226-I226-F226-G226)))</f>
        <v/>
      </c>
    </row>
    <row r="227" customFormat="false" ht="15" hidden="false" customHeight="false" outlineLevel="0" collapsed="false">
      <c r="A227" s="12"/>
      <c r="B227" s="13"/>
      <c r="C227" s="14"/>
      <c r="D227" s="13"/>
      <c r="E227" s="15"/>
      <c r="F227" s="15"/>
      <c r="G227" s="15"/>
      <c r="H227" s="14"/>
      <c r="I227" s="16" t="str">
        <f aca="false">IF(OR(A227="",C227=""),"",IF(OR(H227="İade",H227="İptal"),0,E227*IFERROR(INDEX(Kanallar!$B$5:$B$19,MATCH(C227,Kanallar!$A$5:$A$19,0)),0)))</f>
        <v/>
      </c>
      <c r="J227" s="16" t="str">
        <f aca="false">IF(I227="","",IF(H227="İptal",0,IF(H227="İade",-G227,E227-I227-F227-G227)))</f>
        <v/>
      </c>
    </row>
    <row r="228" customFormat="false" ht="15" hidden="false" customHeight="false" outlineLevel="0" collapsed="false">
      <c r="A228" s="12"/>
      <c r="B228" s="13"/>
      <c r="C228" s="14"/>
      <c r="D228" s="13"/>
      <c r="E228" s="15"/>
      <c r="F228" s="15"/>
      <c r="G228" s="15"/>
      <c r="H228" s="14"/>
      <c r="I228" s="16" t="str">
        <f aca="false">IF(OR(A228="",C228=""),"",IF(OR(H228="İade",H228="İptal"),0,E228*IFERROR(INDEX(Kanallar!$B$5:$B$19,MATCH(C228,Kanallar!$A$5:$A$19,0)),0)))</f>
        <v/>
      </c>
      <c r="J228" s="16" t="str">
        <f aca="false">IF(I228="","",IF(H228="İptal",0,IF(H228="İade",-G228,E228-I228-F228-G228)))</f>
        <v/>
      </c>
    </row>
    <row r="229" customFormat="false" ht="15" hidden="false" customHeight="false" outlineLevel="0" collapsed="false">
      <c r="A229" s="12"/>
      <c r="B229" s="13"/>
      <c r="C229" s="14"/>
      <c r="D229" s="13"/>
      <c r="E229" s="15"/>
      <c r="F229" s="15"/>
      <c r="G229" s="15"/>
      <c r="H229" s="14"/>
      <c r="I229" s="16" t="str">
        <f aca="false">IF(OR(A229="",C229=""),"",IF(OR(H229="İade",H229="İptal"),0,E229*IFERROR(INDEX(Kanallar!$B$5:$B$19,MATCH(C229,Kanallar!$A$5:$A$19,0)),0)))</f>
        <v/>
      </c>
      <c r="J229" s="16" t="str">
        <f aca="false">IF(I229="","",IF(H229="İptal",0,IF(H229="İade",-G229,E229-I229-F229-G229)))</f>
        <v/>
      </c>
    </row>
    <row r="230" customFormat="false" ht="15" hidden="false" customHeight="false" outlineLevel="0" collapsed="false">
      <c r="A230" s="12"/>
      <c r="B230" s="13"/>
      <c r="C230" s="14"/>
      <c r="D230" s="13"/>
      <c r="E230" s="15"/>
      <c r="F230" s="15"/>
      <c r="G230" s="15"/>
      <c r="H230" s="14"/>
      <c r="I230" s="16" t="str">
        <f aca="false">IF(OR(A230="",C230=""),"",IF(OR(H230="İade",H230="İptal"),0,E230*IFERROR(INDEX(Kanallar!$B$5:$B$19,MATCH(C230,Kanallar!$A$5:$A$19,0)),0)))</f>
        <v/>
      </c>
      <c r="J230" s="16" t="str">
        <f aca="false">IF(I230="","",IF(H230="İptal",0,IF(H230="İade",-G230,E230-I230-F230-G230)))</f>
        <v/>
      </c>
    </row>
    <row r="231" customFormat="false" ht="15" hidden="false" customHeight="false" outlineLevel="0" collapsed="false">
      <c r="A231" s="12"/>
      <c r="B231" s="13"/>
      <c r="C231" s="14"/>
      <c r="D231" s="13"/>
      <c r="E231" s="15"/>
      <c r="F231" s="15"/>
      <c r="G231" s="15"/>
      <c r="H231" s="14"/>
      <c r="I231" s="16" t="str">
        <f aca="false">IF(OR(A231="",C231=""),"",IF(OR(H231="İade",H231="İptal"),0,E231*IFERROR(INDEX(Kanallar!$B$5:$B$19,MATCH(C231,Kanallar!$A$5:$A$19,0)),0)))</f>
        <v/>
      </c>
      <c r="J231" s="16" t="str">
        <f aca="false">IF(I231="","",IF(H231="İptal",0,IF(H231="İade",-G231,E231-I231-F231-G231)))</f>
        <v/>
      </c>
    </row>
    <row r="232" customFormat="false" ht="15" hidden="false" customHeight="false" outlineLevel="0" collapsed="false">
      <c r="A232" s="12"/>
      <c r="B232" s="13"/>
      <c r="C232" s="14"/>
      <c r="D232" s="13"/>
      <c r="E232" s="15"/>
      <c r="F232" s="15"/>
      <c r="G232" s="15"/>
      <c r="H232" s="14"/>
      <c r="I232" s="16" t="str">
        <f aca="false">IF(OR(A232="",C232=""),"",IF(OR(H232="İade",H232="İptal"),0,E232*IFERROR(INDEX(Kanallar!$B$5:$B$19,MATCH(C232,Kanallar!$A$5:$A$19,0)),0)))</f>
        <v/>
      </c>
      <c r="J232" s="16" t="str">
        <f aca="false">IF(I232="","",IF(H232="İptal",0,IF(H232="İade",-G232,E232-I232-F232-G232)))</f>
        <v/>
      </c>
    </row>
    <row r="233" customFormat="false" ht="15" hidden="false" customHeight="false" outlineLevel="0" collapsed="false">
      <c r="A233" s="12"/>
      <c r="B233" s="13"/>
      <c r="C233" s="14"/>
      <c r="D233" s="13"/>
      <c r="E233" s="15"/>
      <c r="F233" s="15"/>
      <c r="G233" s="15"/>
      <c r="H233" s="14"/>
      <c r="I233" s="16" t="str">
        <f aca="false">IF(OR(A233="",C233=""),"",IF(OR(H233="İade",H233="İptal"),0,E233*IFERROR(INDEX(Kanallar!$B$5:$B$19,MATCH(C233,Kanallar!$A$5:$A$19,0)),0)))</f>
        <v/>
      </c>
      <c r="J233" s="16" t="str">
        <f aca="false">IF(I233="","",IF(H233="İptal",0,IF(H233="İade",-G233,E233-I233-F233-G233)))</f>
        <v/>
      </c>
    </row>
    <row r="234" customFormat="false" ht="15" hidden="false" customHeight="false" outlineLevel="0" collapsed="false">
      <c r="A234" s="12"/>
      <c r="B234" s="13"/>
      <c r="C234" s="14"/>
      <c r="D234" s="13"/>
      <c r="E234" s="15"/>
      <c r="F234" s="15"/>
      <c r="G234" s="15"/>
      <c r="H234" s="14"/>
      <c r="I234" s="16" t="str">
        <f aca="false">IF(OR(A234="",C234=""),"",IF(OR(H234="İade",H234="İptal"),0,E234*IFERROR(INDEX(Kanallar!$B$5:$B$19,MATCH(C234,Kanallar!$A$5:$A$19,0)),0)))</f>
        <v/>
      </c>
      <c r="J234" s="16" t="str">
        <f aca="false">IF(I234="","",IF(H234="İptal",0,IF(H234="İade",-G234,E234-I234-F234-G234)))</f>
        <v/>
      </c>
    </row>
    <row r="235" customFormat="false" ht="15" hidden="false" customHeight="false" outlineLevel="0" collapsed="false">
      <c r="A235" s="12"/>
      <c r="B235" s="13"/>
      <c r="C235" s="14"/>
      <c r="D235" s="13"/>
      <c r="E235" s="15"/>
      <c r="F235" s="15"/>
      <c r="G235" s="15"/>
      <c r="H235" s="14"/>
      <c r="I235" s="16" t="str">
        <f aca="false">IF(OR(A235="",C235=""),"",IF(OR(H235="İade",H235="İptal"),0,E235*IFERROR(INDEX(Kanallar!$B$5:$B$19,MATCH(C235,Kanallar!$A$5:$A$19,0)),0)))</f>
        <v/>
      </c>
      <c r="J235" s="16" t="str">
        <f aca="false">IF(I235="","",IF(H235="İptal",0,IF(H235="İade",-G235,E235-I235-F235-G235)))</f>
        <v/>
      </c>
    </row>
    <row r="236" customFormat="false" ht="15" hidden="false" customHeight="false" outlineLevel="0" collapsed="false">
      <c r="A236" s="12"/>
      <c r="B236" s="13"/>
      <c r="C236" s="14"/>
      <c r="D236" s="13"/>
      <c r="E236" s="15"/>
      <c r="F236" s="15"/>
      <c r="G236" s="15"/>
      <c r="H236" s="14"/>
      <c r="I236" s="16" t="str">
        <f aca="false">IF(OR(A236="",C236=""),"",IF(OR(H236="İade",H236="İptal"),0,E236*IFERROR(INDEX(Kanallar!$B$5:$B$19,MATCH(C236,Kanallar!$A$5:$A$19,0)),0)))</f>
        <v/>
      </c>
      <c r="J236" s="16" t="str">
        <f aca="false">IF(I236="","",IF(H236="İptal",0,IF(H236="İade",-G236,E236-I236-F236-G236)))</f>
        <v/>
      </c>
    </row>
    <row r="237" customFormat="false" ht="15" hidden="false" customHeight="false" outlineLevel="0" collapsed="false">
      <c r="A237" s="12"/>
      <c r="B237" s="13"/>
      <c r="C237" s="14"/>
      <c r="D237" s="13"/>
      <c r="E237" s="15"/>
      <c r="F237" s="15"/>
      <c r="G237" s="15"/>
      <c r="H237" s="14"/>
      <c r="I237" s="16" t="str">
        <f aca="false">IF(OR(A237="",C237=""),"",IF(OR(H237="İade",H237="İptal"),0,E237*IFERROR(INDEX(Kanallar!$B$5:$B$19,MATCH(C237,Kanallar!$A$5:$A$19,0)),0)))</f>
        <v/>
      </c>
      <c r="J237" s="16" t="str">
        <f aca="false">IF(I237="","",IF(H237="İptal",0,IF(H237="İade",-G237,E237-I237-F237-G237)))</f>
        <v/>
      </c>
    </row>
    <row r="238" customFormat="false" ht="15" hidden="false" customHeight="false" outlineLevel="0" collapsed="false">
      <c r="A238" s="12"/>
      <c r="B238" s="13"/>
      <c r="C238" s="14"/>
      <c r="D238" s="13"/>
      <c r="E238" s="15"/>
      <c r="F238" s="15"/>
      <c r="G238" s="15"/>
      <c r="H238" s="14"/>
      <c r="I238" s="16" t="str">
        <f aca="false">IF(OR(A238="",C238=""),"",IF(OR(H238="İade",H238="İptal"),0,E238*IFERROR(INDEX(Kanallar!$B$5:$B$19,MATCH(C238,Kanallar!$A$5:$A$19,0)),0)))</f>
        <v/>
      </c>
      <c r="J238" s="16" t="str">
        <f aca="false">IF(I238="","",IF(H238="İptal",0,IF(H238="İade",-G238,E238-I238-F238-G238)))</f>
        <v/>
      </c>
    </row>
    <row r="239" customFormat="false" ht="15" hidden="false" customHeight="false" outlineLevel="0" collapsed="false">
      <c r="A239" s="12"/>
      <c r="B239" s="13"/>
      <c r="C239" s="14"/>
      <c r="D239" s="13"/>
      <c r="E239" s="15"/>
      <c r="F239" s="15"/>
      <c r="G239" s="15"/>
      <c r="H239" s="14"/>
      <c r="I239" s="16" t="str">
        <f aca="false">IF(OR(A239="",C239=""),"",IF(OR(H239="İade",H239="İptal"),0,E239*IFERROR(INDEX(Kanallar!$B$5:$B$19,MATCH(C239,Kanallar!$A$5:$A$19,0)),0)))</f>
        <v/>
      </c>
      <c r="J239" s="16" t="str">
        <f aca="false">IF(I239="","",IF(H239="İptal",0,IF(H239="İade",-G239,E239-I239-F239-G239)))</f>
        <v/>
      </c>
    </row>
    <row r="240" customFormat="false" ht="15" hidden="false" customHeight="false" outlineLevel="0" collapsed="false">
      <c r="A240" s="12"/>
      <c r="B240" s="13"/>
      <c r="C240" s="14"/>
      <c r="D240" s="13"/>
      <c r="E240" s="15"/>
      <c r="F240" s="15"/>
      <c r="G240" s="15"/>
      <c r="H240" s="14"/>
      <c r="I240" s="16" t="str">
        <f aca="false">IF(OR(A240="",C240=""),"",IF(OR(H240="İade",H240="İptal"),0,E240*IFERROR(INDEX(Kanallar!$B$5:$B$19,MATCH(C240,Kanallar!$A$5:$A$19,0)),0)))</f>
        <v/>
      </c>
      <c r="J240" s="16" t="str">
        <f aca="false">IF(I240="","",IF(H240="İptal",0,IF(H240="İade",-G240,E240-I240-F240-G240)))</f>
        <v/>
      </c>
    </row>
    <row r="241" customFormat="false" ht="15" hidden="false" customHeight="false" outlineLevel="0" collapsed="false">
      <c r="A241" s="12"/>
      <c r="B241" s="13"/>
      <c r="C241" s="14"/>
      <c r="D241" s="13"/>
      <c r="E241" s="15"/>
      <c r="F241" s="15"/>
      <c r="G241" s="15"/>
      <c r="H241" s="14"/>
      <c r="I241" s="16" t="str">
        <f aca="false">IF(OR(A241="",C241=""),"",IF(OR(H241="İade",H241="İptal"),0,E241*IFERROR(INDEX(Kanallar!$B$5:$B$19,MATCH(C241,Kanallar!$A$5:$A$19,0)),0)))</f>
        <v/>
      </c>
      <c r="J241" s="16" t="str">
        <f aca="false">IF(I241="","",IF(H241="İptal",0,IF(H241="İade",-G241,E241-I241-F241-G241)))</f>
        <v/>
      </c>
    </row>
    <row r="242" customFormat="false" ht="15" hidden="false" customHeight="false" outlineLevel="0" collapsed="false">
      <c r="A242" s="12"/>
      <c r="B242" s="13"/>
      <c r="C242" s="14"/>
      <c r="D242" s="13"/>
      <c r="E242" s="15"/>
      <c r="F242" s="15"/>
      <c r="G242" s="15"/>
      <c r="H242" s="14"/>
      <c r="I242" s="16" t="str">
        <f aca="false">IF(OR(A242="",C242=""),"",IF(OR(H242="İade",H242="İptal"),0,E242*IFERROR(INDEX(Kanallar!$B$5:$B$19,MATCH(C242,Kanallar!$A$5:$A$19,0)),0)))</f>
        <v/>
      </c>
      <c r="J242" s="16" t="str">
        <f aca="false">IF(I242="","",IF(H242="İptal",0,IF(H242="İade",-G242,E242-I242-F242-G242)))</f>
        <v/>
      </c>
    </row>
    <row r="243" customFormat="false" ht="15" hidden="false" customHeight="false" outlineLevel="0" collapsed="false">
      <c r="A243" s="12"/>
      <c r="B243" s="13"/>
      <c r="C243" s="14"/>
      <c r="D243" s="13"/>
      <c r="E243" s="15"/>
      <c r="F243" s="15"/>
      <c r="G243" s="15"/>
      <c r="H243" s="14"/>
      <c r="I243" s="16" t="str">
        <f aca="false">IF(OR(A243="",C243=""),"",IF(OR(H243="İade",H243="İptal"),0,E243*IFERROR(INDEX(Kanallar!$B$5:$B$19,MATCH(C243,Kanallar!$A$5:$A$19,0)),0)))</f>
        <v/>
      </c>
      <c r="J243" s="16" t="str">
        <f aca="false">IF(I243="","",IF(H243="İptal",0,IF(H243="İade",-G243,E243-I243-F243-G243)))</f>
        <v/>
      </c>
    </row>
    <row r="244" customFormat="false" ht="15" hidden="false" customHeight="false" outlineLevel="0" collapsed="false">
      <c r="A244" s="12"/>
      <c r="B244" s="13"/>
      <c r="C244" s="14"/>
      <c r="D244" s="13"/>
      <c r="E244" s="15"/>
      <c r="F244" s="15"/>
      <c r="G244" s="15"/>
      <c r="H244" s="14"/>
      <c r="I244" s="16" t="str">
        <f aca="false">IF(OR(A244="",C244=""),"",IF(OR(H244="İade",H244="İptal"),0,E244*IFERROR(INDEX(Kanallar!$B$5:$B$19,MATCH(C244,Kanallar!$A$5:$A$19,0)),0)))</f>
        <v/>
      </c>
      <c r="J244" s="16" t="str">
        <f aca="false">IF(I244="","",IF(H244="İptal",0,IF(H244="İade",-G244,E244-I244-F244-G244)))</f>
        <v/>
      </c>
    </row>
    <row r="245" customFormat="false" ht="15" hidden="false" customHeight="false" outlineLevel="0" collapsed="false">
      <c r="A245" s="12"/>
      <c r="B245" s="13"/>
      <c r="C245" s="14"/>
      <c r="D245" s="13"/>
      <c r="E245" s="15"/>
      <c r="F245" s="15"/>
      <c r="G245" s="15"/>
      <c r="H245" s="14"/>
      <c r="I245" s="16" t="str">
        <f aca="false">IF(OR(A245="",C245=""),"",IF(OR(H245="İade",H245="İptal"),0,E245*IFERROR(INDEX(Kanallar!$B$5:$B$19,MATCH(C245,Kanallar!$A$5:$A$19,0)),0)))</f>
        <v/>
      </c>
      <c r="J245" s="16" t="str">
        <f aca="false">IF(I245="","",IF(H245="İptal",0,IF(H245="İade",-G245,E245-I245-F245-G245)))</f>
        <v/>
      </c>
    </row>
    <row r="246" customFormat="false" ht="15" hidden="false" customHeight="false" outlineLevel="0" collapsed="false">
      <c r="A246" s="12"/>
      <c r="B246" s="13"/>
      <c r="C246" s="14"/>
      <c r="D246" s="13"/>
      <c r="E246" s="15"/>
      <c r="F246" s="15"/>
      <c r="G246" s="15"/>
      <c r="H246" s="14"/>
      <c r="I246" s="16" t="str">
        <f aca="false">IF(OR(A246="",C246=""),"",IF(OR(H246="İade",H246="İptal"),0,E246*IFERROR(INDEX(Kanallar!$B$5:$B$19,MATCH(C246,Kanallar!$A$5:$A$19,0)),0)))</f>
        <v/>
      </c>
      <c r="J246" s="16" t="str">
        <f aca="false">IF(I246="","",IF(H246="İptal",0,IF(H246="İade",-G246,E246-I246-F246-G246)))</f>
        <v/>
      </c>
    </row>
    <row r="247" customFormat="false" ht="15" hidden="false" customHeight="false" outlineLevel="0" collapsed="false">
      <c r="A247" s="12"/>
      <c r="B247" s="13"/>
      <c r="C247" s="14"/>
      <c r="D247" s="13"/>
      <c r="E247" s="15"/>
      <c r="F247" s="15"/>
      <c r="G247" s="15"/>
      <c r="H247" s="14"/>
      <c r="I247" s="16" t="str">
        <f aca="false">IF(OR(A247="",C247=""),"",IF(OR(H247="İade",H247="İptal"),0,E247*IFERROR(INDEX(Kanallar!$B$5:$B$19,MATCH(C247,Kanallar!$A$5:$A$19,0)),0)))</f>
        <v/>
      </c>
      <c r="J247" s="16" t="str">
        <f aca="false">IF(I247="","",IF(H247="İptal",0,IF(H247="İade",-G247,E247-I247-F247-G247)))</f>
        <v/>
      </c>
    </row>
    <row r="248" customFormat="false" ht="15" hidden="false" customHeight="false" outlineLevel="0" collapsed="false">
      <c r="A248" s="12"/>
      <c r="B248" s="13"/>
      <c r="C248" s="14"/>
      <c r="D248" s="13"/>
      <c r="E248" s="15"/>
      <c r="F248" s="15"/>
      <c r="G248" s="15"/>
      <c r="H248" s="14"/>
      <c r="I248" s="16" t="str">
        <f aca="false">IF(OR(A248="",C248=""),"",IF(OR(H248="İade",H248="İptal"),0,E248*IFERROR(INDEX(Kanallar!$B$5:$B$19,MATCH(C248,Kanallar!$A$5:$A$19,0)),0)))</f>
        <v/>
      </c>
      <c r="J248" s="16" t="str">
        <f aca="false">IF(I248="","",IF(H248="İptal",0,IF(H248="İade",-G248,E248-I248-F248-G248)))</f>
        <v/>
      </c>
    </row>
    <row r="249" customFormat="false" ht="15" hidden="false" customHeight="false" outlineLevel="0" collapsed="false">
      <c r="A249" s="12"/>
      <c r="B249" s="13"/>
      <c r="C249" s="14"/>
      <c r="D249" s="13"/>
      <c r="E249" s="15"/>
      <c r="F249" s="15"/>
      <c r="G249" s="15"/>
      <c r="H249" s="14"/>
      <c r="I249" s="16" t="str">
        <f aca="false">IF(OR(A249="",C249=""),"",IF(OR(H249="İade",H249="İptal"),0,E249*IFERROR(INDEX(Kanallar!$B$5:$B$19,MATCH(C249,Kanallar!$A$5:$A$19,0)),0)))</f>
        <v/>
      </c>
      <c r="J249" s="16" t="str">
        <f aca="false">IF(I249="","",IF(H249="İptal",0,IF(H249="İade",-G249,E249-I249-F249-G249)))</f>
        <v/>
      </c>
    </row>
    <row r="250" customFormat="false" ht="15" hidden="false" customHeight="false" outlineLevel="0" collapsed="false">
      <c r="A250" s="12"/>
      <c r="B250" s="13"/>
      <c r="C250" s="14"/>
      <c r="D250" s="13"/>
      <c r="E250" s="15"/>
      <c r="F250" s="15"/>
      <c r="G250" s="15"/>
      <c r="H250" s="14"/>
      <c r="I250" s="16" t="str">
        <f aca="false">IF(OR(A250="",C250=""),"",IF(OR(H250="İade",H250="İptal"),0,E250*IFERROR(INDEX(Kanallar!$B$5:$B$19,MATCH(C250,Kanallar!$A$5:$A$19,0)),0)))</f>
        <v/>
      </c>
      <c r="J250" s="16" t="str">
        <f aca="false">IF(I250="","",IF(H250="İptal",0,IF(H250="İade",-G250,E250-I250-F250-G250)))</f>
        <v/>
      </c>
    </row>
    <row r="251" customFormat="false" ht="15" hidden="false" customHeight="false" outlineLevel="0" collapsed="false">
      <c r="A251" s="12"/>
      <c r="B251" s="13"/>
      <c r="C251" s="14"/>
      <c r="D251" s="13"/>
      <c r="E251" s="15"/>
      <c r="F251" s="15"/>
      <c r="G251" s="15"/>
      <c r="H251" s="14"/>
      <c r="I251" s="16" t="str">
        <f aca="false">IF(OR(A251="",C251=""),"",IF(OR(H251="İade",H251="İptal"),0,E251*IFERROR(INDEX(Kanallar!$B$5:$B$19,MATCH(C251,Kanallar!$A$5:$A$19,0)),0)))</f>
        <v/>
      </c>
      <c r="J251" s="16" t="str">
        <f aca="false">IF(I251="","",IF(H251="İptal",0,IF(H251="İade",-G251,E251-I251-F251-G251)))</f>
        <v/>
      </c>
    </row>
    <row r="252" customFormat="false" ht="15" hidden="false" customHeight="false" outlineLevel="0" collapsed="false">
      <c r="A252" s="12"/>
      <c r="B252" s="13"/>
      <c r="C252" s="14"/>
      <c r="D252" s="13"/>
      <c r="E252" s="15"/>
      <c r="F252" s="15"/>
      <c r="G252" s="15"/>
      <c r="H252" s="14"/>
      <c r="I252" s="16" t="str">
        <f aca="false">IF(OR(A252="",C252=""),"",IF(OR(H252="İade",H252="İptal"),0,E252*IFERROR(INDEX(Kanallar!$B$5:$B$19,MATCH(C252,Kanallar!$A$5:$A$19,0)),0)))</f>
        <v/>
      </c>
      <c r="J252" s="16" t="str">
        <f aca="false">IF(I252="","",IF(H252="İptal",0,IF(H252="İade",-G252,E252-I252-F252-G252)))</f>
        <v/>
      </c>
    </row>
    <row r="253" customFormat="false" ht="15" hidden="false" customHeight="false" outlineLevel="0" collapsed="false">
      <c r="A253" s="12"/>
      <c r="B253" s="13"/>
      <c r="C253" s="14"/>
      <c r="D253" s="13"/>
      <c r="E253" s="15"/>
      <c r="F253" s="15"/>
      <c r="G253" s="15"/>
      <c r="H253" s="14"/>
      <c r="I253" s="16" t="str">
        <f aca="false">IF(OR(A253="",C253=""),"",IF(OR(H253="İade",H253="İptal"),0,E253*IFERROR(INDEX(Kanallar!$B$5:$B$19,MATCH(C253,Kanallar!$A$5:$A$19,0)),0)))</f>
        <v/>
      </c>
      <c r="J253" s="16" t="str">
        <f aca="false">IF(I253="","",IF(H253="İptal",0,IF(H253="İade",-G253,E253-I253-F253-G253)))</f>
        <v/>
      </c>
    </row>
    <row r="254" customFormat="false" ht="15" hidden="false" customHeight="false" outlineLevel="0" collapsed="false">
      <c r="A254" s="12"/>
      <c r="B254" s="13"/>
      <c r="C254" s="14"/>
      <c r="D254" s="13"/>
      <c r="E254" s="15"/>
      <c r="F254" s="15"/>
      <c r="G254" s="15"/>
      <c r="H254" s="14"/>
      <c r="I254" s="16" t="str">
        <f aca="false">IF(OR(A254="",C254=""),"",IF(OR(H254="İade",H254="İptal"),0,E254*IFERROR(INDEX(Kanallar!$B$5:$B$19,MATCH(C254,Kanallar!$A$5:$A$19,0)),0)))</f>
        <v/>
      </c>
      <c r="J254" s="16" t="str">
        <f aca="false">IF(I254="","",IF(H254="İptal",0,IF(H254="İade",-G254,E254-I254-F254-G254)))</f>
        <v/>
      </c>
    </row>
    <row r="255" customFormat="false" ht="15" hidden="false" customHeight="false" outlineLevel="0" collapsed="false">
      <c r="A255" s="12"/>
      <c r="B255" s="13"/>
      <c r="C255" s="14"/>
      <c r="D255" s="13"/>
      <c r="E255" s="15"/>
      <c r="F255" s="15"/>
      <c r="G255" s="15"/>
      <c r="H255" s="14"/>
      <c r="I255" s="16" t="str">
        <f aca="false">IF(OR(A255="",C255=""),"",IF(OR(H255="İade",H255="İptal"),0,E255*IFERROR(INDEX(Kanallar!$B$5:$B$19,MATCH(C255,Kanallar!$A$5:$A$19,0)),0)))</f>
        <v/>
      </c>
      <c r="J255" s="16" t="str">
        <f aca="false">IF(I255="","",IF(H255="İptal",0,IF(H255="İade",-G255,E255-I255-F255-G255)))</f>
        <v/>
      </c>
    </row>
    <row r="256" customFormat="false" ht="15" hidden="false" customHeight="false" outlineLevel="0" collapsed="false">
      <c r="A256" s="12"/>
      <c r="B256" s="13"/>
      <c r="C256" s="14"/>
      <c r="D256" s="13"/>
      <c r="E256" s="15"/>
      <c r="F256" s="15"/>
      <c r="G256" s="15"/>
      <c r="H256" s="14"/>
      <c r="I256" s="16" t="str">
        <f aca="false">IF(OR(A256="",C256=""),"",IF(OR(H256="İade",H256="İptal"),0,E256*IFERROR(INDEX(Kanallar!$B$5:$B$19,MATCH(C256,Kanallar!$A$5:$A$19,0)),0)))</f>
        <v/>
      </c>
      <c r="J256" s="16" t="str">
        <f aca="false">IF(I256="","",IF(H256="İptal",0,IF(H256="İade",-G256,E256-I256-F256-G256)))</f>
        <v/>
      </c>
    </row>
    <row r="257" customFormat="false" ht="15" hidden="false" customHeight="false" outlineLevel="0" collapsed="false">
      <c r="A257" s="12"/>
      <c r="B257" s="13"/>
      <c r="C257" s="14"/>
      <c r="D257" s="13"/>
      <c r="E257" s="15"/>
      <c r="F257" s="15"/>
      <c r="G257" s="15"/>
      <c r="H257" s="14"/>
      <c r="I257" s="16" t="str">
        <f aca="false">IF(OR(A257="",C257=""),"",IF(OR(H257="İade",H257="İptal"),0,E257*IFERROR(INDEX(Kanallar!$B$5:$B$19,MATCH(C257,Kanallar!$A$5:$A$19,0)),0)))</f>
        <v/>
      </c>
      <c r="J257" s="16" t="str">
        <f aca="false">IF(I257="","",IF(H257="İptal",0,IF(H257="İade",-G257,E257-I257-F257-G257)))</f>
        <v/>
      </c>
    </row>
    <row r="258" customFormat="false" ht="15" hidden="false" customHeight="false" outlineLevel="0" collapsed="false">
      <c r="A258" s="12"/>
      <c r="B258" s="13"/>
      <c r="C258" s="14"/>
      <c r="D258" s="13"/>
      <c r="E258" s="15"/>
      <c r="F258" s="15"/>
      <c r="G258" s="15"/>
      <c r="H258" s="14"/>
      <c r="I258" s="16" t="str">
        <f aca="false">IF(OR(A258="",C258=""),"",IF(OR(H258="İade",H258="İptal"),0,E258*IFERROR(INDEX(Kanallar!$B$5:$B$19,MATCH(C258,Kanallar!$A$5:$A$19,0)),0)))</f>
        <v/>
      </c>
      <c r="J258" s="16" t="str">
        <f aca="false">IF(I258="","",IF(H258="İptal",0,IF(H258="İade",-G258,E258-I258-F258-G258)))</f>
        <v/>
      </c>
    </row>
    <row r="259" customFormat="false" ht="15" hidden="false" customHeight="false" outlineLevel="0" collapsed="false">
      <c r="A259" s="12"/>
      <c r="B259" s="13"/>
      <c r="C259" s="14"/>
      <c r="D259" s="13"/>
      <c r="E259" s="15"/>
      <c r="F259" s="15"/>
      <c r="G259" s="15"/>
      <c r="H259" s="14"/>
      <c r="I259" s="16" t="str">
        <f aca="false">IF(OR(A259="",C259=""),"",IF(OR(H259="İade",H259="İptal"),0,E259*IFERROR(INDEX(Kanallar!$B$5:$B$19,MATCH(C259,Kanallar!$A$5:$A$19,0)),0)))</f>
        <v/>
      </c>
      <c r="J259" s="16" t="str">
        <f aca="false">IF(I259="","",IF(H259="İptal",0,IF(H259="İade",-G259,E259-I259-F259-G259)))</f>
        <v/>
      </c>
    </row>
    <row r="260" customFormat="false" ht="15" hidden="false" customHeight="false" outlineLevel="0" collapsed="false">
      <c r="A260" s="12"/>
      <c r="B260" s="13"/>
      <c r="C260" s="14"/>
      <c r="D260" s="13"/>
      <c r="E260" s="15"/>
      <c r="F260" s="15"/>
      <c r="G260" s="15"/>
      <c r="H260" s="14"/>
      <c r="I260" s="16" t="str">
        <f aca="false">IF(OR(A260="",C260=""),"",IF(OR(H260="İade",H260="İptal"),0,E260*IFERROR(INDEX(Kanallar!$B$5:$B$19,MATCH(C260,Kanallar!$A$5:$A$19,0)),0)))</f>
        <v/>
      </c>
      <c r="J260" s="16" t="str">
        <f aca="false">IF(I260="","",IF(H260="İptal",0,IF(H260="İade",-G260,E260-I260-F260-G260)))</f>
        <v/>
      </c>
    </row>
    <row r="261" customFormat="false" ht="15" hidden="false" customHeight="false" outlineLevel="0" collapsed="false">
      <c r="A261" s="12"/>
      <c r="B261" s="13"/>
      <c r="C261" s="14"/>
      <c r="D261" s="13"/>
      <c r="E261" s="15"/>
      <c r="F261" s="15"/>
      <c r="G261" s="15"/>
      <c r="H261" s="14"/>
      <c r="I261" s="16" t="str">
        <f aca="false">IF(OR(A261="",C261=""),"",IF(OR(H261="İade",H261="İptal"),0,E261*IFERROR(INDEX(Kanallar!$B$5:$B$19,MATCH(C261,Kanallar!$A$5:$A$19,0)),0)))</f>
        <v/>
      </c>
      <c r="J261" s="16" t="str">
        <f aca="false">IF(I261="","",IF(H261="İptal",0,IF(H261="İade",-G261,E261-I261-F261-G261)))</f>
        <v/>
      </c>
    </row>
    <row r="262" customFormat="false" ht="15" hidden="false" customHeight="false" outlineLevel="0" collapsed="false">
      <c r="A262" s="12"/>
      <c r="B262" s="13"/>
      <c r="C262" s="14"/>
      <c r="D262" s="13"/>
      <c r="E262" s="15"/>
      <c r="F262" s="15"/>
      <c r="G262" s="15"/>
      <c r="H262" s="14"/>
      <c r="I262" s="16" t="str">
        <f aca="false">IF(OR(A262="",C262=""),"",IF(OR(H262="İade",H262="İptal"),0,E262*IFERROR(INDEX(Kanallar!$B$5:$B$19,MATCH(C262,Kanallar!$A$5:$A$19,0)),0)))</f>
        <v/>
      </c>
      <c r="J262" s="16" t="str">
        <f aca="false">IF(I262="","",IF(H262="İptal",0,IF(H262="İade",-G262,E262-I262-F262-G262)))</f>
        <v/>
      </c>
    </row>
    <row r="263" customFormat="false" ht="15" hidden="false" customHeight="false" outlineLevel="0" collapsed="false">
      <c r="A263" s="12"/>
      <c r="B263" s="13"/>
      <c r="C263" s="14"/>
      <c r="D263" s="13"/>
      <c r="E263" s="15"/>
      <c r="F263" s="15"/>
      <c r="G263" s="15"/>
      <c r="H263" s="14"/>
      <c r="I263" s="16" t="str">
        <f aca="false">IF(OR(A263="",C263=""),"",IF(OR(H263="İade",H263="İptal"),0,E263*IFERROR(INDEX(Kanallar!$B$5:$B$19,MATCH(C263,Kanallar!$A$5:$A$19,0)),0)))</f>
        <v/>
      </c>
      <c r="J263" s="16" t="str">
        <f aca="false">IF(I263="","",IF(H263="İptal",0,IF(H263="İade",-G263,E263-I263-F263-G263)))</f>
        <v/>
      </c>
    </row>
    <row r="264" customFormat="false" ht="15" hidden="false" customHeight="false" outlineLevel="0" collapsed="false">
      <c r="A264" s="12"/>
      <c r="B264" s="13"/>
      <c r="C264" s="14"/>
      <c r="D264" s="13"/>
      <c r="E264" s="15"/>
      <c r="F264" s="15"/>
      <c r="G264" s="15"/>
      <c r="H264" s="14"/>
      <c r="I264" s="16" t="str">
        <f aca="false">IF(OR(A264="",C264=""),"",IF(OR(H264="İade",H264="İptal"),0,E264*IFERROR(INDEX(Kanallar!$B$5:$B$19,MATCH(C264,Kanallar!$A$5:$A$19,0)),0)))</f>
        <v/>
      </c>
      <c r="J264" s="16" t="str">
        <f aca="false">IF(I264="","",IF(H264="İptal",0,IF(H264="İade",-G264,E264-I264-F264-G264)))</f>
        <v/>
      </c>
    </row>
    <row r="265" customFormat="false" ht="15" hidden="false" customHeight="false" outlineLevel="0" collapsed="false">
      <c r="A265" s="12"/>
      <c r="B265" s="13"/>
      <c r="C265" s="14"/>
      <c r="D265" s="13"/>
      <c r="E265" s="15"/>
      <c r="F265" s="15"/>
      <c r="G265" s="15"/>
      <c r="H265" s="14"/>
      <c r="I265" s="16" t="str">
        <f aca="false">IF(OR(A265="",C265=""),"",IF(OR(H265="İade",H265="İptal"),0,E265*IFERROR(INDEX(Kanallar!$B$5:$B$19,MATCH(C265,Kanallar!$A$5:$A$19,0)),0)))</f>
        <v/>
      </c>
      <c r="J265" s="16" t="str">
        <f aca="false">IF(I265="","",IF(H265="İptal",0,IF(H265="İade",-G265,E265-I265-F265-G265)))</f>
        <v/>
      </c>
    </row>
    <row r="266" customFormat="false" ht="15" hidden="false" customHeight="false" outlineLevel="0" collapsed="false">
      <c r="A266" s="12"/>
      <c r="B266" s="13"/>
      <c r="C266" s="14"/>
      <c r="D266" s="13"/>
      <c r="E266" s="15"/>
      <c r="F266" s="15"/>
      <c r="G266" s="15"/>
      <c r="H266" s="14"/>
      <c r="I266" s="16" t="str">
        <f aca="false">IF(OR(A266="",C266=""),"",IF(OR(H266="İade",H266="İptal"),0,E266*IFERROR(INDEX(Kanallar!$B$5:$B$19,MATCH(C266,Kanallar!$A$5:$A$19,0)),0)))</f>
        <v/>
      </c>
      <c r="J266" s="16" t="str">
        <f aca="false">IF(I266="","",IF(H266="İptal",0,IF(H266="İade",-G266,E266-I266-F266-G266)))</f>
        <v/>
      </c>
    </row>
    <row r="267" customFormat="false" ht="15" hidden="false" customHeight="false" outlineLevel="0" collapsed="false">
      <c r="A267" s="12"/>
      <c r="B267" s="13"/>
      <c r="C267" s="14"/>
      <c r="D267" s="13"/>
      <c r="E267" s="15"/>
      <c r="F267" s="15"/>
      <c r="G267" s="15"/>
      <c r="H267" s="14"/>
      <c r="I267" s="16" t="str">
        <f aca="false">IF(OR(A267="",C267=""),"",IF(OR(H267="İade",H267="İptal"),0,E267*IFERROR(INDEX(Kanallar!$B$5:$B$19,MATCH(C267,Kanallar!$A$5:$A$19,0)),0)))</f>
        <v/>
      </c>
      <c r="J267" s="16" t="str">
        <f aca="false">IF(I267="","",IF(H267="İptal",0,IF(H267="İade",-G267,E267-I267-F267-G267)))</f>
        <v/>
      </c>
    </row>
    <row r="268" customFormat="false" ht="15" hidden="false" customHeight="false" outlineLevel="0" collapsed="false">
      <c r="A268" s="12"/>
      <c r="B268" s="13"/>
      <c r="C268" s="14"/>
      <c r="D268" s="13"/>
      <c r="E268" s="15"/>
      <c r="F268" s="15"/>
      <c r="G268" s="15"/>
      <c r="H268" s="14"/>
      <c r="I268" s="16" t="str">
        <f aca="false">IF(OR(A268="",C268=""),"",IF(OR(H268="İade",H268="İptal"),0,E268*IFERROR(INDEX(Kanallar!$B$5:$B$19,MATCH(C268,Kanallar!$A$5:$A$19,0)),0)))</f>
        <v/>
      </c>
      <c r="J268" s="16" t="str">
        <f aca="false">IF(I268="","",IF(H268="İptal",0,IF(H268="İade",-G268,E268-I268-F268-G268)))</f>
        <v/>
      </c>
    </row>
    <row r="269" customFormat="false" ht="15" hidden="false" customHeight="false" outlineLevel="0" collapsed="false">
      <c r="A269" s="12"/>
      <c r="B269" s="13"/>
      <c r="C269" s="14"/>
      <c r="D269" s="13"/>
      <c r="E269" s="15"/>
      <c r="F269" s="15"/>
      <c r="G269" s="15"/>
      <c r="H269" s="14"/>
      <c r="I269" s="16" t="str">
        <f aca="false">IF(OR(A269="",C269=""),"",IF(OR(H269="İade",H269="İptal"),0,E269*IFERROR(INDEX(Kanallar!$B$5:$B$19,MATCH(C269,Kanallar!$A$5:$A$19,0)),0)))</f>
        <v/>
      </c>
      <c r="J269" s="16" t="str">
        <f aca="false">IF(I269="","",IF(H269="İptal",0,IF(H269="İade",-G269,E269-I269-F269-G269)))</f>
        <v/>
      </c>
    </row>
    <row r="270" customFormat="false" ht="15" hidden="false" customHeight="false" outlineLevel="0" collapsed="false">
      <c r="A270" s="12"/>
      <c r="B270" s="13"/>
      <c r="C270" s="14"/>
      <c r="D270" s="13"/>
      <c r="E270" s="15"/>
      <c r="F270" s="15"/>
      <c r="G270" s="15"/>
      <c r="H270" s="14"/>
      <c r="I270" s="16" t="str">
        <f aca="false">IF(OR(A270="",C270=""),"",IF(OR(H270="İade",H270="İptal"),0,E270*IFERROR(INDEX(Kanallar!$B$5:$B$19,MATCH(C270,Kanallar!$A$5:$A$19,0)),0)))</f>
        <v/>
      </c>
      <c r="J270" s="16" t="str">
        <f aca="false">IF(I270="","",IF(H270="İptal",0,IF(H270="İade",-G270,E270-I270-F270-G270)))</f>
        <v/>
      </c>
    </row>
    <row r="271" customFormat="false" ht="15" hidden="false" customHeight="false" outlineLevel="0" collapsed="false">
      <c r="A271" s="12"/>
      <c r="B271" s="13"/>
      <c r="C271" s="14"/>
      <c r="D271" s="13"/>
      <c r="E271" s="15"/>
      <c r="F271" s="15"/>
      <c r="G271" s="15"/>
      <c r="H271" s="14"/>
      <c r="I271" s="16" t="str">
        <f aca="false">IF(OR(A271="",C271=""),"",IF(OR(H271="İade",H271="İptal"),0,E271*IFERROR(INDEX(Kanallar!$B$5:$B$19,MATCH(C271,Kanallar!$A$5:$A$19,0)),0)))</f>
        <v/>
      </c>
      <c r="J271" s="16" t="str">
        <f aca="false">IF(I271="","",IF(H271="İptal",0,IF(H271="İade",-G271,E271-I271-F271-G271)))</f>
        <v/>
      </c>
    </row>
    <row r="272" customFormat="false" ht="15" hidden="false" customHeight="false" outlineLevel="0" collapsed="false">
      <c r="A272" s="12"/>
      <c r="B272" s="13"/>
      <c r="C272" s="14"/>
      <c r="D272" s="13"/>
      <c r="E272" s="15"/>
      <c r="F272" s="15"/>
      <c r="G272" s="15"/>
      <c r="H272" s="14"/>
      <c r="I272" s="16" t="str">
        <f aca="false">IF(OR(A272="",C272=""),"",IF(OR(H272="İade",H272="İptal"),0,E272*IFERROR(INDEX(Kanallar!$B$5:$B$19,MATCH(C272,Kanallar!$A$5:$A$19,0)),0)))</f>
        <v/>
      </c>
      <c r="J272" s="16" t="str">
        <f aca="false">IF(I272="","",IF(H272="İptal",0,IF(H272="İade",-G272,E272-I272-F272-G272)))</f>
        <v/>
      </c>
    </row>
    <row r="273" customFormat="false" ht="15" hidden="false" customHeight="false" outlineLevel="0" collapsed="false">
      <c r="A273" s="12"/>
      <c r="B273" s="13"/>
      <c r="C273" s="14"/>
      <c r="D273" s="13"/>
      <c r="E273" s="15"/>
      <c r="F273" s="15"/>
      <c r="G273" s="15"/>
      <c r="H273" s="14"/>
      <c r="I273" s="16" t="str">
        <f aca="false">IF(OR(A273="",C273=""),"",IF(OR(H273="İade",H273="İptal"),0,E273*IFERROR(INDEX(Kanallar!$B$5:$B$19,MATCH(C273,Kanallar!$A$5:$A$19,0)),0)))</f>
        <v/>
      </c>
      <c r="J273" s="16" t="str">
        <f aca="false">IF(I273="","",IF(H273="İptal",0,IF(H273="İade",-G273,E273-I273-F273-G273)))</f>
        <v/>
      </c>
    </row>
    <row r="274" customFormat="false" ht="15" hidden="false" customHeight="false" outlineLevel="0" collapsed="false">
      <c r="A274" s="12"/>
      <c r="B274" s="13"/>
      <c r="C274" s="14"/>
      <c r="D274" s="13"/>
      <c r="E274" s="15"/>
      <c r="F274" s="15"/>
      <c r="G274" s="15"/>
      <c r="H274" s="14"/>
      <c r="I274" s="16" t="str">
        <f aca="false">IF(OR(A274="",C274=""),"",IF(OR(H274="İade",H274="İptal"),0,E274*IFERROR(INDEX(Kanallar!$B$5:$B$19,MATCH(C274,Kanallar!$A$5:$A$19,0)),0)))</f>
        <v/>
      </c>
      <c r="J274" s="16" t="str">
        <f aca="false">IF(I274="","",IF(H274="İptal",0,IF(H274="İade",-G274,E274-I274-F274-G274)))</f>
        <v/>
      </c>
    </row>
    <row r="275" customFormat="false" ht="15" hidden="false" customHeight="false" outlineLevel="0" collapsed="false">
      <c r="A275" s="12"/>
      <c r="B275" s="13"/>
      <c r="C275" s="14"/>
      <c r="D275" s="13"/>
      <c r="E275" s="15"/>
      <c r="F275" s="15"/>
      <c r="G275" s="15"/>
      <c r="H275" s="14"/>
      <c r="I275" s="16" t="str">
        <f aca="false">IF(OR(A275="",C275=""),"",IF(OR(H275="İade",H275="İptal"),0,E275*IFERROR(INDEX(Kanallar!$B$5:$B$19,MATCH(C275,Kanallar!$A$5:$A$19,0)),0)))</f>
        <v/>
      </c>
      <c r="J275" s="16" t="str">
        <f aca="false">IF(I275="","",IF(H275="İptal",0,IF(H275="İade",-G275,E275-I275-F275-G275)))</f>
        <v/>
      </c>
    </row>
    <row r="276" customFormat="false" ht="15" hidden="false" customHeight="false" outlineLevel="0" collapsed="false">
      <c r="A276" s="12"/>
      <c r="B276" s="13"/>
      <c r="C276" s="14"/>
      <c r="D276" s="13"/>
      <c r="E276" s="15"/>
      <c r="F276" s="15"/>
      <c r="G276" s="15"/>
      <c r="H276" s="14"/>
      <c r="I276" s="16" t="str">
        <f aca="false">IF(OR(A276="",C276=""),"",IF(OR(H276="İade",H276="İptal"),0,E276*IFERROR(INDEX(Kanallar!$B$5:$B$19,MATCH(C276,Kanallar!$A$5:$A$19,0)),0)))</f>
        <v/>
      </c>
      <c r="J276" s="16" t="str">
        <f aca="false">IF(I276="","",IF(H276="İptal",0,IF(H276="İade",-G276,E276-I276-F276-G276)))</f>
        <v/>
      </c>
    </row>
    <row r="277" customFormat="false" ht="15" hidden="false" customHeight="false" outlineLevel="0" collapsed="false">
      <c r="A277" s="12"/>
      <c r="B277" s="13"/>
      <c r="C277" s="14"/>
      <c r="D277" s="13"/>
      <c r="E277" s="15"/>
      <c r="F277" s="15"/>
      <c r="G277" s="15"/>
      <c r="H277" s="14"/>
      <c r="I277" s="16" t="str">
        <f aca="false">IF(OR(A277="",C277=""),"",IF(OR(H277="İade",H277="İptal"),0,E277*IFERROR(INDEX(Kanallar!$B$5:$B$19,MATCH(C277,Kanallar!$A$5:$A$19,0)),0)))</f>
        <v/>
      </c>
      <c r="J277" s="16" t="str">
        <f aca="false">IF(I277="","",IF(H277="İptal",0,IF(H277="İade",-G277,E277-I277-F277-G277)))</f>
        <v/>
      </c>
    </row>
    <row r="278" customFormat="false" ht="15" hidden="false" customHeight="false" outlineLevel="0" collapsed="false">
      <c r="A278" s="12"/>
      <c r="B278" s="13"/>
      <c r="C278" s="14"/>
      <c r="D278" s="13"/>
      <c r="E278" s="15"/>
      <c r="F278" s="15"/>
      <c r="G278" s="15"/>
      <c r="H278" s="14"/>
      <c r="I278" s="16" t="str">
        <f aca="false">IF(OR(A278="",C278=""),"",IF(OR(H278="İade",H278="İptal"),0,E278*IFERROR(INDEX(Kanallar!$B$5:$B$19,MATCH(C278,Kanallar!$A$5:$A$19,0)),0)))</f>
        <v/>
      </c>
      <c r="J278" s="16" t="str">
        <f aca="false">IF(I278="","",IF(H278="İptal",0,IF(H278="İade",-G278,E278-I278-F278-G278)))</f>
        <v/>
      </c>
    </row>
    <row r="279" customFormat="false" ht="15" hidden="false" customHeight="false" outlineLevel="0" collapsed="false">
      <c r="A279" s="12"/>
      <c r="B279" s="13"/>
      <c r="C279" s="14"/>
      <c r="D279" s="13"/>
      <c r="E279" s="15"/>
      <c r="F279" s="15"/>
      <c r="G279" s="15"/>
      <c r="H279" s="14"/>
      <c r="I279" s="16" t="str">
        <f aca="false">IF(OR(A279="",C279=""),"",IF(OR(H279="İade",H279="İptal"),0,E279*IFERROR(INDEX(Kanallar!$B$5:$B$19,MATCH(C279,Kanallar!$A$5:$A$19,0)),0)))</f>
        <v/>
      </c>
      <c r="J279" s="16" t="str">
        <f aca="false">IF(I279="","",IF(H279="İptal",0,IF(H279="İade",-G279,E279-I279-F279-G279)))</f>
        <v/>
      </c>
    </row>
    <row r="280" customFormat="false" ht="15" hidden="false" customHeight="false" outlineLevel="0" collapsed="false">
      <c r="A280" s="12"/>
      <c r="B280" s="13"/>
      <c r="C280" s="14"/>
      <c r="D280" s="13"/>
      <c r="E280" s="15"/>
      <c r="F280" s="15"/>
      <c r="G280" s="15"/>
      <c r="H280" s="14"/>
      <c r="I280" s="16" t="str">
        <f aca="false">IF(OR(A280="",C280=""),"",IF(OR(H280="İade",H280="İptal"),0,E280*IFERROR(INDEX(Kanallar!$B$5:$B$19,MATCH(C280,Kanallar!$A$5:$A$19,0)),0)))</f>
        <v/>
      </c>
      <c r="J280" s="16" t="str">
        <f aca="false">IF(I280="","",IF(H280="İptal",0,IF(H280="İade",-G280,E280-I280-F280-G280)))</f>
        <v/>
      </c>
    </row>
    <row r="281" customFormat="false" ht="15" hidden="false" customHeight="false" outlineLevel="0" collapsed="false">
      <c r="A281" s="12"/>
      <c r="B281" s="13"/>
      <c r="C281" s="14"/>
      <c r="D281" s="13"/>
      <c r="E281" s="15"/>
      <c r="F281" s="15"/>
      <c r="G281" s="15"/>
      <c r="H281" s="14"/>
      <c r="I281" s="16" t="str">
        <f aca="false">IF(OR(A281="",C281=""),"",IF(OR(H281="İade",H281="İptal"),0,E281*IFERROR(INDEX(Kanallar!$B$5:$B$19,MATCH(C281,Kanallar!$A$5:$A$19,0)),0)))</f>
        <v/>
      </c>
      <c r="J281" s="16" t="str">
        <f aca="false">IF(I281="","",IF(H281="İptal",0,IF(H281="İade",-G281,E281-I281-F281-G281)))</f>
        <v/>
      </c>
    </row>
    <row r="282" customFormat="false" ht="15" hidden="false" customHeight="false" outlineLevel="0" collapsed="false">
      <c r="A282" s="12"/>
      <c r="B282" s="13"/>
      <c r="C282" s="14"/>
      <c r="D282" s="13"/>
      <c r="E282" s="15"/>
      <c r="F282" s="15"/>
      <c r="G282" s="15"/>
      <c r="H282" s="14"/>
      <c r="I282" s="16" t="str">
        <f aca="false">IF(OR(A282="",C282=""),"",IF(OR(H282="İade",H282="İptal"),0,E282*IFERROR(INDEX(Kanallar!$B$5:$B$19,MATCH(C282,Kanallar!$A$5:$A$19,0)),0)))</f>
        <v/>
      </c>
      <c r="J282" s="16" t="str">
        <f aca="false">IF(I282="","",IF(H282="İptal",0,IF(H282="İade",-G282,E282-I282-F282-G282)))</f>
        <v/>
      </c>
    </row>
    <row r="283" customFormat="false" ht="15" hidden="false" customHeight="false" outlineLevel="0" collapsed="false">
      <c r="A283" s="12"/>
      <c r="B283" s="13"/>
      <c r="C283" s="14"/>
      <c r="D283" s="13"/>
      <c r="E283" s="15"/>
      <c r="F283" s="15"/>
      <c r="G283" s="15"/>
      <c r="H283" s="14"/>
      <c r="I283" s="16" t="str">
        <f aca="false">IF(OR(A283="",C283=""),"",IF(OR(H283="İade",H283="İptal"),0,E283*IFERROR(INDEX(Kanallar!$B$5:$B$19,MATCH(C283,Kanallar!$A$5:$A$19,0)),0)))</f>
        <v/>
      </c>
      <c r="J283" s="16" t="str">
        <f aca="false">IF(I283="","",IF(H283="İptal",0,IF(H283="İade",-G283,E283-I283-F283-G283)))</f>
        <v/>
      </c>
    </row>
    <row r="284" customFormat="false" ht="15" hidden="false" customHeight="false" outlineLevel="0" collapsed="false">
      <c r="A284" s="12"/>
      <c r="B284" s="13"/>
      <c r="C284" s="14"/>
      <c r="D284" s="13"/>
      <c r="E284" s="15"/>
      <c r="F284" s="15"/>
      <c r="G284" s="15"/>
      <c r="H284" s="14"/>
      <c r="I284" s="16" t="str">
        <f aca="false">IF(OR(A284="",C284=""),"",IF(OR(H284="İade",H284="İptal"),0,E284*IFERROR(INDEX(Kanallar!$B$5:$B$19,MATCH(C284,Kanallar!$A$5:$A$19,0)),0)))</f>
        <v/>
      </c>
      <c r="J284" s="16" t="str">
        <f aca="false">IF(I284="","",IF(H284="İptal",0,IF(H284="İade",-G284,E284-I284-F284-G284)))</f>
        <v/>
      </c>
    </row>
    <row r="285" customFormat="false" ht="15" hidden="false" customHeight="false" outlineLevel="0" collapsed="false">
      <c r="A285" s="12"/>
      <c r="B285" s="13"/>
      <c r="C285" s="14"/>
      <c r="D285" s="13"/>
      <c r="E285" s="15"/>
      <c r="F285" s="15"/>
      <c r="G285" s="15"/>
      <c r="H285" s="14"/>
      <c r="I285" s="16" t="str">
        <f aca="false">IF(OR(A285="",C285=""),"",IF(OR(H285="İade",H285="İptal"),0,E285*IFERROR(INDEX(Kanallar!$B$5:$B$19,MATCH(C285,Kanallar!$A$5:$A$19,0)),0)))</f>
        <v/>
      </c>
      <c r="J285" s="16" t="str">
        <f aca="false">IF(I285="","",IF(H285="İptal",0,IF(H285="İade",-G285,E285-I285-F285-G285)))</f>
        <v/>
      </c>
    </row>
    <row r="286" customFormat="false" ht="15" hidden="false" customHeight="false" outlineLevel="0" collapsed="false">
      <c r="A286" s="12"/>
      <c r="B286" s="13"/>
      <c r="C286" s="14"/>
      <c r="D286" s="13"/>
      <c r="E286" s="15"/>
      <c r="F286" s="15"/>
      <c r="G286" s="15"/>
      <c r="H286" s="14"/>
      <c r="I286" s="16" t="str">
        <f aca="false">IF(OR(A286="",C286=""),"",IF(OR(H286="İade",H286="İptal"),0,E286*IFERROR(INDEX(Kanallar!$B$5:$B$19,MATCH(C286,Kanallar!$A$5:$A$19,0)),0)))</f>
        <v/>
      </c>
      <c r="J286" s="16" t="str">
        <f aca="false">IF(I286="","",IF(H286="İptal",0,IF(H286="İade",-G286,E286-I286-F286-G286)))</f>
        <v/>
      </c>
    </row>
    <row r="287" customFormat="false" ht="15" hidden="false" customHeight="false" outlineLevel="0" collapsed="false">
      <c r="A287" s="12"/>
      <c r="B287" s="13"/>
      <c r="C287" s="14"/>
      <c r="D287" s="13"/>
      <c r="E287" s="15"/>
      <c r="F287" s="15"/>
      <c r="G287" s="15"/>
      <c r="H287" s="14"/>
      <c r="I287" s="16" t="str">
        <f aca="false">IF(OR(A287="",C287=""),"",IF(OR(H287="İade",H287="İptal"),0,E287*IFERROR(INDEX(Kanallar!$B$5:$B$19,MATCH(C287,Kanallar!$A$5:$A$19,0)),0)))</f>
        <v/>
      </c>
      <c r="J287" s="16" t="str">
        <f aca="false">IF(I287="","",IF(H287="İptal",0,IF(H287="İade",-G287,E287-I287-F287-G287)))</f>
        <v/>
      </c>
    </row>
    <row r="288" customFormat="false" ht="15" hidden="false" customHeight="false" outlineLevel="0" collapsed="false">
      <c r="A288" s="12"/>
      <c r="B288" s="13"/>
      <c r="C288" s="14"/>
      <c r="D288" s="13"/>
      <c r="E288" s="15"/>
      <c r="F288" s="15"/>
      <c r="G288" s="15"/>
      <c r="H288" s="14"/>
      <c r="I288" s="16" t="str">
        <f aca="false">IF(OR(A288="",C288=""),"",IF(OR(H288="İade",H288="İptal"),0,E288*IFERROR(INDEX(Kanallar!$B$5:$B$19,MATCH(C288,Kanallar!$A$5:$A$19,0)),0)))</f>
        <v/>
      </c>
      <c r="J288" s="16" t="str">
        <f aca="false">IF(I288="","",IF(H288="İptal",0,IF(H288="İade",-G288,E288-I288-F288-G288)))</f>
        <v/>
      </c>
    </row>
    <row r="289" customFormat="false" ht="15" hidden="false" customHeight="false" outlineLevel="0" collapsed="false">
      <c r="A289" s="12"/>
      <c r="B289" s="13"/>
      <c r="C289" s="14"/>
      <c r="D289" s="13"/>
      <c r="E289" s="15"/>
      <c r="F289" s="15"/>
      <c r="G289" s="15"/>
      <c r="H289" s="14"/>
      <c r="I289" s="16" t="str">
        <f aca="false">IF(OR(A289="",C289=""),"",IF(OR(H289="İade",H289="İptal"),0,E289*IFERROR(INDEX(Kanallar!$B$5:$B$19,MATCH(C289,Kanallar!$A$5:$A$19,0)),0)))</f>
        <v/>
      </c>
      <c r="J289" s="16" t="str">
        <f aca="false">IF(I289="","",IF(H289="İptal",0,IF(H289="İade",-G289,E289-I289-F289-G289)))</f>
        <v/>
      </c>
    </row>
    <row r="290" customFormat="false" ht="15" hidden="false" customHeight="false" outlineLevel="0" collapsed="false">
      <c r="A290" s="12"/>
      <c r="B290" s="13"/>
      <c r="C290" s="14"/>
      <c r="D290" s="13"/>
      <c r="E290" s="15"/>
      <c r="F290" s="15"/>
      <c r="G290" s="15"/>
      <c r="H290" s="14"/>
      <c r="I290" s="16" t="str">
        <f aca="false">IF(OR(A290="",C290=""),"",IF(OR(H290="İade",H290="İptal"),0,E290*IFERROR(INDEX(Kanallar!$B$5:$B$19,MATCH(C290,Kanallar!$A$5:$A$19,0)),0)))</f>
        <v/>
      </c>
      <c r="J290" s="16" t="str">
        <f aca="false">IF(I290="","",IF(H290="İptal",0,IF(H290="İade",-G290,E290-I290-F290-G290)))</f>
        <v/>
      </c>
    </row>
    <row r="291" customFormat="false" ht="15" hidden="false" customHeight="false" outlineLevel="0" collapsed="false">
      <c r="A291" s="12"/>
      <c r="B291" s="13"/>
      <c r="C291" s="14"/>
      <c r="D291" s="13"/>
      <c r="E291" s="15"/>
      <c r="F291" s="15"/>
      <c r="G291" s="15"/>
      <c r="H291" s="14"/>
      <c r="I291" s="16" t="str">
        <f aca="false">IF(OR(A291="",C291=""),"",IF(OR(H291="İade",H291="İptal"),0,E291*IFERROR(INDEX(Kanallar!$B$5:$B$19,MATCH(C291,Kanallar!$A$5:$A$19,0)),0)))</f>
        <v/>
      </c>
      <c r="J291" s="16" t="str">
        <f aca="false">IF(I291="","",IF(H291="İptal",0,IF(H291="İade",-G291,E291-I291-F291-G291)))</f>
        <v/>
      </c>
    </row>
    <row r="292" customFormat="false" ht="15" hidden="false" customHeight="false" outlineLevel="0" collapsed="false">
      <c r="A292" s="12"/>
      <c r="B292" s="13"/>
      <c r="C292" s="14"/>
      <c r="D292" s="13"/>
      <c r="E292" s="15"/>
      <c r="F292" s="15"/>
      <c r="G292" s="15"/>
      <c r="H292" s="14"/>
      <c r="I292" s="16" t="str">
        <f aca="false">IF(OR(A292="",C292=""),"",IF(OR(H292="İade",H292="İptal"),0,E292*IFERROR(INDEX(Kanallar!$B$5:$B$19,MATCH(C292,Kanallar!$A$5:$A$19,0)),0)))</f>
        <v/>
      </c>
      <c r="J292" s="16" t="str">
        <f aca="false">IF(I292="","",IF(H292="İptal",0,IF(H292="İade",-G292,E292-I292-F292-G292)))</f>
        <v/>
      </c>
    </row>
    <row r="293" customFormat="false" ht="15" hidden="false" customHeight="false" outlineLevel="0" collapsed="false">
      <c r="A293" s="12"/>
      <c r="B293" s="13"/>
      <c r="C293" s="14"/>
      <c r="D293" s="13"/>
      <c r="E293" s="15"/>
      <c r="F293" s="15"/>
      <c r="G293" s="15"/>
      <c r="H293" s="14"/>
      <c r="I293" s="16" t="str">
        <f aca="false">IF(OR(A293="",C293=""),"",IF(OR(H293="İade",H293="İptal"),0,E293*IFERROR(INDEX(Kanallar!$B$5:$B$19,MATCH(C293,Kanallar!$A$5:$A$19,0)),0)))</f>
        <v/>
      </c>
      <c r="J293" s="16" t="str">
        <f aca="false">IF(I293="","",IF(H293="İptal",0,IF(H293="İade",-G293,E293-I293-F293-G293)))</f>
        <v/>
      </c>
    </row>
    <row r="294" customFormat="false" ht="15" hidden="false" customHeight="false" outlineLevel="0" collapsed="false">
      <c r="A294" s="12"/>
      <c r="B294" s="13"/>
      <c r="C294" s="14"/>
      <c r="D294" s="13"/>
      <c r="E294" s="15"/>
      <c r="F294" s="15"/>
      <c r="G294" s="15"/>
      <c r="H294" s="14"/>
      <c r="I294" s="16" t="str">
        <f aca="false">IF(OR(A294="",C294=""),"",IF(OR(H294="İade",H294="İptal"),0,E294*IFERROR(INDEX(Kanallar!$B$5:$B$19,MATCH(C294,Kanallar!$A$5:$A$19,0)),0)))</f>
        <v/>
      </c>
      <c r="J294" s="16" t="str">
        <f aca="false">IF(I294="","",IF(H294="İptal",0,IF(H294="İade",-G294,E294-I294-F294-G294)))</f>
        <v/>
      </c>
    </row>
    <row r="295" customFormat="false" ht="15" hidden="false" customHeight="false" outlineLevel="0" collapsed="false">
      <c r="A295" s="12"/>
      <c r="B295" s="13"/>
      <c r="C295" s="14"/>
      <c r="D295" s="13"/>
      <c r="E295" s="15"/>
      <c r="F295" s="15"/>
      <c r="G295" s="15"/>
      <c r="H295" s="14"/>
      <c r="I295" s="16" t="str">
        <f aca="false">IF(OR(A295="",C295=""),"",IF(OR(H295="İade",H295="İptal"),0,E295*IFERROR(INDEX(Kanallar!$B$5:$B$19,MATCH(C295,Kanallar!$A$5:$A$19,0)),0)))</f>
        <v/>
      </c>
      <c r="J295" s="16" t="str">
        <f aca="false">IF(I295="","",IF(H295="İptal",0,IF(H295="İade",-G295,E295-I295-F295-G295)))</f>
        <v/>
      </c>
    </row>
    <row r="296" customFormat="false" ht="15" hidden="false" customHeight="false" outlineLevel="0" collapsed="false">
      <c r="A296" s="12"/>
      <c r="B296" s="13"/>
      <c r="C296" s="14"/>
      <c r="D296" s="13"/>
      <c r="E296" s="15"/>
      <c r="F296" s="15"/>
      <c r="G296" s="15"/>
      <c r="H296" s="14"/>
      <c r="I296" s="16" t="str">
        <f aca="false">IF(OR(A296="",C296=""),"",IF(OR(H296="İade",H296="İptal"),0,E296*IFERROR(INDEX(Kanallar!$B$5:$B$19,MATCH(C296,Kanallar!$A$5:$A$19,0)),0)))</f>
        <v/>
      </c>
      <c r="J296" s="16" t="str">
        <f aca="false">IF(I296="","",IF(H296="İptal",0,IF(H296="İade",-G296,E296-I296-F296-G296)))</f>
        <v/>
      </c>
    </row>
    <row r="297" customFormat="false" ht="15" hidden="false" customHeight="false" outlineLevel="0" collapsed="false">
      <c r="A297" s="12"/>
      <c r="B297" s="13"/>
      <c r="C297" s="14"/>
      <c r="D297" s="13"/>
      <c r="E297" s="15"/>
      <c r="F297" s="15"/>
      <c r="G297" s="15"/>
      <c r="H297" s="14"/>
      <c r="I297" s="16" t="str">
        <f aca="false">IF(OR(A297="",C297=""),"",IF(OR(H297="İade",H297="İptal"),0,E297*IFERROR(INDEX(Kanallar!$B$5:$B$19,MATCH(C297,Kanallar!$A$5:$A$19,0)),0)))</f>
        <v/>
      </c>
      <c r="J297" s="16" t="str">
        <f aca="false">IF(I297="","",IF(H297="İptal",0,IF(H297="İade",-G297,E297-I297-F297-G297)))</f>
        <v/>
      </c>
    </row>
    <row r="298" customFormat="false" ht="15" hidden="false" customHeight="false" outlineLevel="0" collapsed="false">
      <c r="A298" s="12"/>
      <c r="B298" s="13"/>
      <c r="C298" s="14"/>
      <c r="D298" s="13"/>
      <c r="E298" s="15"/>
      <c r="F298" s="15"/>
      <c r="G298" s="15"/>
      <c r="H298" s="14"/>
      <c r="I298" s="16" t="str">
        <f aca="false">IF(OR(A298="",C298=""),"",IF(OR(H298="İade",H298="İptal"),0,E298*IFERROR(INDEX(Kanallar!$B$5:$B$19,MATCH(C298,Kanallar!$A$5:$A$19,0)),0)))</f>
        <v/>
      </c>
      <c r="J298" s="16" t="str">
        <f aca="false">IF(I298="","",IF(H298="İptal",0,IF(H298="İade",-G298,E298-I298-F298-G298)))</f>
        <v/>
      </c>
    </row>
    <row r="299" customFormat="false" ht="15" hidden="false" customHeight="false" outlineLevel="0" collapsed="false">
      <c r="A299" s="12"/>
      <c r="B299" s="13"/>
      <c r="C299" s="14"/>
      <c r="D299" s="13"/>
      <c r="E299" s="15"/>
      <c r="F299" s="15"/>
      <c r="G299" s="15"/>
      <c r="H299" s="14"/>
      <c r="I299" s="16" t="str">
        <f aca="false">IF(OR(A299="",C299=""),"",IF(OR(H299="İade",H299="İptal"),0,E299*IFERROR(INDEX(Kanallar!$B$5:$B$19,MATCH(C299,Kanallar!$A$5:$A$19,0)),0)))</f>
        <v/>
      </c>
      <c r="J299" s="16" t="str">
        <f aca="false">IF(I299="","",IF(H299="İptal",0,IF(H299="İade",-G299,E299-I299-F299-G299)))</f>
        <v/>
      </c>
    </row>
    <row r="300" customFormat="false" ht="15" hidden="false" customHeight="false" outlineLevel="0" collapsed="false">
      <c r="A300" s="12"/>
      <c r="B300" s="13"/>
      <c r="C300" s="14"/>
      <c r="D300" s="13"/>
      <c r="E300" s="15"/>
      <c r="F300" s="15"/>
      <c r="G300" s="15"/>
      <c r="H300" s="14"/>
      <c r="I300" s="16" t="str">
        <f aca="false">IF(OR(A300="",C300=""),"",IF(OR(H300="İade",H300="İptal"),0,E300*IFERROR(INDEX(Kanallar!$B$5:$B$19,MATCH(C300,Kanallar!$A$5:$A$19,0)),0)))</f>
        <v/>
      </c>
      <c r="J300" s="16" t="str">
        <f aca="false">IF(I300="","",IF(H300="İptal",0,IF(H300="İade",-G300,E300-I300-F300-G300)))</f>
        <v/>
      </c>
    </row>
    <row r="301" customFormat="false" ht="15" hidden="false" customHeight="false" outlineLevel="0" collapsed="false">
      <c r="A301" s="12"/>
      <c r="B301" s="13"/>
      <c r="C301" s="14"/>
      <c r="D301" s="13"/>
      <c r="E301" s="15"/>
      <c r="F301" s="15"/>
      <c r="G301" s="15"/>
      <c r="H301" s="14"/>
      <c r="I301" s="16" t="str">
        <f aca="false">IF(OR(A301="",C301=""),"",IF(OR(H301="İade",H301="İptal"),0,E301*IFERROR(INDEX(Kanallar!$B$5:$B$19,MATCH(C301,Kanallar!$A$5:$A$19,0)),0)))</f>
        <v/>
      </c>
      <c r="J301" s="16" t="str">
        <f aca="false">IF(I301="","",IF(H301="İptal",0,IF(H301="İade",-G301,E301-I301-F301-G301)))</f>
        <v/>
      </c>
    </row>
    <row r="302" customFormat="false" ht="15" hidden="false" customHeight="false" outlineLevel="0" collapsed="false">
      <c r="A302" s="12"/>
      <c r="B302" s="13"/>
      <c r="C302" s="14"/>
      <c r="D302" s="13"/>
      <c r="E302" s="15"/>
      <c r="F302" s="15"/>
      <c r="G302" s="15"/>
      <c r="H302" s="14"/>
      <c r="I302" s="16" t="str">
        <f aca="false">IF(OR(A302="",C302=""),"",IF(OR(H302="İade",H302="İptal"),0,E302*IFERROR(INDEX(Kanallar!$B$5:$B$19,MATCH(C302,Kanallar!$A$5:$A$19,0)),0)))</f>
        <v/>
      </c>
      <c r="J302" s="16" t="str">
        <f aca="false">IF(I302="","",IF(H302="İptal",0,IF(H302="İade",-G302,E302-I302-F302-G302)))</f>
        <v/>
      </c>
    </row>
    <row r="303" customFormat="false" ht="15" hidden="false" customHeight="false" outlineLevel="0" collapsed="false">
      <c r="A303" s="12"/>
      <c r="B303" s="13"/>
      <c r="C303" s="14"/>
      <c r="D303" s="13"/>
      <c r="E303" s="15"/>
      <c r="F303" s="15"/>
      <c r="G303" s="15"/>
      <c r="H303" s="14"/>
      <c r="I303" s="16" t="str">
        <f aca="false">IF(OR(A303="",C303=""),"",IF(OR(H303="İade",H303="İptal"),0,E303*IFERROR(INDEX(Kanallar!$B$5:$B$19,MATCH(C303,Kanallar!$A$5:$A$19,0)),0)))</f>
        <v/>
      </c>
      <c r="J303" s="16" t="str">
        <f aca="false">IF(I303="","",IF(H303="İptal",0,IF(H303="İade",-G303,E303-I303-F303-G303)))</f>
        <v/>
      </c>
    </row>
    <row r="304" customFormat="false" ht="15" hidden="false" customHeight="false" outlineLevel="0" collapsed="false">
      <c r="A304" s="12"/>
      <c r="B304" s="13"/>
      <c r="C304" s="14"/>
      <c r="D304" s="13"/>
      <c r="E304" s="15"/>
      <c r="F304" s="15"/>
      <c r="G304" s="15"/>
      <c r="H304" s="14"/>
      <c r="I304" s="16" t="str">
        <f aca="false">IF(OR(A304="",C304=""),"",IF(OR(H304="İade",H304="İptal"),0,E304*IFERROR(INDEX(Kanallar!$B$5:$B$19,MATCH(C304,Kanallar!$A$5:$A$19,0)),0)))</f>
        <v/>
      </c>
      <c r="J304" s="16" t="str">
        <f aca="false">IF(I304="","",IF(H304="İptal",0,IF(H304="İade",-G304,E304-I304-F304-G304)))</f>
        <v/>
      </c>
    </row>
    <row r="305" customFormat="false" ht="15" hidden="false" customHeight="false" outlineLevel="0" collapsed="false">
      <c r="A305" s="12"/>
      <c r="B305" s="13"/>
      <c r="C305" s="14"/>
      <c r="D305" s="13"/>
      <c r="E305" s="15"/>
      <c r="F305" s="15"/>
      <c r="G305" s="15"/>
      <c r="H305" s="14"/>
      <c r="I305" s="16" t="str">
        <f aca="false">IF(OR(A305="",C305=""),"",IF(OR(H305="İade",H305="İptal"),0,E305*IFERROR(INDEX(Kanallar!$B$5:$B$19,MATCH(C305,Kanallar!$A$5:$A$19,0)),0)))</f>
        <v/>
      </c>
      <c r="J305" s="16" t="str">
        <f aca="false">IF(I305="","",IF(H305="İptal",0,IF(H305="İade",-G305,E305-I305-F305-G305)))</f>
        <v/>
      </c>
    </row>
    <row r="306" customFormat="false" ht="15" hidden="false" customHeight="false" outlineLevel="0" collapsed="false">
      <c r="A306" s="12"/>
      <c r="B306" s="13"/>
      <c r="C306" s="14"/>
      <c r="D306" s="13"/>
      <c r="E306" s="15"/>
      <c r="F306" s="15"/>
      <c r="G306" s="15"/>
      <c r="H306" s="14"/>
      <c r="I306" s="16" t="str">
        <f aca="false">IF(OR(A306="",C306=""),"",IF(OR(H306="İade",H306="İptal"),0,E306*IFERROR(INDEX(Kanallar!$B$5:$B$19,MATCH(C306,Kanallar!$A$5:$A$19,0)),0)))</f>
        <v/>
      </c>
      <c r="J306" s="16" t="str">
        <f aca="false">IF(I306="","",IF(H306="İptal",0,IF(H306="İade",-G306,E306-I306-F306-G306)))</f>
        <v/>
      </c>
    </row>
    <row r="307" customFormat="false" ht="15" hidden="false" customHeight="false" outlineLevel="0" collapsed="false">
      <c r="A307" s="12"/>
      <c r="B307" s="13"/>
      <c r="C307" s="14"/>
      <c r="D307" s="13"/>
      <c r="E307" s="15"/>
      <c r="F307" s="15"/>
      <c r="G307" s="15"/>
      <c r="H307" s="14"/>
      <c r="I307" s="16" t="str">
        <f aca="false">IF(OR(A307="",C307=""),"",IF(OR(H307="İade",H307="İptal"),0,E307*IFERROR(INDEX(Kanallar!$B$5:$B$19,MATCH(C307,Kanallar!$A$5:$A$19,0)),0)))</f>
        <v/>
      </c>
      <c r="J307" s="16" t="str">
        <f aca="false">IF(I307="","",IF(H307="İptal",0,IF(H307="İade",-G307,E307-I307-F307-G307)))</f>
        <v/>
      </c>
    </row>
    <row r="308" customFormat="false" ht="15" hidden="false" customHeight="false" outlineLevel="0" collapsed="false">
      <c r="A308" s="12"/>
      <c r="B308" s="13"/>
      <c r="C308" s="14"/>
      <c r="D308" s="13"/>
      <c r="E308" s="15"/>
      <c r="F308" s="15"/>
      <c r="G308" s="15"/>
      <c r="H308" s="14"/>
      <c r="I308" s="16" t="str">
        <f aca="false">IF(OR(A308="",C308=""),"",IF(OR(H308="İade",H308="İptal"),0,E308*IFERROR(INDEX(Kanallar!$B$5:$B$19,MATCH(C308,Kanallar!$A$5:$A$19,0)),0)))</f>
        <v/>
      </c>
      <c r="J308" s="16" t="str">
        <f aca="false">IF(I308="","",IF(H308="İptal",0,IF(H308="İade",-G308,E308-I308-F308-G308)))</f>
        <v/>
      </c>
    </row>
    <row r="309" customFormat="false" ht="15" hidden="false" customHeight="false" outlineLevel="0" collapsed="false">
      <c r="A309" s="12"/>
      <c r="B309" s="13"/>
      <c r="C309" s="14"/>
      <c r="D309" s="13"/>
      <c r="E309" s="15"/>
      <c r="F309" s="15"/>
      <c r="G309" s="15"/>
      <c r="H309" s="14"/>
      <c r="I309" s="16" t="str">
        <f aca="false">IF(OR(A309="",C309=""),"",IF(OR(H309="İade",H309="İptal"),0,E309*IFERROR(INDEX(Kanallar!$B$5:$B$19,MATCH(C309,Kanallar!$A$5:$A$19,0)),0)))</f>
        <v/>
      </c>
      <c r="J309" s="16" t="str">
        <f aca="false">IF(I309="","",IF(H309="İptal",0,IF(H309="İade",-G309,E309-I309-F309-G309)))</f>
        <v/>
      </c>
    </row>
    <row r="310" customFormat="false" ht="15" hidden="false" customHeight="false" outlineLevel="0" collapsed="false">
      <c r="A310" s="12"/>
      <c r="B310" s="13"/>
      <c r="C310" s="14"/>
      <c r="D310" s="13"/>
      <c r="E310" s="15"/>
      <c r="F310" s="15"/>
      <c r="G310" s="15"/>
      <c r="H310" s="14"/>
      <c r="I310" s="16" t="str">
        <f aca="false">IF(OR(A310="",C310=""),"",IF(OR(H310="İade",H310="İptal"),0,E310*IFERROR(INDEX(Kanallar!$B$5:$B$19,MATCH(C310,Kanallar!$A$5:$A$19,0)),0)))</f>
        <v/>
      </c>
      <c r="J310" s="16" t="str">
        <f aca="false">IF(I310="","",IF(H310="İptal",0,IF(H310="İade",-G310,E310-I310-F310-G310)))</f>
        <v/>
      </c>
    </row>
    <row r="311" customFormat="false" ht="15" hidden="false" customHeight="false" outlineLevel="0" collapsed="false">
      <c r="A311" s="12"/>
      <c r="B311" s="13"/>
      <c r="C311" s="14"/>
      <c r="D311" s="13"/>
      <c r="E311" s="15"/>
      <c r="F311" s="15"/>
      <c r="G311" s="15"/>
      <c r="H311" s="14"/>
      <c r="I311" s="16" t="str">
        <f aca="false">IF(OR(A311="",C311=""),"",IF(OR(H311="İade",H311="İptal"),0,E311*IFERROR(INDEX(Kanallar!$B$5:$B$19,MATCH(C311,Kanallar!$A$5:$A$19,0)),0)))</f>
        <v/>
      </c>
      <c r="J311" s="16" t="str">
        <f aca="false">IF(I311="","",IF(H311="İptal",0,IF(H311="İade",-G311,E311-I311-F311-G311)))</f>
        <v/>
      </c>
    </row>
    <row r="312" customFormat="false" ht="15" hidden="false" customHeight="false" outlineLevel="0" collapsed="false">
      <c r="A312" s="12"/>
      <c r="B312" s="13"/>
      <c r="C312" s="14"/>
      <c r="D312" s="13"/>
      <c r="E312" s="15"/>
      <c r="F312" s="15"/>
      <c r="G312" s="15"/>
      <c r="H312" s="14"/>
      <c r="I312" s="16" t="str">
        <f aca="false">IF(OR(A312="",C312=""),"",IF(OR(H312="İade",H312="İptal"),0,E312*IFERROR(INDEX(Kanallar!$B$5:$B$19,MATCH(C312,Kanallar!$A$5:$A$19,0)),0)))</f>
        <v/>
      </c>
      <c r="J312" s="16" t="str">
        <f aca="false">IF(I312="","",IF(H312="İptal",0,IF(H312="İade",-G312,E312-I312-F312-G312)))</f>
        <v/>
      </c>
    </row>
    <row r="313" customFormat="false" ht="15" hidden="false" customHeight="false" outlineLevel="0" collapsed="false">
      <c r="A313" s="12"/>
      <c r="B313" s="13"/>
      <c r="C313" s="14"/>
      <c r="D313" s="13"/>
      <c r="E313" s="15"/>
      <c r="F313" s="15"/>
      <c r="G313" s="15"/>
      <c r="H313" s="14"/>
      <c r="I313" s="16" t="str">
        <f aca="false">IF(OR(A313="",C313=""),"",IF(OR(H313="İade",H313="İptal"),0,E313*IFERROR(INDEX(Kanallar!$B$5:$B$19,MATCH(C313,Kanallar!$A$5:$A$19,0)),0)))</f>
        <v/>
      </c>
      <c r="J313" s="16" t="str">
        <f aca="false">IF(I313="","",IF(H313="İptal",0,IF(H313="İade",-G313,E313-I313-F313-G313)))</f>
        <v/>
      </c>
    </row>
    <row r="314" customFormat="false" ht="15" hidden="false" customHeight="false" outlineLevel="0" collapsed="false">
      <c r="A314" s="12"/>
      <c r="B314" s="13"/>
      <c r="C314" s="14"/>
      <c r="D314" s="13"/>
      <c r="E314" s="15"/>
      <c r="F314" s="15"/>
      <c r="G314" s="15"/>
      <c r="H314" s="14"/>
      <c r="I314" s="16" t="str">
        <f aca="false">IF(OR(A314="",C314=""),"",IF(OR(H314="İade",H314="İptal"),0,E314*IFERROR(INDEX(Kanallar!$B$5:$B$19,MATCH(C314,Kanallar!$A$5:$A$19,0)),0)))</f>
        <v/>
      </c>
      <c r="J314" s="16" t="str">
        <f aca="false">IF(I314="","",IF(H314="İptal",0,IF(H314="İade",-G314,E314-I314-F314-G314)))</f>
        <v/>
      </c>
    </row>
    <row r="315" customFormat="false" ht="15" hidden="false" customHeight="false" outlineLevel="0" collapsed="false">
      <c r="A315" s="12"/>
      <c r="B315" s="13"/>
      <c r="C315" s="14"/>
      <c r="D315" s="13"/>
      <c r="E315" s="15"/>
      <c r="F315" s="15"/>
      <c r="G315" s="15"/>
      <c r="H315" s="14"/>
      <c r="I315" s="16" t="str">
        <f aca="false">IF(OR(A315="",C315=""),"",IF(OR(H315="İade",H315="İptal"),0,E315*IFERROR(INDEX(Kanallar!$B$5:$B$19,MATCH(C315,Kanallar!$A$5:$A$19,0)),0)))</f>
        <v/>
      </c>
      <c r="J315" s="16" t="str">
        <f aca="false">IF(I315="","",IF(H315="İptal",0,IF(H315="İade",-G315,E315-I315-F315-G315)))</f>
        <v/>
      </c>
    </row>
    <row r="316" customFormat="false" ht="15" hidden="false" customHeight="false" outlineLevel="0" collapsed="false">
      <c r="A316" s="12"/>
      <c r="B316" s="13"/>
      <c r="C316" s="14"/>
      <c r="D316" s="13"/>
      <c r="E316" s="15"/>
      <c r="F316" s="15"/>
      <c r="G316" s="15"/>
      <c r="H316" s="14"/>
      <c r="I316" s="16" t="str">
        <f aca="false">IF(OR(A316="",C316=""),"",IF(OR(H316="İade",H316="İptal"),0,E316*IFERROR(INDEX(Kanallar!$B$5:$B$19,MATCH(C316,Kanallar!$A$5:$A$19,0)),0)))</f>
        <v/>
      </c>
      <c r="J316" s="16" t="str">
        <f aca="false">IF(I316="","",IF(H316="İptal",0,IF(H316="İade",-G316,E316-I316-F316-G316)))</f>
        <v/>
      </c>
    </row>
    <row r="317" customFormat="false" ht="15" hidden="false" customHeight="false" outlineLevel="0" collapsed="false">
      <c r="A317" s="12"/>
      <c r="B317" s="13"/>
      <c r="C317" s="14"/>
      <c r="D317" s="13"/>
      <c r="E317" s="15"/>
      <c r="F317" s="15"/>
      <c r="G317" s="15"/>
      <c r="H317" s="14"/>
      <c r="I317" s="16" t="str">
        <f aca="false">IF(OR(A317="",C317=""),"",IF(OR(H317="İade",H317="İptal"),0,E317*IFERROR(INDEX(Kanallar!$B$5:$B$19,MATCH(C317,Kanallar!$A$5:$A$19,0)),0)))</f>
        <v/>
      </c>
      <c r="J317" s="16" t="str">
        <f aca="false">IF(I317="","",IF(H317="İptal",0,IF(H317="İade",-G317,E317-I317-F317-G317)))</f>
        <v/>
      </c>
    </row>
    <row r="318" customFormat="false" ht="15" hidden="false" customHeight="false" outlineLevel="0" collapsed="false">
      <c r="A318" s="12"/>
      <c r="B318" s="13"/>
      <c r="C318" s="14"/>
      <c r="D318" s="13"/>
      <c r="E318" s="15"/>
      <c r="F318" s="15"/>
      <c r="G318" s="15"/>
      <c r="H318" s="14"/>
      <c r="I318" s="16" t="str">
        <f aca="false">IF(OR(A318="",C318=""),"",IF(OR(H318="İade",H318="İptal"),0,E318*IFERROR(INDEX(Kanallar!$B$5:$B$19,MATCH(C318,Kanallar!$A$5:$A$19,0)),0)))</f>
        <v/>
      </c>
      <c r="J318" s="16" t="str">
        <f aca="false">IF(I318="","",IF(H318="İptal",0,IF(H318="İade",-G318,E318-I318-F318-G318)))</f>
        <v/>
      </c>
    </row>
    <row r="319" customFormat="false" ht="15" hidden="false" customHeight="false" outlineLevel="0" collapsed="false">
      <c r="A319" s="12"/>
      <c r="B319" s="13"/>
      <c r="C319" s="14"/>
      <c r="D319" s="13"/>
      <c r="E319" s="15"/>
      <c r="F319" s="15"/>
      <c r="G319" s="15"/>
      <c r="H319" s="14"/>
      <c r="I319" s="16" t="str">
        <f aca="false">IF(OR(A319="",C319=""),"",IF(OR(H319="İade",H319="İptal"),0,E319*IFERROR(INDEX(Kanallar!$B$5:$B$19,MATCH(C319,Kanallar!$A$5:$A$19,0)),0)))</f>
        <v/>
      </c>
      <c r="J319" s="16" t="str">
        <f aca="false">IF(I319="","",IF(H319="İptal",0,IF(H319="İade",-G319,E319-I319-F319-G319)))</f>
        <v/>
      </c>
    </row>
    <row r="320" customFormat="false" ht="15" hidden="false" customHeight="false" outlineLevel="0" collapsed="false">
      <c r="A320" s="12"/>
      <c r="B320" s="13"/>
      <c r="C320" s="14"/>
      <c r="D320" s="13"/>
      <c r="E320" s="15"/>
      <c r="F320" s="15"/>
      <c r="G320" s="15"/>
      <c r="H320" s="14"/>
      <c r="I320" s="16" t="str">
        <f aca="false">IF(OR(A320="",C320=""),"",IF(OR(H320="İade",H320="İptal"),0,E320*IFERROR(INDEX(Kanallar!$B$5:$B$19,MATCH(C320,Kanallar!$A$5:$A$19,0)),0)))</f>
        <v/>
      </c>
      <c r="J320" s="16" t="str">
        <f aca="false">IF(I320="","",IF(H320="İptal",0,IF(H320="İade",-G320,E320-I320-F320-G320)))</f>
        <v/>
      </c>
    </row>
    <row r="321" customFormat="false" ht="15" hidden="false" customHeight="false" outlineLevel="0" collapsed="false">
      <c r="A321" s="12"/>
      <c r="B321" s="13"/>
      <c r="C321" s="14"/>
      <c r="D321" s="13"/>
      <c r="E321" s="15"/>
      <c r="F321" s="15"/>
      <c r="G321" s="15"/>
      <c r="H321" s="14"/>
      <c r="I321" s="16" t="str">
        <f aca="false">IF(OR(A321="",C321=""),"",IF(OR(H321="İade",H321="İptal"),0,E321*IFERROR(INDEX(Kanallar!$B$5:$B$19,MATCH(C321,Kanallar!$A$5:$A$19,0)),0)))</f>
        <v/>
      </c>
      <c r="J321" s="16" t="str">
        <f aca="false">IF(I321="","",IF(H321="İptal",0,IF(H321="İade",-G321,E321-I321-F321-G321)))</f>
        <v/>
      </c>
    </row>
    <row r="322" customFormat="false" ht="15" hidden="false" customHeight="false" outlineLevel="0" collapsed="false">
      <c r="A322" s="12"/>
      <c r="B322" s="13"/>
      <c r="C322" s="14"/>
      <c r="D322" s="13"/>
      <c r="E322" s="15"/>
      <c r="F322" s="15"/>
      <c r="G322" s="15"/>
      <c r="H322" s="14"/>
      <c r="I322" s="16" t="str">
        <f aca="false">IF(OR(A322="",C322=""),"",IF(OR(H322="İade",H322="İptal"),0,E322*IFERROR(INDEX(Kanallar!$B$5:$B$19,MATCH(C322,Kanallar!$A$5:$A$19,0)),0)))</f>
        <v/>
      </c>
      <c r="J322" s="16" t="str">
        <f aca="false">IF(I322="","",IF(H322="İptal",0,IF(H322="İade",-G322,E322-I322-F322-G322)))</f>
        <v/>
      </c>
    </row>
    <row r="323" customFormat="false" ht="15" hidden="false" customHeight="false" outlineLevel="0" collapsed="false">
      <c r="A323" s="12"/>
      <c r="B323" s="13"/>
      <c r="C323" s="14"/>
      <c r="D323" s="13"/>
      <c r="E323" s="15"/>
      <c r="F323" s="15"/>
      <c r="G323" s="15"/>
      <c r="H323" s="14"/>
      <c r="I323" s="16" t="str">
        <f aca="false">IF(OR(A323="",C323=""),"",IF(OR(H323="İade",H323="İptal"),0,E323*IFERROR(INDEX(Kanallar!$B$5:$B$19,MATCH(C323,Kanallar!$A$5:$A$19,0)),0)))</f>
        <v/>
      </c>
      <c r="J323" s="16" t="str">
        <f aca="false">IF(I323="","",IF(H323="İptal",0,IF(H323="İade",-G323,E323-I323-F323-G323)))</f>
        <v/>
      </c>
    </row>
    <row r="324" customFormat="false" ht="15" hidden="false" customHeight="false" outlineLevel="0" collapsed="false">
      <c r="A324" s="12"/>
      <c r="B324" s="13"/>
      <c r="C324" s="14"/>
      <c r="D324" s="13"/>
      <c r="E324" s="15"/>
      <c r="F324" s="15"/>
      <c r="G324" s="15"/>
      <c r="H324" s="14"/>
      <c r="I324" s="16" t="str">
        <f aca="false">IF(OR(A324="",C324=""),"",IF(OR(H324="İade",H324="İptal"),0,E324*IFERROR(INDEX(Kanallar!$B$5:$B$19,MATCH(C324,Kanallar!$A$5:$A$19,0)),0)))</f>
        <v/>
      </c>
      <c r="J324" s="16" t="str">
        <f aca="false">IF(I324="","",IF(H324="İptal",0,IF(H324="İade",-G324,E324-I324-F324-G324)))</f>
        <v/>
      </c>
    </row>
    <row r="325" customFormat="false" ht="15" hidden="false" customHeight="false" outlineLevel="0" collapsed="false">
      <c r="A325" s="12"/>
      <c r="B325" s="13"/>
      <c r="C325" s="14"/>
      <c r="D325" s="13"/>
      <c r="E325" s="15"/>
      <c r="F325" s="15"/>
      <c r="G325" s="15"/>
      <c r="H325" s="14"/>
      <c r="I325" s="16" t="str">
        <f aca="false">IF(OR(A325="",C325=""),"",IF(OR(H325="İade",H325="İptal"),0,E325*IFERROR(INDEX(Kanallar!$B$5:$B$19,MATCH(C325,Kanallar!$A$5:$A$19,0)),0)))</f>
        <v/>
      </c>
      <c r="J325" s="16" t="str">
        <f aca="false">IF(I325="","",IF(H325="İptal",0,IF(H325="İade",-G325,E325-I325-F325-G325)))</f>
        <v/>
      </c>
    </row>
    <row r="326" customFormat="false" ht="15" hidden="false" customHeight="false" outlineLevel="0" collapsed="false">
      <c r="A326" s="12"/>
      <c r="B326" s="13"/>
      <c r="C326" s="14"/>
      <c r="D326" s="13"/>
      <c r="E326" s="15"/>
      <c r="F326" s="15"/>
      <c r="G326" s="15"/>
      <c r="H326" s="14"/>
      <c r="I326" s="16" t="str">
        <f aca="false">IF(OR(A326="",C326=""),"",IF(OR(H326="İade",H326="İptal"),0,E326*IFERROR(INDEX(Kanallar!$B$5:$B$19,MATCH(C326,Kanallar!$A$5:$A$19,0)),0)))</f>
        <v/>
      </c>
      <c r="J326" s="16" t="str">
        <f aca="false">IF(I326="","",IF(H326="İptal",0,IF(H326="İade",-G326,E326-I326-F326-G326)))</f>
        <v/>
      </c>
    </row>
    <row r="327" customFormat="false" ht="15" hidden="false" customHeight="false" outlineLevel="0" collapsed="false">
      <c r="A327" s="12"/>
      <c r="B327" s="13"/>
      <c r="C327" s="14"/>
      <c r="D327" s="13"/>
      <c r="E327" s="15"/>
      <c r="F327" s="15"/>
      <c r="G327" s="15"/>
      <c r="H327" s="14"/>
      <c r="I327" s="16" t="str">
        <f aca="false">IF(OR(A327="",C327=""),"",IF(OR(H327="İade",H327="İptal"),0,E327*IFERROR(INDEX(Kanallar!$B$5:$B$19,MATCH(C327,Kanallar!$A$5:$A$19,0)),0)))</f>
        <v/>
      </c>
      <c r="J327" s="16" t="str">
        <f aca="false">IF(I327="","",IF(H327="İptal",0,IF(H327="İade",-G327,E327-I327-F327-G327)))</f>
        <v/>
      </c>
    </row>
    <row r="328" customFormat="false" ht="15" hidden="false" customHeight="false" outlineLevel="0" collapsed="false">
      <c r="A328" s="12"/>
      <c r="B328" s="13"/>
      <c r="C328" s="14"/>
      <c r="D328" s="13"/>
      <c r="E328" s="15"/>
      <c r="F328" s="15"/>
      <c r="G328" s="15"/>
      <c r="H328" s="14"/>
      <c r="I328" s="16" t="str">
        <f aca="false">IF(OR(A328="",C328=""),"",IF(OR(H328="İade",H328="İptal"),0,E328*IFERROR(INDEX(Kanallar!$B$5:$B$19,MATCH(C328,Kanallar!$A$5:$A$19,0)),0)))</f>
        <v/>
      </c>
      <c r="J328" s="16" t="str">
        <f aca="false">IF(I328="","",IF(H328="İptal",0,IF(H328="İade",-G328,E328-I328-F328-G328)))</f>
        <v/>
      </c>
    </row>
    <row r="329" customFormat="false" ht="15" hidden="false" customHeight="false" outlineLevel="0" collapsed="false">
      <c r="A329" s="12"/>
      <c r="B329" s="13"/>
      <c r="C329" s="14"/>
      <c r="D329" s="13"/>
      <c r="E329" s="15"/>
      <c r="F329" s="15"/>
      <c r="G329" s="15"/>
      <c r="H329" s="14"/>
      <c r="I329" s="16" t="str">
        <f aca="false">IF(OR(A329="",C329=""),"",IF(OR(H329="İade",H329="İptal"),0,E329*IFERROR(INDEX(Kanallar!$B$5:$B$19,MATCH(C329,Kanallar!$A$5:$A$19,0)),0)))</f>
        <v/>
      </c>
      <c r="J329" s="16" t="str">
        <f aca="false">IF(I329="","",IF(H329="İptal",0,IF(H329="İade",-G329,E329-I329-F329-G329)))</f>
        <v/>
      </c>
    </row>
    <row r="330" customFormat="false" ht="15" hidden="false" customHeight="false" outlineLevel="0" collapsed="false">
      <c r="A330" s="12"/>
      <c r="B330" s="13"/>
      <c r="C330" s="14"/>
      <c r="D330" s="13"/>
      <c r="E330" s="15"/>
      <c r="F330" s="15"/>
      <c r="G330" s="15"/>
      <c r="H330" s="14"/>
      <c r="I330" s="16" t="str">
        <f aca="false">IF(OR(A330="",C330=""),"",IF(OR(H330="İade",H330="İptal"),0,E330*IFERROR(INDEX(Kanallar!$B$5:$B$19,MATCH(C330,Kanallar!$A$5:$A$19,0)),0)))</f>
        <v/>
      </c>
      <c r="J330" s="16" t="str">
        <f aca="false">IF(I330="","",IF(H330="İptal",0,IF(H330="İade",-G330,E330-I330-F330-G330)))</f>
        <v/>
      </c>
    </row>
    <row r="331" customFormat="false" ht="15" hidden="false" customHeight="false" outlineLevel="0" collapsed="false">
      <c r="A331" s="12"/>
      <c r="B331" s="13"/>
      <c r="C331" s="14"/>
      <c r="D331" s="13"/>
      <c r="E331" s="15"/>
      <c r="F331" s="15"/>
      <c r="G331" s="15"/>
      <c r="H331" s="14"/>
      <c r="I331" s="16" t="str">
        <f aca="false">IF(OR(A331="",C331=""),"",IF(OR(H331="İade",H331="İptal"),0,E331*IFERROR(INDEX(Kanallar!$B$5:$B$19,MATCH(C331,Kanallar!$A$5:$A$19,0)),0)))</f>
        <v/>
      </c>
      <c r="J331" s="16" t="str">
        <f aca="false">IF(I331="","",IF(H331="İptal",0,IF(H331="İade",-G331,E331-I331-F331-G331)))</f>
        <v/>
      </c>
    </row>
    <row r="332" customFormat="false" ht="15" hidden="false" customHeight="false" outlineLevel="0" collapsed="false">
      <c r="A332" s="12"/>
      <c r="B332" s="13"/>
      <c r="C332" s="14"/>
      <c r="D332" s="13"/>
      <c r="E332" s="15"/>
      <c r="F332" s="15"/>
      <c r="G332" s="15"/>
      <c r="H332" s="14"/>
      <c r="I332" s="16" t="str">
        <f aca="false">IF(OR(A332="",C332=""),"",IF(OR(H332="İade",H332="İptal"),0,E332*IFERROR(INDEX(Kanallar!$B$5:$B$19,MATCH(C332,Kanallar!$A$5:$A$19,0)),0)))</f>
        <v/>
      </c>
      <c r="J332" s="16" t="str">
        <f aca="false">IF(I332="","",IF(H332="İptal",0,IF(H332="İade",-G332,E332-I332-F332-G332)))</f>
        <v/>
      </c>
    </row>
    <row r="333" customFormat="false" ht="15" hidden="false" customHeight="false" outlineLevel="0" collapsed="false">
      <c r="A333" s="12"/>
      <c r="B333" s="13"/>
      <c r="C333" s="14"/>
      <c r="D333" s="13"/>
      <c r="E333" s="15"/>
      <c r="F333" s="15"/>
      <c r="G333" s="15"/>
      <c r="H333" s="14"/>
      <c r="I333" s="16" t="str">
        <f aca="false">IF(OR(A333="",C333=""),"",IF(OR(H333="İade",H333="İptal"),0,E333*IFERROR(INDEX(Kanallar!$B$5:$B$19,MATCH(C333,Kanallar!$A$5:$A$19,0)),0)))</f>
        <v/>
      </c>
      <c r="J333" s="16" t="str">
        <f aca="false">IF(I333="","",IF(H333="İptal",0,IF(H333="İade",-G333,E333-I333-F333-G333)))</f>
        <v/>
      </c>
    </row>
    <row r="334" customFormat="false" ht="15" hidden="false" customHeight="false" outlineLevel="0" collapsed="false">
      <c r="A334" s="12"/>
      <c r="B334" s="13"/>
      <c r="C334" s="14"/>
      <c r="D334" s="13"/>
      <c r="E334" s="15"/>
      <c r="F334" s="15"/>
      <c r="G334" s="15"/>
      <c r="H334" s="14"/>
      <c r="I334" s="16" t="str">
        <f aca="false">IF(OR(A334="",C334=""),"",IF(OR(H334="İade",H334="İptal"),0,E334*IFERROR(INDEX(Kanallar!$B$5:$B$19,MATCH(C334,Kanallar!$A$5:$A$19,0)),0)))</f>
        <v/>
      </c>
      <c r="J334" s="16" t="str">
        <f aca="false">IF(I334="","",IF(H334="İptal",0,IF(H334="İade",-G334,E334-I334-F334-G334)))</f>
        <v/>
      </c>
    </row>
    <row r="335" customFormat="false" ht="15" hidden="false" customHeight="false" outlineLevel="0" collapsed="false">
      <c r="A335" s="12"/>
      <c r="B335" s="13"/>
      <c r="C335" s="14"/>
      <c r="D335" s="13"/>
      <c r="E335" s="15"/>
      <c r="F335" s="15"/>
      <c r="G335" s="15"/>
      <c r="H335" s="14"/>
      <c r="I335" s="16" t="str">
        <f aca="false">IF(OR(A335="",C335=""),"",IF(OR(H335="İade",H335="İptal"),0,E335*IFERROR(INDEX(Kanallar!$B$5:$B$19,MATCH(C335,Kanallar!$A$5:$A$19,0)),0)))</f>
        <v/>
      </c>
      <c r="J335" s="16" t="str">
        <f aca="false">IF(I335="","",IF(H335="İptal",0,IF(H335="İade",-G335,E335-I335-F335-G335)))</f>
        <v/>
      </c>
    </row>
    <row r="336" customFormat="false" ht="15" hidden="false" customHeight="false" outlineLevel="0" collapsed="false">
      <c r="A336" s="12"/>
      <c r="B336" s="13"/>
      <c r="C336" s="14"/>
      <c r="D336" s="13"/>
      <c r="E336" s="15"/>
      <c r="F336" s="15"/>
      <c r="G336" s="15"/>
      <c r="H336" s="14"/>
      <c r="I336" s="16" t="str">
        <f aca="false">IF(OR(A336="",C336=""),"",IF(OR(H336="İade",H336="İptal"),0,E336*IFERROR(INDEX(Kanallar!$B$5:$B$19,MATCH(C336,Kanallar!$A$5:$A$19,0)),0)))</f>
        <v/>
      </c>
      <c r="J336" s="16" t="str">
        <f aca="false">IF(I336="","",IF(H336="İptal",0,IF(H336="İade",-G336,E336-I336-F336-G336)))</f>
        <v/>
      </c>
    </row>
    <row r="337" customFormat="false" ht="15" hidden="false" customHeight="false" outlineLevel="0" collapsed="false">
      <c r="A337" s="12"/>
      <c r="B337" s="13"/>
      <c r="C337" s="14"/>
      <c r="D337" s="13"/>
      <c r="E337" s="15"/>
      <c r="F337" s="15"/>
      <c r="G337" s="15"/>
      <c r="H337" s="14"/>
      <c r="I337" s="16" t="str">
        <f aca="false">IF(OR(A337="",C337=""),"",IF(OR(H337="İade",H337="İptal"),0,E337*IFERROR(INDEX(Kanallar!$B$5:$B$19,MATCH(C337,Kanallar!$A$5:$A$19,0)),0)))</f>
        <v/>
      </c>
      <c r="J337" s="16" t="str">
        <f aca="false">IF(I337="","",IF(H337="İptal",0,IF(H337="İade",-G337,E337-I337-F337-G337)))</f>
        <v/>
      </c>
    </row>
    <row r="338" customFormat="false" ht="15" hidden="false" customHeight="false" outlineLevel="0" collapsed="false">
      <c r="A338" s="12"/>
      <c r="B338" s="13"/>
      <c r="C338" s="14"/>
      <c r="D338" s="13"/>
      <c r="E338" s="15"/>
      <c r="F338" s="15"/>
      <c r="G338" s="15"/>
      <c r="H338" s="14"/>
      <c r="I338" s="16" t="str">
        <f aca="false">IF(OR(A338="",C338=""),"",IF(OR(H338="İade",H338="İptal"),0,E338*IFERROR(INDEX(Kanallar!$B$5:$B$19,MATCH(C338,Kanallar!$A$5:$A$19,0)),0)))</f>
        <v/>
      </c>
      <c r="J338" s="16" t="str">
        <f aca="false">IF(I338="","",IF(H338="İptal",0,IF(H338="İade",-G338,E338-I338-F338-G338)))</f>
        <v/>
      </c>
    </row>
    <row r="339" customFormat="false" ht="15" hidden="false" customHeight="false" outlineLevel="0" collapsed="false">
      <c r="A339" s="12"/>
      <c r="B339" s="13"/>
      <c r="C339" s="14"/>
      <c r="D339" s="13"/>
      <c r="E339" s="15"/>
      <c r="F339" s="15"/>
      <c r="G339" s="15"/>
      <c r="H339" s="14"/>
      <c r="I339" s="16" t="str">
        <f aca="false">IF(OR(A339="",C339=""),"",IF(OR(H339="İade",H339="İptal"),0,E339*IFERROR(INDEX(Kanallar!$B$5:$B$19,MATCH(C339,Kanallar!$A$5:$A$19,0)),0)))</f>
        <v/>
      </c>
      <c r="J339" s="16" t="str">
        <f aca="false">IF(I339="","",IF(H339="İptal",0,IF(H339="İade",-G339,E339-I339-F339-G339)))</f>
        <v/>
      </c>
    </row>
    <row r="340" customFormat="false" ht="15" hidden="false" customHeight="false" outlineLevel="0" collapsed="false">
      <c r="A340" s="12"/>
      <c r="B340" s="13"/>
      <c r="C340" s="14"/>
      <c r="D340" s="13"/>
      <c r="E340" s="15"/>
      <c r="F340" s="15"/>
      <c r="G340" s="15"/>
      <c r="H340" s="14"/>
      <c r="I340" s="16" t="str">
        <f aca="false">IF(OR(A340="",C340=""),"",IF(OR(H340="İade",H340="İptal"),0,E340*IFERROR(INDEX(Kanallar!$B$5:$B$19,MATCH(C340,Kanallar!$A$5:$A$19,0)),0)))</f>
        <v/>
      </c>
      <c r="J340" s="16" t="str">
        <f aca="false">IF(I340="","",IF(H340="İptal",0,IF(H340="İade",-G340,E340-I340-F340-G340)))</f>
        <v/>
      </c>
    </row>
    <row r="341" customFormat="false" ht="15" hidden="false" customHeight="false" outlineLevel="0" collapsed="false">
      <c r="A341" s="12"/>
      <c r="B341" s="13"/>
      <c r="C341" s="14"/>
      <c r="D341" s="13"/>
      <c r="E341" s="15"/>
      <c r="F341" s="15"/>
      <c r="G341" s="15"/>
      <c r="H341" s="14"/>
      <c r="I341" s="16" t="str">
        <f aca="false">IF(OR(A341="",C341=""),"",IF(OR(H341="İade",H341="İptal"),0,E341*IFERROR(INDEX(Kanallar!$B$5:$B$19,MATCH(C341,Kanallar!$A$5:$A$19,0)),0)))</f>
        <v/>
      </c>
      <c r="J341" s="16" t="str">
        <f aca="false">IF(I341="","",IF(H341="İptal",0,IF(H341="İade",-G341,E341-I341-F341-G341)))</f>
        <v/>
      </c>
    </row>
    <row r="342" customFormat="false" ht="15" hidden="false" customHeight="false" outlineLevel="0" collapsed="false">
      <c r="A342" s="12"/>
      <c r="B342" s="13"/>
      <c r="C342" s="14"/>
      <c r="D342" s="13"/>
      <c r="E342" s="15"/>
      <c r="F342" s="15"/>
      <c r="G342" s="15"/>
      <c r="H342" s="14"/>
      <c r="I342" s="16" t="str">
        <f aca="false">IF(OR(A342="",C342=""),"",IF(OR(H342="İade",H342="İptal"),0,E342*IFERROR(INDEX(Kanallar!$B$5:$B$19,MATCH(C342,Kanallar!$A$5:$A$19,0)),0)))</f>
        <v/>
      </c>
      <c r="J342" s="16" t="str">
        <f aca="false">IF(I342="","",IF(H342="İptal",0,IF(H342="İade",-G342,E342-I342-F342-G342)))</f>
        <v/>
      </c>
    </row>
    <row r="343" customFormat="false" ht="15" hidden="false" customHeight="false" outlineLevel="0" collapsed="false">
      <c r="A343" s="12"/>
      <c r="B343" s="13"/>
      <c r="C343" s="14"/>
      <c r="D343" s="13"/>
      <c r="E343" s="15"/>
      <c r="F343" s="15"/>
      <c r="G343" s="15"/>
      <c r="H343" s="14"/>
      <c r="I343" s="16" t="str">
        <f aca="false">IF(OR(A343="",C343=""),"",IF(OR(H343="İade",H343="İptal"),0,E343*IFERROR(INDEX(Kanallar!$B$5:$B$19,MATCH(C343,Kanallar!$A$5:$A$19,0)),0)))</f>
        <v/>
      </c>
      <c r="J343" s="16" t="str">
        <f aca="false">IF(I343="","",IF(H343="İptal",0,IF(H343="İade",-G343,E343-I343-F343-G343)))</f>
        <v/>
      </c>
    </row>
    <row r="344" customFormat="false" ht="15" hidden="false" customHeight="false" outlineLevel="0" collapsed="false">
      <c r="A344" s="12"/>
      <c r="B344" s="13"/>
      <c r="C344" s="14"/>
      <c r="D344" s="13"/>
      <c r="E344" s="15"/>
      <c r="F344" s="15"/>
      <c r="G344" s="15"/>
      <c r="H344" s="14"/>
      <c r="I344" s="16" t="str">
        <f aca="false">IF(OR(A344="",C344=""),"",IF(OR(H344="İade",H344="İptal"),0,E344*IFERROR(INDEX(Kanallar!$B$5:$B$19,MATCH(C344,Kanallar!$A$5:$A$19,0)),0)))</f>
        <v/>
      </c>
      <c r="J344" s="16" t="str">
        <f aca="false">IF(I344="","",IF(H344="İptal",0,IF(H344="İade",-G344,E344-I344-F344-G344)))</f>
        <v/>
      </c>
    </row>
    <row r="345" customFormat="false" ht="15" hidden="false" customHeight="false" outlineLevel="0" collapsed="false">
      <c r="A345" s="12"/>
      <c r="B345" s="13"/>
      <c r="C345" s="14"/>
      <c r="D345" s="13"/>
      <c r="E345" s="15"/>
      <c r="F345" s="15"/>
      <c r="G345" s="15"/>
      <c r="H345" s="14"/>
      <c r="I345" s="16" t="str">
        <f aca="false">IF(OR(A345="",C345=""),"",IF(OR(H345="İade",H345="İptal"),0,E345*IFERROR(INDEX(Kanallar!$B$5:$B$19,MATCH(C345,Kanallar!$A$5:$A$19,0)),0)))</f>
        <v/>
      </c>
      <c r="J345" s="16" t="str">
        <f aca="false">IF(I345="","",IF(H345="İptal",0,IF(H345="İade",-G345,E345-I345-F345-G345)))</f>
        <v/>
      </c>
    </row>
    <row r="346" customFormat="false" ht="15" hidden="false" customHeight="false" outlineLevel="0" collapsed="false">
      <c r="A346" s="12"/>
      <c r="B346" s="13"/>
      <c r="C346" s="14"/>
      <c r="D346" s="13"/>
      <c r="E346" s="15"/>
      <c r="F346" s="15"/>
      <c r="G346" s="15"/>
      <c r="H346" s="14"/>
      <c r="I346" s="16" t="str">
        <f aca="false">IF(OR(A346="",C346=""),"",IF(OR(H346="İade",H346="İptal"),0,E346*IFERROR(INDEX(Kanallar!$B$5:$B$19,MATCH(C346,Kanallar!$A$5:$A$19,0)),0)))</f>
        <v/>
      </c>
      <c r="J346" s="16" t="str">
        <f aca="false">IF(I346="","",IF(H346="İptal",0,IF(H346="İade",-G346,E346-I346-F346-G346)))</f>
        <v/>
      </c>
    </row>
    <row r="347" customFormat="false" ht="15" hidden="false" customHeight="false" outlineLevel="0" collapsed="false">
      <c r="A347" s="12"/>
      <c r="B347" s="13"/>
      <c r="C347" s="14"/>
      <c r="D347" s="13"/>
      <c r="E347" s="15"/>
      <c r="F347" s="15"/>
      <c r="G347" s="15"/>
      <c r="H347" s="14"/>
      <c r="I347" s="16" t="str">
        <f aca="false">IF(OR(A347="",C347=""),"",IF(OR(H347="İade",H347="İptal"),0,E347*IFERROR(INDEX(Kanallar!$B$5:$B$19,MATCH(C347,Kanallar!$A$5:$A$19,0)),0)))</f>
        <v/>
      </c>
      <c r="J347" s="16" t="str">
        <f aca="false">IF(I347="","",IF(H347="İptal",0,IF(H347="İade",-G347,E347-I347-F347-G347)))</f>
        <v/>
      </c>
    </row>
    <row r="348" customFormat="false" ht="15" hidden="false" customHeight="false" outlineLevel="0" collapsed="false">
      <c r="A348" s="12"/>
      <c r="B348" s="13"/>
      <c r="C348" s="14"/>
      <c r="D348" s="13"/>
      <c r="E348" s="15"/>
      <c r="F348" s="15"/>
      <c r="G348" s="15"/>
      <c r="H348" s="14"/>
      <c r="I348" s="16" t="str">
        <f aca="false">IF(OR(A348="",C348=""),"",IF(OR(H348="İade",H348="İptal"),0,E348*IFERROR(INDEX(Kanallar!$B$5:$B$19,MATCH(C348,Kanallar!$A$5:$A$19,0)),0)))</f>
        <v/>
      </c>
      <c r="J348" s="16" t="str">
        <f aca="false">IF(I348="","",IF(H348="İptal",0,IF(H348="İade",-G348,E348-I348-F348-G348)))</f>
        <v/>
      </c>
    </row>
    <row r="349" customFormat="false" ht="15" hidden="false" customHeight="false" outlineLevel="0" collapsed="false">
      <c r="A349" s="12"/>
      <c r="B349" s="13"/>
      <c r="C349" s="14"/>
      <c r="D349" s="13"/>
      <c r="E349" s="15"/>
      <c r="F349" s="15"/>
      <c r="G349" s="15"/>
      <c r="H349" s="14"/>
      <c r="I349" s="16" t="str">
        <f aca="false">IF(OR(A349="",C349=""),"",IF(OR(H349="İade",H349="İptal"),0,E349*IFERROR(INDEX(Kanallar!$B$5:$B$19,MATCH(C349,Kanallar!$A$5:$A$19,0)),0)))</f>
        <v/>
      </c>
      <c r="J349" s="16" t="str">
        <f aca="false">IF(I349="","",IF(H349="İptal",0,IF(H349="İade",-G349,E349-I349-F349-G349)))</f>
        <v/>
      </c>
    </row>
    <row r="350" customFormat="false" ht="15" hidden="false" customHeight="false" outlineLevel="0" collapsed="false">
      <c r="A350" s="12"/>
      <c r="B350" s="13"/>
      <c r="C350" s="14"/>
      <c r="D350" s="13"/>
      <c r="E350" s="15"/>
      <c r="F350" s="15"/>
      <c r="G350" s="15"/>
      <c r="H350" s="14"/>
      <c r="I350" s="16" t="str">
        <f aca="false">IF(OR(A350="",C350=""),"",IF(OR(H350="İade",H350="İptal"),0,E350*IFERROR(INDEX(Kanallar!$B$5:$B$19,MATCH(C350,Kanallar!$A$5:$A$19,0)),0)))</f>
        <v/>
      </c>
      <c r="J350" s="16" t="str">
        <f aca="false">IF(I350="","",IF(H350="İptal",0,IF(H350="İade",-G350,E350-I350-F350-G350)))</f>
        <v/>
      </c>
    </row>
    <row r="351" customFormat="false" ht="15" hidden="false" customHeight="false" outlineLevel="0" collapsed="false">
      <c r="A351" s="12"/>
      <c r="B351" s="13"/>
      <c r="C351" s="14"/>
      <c r="D351" s="13"/>
      <c r="E351" s="15"/>
      <c r="F351" s="15"/>
      <c r="G351" s="15"/>
      <c r="H351" s="14"/>
      <c r="I351" s="16" t="str">
        <f aca="false">IF(OR(A351="",C351=""),"",IF(OR(H351="İade",H351="İptal"),0,E351*IFERROR(INDEX(Kanallar!$B$5:$B$19,MATCH(C351,Kanallar!$A$5:$A$19,0)),0)))</f>
        <v/>
      </c>
      <c r="J351" s="16" t="str">
        <f aca="false">IF(I351="","",IF(H351="İptal",0,IF(H351="İade",-G351,E351-I351-F351-G351)))</f>
        <v/>
      </c>
    </row>
    <row r="352" customFormat="false" ht="15" hidden="false" customHeight="false" outlineLevel="0" collapsed="false">
      <c r="A352" s="12"/>
      <c r="B352" s="13"/>
      <c r="C352" s="14"/>
      <c r="D352" s="13"/>
      <c r="E352" s="15"/>
      <c r="F352" s="15"/>
      <c r="G352" s="15"/>
      <c r="H352" s="14"/>
      <c r="I352" s="16" t="str">
        <f aca="false">IF(OR(A352="",C352=""),"",IF(OR(H352="İade",H352="İptal"),0,E352*IFERROR(INDEX(Kanallar!$B$5:$B$19,MATCH(C352,Kanallar!$A$5:$A$19,0)),0)))</f>
        <v/>
      </c>
      <c r="J352" s="16" t="str">
        <f aca="false">IF(I352="","",IF(H352="İptal",0,IF(H352="İade",-G352,E352-I352-F352-G352)))</f>
        <v/>
      </c>
    </row>
    <row r="353" customFormat="false" ht="15" hidden="false" customHeight="false" outlineLevel="0" collapsed="false">
      <c r="A353" s="12"/>
      <c r="B353" s="13"/>
      <c r="C353" s="14"/>
      <c r="D353" s="13"/>
      <c r="E353" s="15"/>
      <c r="F353" s="15"/>
      <c r="G353" s="15"/>
      <c r="H353" s="14"/>
      <c r="I353" s="16" t="str">
        <f aca="false">IF(OR(A353="",C353=""),"",IF(OR(H353="İade",H353="İptal"),0,E353*IFERROR(INDEX(Kanallar!$B$5:$B$19,MATCH(C353,Kanallar!$A$5:$A$19,0)),0)))</f>
        <v/>
      </c>
      <c r="J353" s="16" t="str">
        <f aca="false">IF(I353="","",IF(H353="İptal",0,IF(H353="İade",-G353,E353-I353-F353-G353)))</f>
        <v/>
      </c>
    </row>
    <row r="354" customFormat="false" ht="15" hidden="false" customHeight="false" outlineLevel="0" collapsed="false">
      <c r="A354" s="12"/>
      <c r="B354" s="13"/>
      <c r="C354" s="14"/>
      <c r="D354" s="13"/>
      <c r="E354" s="15"/>
      <c r="F354" s="15"/>
      <c r="G354" s="15"/>
      <c r="H354" s="14"/>
      <c r="I354" s="16" t="str">
        <f aca="false">IF(OR(A354="",C354=""),"",IF(OR(H354="İade",H354="İptal"),0,E354*IFERROR(INDEX(Kanallar!$B$5:$B$19,MATCH(C354,Kanallar!$A$5:$A$19,0)),0)))</f>
        <v/>
      </c>
      <c r="J354" s="16" t="str">
        <f aca="false">IF(I354="","",IF(H354="İptal",0,IF(H354="İade",-G354,E354-I354-F354-G354)))</f>
        <v/>
      </c>
    </row>
    <row r="355" customFormat="false" ht="15" hidden="false" customHeight="false" outlineLevel="0" collapsed="false">
      <c r="A355" s="12"/>
      <c r="B355" s="13"/>
      <c r="C355" s="14"/>
      <c r="D355" s="13"/>
      <c r="E355" s="15"/>
      <c r="F355" s="15"/>
      <c r="G355" s="15"/>
      <c r="H355" s="14"/>
      <c r="I355" s="16" t="str">
        <f aca="false">IF(OR(A355="",C355=""),"",IF(OR(H355="İade",H355="İptal"),0,E355*IFERROR(INDEX(Kanallar!$B$5:$B$19,MATCH(C355,Kanallar!$A$5:$A$19,0)),0)))</f>
        <v/>
      </c>
      <c r="J355" s="16" t="str">
        <f aca="false">IF(I355="","",IF(H355="İptal",0,IF(H355="İade",-G355,E355-I355-F355-G355)))</f>
        <v/>
      </c>
    </row>
    <row r="356" customFormat="false" ht="15" hidden="false" customHeight="false" outlineLevel="0" collapsed="false">
      <c r="A356" s="12"/>
      <c r="B356" s="13"/>
      <c r="C356" s="14"/>
      <c r="D356" s="13"/>
      <c r="E356" s="15"/>
      <c r="F356" s="15"/>
      <c r="G356" s="15"/>
      <c r="H356" s="14"/>
      <c r="I356" s="16" t="str">
        <f aca="false">IF(OR(A356="",C356=""),"",IF(OR(H356="İade",H356="İptal"),0,E356*IFERROR(INDEX(Kanallar!$B$5:$B$19,MATCH(C356,Kanallar!$A$5:$A$19,0)),0)))</f>
        <v/>
      </c>
      <c r="J356" s="16" t="str">
        <f aca="false">IF(I356="","",IF(H356="İptal",0,IF(H356="İade",-G356,E356-I356-F356-G356)))</f>
        <v/>
      </c>
    </row>
    <row r="357" customFormat="false" ht="15" hidden="false" customHeight="false" outlineLevel="0" collapsed="false">
      <c r="A357" s="12"/>
      <c r="B357" s="13"/>
      <c r="C357" s="14"/>
      <c r="D357" s="13"/>
      <c r="E357" s="15"/>
      <c r="F357" s="15"/>
      <c r="G357" s="15"/>
      <c r="H357" s="14"/>
      <c r="I357" s="16" t="str">
        <f aca="false">IF(OR(A357="",C357=""),"",IF(OR(H357="İade",H357="İptal"),0,E357*IFERROR(INDEX(Kanallar!$B$5:$B$19,MATCH(C357,Kanallar!$A$5:$A$19,0)),0)))</f>
        <v/>
      </c>
      <c r="J357" s="16" t="str">
        <f aca="false">IF(I357="","",IF(H357="İptal",0,IF(H357="İade",-G357,E357-I357-F357-G357)))</f>
        <v/>
      </c>
    </row>
    <row r="358" customFormat="false" ht="15" hidden="false" customHeight="false" outlineLevel="0" collapsed="false">
      <c r="A358" s="12"/>
      <c r="B358" s="13"/>
      <c r="C358" s="14"/>
      <c r="D358" s="13"/>
      <c r="E358" s="15"/>
      <c r="F358" s="15"/>
      <c r="G358" s="15"/>
      <c r="H358" s="14"/>
      <c r="I358" s="16" t="str">
        <f aca="false">IF(OR(A358="",C358=""),"",IF(OR(H358="İade",H358="İptal"),0,E358*IFERROR(INDEX(Kanallar!$B$5:$B$19,MATCH(C358,Kanallar!$A$5:$A$19,0)),0)))</f>
        <v/>
      </c>
      <c r="J358" s="16" t="str">
        <f aca="false">IF(I358="","",IF(H358="İptal",0,IF(H358="İade",-G358,E358-I358-F358-G358)))</f>
        <v/>
      </c>
    </row>
    <row r="359" customFormat="false" ht="15" hidden="false" customHeight="false" outlineLevel="0" collapsed="false">
      <c r="A359" s="12"/>
      <c r="B359" s="13"/>
      <c r="C359" s="14"/>
      <c r="D359" s="13"/>
      <c r="E359" s="15"/>
      <c r="F359" s="15"/>
      <c r="G359" s="15"/>
      <c r="H359" s="14"/>
      <c r="I359" s="16" t="str">
        <f aca="false">IF(OR(A359="",C359=""),"",IF(OR(H359="İade",H359="İptal"),0,E359*IFERROR(INDEX(Kanallar!$B$5:$B$19,MATCH(C359,Kanallar!$A$5:$A$19,0)),0)))</f>
        <v/>
      </c>
      <c r="J359" s="16" t="str">
        <f aca="false">IF(I359="","",IF(H359="İptal",0,IF(H359="İade",-G359,E359-I359-F359-G359)))</f>
        <v/>
      </c>
    </row>
    <row r="360" customFormat="false" ht="15" hidden="false" customHeight="false" outlineLevel="0" collapsed="false">
      <c r="A360" s="12"/>
      <c r="B360" s="13"/>
      <c r="C360" s="14"/>
      <c r="D360" s="13"/>
      <c r="E360" s="15"/>
      <c r="F360" s="15"/>
      <c r="G360" s="15"/>
      <c r="H360" s="14"/>
      <c r="I360" s="16" t="str">
        <f aca="false">IF(OR(A360="",C360=""),"",IF(OR(H360="İade",H360="İptal"),0,E360*IFERROR(INDEX(Kanallar!$B$5:$B$19,MATCH(C360,Kanallar!$A$5:$A$19,0)),0)))</f>
        <v/>
      </c>
      <c r="J360" s="16" t="str">
        <f aca="false">IF(I360="","",IF(H360="İptal",0,IF(H360="İade",-G360,E360-I360-F360-G360)))</f>
        <v/>
      </c>
    </row>
    <row r="361" customFormat="false" ht="15" hidden="false" customHeight="false" outlineLevel="0" collapsed="false">
      <c r="A361" s="12"/>
      <c r="B361" s="13"/>
      <c r="C361" s="14"/>
      <c r="D361" s="13"/>
      <c r="E361" s="15"/>
      <c r="F361" s="15"/>
      <c r="G361" s="15"/>
      <c r="H361" s="14"/>
      <c r="I361" s="16" t="str">
        <f aca="false">IF(OR(A361="",C361=""),"",IF(OR(H361="İade",H361="İptal"),0,E361*IFERROR(INDEX(Kanallar!$B$5:$B$19,MATCH(C361,Kanallar!$A$5:$A$19,0)),0)))</f>
        <v/>
      </c>
      <c r="J361" s="16" t="str">
        <f aca="false">IF(I361="","",IF(H361="İptal",0,IF(H361="İade",-G361,E361-I361-F361-G361)))</f>
        <v/>
      </c>
    </row>
    <row r="362" customFormat="false" ht="15" hidden="false" customHeight="false" outlineLevel="0" collapsed="false">
      <c r="A362" s="12"/>
      <c r="B362" s="13"/>
      <c r="C362" s="14"/>
      <c r="D362" s="13"/>
      <c r="E362" s="15"/>
      <c r="F362" s="15"/>
      <c r="G362" s="15"/>
      <c r="H362" s="14"/>
      <c r="I362" s="16" t="str">
        <f aca="false">IF(OR(A362="",C362=""),"",IF(OR(H362="İade",H362="İptal"),0,E362*IFERROR(INDEX(Kanallar!$B$5:$B$19,MATCH(C362,Kanallar!$A$5:$A$19,0)),0)))</f>
        <v/>
      </c>
      <c r="J362" s="16" t="str">
        <f aca="false">IF(I362="","",IF(H362="İptal",0,IF(H362="İade",-G362,E362-I362-F362-G362)))</f>
        <v/>
      </c>
    </row>
    <row r="363" customFormat="false" ht="15" hidden="false" customHeight="false" outlineLevel="0" collapsed="false">
      <c r="A363" s="12"/>
      <c r="B363" s="13"/>
      <c r="C363" s="14"/>
      <c r="D363" s="13"/>
      <c r="E363" s="15"/>
      <c r="F363" s="15"/>
      <c r="G363" s="15"/>
      <c r="H363" s="14"/>
      <c r="I363" s="16" t="str">
        <f aca="false">IF(OR(A363="",C363=""),"",IF(OR(H363="İade",H363="İptal"),0,E363*IFERROR(INDEX(Kanallar!$B$5:$B$19,MATCH(C363,Kanallar!$A$5:$A$19,0)),0)))</f>
        <v/>
      </c>
      <c r="J363" s="16" t="str">
        <f aca="false">IF(I363="","",IF(H363="İptal",0,IF(H363="İade",-G363,E363-I363-F363-G363)))</f>
        <v/>
      </c>
    </row>
    <row r="364" customFormat="false" ht="15" hidden="false" customHeight="false" outlineLevel="0" collapsed="false">
      <c r="A364" s="12"/>
      <c r="B364" s="13"/>
      <c r="C364" s="14"/>
      <c r="D364" s="13"/>
      <c r="E364" s="15"/>
      <c r="F364" s="15"/>
      <c r="G364" s="15"/>
      <c r="H364" s="14"/>
      <c r="I364" s="16" t="str">
        <f aca="false">IF(OR(A364="",C364=""),"",IF(OR(H364="İade",H364="İptal"),0,E364*IFERROR(INDEX(Kanallar!$B$5:$B$19,MATCH(C364,Kanallar!$A$5:$A$19,0)),0)))</f>
        <v/>
      </c>
      <c r="J364" s="16" t="str">
        <f aca="false">IF(I364="","",IF(H364="İptal",0,IF(H364="İade",-G364,E364-I364-F364-G364)))</f>
        <v/>
      </c>
    </row>
    <row r="365" customFormat="false" ht="15" hidden="false" customHeight="false" outlineLevel="0" collapsed="false">
      <c r="A365" s="12"/>
      <c r="B365" s="13"/>
      <c r="C365" s="14"/>
      <c r="D365" s="13"/>
      <c r="E365" s="15"/>
      <c r="F365" s="15"/>
      <c r="G365" s="15"/>
      <c r="H365" s="14"/>
      <c r="I365" s="16" t="str">
        <f aca="false">IF(OR(A365="",C365=""),"",IF(OR(H365="İade",H365="İptal"),0,E365*IFERROR(INDEX(Kanallar!$B$5:$B$19,MATCH(C365,Kanallar!$A$5:$A$19,0)),0)))</f>
        <v/>
      </c>
      <c r="J365" s="16" t="str">
        <f aca="false">IF(I365="","",IF(H365="İptal",0,IF(H365="İade",-G365,E365-I365-F365-G365)))</f>
        <v/>
      </c>
    </row>
    <row r="366" customFormat="false" ht="15" hidden="false" customHeight="false" outlineLevel="0" collapsed="false">
      <c r="A366" s="12"/>
      <c r="B366" s="13"/>
      <c r="C366" s="14"/>
      <c r="D366" s="13"/>
      <c r="E366" s="15"/>
      <c r="F366" s="15"/>
      <c r="G366" s="15"/>
      <c r="H366" s="14"/>
      <c r="I366" s="16" t="str">
        <f aca="false">IF(OR(A366="",C366=""),"",IF(OR(H366="İade",H366="İptal"),0,E366*IFERROR(INDEX(Kanallar!$B$5:$B$19,MATCH(C366,Kanallar!$A$5:$A$19,0)),0)))</f>
        <v/>
      </c>
      <c r="J366" s="16" t="str">
        <f aca="false">IF(I366="","",IF(H366="İptal",0,IF(H366="İade",-G366,E366-I366-F366-G366)))</f>
        <v/>
      </c>
    </row>
    <row r="367" customFormat="false" ht="15" hidden="false" customHeight="false" outlineLevel="0" collapsed="false">
      <c r="A367" s="12"/>
      <c r="B367" s="13"/>
      <c r="C367" s="14"/>
      <c r="D367" s="13"/>
      <c r="E367" s="15"/>
      <c r="F367" s="15"/>
      <c r="G367" s="15"/>
      <c r="H367" s="14"/>
      <c r="I367" s="16" t="str">
        <f aca="false">IF(OR(A367="",C367=""),"",IF(OR(H367="İade",H367="İptal"),0,E367*IFERROR(INDEX(Kanallar!$B$5:$B$19,MATCH(C367,Kanallar!$A$5:$A$19,0)),0)))</f>
        <v/>
      </c>
      <c r="J367" s="16" t="str">
        <f aca="false">IF(I367="","",IF(H367="İptal",0,IF(H367="İade",-G367,E367-I367-F367-G367)))</f>
        <v/>
      </c>
    </row>
    <row r="368" customFormat="false" ht="15" hidden="false" customHeight="false" outlineLevel="0" collapsed="false">
      <c r="A368" s="12"/>
      <c r="B368" s="13"/>
      <c r="C368" s="14"/>
      <c r="D368" s="13"/>
      <c r="E368" s="15"/>
      <c r="F368" s="15"/>
      <c r="G368" s="15"/>
      <c r="H368" s="14"/>
      <c r="I368" s="16" t="str">
        <f aca="false">IF(OR(A368="",C368=""),"",IF(OR(H368="İade",H368="İptal"),0,E368*IFERROR(INDEX(Kanallar!$B$5:$B$19,MATCH(C368,Kanallar!$A$5:$A$19,0)),0)))</f>
        <v/>
      </c>
      <c r="J368" s="16" t="str">
        <f aca="false">IF(I368="","",IF(H368="İptal",0,IF(H368="İade",-G368,E368-I368-F368-G368)))</f>
        <v/>
      </c>
    </row>
    <row r="369" customFormat="false" ht="15" hidden="false" customHeight="false" outlineLevel="0" collapsed="false">
      <c r="A369" s="12"/>
      <c r="B369" s="13"/>
      <c r="C369" s="14"/>
      <c r="D369" s="13"/>
      <c r="E369" s="15"/>
      <c r="F369" s="15"/>
      <c r="G369" s="15"/>
      <c r="H369" s="14"/>
      <c r="I369" s="16" t="str">
        <f aca="false">IF(OR(A369="",C369=""),"",IF(OR(H369="İade",H369="İptal"),0,E369*IFERROR(INDEX(Kanallar!$B$5:$B$19,MATCH(C369,Kanallar!$A$5:$A$19,0)),0)))</f>
        <v/>
      </c>
      <c r="J369" s="16" t="str">
        <f aca="false">IF(I369="","",IF(H369="İptal",0,IF(H369="İade",-G369,E369-I369-F369-G369)))</f>
        <v/>
      </c>
    </row>
    <row r="370" customFormat="false" ht="15" hidden="false" customHeight="false" outlineLevel="0" collapsed="false">
      <c r="A370" s="12"/>
      <c r="B370" s="13"/>
      <c r="C370" s="14"/>
      <c r="D370" s="13"/>
      <c r="E370" s="15"/>
      <c r="F370" s="15"/>
      <c r="G370" s="15"/>
      <c r="H370" s="14"/>
      <c r="I370" s="16" t="str">
        <f aca="false">IF(OR(A370="",C370=""),"",IF(OR(H370="İade",H370="İptal"),0,E370*IFERROR(INDEX(Kanallar!$B$5:$B$19,MATCH(C370,Kanallar!$A$5:$A$19,0)),0)))</f>
        <v/>
      </c>
      <c r="J370" s="16" t="str">
        <f aca="false">IF(I370="","",IF(H370="İptal",0,IF(H370="İade",-G370,E370-I370-F370-G370)))</f>
        <v/>
      </c>
    </row>
    <row r="371" customFormat="false" ht="15" hidden="false" customHeight="false" outlineLevel="0" collapsed="false">
      <c r="A371" s="12"/>
      <c r="B371" s="13"/>
      <c r="C371" s="14"/>
      <c r="D371" s="13"/>
      <c r="E371" s="15"/>
      <c r="F371" s="15"/>
      <c r="G371" s="15"/>
      <c r="H371" s="14"/>
      <c r="I371" s="16" t="str">
        <f aca="false">IF(OR(A371="",C371=""),"",IF(OR(H371="İade",H371="İptal"),0,E371*IFERROR(INDEX(Kanallar!$B$5:$B$19,MATCH(C371,Kanallar!$A$5:$A$19,0)),0)))</f>
        <v/>
      </c>
      <c r="J371" s="16" t="str">
        <f aca="false">IF(I371="","",IF(H371="İptal",0,IF(H371="İade",-G371,E371-I371-F371-G371)))</f>
        <v/>
      </c>
    </row>
    <row r="372" customFormat="false" ht="15" hidden="false" customHeight="false" outlineLevel="0" collapsed="false">
      <c r="A372" s="12"/>
      <c r="B372" s="13"/>
      <c r="C372" s="14"/>
      <c r="D372" s="13"/>
      <c r="E372" s="15"/>
      <c r="F372" s="15"/>
      <c r="G372" s="15"/>
      <c r="H372" s="14"/>
      <c r="I372" s="16" t="str">
        <f aca="false">IF(OR(A372="",C372=""),"",IF(OR(H372="İade",H372="İptal"),0,E372*IFERROR(INDEX(Kanallar!$B$5:$B$19,MATCH(C372,Kanallar!$A$5:$A$19,0)),0)))</f>
        <v/>
      </c>
      <c r="J372" s="16" t="str">
        <f aca="false">IF(I372="","",IF(H372="İptal",0,IF(H372="İade",-G372,E372-I372-F372-G372)))</f>
        <v/>
      </c>
    </row>
    <row r="373" customFormat="false" ht="15" hidden="false" customHeight="false" outlineLevel="0" collapsed="false">
      <c r="A373" s="12"/>
      <c r="B373" s="13"/>
      <c r="C373" s="14"/>
      <c r="D373" s="13"/>
      <c r="E373" s="15"/>
      <c r="F373" s="15"/>
      <c r="G373" s="15"/>
      <c r="H373" s="14"/>
      <c r="I373" s="16" t="str">
        <f aca="false">IF(OR(A373="",C373=""),"",IF(OR(H373="İade",H373="İptal"),0,E373*IFERROR(INDEX(Kanallar!$B$5:$B$19,MATCH(C373,Kanallar!$A$5:$A$19,0)),0)))</f>
        <v/>
      </c>
      <c r="J373" s="16" t="str">
        <f aca="false">IF(I373="","",IF(H373="İptal",0,IF(H373="İade",-G373,E373-I373-F373-G373)))</f>
        <v/>
      </c>
    </row>
    <row r="374" customFormat="false" ht="15" hidden="false" customHeight="false" outlineLevel="0" collapsed="false">
      <c r="A374" s="12"/>
      <c r="B374" s="13"/>
      <c r="C374" s="14"/>
      <c r="D374" s="13"/>
      <c r="E374" s="15"/>
      <c r="F374" s="15"/>
      <c r="G374" s="15"/>
      <c r="H374" s="14"/>
      <c r="I374" s="16" t="str">
        <f aca="false">IF(OR(A374="",C374=""),"",IF(OR(H374="İade",H374="İptal"),0,E374*IFERROR(INDEX(Kanallar!$B$5:$B$19,MATCH(C374,Kanallar!$A$5:$A$19,0)),0)))</f>
        <v/>
      </c>
      <c r="J374" s="16" t="str">
        <f aca="false">IF(I374="","",IF(H374="İptal",0,IF(H374="İade",-G374,E374-I374-F374-G374)))</f>
        <v/>
      </c>
    </row>
    <row r="375" customFormat="false" ht="15" hidden="false" customHeight="false" outlineLevel="0" collapsed="false">
      <c r="A375" s="12"/>
      <c r="B375" s="13"/>
      <c r="C375" s="14"/>
      <c r="D375" s="13"/>
      <c r="E375" s="15"/>
      <c r="F375" s="15"/>
      <c r="G375" s="15"/>
      <c r="H375" s="14"/>
      <c r="I375" s="16" t="str">
        <f aca="false">IF(OR(A375="",C375=""),"",IF(OR(H375="İade",H375="İptal"),0,E375*IFERROR(INDEX(Kanallar!$B$5:$B$19,MATCH(C375,Kanallar!$A$5:$A$19,0)),0)))</f>
        <v/>
      </c>
      <c r="J375" s="16" t="str">
        <f aca="false">IF(I375="","",IF(H375="İptal",0,IF(H375="İade",-G375,E375-I375-F375-G375)))</f>
        <v/>
      </c>
    </row>
    <row r="376" customFormat="false" ht="15" hidden="false" customHeight="false" outlineLevel="0" collapsed="false">
      <c r="A376" s="12"/>
      <c r="B376" s="13"/>
      <c r="C376" s="14"/>
      <c r="D376" s="13"/>
      <c r="E376" s="15"/>
      <c r="F376" s="15"/>
      <c r="G376" s="15"/>
      <c r="H376" s="14"/>
      <c r="I376" s="16" t="str">
        <f aca="false">IF(OR(A376="",C376=""),"",IF(OR(H376="İade",H376="İptal"),0,E376*IFERROR(INDEX(Kanallar!$B$5:$B$19,MATCH(C376,Kanallar!$A$5:$A$19,0)),0)))</f>
        <v/>
      </c>
      <c r="J376" s="16" t="str">
        <f aca="false">IF(I376="","",IF(H376="İptal",0,IF(H376="İade",-G376,E376-I376-F376-G376)))</f>
        <v/>
      </c>
    </row>
    <row r="377" customFormat="false" ht="15" hidden="false" customHeight="false" outlineLevel="0" collapsed="false">
      <c r="A377" s="12"/>
      <c r="B377" s="13"/>
      <c r="C377" s="14"/>
      <c r="D377" s="13"/>
      <c r="E377" s="15"/>
      <c r="F377" s="15"/>
      <c r="G377" s="15"/>
      <c r="H377" s="14"/>
      <c r="I377" s="16" t="str">
        <f aca="false">IF(OR(A377="",C377=""),"",IF(OR(H377="İade",H377="İptal"),0,E377*IFERROR(INDEX(Kanallar!$B$5:$B$19,MATCH(C377,Kanallar!$A$5:$A$19,0)),0)))</f>
        <v/>
      </c>
      <c r="J377" s="16" t="str">
        <f aca="false">IF(I377="","",IF(H377="İptal",0,IF(H377="İade",-G377,E377-I377-F377-G377)))</f>
        <v/>
      </c>
    </row>
    <row r="378" customFormat="false" ht="15" hidden="false" customHeight="false" outlineLevel="0" collapsed="false">
      <c r="A378" s="12"/>
      <c r="B378" s="13"/>
      <c r="C378" s="14"/>
      <c r="D378" s="13"/>
      <c r="E378" s="15"/>
      <c r="F378" s="15"/>
      <c r="G378" s="15"/>
      <c r="H378" s="14"/>
      <c r="I378" s="16" t="str">
        <f aca="false">IF(OR(A378="",C378=""),"",IF(OR(H378="İade",H378="İptal"),0,E378*IFERROR(INDEX(Kanallar!$B$5:$B$19,MATCH(C378,Kanallar!$A$5:$A$19,0)),0)))</f>
        <v/>
      </c>
      <c r="J378" s="16" t="str">
        <f aca="false">IF(I378="","",IF(H378="İptal",0,IF(H378="İade",-G378,E378-I378-F378-G378)))</f>
        <v/>
      </c>
    </row>
    <row r="379" customFormat="false" ht="15" hidden="false" customHeight="false" outlineLevel="0" collapsed="false">
      <c r="A379" s="12"/>
      <c r="B379" s="13"/>
      <c r="C379" s="14"/>
      <c r="D379" s="13"/>
      <c r="E379" s="15"/>
      <c r="F379" s="15"/>
      <c r="G379" s="15"/>
      <c r="H379" s="14"/>
      <c r="I379" s="16" t="str">
        <f aca="false">IF(OR(A379="",C379=""),"",IF(OR(H379="İade",H379="İptal"),0,E379*IFERROR(INDEX(Kanallar!$B$5:$B$19,MATCH(C379,Kanallar!$A$5:$A$19,0)),0)))</f>
        <v/>
      </c>
      <c r="J379" s="16" t="str">
        <f aca="false">IF(I379="","",IF(H379="İptal",0,IF(H379="İade",-G379,E379-I379-F379-G379)))</f>
        <v/>
      </c>
    </row>
    <row r="380" customFormat="false" ht="15" hidden="false" customHeight="false" outlineLevel="0" collapsed="false">
      <c r="A380" s="12"/>
      <c r="B380" s="13"/>
      <c r="C380" s="14"/>
      <c r="D380" s="13"/>
      <c r="E380" s="15"/>
      <c r="F380" s="15"/>
      <c r="G380" s="15"/>
      <c r="H380" s="14"/>
      <c r="I380" s="16" t="str">
        <f aca="false">IF(OR(A380="",C380=""),"",IF(OR(H380="İade",H380="İptal"),0,E380*IFERROR(INDEX(Kanallar!$B$5:$B$19,MATCH(C380,Kanallar!$A$5:$A$19,0)),0)))</f>
        <v/>
      </c>
      <c r="J380" s="16" t="str">
        <f aca="false">IF(I380="","",IF(H380="İptal",0,IF(H380="İade",-G380,E380-I380-F380-G380)))</f>
        <v/>
      </c>
    </row>
    <row r="381" customFormat="false" ht="15" hidden="false" customHeight="false" outlineLevel="0" collapsed="false">
      <c r="A381" s="12"/>
      <c r="B381" s="13"/>
      <c r="C381" s="14"/>
      <c r="D381" s="13"/>
      <c r="E381" s="15"/>
      <c r="F381" s="15"/>
      <c r="G381" s="15"/>
      <c r="H381" s="14"/>
      <c r="I381" s="16" t="str">
        <f aca="false">IF(OR(A381="",C381=""),"",IF(OR(H381="İade",H381="İptal"),0,E381*IFERROR(INDEX(Kanallar!$B$5:$B$19,MATCH(C381,Kanallar!$A$5:$A$19,0)),0)))</f>
        <v/>
      </c>
      <c r="J381" s="16" t="str">
        <f aca="false">IF(I381="","",IF(H381="İptal",0,IF(H381="İade",-G381,E381-I381-F381-G381)))</f>
        <v/>
      </c>
    </row>
    <row r="382" customFormat="false" ht="15" hidden="false" customHeight="false" outlineLevel="0" collapsed="false">
      <c r="A382" s="12"/>
      <c r="B382" s="13"/>
      <c r="C382" s="14"/>
      <c r="D382" s="13"/>
      <c r="E382" s="15"/>
      <c r="F382" s="15"/>
      <c r="G382" s="15"/>
      <c r="H382" s="14"/>
      <c r="I382" s="16" t="str">
        <f aca="false">IF(OR(A382="",C382=""),"",IF(OR(H382="İade",H382="İptal"),0,E382*IFERROR(INDEX(Kanallar!$B$5:$B$19,MATCH(C382,Kanallar!$A$5:$A$19,0)),0)))</f>
        <v/>
      </c>
      <c r="J382" s="16" t="str">
        <f aca="false">IF(I382="","",IF(H382="İptal",0,IF(H382="İade",-G382,E382-I382-F382-G382)))</f>
        <v/>
      </c>
    </row>
    <row r="383" customFormat="false" ht="15" hidden="false" customHeight="false" outlineLevel="0" collapsed="false">
      <c r="A383" s="12"/>
      <c r="B383" s="13"/>
      <c r="C383" s="14"/>
      <c r="D383" s="13"/>
      <c r="E383" s="15"/>
      <c r="F383" s="15"/>
      <c r="G383" s="15"/>
      <c r="H383" s="14"/>
      <c r="I383" s="16" t="str">
        <f aca="false">IF(OR(A383="",C383=""),"",IF(OR(H383="İade",H383="İptal"),0,E383*IFERROR(INDEX(Kanallar!$B$5:$B$19,MATCH(C383,Kanallar!$A$5:$A$19,0)),0)))</f>
        <v/>
      </c>
      <c r="J383" s="16" t="str">
        <f aca="false">IF(I383="","",IF(H383="İptal",0,IF(H383="İade",-G383,E383-I383-F383-G383)))</f>
        <v/>
      </c>
    </row>
    <row r="384" customFormat="false" ht="15" hidden="false" customHeight="false" outlineLevel="0" collapsed="false">
      <c r="A384" s="12"/>
      <c r="B384" s="13"/>
      <c r="C384" s="14"/>
      <c r="D384" s="13"/>
      <c r="E384" s="15"/>
      <c r="F384" s="15"/>
      <c r="G384" s="15"/>
      <c r="H384" s="14"/>
      <c r="I384" s="16" t="str">
        <f aca="false">IF(OR(A384="",C384=""),"",IF(OR(H384="İade",H384="İptal"),0,E384*IFERROR(INDEX(Kanallar!$B$5:$B$19,MATCH(C384,Kanallar!$A$5:$A$19,0)),0)))</f>
        <v/>
      </c>
      <c r="J384" s="16" t="str">
        <f aca="false">IF(I384="","",IF(H384="İptal",0,IF(H384="İade",-G384,E384-I384-F384-G384)))</f>
        <v/>
      </c>
    </row>
    <row r="385" customFormat="false" ht="15" hidden="false" customHeight="false" outlineLevel="0" collapsed="false">
      <c r="A385" s="12"/>
      <c r="B385" s="13"/>
      <c r="C385" s="14"/>
      <c r="D385" s="13"/>
      <c r="E385" s="15"/>
      <c r="F385" s="15"/>
      <c r="G385" s="15"/>
      <c r="H385" s="14"/>
      <c r="I385" s="16" t="str">
        <f aca="false">IF(OR(A385="",C385=""),"",IF(OR(H385="İade",H385="İptal"),0,E385*IFERROR(INDEX(Kanallar!$B$5:$B$19,MATCH(C385,Kanallar!$A$5:$A$19,0)),0)))</f>
        <v/>
      </c>
      <c r="J385" s="16" t="str">
        <f aca="false">IF(I385="","",IF(H385="İptal",0,IF(H385="İade",-G385,E385-I385-F385-G385)))</f>
        <v/>
      </c>
    </row>
    <row r="386" customFormat="false" ht="15" hidden="false" customHeight="false" outlineLevel="0" collapsed="false">
      <c r="A386" s="12"/>
      <c r="B386" s="13"/>
      <c r="C386" s="14"/>
      <c r="D386" s="13"/>
      <c r="E386" s="15"/>
      <c r="F386" s="15"/>
      <c r="G386" s="15"/>
      <c r="H386" s="14"/>
      <c r="I386" s="16" t="str">
        <f aca="false">IF(OR(A386="",C386=""),"",IF(OR(H386="İade",H386="İptal"),0,E386*IFERROR(INDEX(Kanallar!$B$5:$B$19,MATCH(C386,Kanallar!$A$5:$A$19,0)),0)))</f>
        <v/>
      </c>
      <c r="J386" s="16" t="str">
        <f aca="false">IF(I386="","",IF(H386="İptal",0,IF(H386="İade",-G386,E386-I386-F386-G386)))</f>
        <v/>
      </c>
    </row>
    <row r="387" customFormat="false" ht="15" hidden="false" customHeight="false" outlineLevel="0" collapsed="false">
      <c r="A387" s="12"/>
      <c r="B387" s="13"/>
      <c r="C387" s="14"/>
      <c r="D387" s="13"/>
      <c r="E387" s="15"/>
      <c r="F387" s="15"/>
      <c r="G387" s="15"/>
      <c r="H387" s="14"/>
      <c r="I387" s="16" t="str">
        <f aca="false">IF(OR(A387="",C387=""),"",IF(OR(H387="İade",H387="İptal"),0,E387*IFERROR(INDEX(Kanallar!$B$5:$B$19,MATCH(C387,Kanallar!$A$5:$A$19,0)),0)))</f>
        <v/>
      </c>
      <c r="J387" s="16" t="str">
        <f aca="false">IF(I387="","",IF(H387="İptal",0,IF(H387="İade",-G387,E387-I387-F387-G387)))</f>
        <v/>
      </c>
    </row>
    <row r="388" customFormat="false" ht="15" hidden="false" customHeight="false" outlineLevel="0" collapsed="false">
      <c r="A388" s="12"/>
      <c r="B388" s="13"/>
      <c r="C388" s="14"/>
      <c r="D388" s="13"/>
      <c r="E388" s="15"/>
      <c r="F388" s="15"/>
      <c r="G388" s="15"/>
      <c r="H388" s="14"/>
      <c r="I388" s="16" t="str">
        <f aca="false">IF(OR(A388="",C388=""),"",IF(OR(H388="İade",H388="İptal"),0,E388*IFERROR(INDEX(Kanallar!$B$5:$B$19,MATCH(C388,Kanallar!$A$5:$A$19,0)),0)))</f>
        <v/>
      </c>
      <c r="J388" s="16" t="str">
        <f aca="false">IF(I388="","",IF(H388="İptal",0,IF(H388="İade",-G388,E388-I388-F388-G388)))</f>
        <v/>
      </c>
    </row>
    <row r="389" customFormat="false" ht="15" hidden="false" customHeight="false" outlineLevel="0" collapsed="false">
      <c r="A389" s="12"/>
      <c r="B389" s="13"/>
      <c r="C389" s="14"/>
      <c r="D389" s="13"/>
      <c r="E389" s="15"/>
      <c r="F389" s="15"/>
      <c r="G389" s="15"/>
      <c r="H389" s="14"/>
      <c r="I389" s="16" t="str">
        <f aca="false">IF(OR(A389="",C389=""),"",IF(OR(H389="İade",H389="İptal"),0,E389*IFERROR(INDEX(Kanallar!$B$5:$B$19,MATCH(C389,Kanallar!$A$5:$A$19,0)),0)))</f>
        <v/>
      </c>
      <c r="J389" s="16" t="str">
        <f aca="false">IF(I389="","",IF(H389="İptal",0,IF(H389="İade",-G389,E389-I389-F389-G389)))</f>
        <v/>
      </c>
    </row>
    <row r="390" customFormat="false" ht="15" hidden="false" customHeight="false" outlineLevel="0" collapsed="false">
      <c r="A390" s="12"/>
      <c r="B390" s="13"/>
      <c r="C390" s="14"/>
      <c r="D390" s="13"/>
      <c r="E390" s="15"/>
      <c r="F390" s="15"/>
      <c r="G390" s="15"/>
      <c r="H390" s="14"/>
      <c r="I390" s="16" t="str">
        <f aca="false">IF(OR(A390="",C390=""),"",IF(OR(H390="İade",H390="İptal"),0,E390*IFERROR(INDEX(Kanallar!$B$5:$B$19,MATCH(C390,Kanallar!$A$5:$A$19,0)),0)))</f>
        <v/>
      </c>
      <c r="J390" s="16" t="str">
        <f aca="false">IF(I390="","",IF(H390="İptal",0,IF(H390="İade",-G390,E390-I390-F390-G390)))</f>
        <v/>
      </c>
    </row>
    <row r="391" customFormat="false" ht="15" hidden="false" customHeight="false" outlineLevel="0" collapsed="false">
      <c r="A391" s="12"/>
      <c r="B391" s="13"/>
      <c r="C391" s="14"/>
      <c r="D391" s="13"/>
      <c r="E391" s="15"/>
      <c r="F391" s="15"/>
      <c r="G391" s="15"/>
      <c r="H391" s="14"/>
      <c r="I391" s="16" t="str">
        <f aca="false">IF(OR(A391="",C391=""),"",IF(OR(H391="İade",H391="İptal"),0,E391*IFERROR(INDEX(Kanallar!$B$5:$B$19,MATCH(C391,Kanallar!$A$5:$A$19,0)),0)))</f>
        <v/>
      </c>
      <c r="J391" s="16" t="str">
        <f aca="false">IF(I391="","",IF(H391="İptal",0,IF(H391="İade",-G391,E391-I391-F391-G391)))</f>
        <v/>
      </c>
    </row>
    <row r="392" customFormat="false" ht="15" hidden="false" customHeight="false" outlineLevel="0" collapsed="false">
      <c r="A392" s="12"/>
      <c r="B392" s="13"/>
      <c r="C392" s="14"/>
      <c r="D392" s="13"/>
      <c r="E392" s="15"/>
      <c r="F392" s="15"/>
      <c r="G392" s="15"/>
      <c r="H392" s="14"/>
      <c r="I392" s="16" t="str">
        <f aca="false">IF(OR(A392="",C392=""),"",IF(OR(H392="İade",H392="İptal"),0,E392*IFERROR(INDEX(Kanallar!$B$5:$B$19,MATCH(C392,Kanallar!$A$5:$A$19,0)),0)))</f>
        <v/>
      </c>
      <c r="J392" s="16" t="str">
        <f aca="false">IF(I392="","",IF(H392="İptal",0,IF(H392="İade",-G392,E392-I392-F392-G392)))</f>
        <v/>
      </c>
    </row>
    <row r="393" customFormat="false" ht="15" hidden="false" customHeight="false" outlineLevel="0" collapsed="false">
      <c r="A393" s="12"/>
      <c r="B393" s="13"/>
      <c r="C393" s="14"/>
      <c r="D393" s="13"/>
      <c r="E393" s="15"/>
      <c r="F393" s="15"/>
      <c r="G393" s="15"/>
      <c r="H393" s="14"/>
      <c r="I393" s="16" t="str">
        <f aca="false">IF(OR(A393="",C393=""),"",IF(OR(H393="İade",H393="İptal"),0,E393*IFERROR(INDEX(Kanallar!$B$5:$B$19,MATCH(C393,Kanallar!$A$5:$A$19,0)),0)))</f>
        <v/>
      </c>
      <c r="J393" s="16" t="str">
        <f aca="false">IF(I393="","",IF(H393="İptal",0,IF(H393="İade",-G393,E393-I393-F393-G393)))</f>
        <v/>
      </c>
    </row>
    <row r="394" customFormat="false" ht="15" hidden="false" customHeight="false" outlineLevel="0" collapsed="false">
      <c r="A394" s="12"/>
      <c r="B394" s="13"/>
      <c r="C394" s="14"/>
      <c r="D394" s="13"/>
      <c r="E394" s="15"/>
      <c r="F394" s="15"/>
      <c r="G394" s="15"/>
      <c r="H394" s="14"/>
      <c r="I394" s="16" t="str">
        <f aca="false">IF(OR(A394="",C394=""),"",IF(OR(H394="İade",H394="İptal"),0,E394*IFERROR(INDEX(Kanallar!$B$5:$B$19,MATCH(C394,Kanallar!$A$5:$A$19,0)),0)))</f>
        <v/>
      </c>
      <c r="J394" s="16" t="str">
        <f aca="false">IF(I394="","",IF(H394="İptal",0,IF(H394="İade",-G394,E394-I394-F394-G394)))</f>
        <v/>
      </c>
    </row>
    <row r="395" customFormat="false" ht="15" hidden="false" customHeight="false" outlineLevel="0" collapsed="false">
      <c r="A395" s="12"/>
      <c r="B395" s="13"/>
      <c r="C395" s="14"/>
      <c r="D395" s="13"/>
      <c r="E395" s="15"/>
      <c r="F395" s="15"/>
      <c r="G395" s="15"/>
      <c r="H395" s="14"/>
      <c r="I395" s="16" t="str">
        <f aca="false">IF(OR(A395="",C395=""),"",IF(OR(H395="İade",H395="İptal"),0,E395*IFERROR(INDEX(Kanallar!$B$5:$B$19,MATCH(C395,Kanallar!$A$5:$A$19,0)),0)))</f>
        <v/>
      </c>
      <c r="J395" s="16" t="str">
        <f aca="false">IF(I395="","",IF(H395="İptal",0,IF(H395="İade",-G395,E395-I395-F395-G395)))</f>
        <v/>
      </c>
    </row>
    <row r="396" customFormat="false" ht="15" hidden="false" customHeight="false" outlineLevel="0" collapsed="false">
      <c r="A396" s="12"/>
      <c r="B396" s="13"/>
      <c r="C396" s="14"/>
      <c r="D396" s="13"/>
      <c r="E396" s="15"/>
      <c r="F396" s="15"/>
      <c r="G396" s="15"/>
      <c r="H396" s="14"/>
      <c r="I396" s="16" t="str">
        <f aca="false">IF(OR(A396="",C396=""),"",IF(OR(H396="İade",H396="İptal"),0,E396*IFERROR(INDEX(Kanallar!$B$5:$B$19,MATCH(C396,Kanallar!$A$5:$A$19,0)),0)))</f>
        <v/>
      </c>
      <c r="J396" s="16" t="str">
        <f aca="false">IF(I396="","",IF(H396="İptal",0,IF(H396="İade",-G396,E396-I396-F396-G396)))</f>
        <v/>
      </c>
    </row>
    <row r="397" customFormat="false" ht="15" hidden="false" customHeight="false" outlineLevel="0" collapsed="false">
      <c r="A397" s="12"/>
      <c r="B397" s="13"/>
      <c r="C397" s="14"/>
      <c r="D397" s="13"/>
      <c r="E397" s="15"/>
      <c r="F397" s="15"/>
      <c r="G397" s="15"/>
      <c r="H397" s="14"/>
      <c r="I397" s="16" t="str">
        <f aca="false">IF(OR(A397="",C397=""),"",IF(OR(H397="İade",H397="İptal"),0,E397*IFERROR(INDEX(Kanallar!$B$5:$B$19,MATCH(C397,Kanallar!$A$5:$A$19,0)),0)))</f>
        <v/>
      </c>
      <c r="J397" s="16" t="str">
        <f aca="false">IF(I397="","",IF(H397="İptal",0,IF(H397="İade",-G397,E397-I397-F397-G397)))</f>
        <v/>
      </c>
    </row>
    <row r="398" customFormat="false" ht="15" hidden="false" customHeight="false" outlineLevel="0" collapsed="false">
      <c r="A398" s="12"/>
      <c r="B398" s="13"/>
      <c r="C398" s="14"/>
      <c r="D398" s="13"/>
      <c r="E398" s="15"/>
      <c r="F398" s="15"/>
      <c r="G398" s="15"/>
      <c r="H398" s="14"/>
      <c r="I398" s="16" t="str">
        <f aca="false">IF(OR(A398="",C398=""),"",IF(OR(H398="İade",H398="İptal"),0,E398*IFERROR(INDEX(Kanallar!$B$5:$B$19,MATCH(C398,Kanallar!$A$5:$A$19,0)),0)))</f>
        <v/>
      </c>
      <c r="J398" s="16" t="str">
        <f aca="false">IF(I398="","",IF(H398="İptal",0,IF(H398="İade",-G398,E398-I398-F398-G398)))</f>
        <v/>
      </c>
    </row>
    <row r="399" customFormat="false" ht="15" hidden="false" customHeight="false" outlineLevel="0" collapsed="false">
      <c r="A399" s="12"/>
      <c r="B399" s="13"/>
      <c r="C399" s="14"/>
      <c r="D399" s="13"/>
      <c r="E399" s="15"/>
      <c r="F399" s="15"/>
      <c r="G399" s="15"/>
      <c r="H399" s="14"/>
      <c r="I399" s="16" t="str">
        <f aca="false">IF(OR(A399="",C399=""),"",IF(OR(H399="İade",H399="İptal"),0,E399*IFERROR(INDEX(Kanallar!$B$5:$B$19,MATCH(C399,Kanallar!$A$5:$A$19,0)),0)))</f>
        <v/>
      </c>
      <c r="J399" s="16" t="str">
        <f aca="false">IF(I399="","",IF(H399="İptal",0,IF(H399="İade",-G399,E399-I399-F399-G399)))</f>
        <v/>
      </c>
    </row>
    <row r="400" customFormat="false" ht="15" hidden="false" customHeight="false" outlineLevel="0" collapsed="false">
      <c r="A400" s="12"/>
      <c r="B400" s="13"/>
      <c r="C400" s="14"/>
      <c r="D400" s="13"/>
      <c r="E400" s="15"/>
      <c r="F400" s="15"/>
      <c r="G400" s="15"/>
      <c r="H400" s="14"/>
      <c r="I400" s="16" t="str">
        <f aca="false">IF(OR(A400="",C400=""),"",IF(OR(H400="İade",H400="İptal"),0,E400*IFERROR(INDEX(Kanallar!$B$5:$B$19,MATCH(C400,Kanallar!$A$5:$A$19,0)),0)))</f>
        <v/>
      </c>
      <c r="J400" s="16" t="str">
        <f aca="false">IF(I400="","",IF(H400="İptal",0,IF(H400="İade",-G400,E400-I400-F400-G400)))</f>
        <v/>
      </c>
    </row>
    <row r="401" customFormat="false" ht="15" hidden="false" customHeight="false" outlineLevel="0" collapsed="false">
      <c r="A401" s="12"/>
      <c r="B401" s="13"/>
      <c r="C401" s="14"/>
      <c r="D401" s="13"/>
      <c r="E401" s="15"/>
      <c r="F401" s="15"/>
      <c r="G401" s="15"/>
      <c r="H401" s="14"/>
      <c r="I401" s="16" t="str">
        <f aca="false">IF(OR(A401="",C401=""),"",IF(OR(H401="İade",H401="İptal"),0,E401*IFERROR(INDEX(Kanallar!$B$5:$B$19,MATCH(C401,Kanallar!$A$5:$A$19,0)),0)))</f>
        <v/>
      </c>
      <c r="J401" s="16" t="str">
        <f aca="false">IF(I401="","",IF(H401="İptal",0,IF(H401="İade",-G401,E401-I401-F401-G401)))</f>
        <v/>
      </c>
    </row>
    <row r="402" customFormat="false" ht="15" hidden="false" customHeight="false" outlineLevel="0" collapsed="false">
      <c r="A402" s="12"/>
      <c r="B402" s="13"/>
      <c r="C402" s="14"/>
      <c r="D402" s="13"/>
      <c r="E402" s="15"/>
      <c r="F402" s="15"/>
      <c r="G402" s="15"/>
      <c r="H402" s="14"/>
      <c r="I402" s="16" t="str">
        <f aca="false">IF(OR(A402="",C402=""),"",IF(OR(H402="İade",H402="İptal"),0,E402*IFERROR(INDEX(Kanallar!$B$5:$B$19,MATCH(C402,Kanallar!$A$5:$A$19,0)),0)))</f>
        <v/>
      </c>
      <c r="J402" s="16" t="str">
        <f aca="false">IF(I402="","",IF(H402="İptal",0,IF(H402="İade",-G402,E402-I402-F402-G402)))</f>
        <v/>
      </c>
    </row>
    <row r="403" customFormat="false" ht="15" hidden="false" customHeight="false" outlineLevel="0" collapsed="false">
      <c r="A403" s="12"/>
      <c r="B403" s="13"/>
      <c r="C403" s="14"/>
      <c r="D403" s="13"/>
      <c r="E403" s="15"/>
      <c r="F403" s="15"/>
      <c r="G403" s="15"/>
      <c r="H403" s="14"/>
      <c r="I403" s="16" t="str">
        <f aca="false">IF(OR(A403="",C403=""),"",IF(OR(H403="İade",H403="İptal"),0,E403*IFERROR(INDEX(Kanallar!$B$5:$B$19,MATCH(C403,Kanallar!$A$5:$A$19,0)),0)))</f>
        <v/>
      </c>
      <c r="J403" s="16" t="str">
        <f aca="false">IF(I403="","",IF(H403="İptal",0,IF(H403="İade",-G403,E403-I403-F403-G403)))</f>
        <v/>
      </c>
    </row>
    <row r="404" customFormat="false" ht="15" hidden="false" customHeight="false" outlineLevel="0" collapsed="false">
      <c r="A404" s="12"/>
      <c r="B404" s="13"/>
      <c r="C404" s="14"/>
      <c r="D404" s="13"/>
      <c r="E404" s="15"/>
      <c r="F404" s="15"/>
      <c r="G404" s="15"/>
      <c r="H404" s="14"/>
      <c r="I404" s="16" t="str">
        <f aca="false">IF(OR(A404="",C404=""),"",IF(OR(H404="İade",H404="İptal"),0,E404*IFERROR(INDEX(Kanallar!$B$5:$B$19,MATCH(C404,Kanallar!$A$5:$A$19,0)),0)))</f>
        <v/>
      </c>
      <c r="J404" s="16" t="str">
        <f aca="false">IF(I404="","",IF(H404="İptal",0,IF(H404="İade",-G404,E404-I404-F404-G404)))</f>
        <v/>
      </c>
    </row>
    <row r="405" customFormat="false" ht="15" hidden="false" customHeight="false" outlineLevel="0" collapsed="false">
      <c r="A405" s="12"/>
      <c r="B405" s="13"/>
      <c r="C405" s="14"/>
      <c r="D405" s="13"/>
      <c r="E405" s="15"/>
      <c r="F405" s="15"/>
      <c r="G405" s="15"/>
      <c r="H405" s="14"/>
      <c r="I405" s="16" t="str">
        <f aca="false">IF(OR(A405="",C405=""),"",IF(OR(H405="İade",H405="İptal"),0,E405*IFERROR(INDEX(Kanallar!$B$5:$B$19,MATCH(C405,Kanallar!$A$5:$A$19,0)),0)))</f>
        <v/>
      </c>
      <c r="J405" s="16" t="str">
        <f aca="false">IF(I405="","",IF(H405="İptal",0,IF(H405="İade",-G405,E405-I405-F405-G405)))</f>
        <v/>
      </c>
    </row>
    <row r="406" customFormat="false" ht="15" hidden="false" customHeight="false" outlineLevel="0" collapsed="false">
      <c r="A406" s="12"/>
      <c r="B406" s="13"/>
      <c r="C406" s="14"/>
      <c r="D406" s="13"/>
      <c r="E406" s="15"/>
      <c r="F406" s="15"/>
      <c r="G406" s="15"/>
      <c r="H406" s="14"/>
      <c r="I406" s="16" t="str">
        <f aca="false">IF(OR(A406="",C406=""),"",IF(OR(H406="İade",H406="İptal"),0,E406*IFERROR(INDEX(Kanallar!$B$5:$B$19,MATCH(C406,Kanallar!$A$5:$A$19,0)),0)))</f>
        <v/>
      </c>
      <c r="J406" s="16" t="str">
        <f aca="false">IF(I406="","",IF(H406="İptal",0,IF(H406="İade",-G406,E406-I406-F406-G406)))</f>
        <v/>
      </c>
    </row>
    <row r="407" customFormat="false" ht="15" hidden="false" customHeight="false" outlineLevel="0" collapsed="false">
      <c r="A407" s="12"/>
      <c r="B407" s="13"/>
      <c r="C407" s="14"/>
      <c r="D407" s="13"/>
      <c r="E407" s="15"/>
      <c r="F407" s="15"/>
      <c r="G407" s="15"/>
      <c r="H407" s="14"/>
      <c r="I407" s="16" t="str">
        <f aca="false">IF(OR(A407="",C407=""),"",IF(OR(H407="İade",H407="İptal"),0,E407*IFERROR(INDEX(Kanallar!$B$5:$B$19,MATCH(C407,Kanallar!$A$5:$A$19,0)),0)))</f>
        <v/>
      </c>
      <c r="J407" s="16" t="str">
        <f aca="false">IF(I407="","",IF(H407="İptal",0,IF(H407="İade",-G407,E407-I407-F407-G407)))</f>
        <v/>
      </c>
    </row>
    <row r="408" customFormat="false" ht="15" hidden="false" customHeight="false" outlineLevel="0" collapsed="false">
      <c r="A408" s="12"/>
      <c r="B408" s="13"/>
      <c r="C408" s="14"/>
      <c r="D408" s="13"/>
      <c r="E408" s="15"/>
      <c r="F408" s="15"/>
      <c r="G408" s="15"/>
      <c r="H408" s="14"/>
      <c r="I408" s="16" t="str">
        <f aca="false">IF(OR(A408="",C408=""),"",IF(OR(H408="İade",H408="İptal"),0,E408*IFERROR(INDEX(Kanallar!$B$5:$B$19,MATCH(C408,Kanallar!$A$5:$A$19,0)),0)))</f>
        <v/>
      </c>
      <c r="J408" s="16" t="str">
        <f aca="false">IF(I408="","",IF(H408="İptal",0,IF(H408="İade",-G408,E408-I408-F408-G408)))</f>
        <v/>
      </c>
    </row>
    <row r="409" customFormat="false" ht="15" hidden="false" customHeight="false" outlineLevel="0" collapsed="false">
      <c r="A409" s="12"/>
      <c r="B409" s="13"/>
      <c r="C409" s="14"/>
      <c r="D409" s="13"/>
      <c r="E409" s="15"/>
      <c r="F409" s="15"/>
      <c r="G409" s="15"/>
      <c r="H409" s="14"/>
      <c r="I409" s="16" t="str">
        <f aca="false">IF(OR(A409="",C409=""),"",IF(OR(H409="İade",H409="İptal"),0,E409*IFERROR(INDEX(Kanallar!$B$5:$B$19,MATCH(C409,Kanallar!$A$5:$A$19,0)),0)))</f>
        <v/>
      </c>
      <c r="J409" s="16" t="str">
        <f aca="false">IF(I409="","",IF(H409="İptal",0,IF(H409="İade",-G409,E409-I409-F409-G409)))</f>
        <v/>
      </c>
    </row>
    <row r="410" customFormat="false" ht="15" hidden="false" customHeight="false" outlineLevel="0" collapsed="false">
      <c r="A410" s="12"/>
      <c r="B410" s="13"/>
      <c r="C410" s="14"/>
      <c r="D410" s="13"/>
      <c r="E410" s="15"/>
      <c r="F410" s="15"/>
      <c r="G410" s="15"/>
      <c r="H410" s="14"/>
      <c r="I410" s="16" t="str">
        <f aca="false">IF(OR(A410="",C410=""),"",IF(OR(H410="İade",H410="İptal"),0,E410*IFERROR(INDEX(Kanallar!$B$5:$B$19,MATCH(C410,Kanallar!$A$5:$A$19,0)),0)))</f>
        <v/>
      </c>
      <c r="J410" s="16" t="str">
        <f aca="false">IF(I410="","",IF(H410="İptal",0,IF(H410="İade",-G410,E410-I410-F410-G410)))</f>
        <v/>
      </c>
    </row>
    <row r="411" customFormat="false" ht="15" hidden="false" customHeight="false" outlineLevel="0" collapsed="false">
      <c r="A411" s="12"/>
      <c r="B411" s="13"/>
      <c r="C411" s="14"/>
      <c r="D411" s="13"/>
      <c r="E411" s="15"/>
      <c r="F411" s="15"/>
      <c r="G411" s="15"/>
      <c r="H411" s="14"/>
      <c r="I411" s="16" t="str">
        <f aca="false">IF(OR(A411="",C411=""),"",IF(OR(H411="İade",H411="İptal"),0,E411*IFERROR(INDEX(Kanallar!$B$5:$B$19,MATCH(C411,Kanallar!$A$5:$A$19,0)),0)))</f>
        <v/>
      </c>
      <c r="J411" s="16" t="str">
        <f aca="false">IF(I411="","",IF(H411="İptal",0,IF(H411="İade",-G411,E411-I411-F411-G411)))</f>
        <v/>
      </c>
    </row>
    <row r="412" customFormat="false" ht="15" hidden="false" customHeight="false" outlineLevel="0" collapsed="false">
      <c r="A412" s="12"/>
      <c r="B412" s="13"/>
      <c r="C412" s="14"/>
      <c r="D412" s="13"/>
      <c r="E412" s="15"/>
      <c r="F412" s="15"/>
      <c r="G412" s="15"/>
      <c r="H412" s="14"/>
      <c r="I412" s="16" t="str">
        <f aca="false">IF(OR(A412="",C412=""),"",IF(OR(H412="İade",H412="İptal"),0,E412*IFERROR(INDEX(Kanallar!$B$5:$B$19,MATCH(C412,Kanallar!$A$5:$A$19,0)),0)))</f>
        <v/>
      </c>
      <c r="J412" s="16" t="str">
        <f aca="false">IF(I412="","",IF(H412="İptal",0,IF(H412="İade",-G412,E412-I412-F412-G412)))</f>
        <v/>
      </c>
    </row>
    <row r="413" customFormat="false" ht="15" hidden="false" customHeight="false" outlineLevel="0" collapsed="false">
      <c r="A413" s="12"/>
      <c r="B413" s="13"/>
      <c r="C413" s="14"/>
      <c r="D413" s="13"/>
      <c r="E413" s="15"/>
      <c r="F413" s="15"/>
      <c r="G413" s="15"/>
      <c r="H413" s="14"/>
      <c r="I413" s="16" t="str">
        <f aca="false">IF(OR(A413="",C413=""),"",IF(OR(H413="İade",H413="İptal"),0,E413*IFERROR(INDEX(Kanallar!$B$5:$B$19,MATCH(C413,Kanallar!$A$5:$A$19,0)),0)))</f>
        <v/>
      </c>
      <c r="J413" s="16" t="str">
        <f aca="false">IF(I413="","",IF(H413="İptal",0,IF(H413="İade",-G413,E413-I413-F413-G413)))</f>
        <v/>
      </c>
    </row>
    <row r="414" customFormat="false" ht="15" hidden="false" customHeight="false" outlineLevel="0" collapsed="false">
      <c r="A414" s="12"/>
      <c r="B414" s="13"/>
      <c r="C414" s="14"/>
      <c r="D414" s="13"/>
      <c r="E414" s="15"/>
      <c r="F414" s="15"/>
      <c r="G414" s="15"/>
      <c r="H414" s="14"/>
      <c r="I414" s="16" t="str">
        <f aca="false">IF(OR(A414="",C414=""),"",IF(OR(H414="İade",H414="İptal"),0,E414*IFERROR(INDEX(Kanallar!$B$5:$B$19,MATCH(C414,Kanallar!$A$5:$A$19,0)),0)))</f>
        <v/>
      </c>
      <c r="J414" s="16" t="str">
        <f aca="false">IF(I414="","",IF(H414="İptal",0,IF(H414="İade",-G414,E414-I414-F414-G414)))</f>
        <v/>
      </c>
    </row>
    <row r="415" customFormat="false" ht="15" hidden="false" customHeight="false" outlineLevel="0" collapsed="false">
      <c r="A415" s="12"/>
      <c r="B415" s="13"/>
      <c r="C415" s="14"/>
      <c r="D415" s="13"/>
      <c r="E415" s="15"/>
      <c r="F415" s="15"/>
      <c r="G415" s="15"/>
      <c r="H415" s="14"/>
      <c r="I415" s="16" t="str">
        <f aca="false">IF(OR(A415="",C415=""),"",IF(OR(H415="İade",H415="İptal"),0,E415*IFERROR(INDEX(Kanallar!$B$5:$B$19,MATCH(C415,Kanallar!$A$5:$A$19,0)),0)))</f>
        <v/>
      </c>
      <c r="J415" s="16" t="str">
        <f aca="false">IF(I415="","",IF(H415="İptal",0,IF(H415="İade",-G415,E415-I415-F415-G415)))</f>
        <v/>
      </c>
    </row>
    <row r="416" customFormat="false" ht="15" hidden="false" customHeight="false" outlineLevel="0" collapsed="false">
      <c r="A416" s="12"/>
      <c r="B416" s="13"/>
      <c r="C416" s="14"/>
      <c r="D416" s="13"/>
      <c r="E416" s="15"/>
      <c r="F416" s="15"/>
      <c r="G416" s="15"/>
      <c r="H416" s="14"/>
      <c r="I416" s="16" t="str">
        <f aca="false">IF(OR(A416="",C416=""),"",IF(OR(H416="İade",H416="İptal"),0,E416*IFERROR(INDEX(Kanallar!$B$5:$B$19,MATCH(C416,Kanallar!$A$5:$A$19,0)),0)))</f>
        <v/>
      </c>
      <c r="J416" s="16" t="str">
        <f aca="false">IF(I416="","",IF(H416="İptal",0,IF(H416="İade",-G416,E416-I416-F416-G416)))</f>
        <v/>
      </c>
    </row>
    <row r="417" customFormat="false" ht="15" hidden="false" customHeight="false" outlineLevel="0" collapsed="false">
      <c r="A417" s="12"/>
      <c r="B417" s="13"/>
      <c r="C417" s="14"/>
      <c r="D417" s="13"/>
      <c r="E417" s="15"/>
      <c r="F417" s="15"/>
      <c r="G417" s="15"/>
      <c r="H417" s="14"/>
      <c r="I417" s="16" t="str">
        <f aca="false">IF(OR(A417="",C417=""),"",IF(OR(H417="İade",H417="İptal"),0,E417*IFERROR(INDEX(Kanallar!$B$5:$B$19,MATCH(C417,Kanallar!$A$5:$A$19,0)),0)))</f>
        <v/>
      </c>
      <c r="J417" s="16" t="str">
        <f aca="false">IF(I417="","",IF(H417="İptal",0,IF(H417="İade",-G417,E417-I417-F417-G417)))</f>
        <v/>
      </c>
    </row>
    <row r="418" customFormat="false" ht="15" hidden="false" customHeight="false" outlineLevel="0" collapsed="false">
      <c r="A418" s="12"/>
      <c r="B418" s="13"/>
      <c r="C418" s="14"/>
      <c r="D418" s="13"/>
      <c r="E418" s="15"/>
      <c r="F418" s="15"/>
      <c r="G418" s="15"/>
      <c r="H418" s="14"/>
      <c r="I418" s="16" t="str">
        <f aca="false">IF(OR(A418="",C418=""),"",IF(OR(H418="İade",H418="İptal"),0,E418*IFERROR(INDEX(Kanallar!$B$5:$B$19,MATCH(C418,Kanallar!$A$5:$A$19,0)),0)))</f>
        <v/>
      </c>
      <c r="J418" s="16" t="str">
        <f aca="false">IF(I418="","",IF(H418="İptal",0,IF(H418="İade",-G418,E418-I418-F418-G418)))</f>
        <v/>
      </c>
    </row>
    <row r="419" customFormat="false" ht="15" hidden="false" customHeight="false" outlineLevel="0" collapsed="false">
      <c r="A419" s="12"/>
      <c r="B419" s="13"/>
      <c r="C419" s="14"/>
      <c r="D419" s="13"/>
      <c r="E419" s="15"/>
      <c r="F419" s="15"/>
      <c r="G419" s="15"/>
      <c r="H419" s="14"/>
      <c r="I419" s="16" t="str">
        <f aca="false">IF(OR(A419="",C419=""),"",IF(OR(H419="İade",H419="İptal"),0,E419*IFERROR(INDEX(Kanallar!$B$5:$B$19,MATCH(C419,Kanallar!$A$5:$A$19,0)),0)))</f>
        <v/>
      </c>
      <c r="J419" s="16" t="str">
        <f aca="false">IF(I419="","",IF(H419="İptal",0,IF(H419="İade",-G419,E419-I419-F419-G419)))</f>
        <v/>
      </c>
    </row>
    <row r="420" customFormat="false" ht="15" hidden="false" customHeight="false" outlineLevel="0" collapsed="false">
      <c r="A420" s="12"/>
      <c r="B420" s="13"/>
      <c r="C420" s="14"/>
      <c r="D420" s="13"/>
      <c r="E420" s="15"/>
      <c r="F420" s="15"/>
      <c r="G420" s="15"/>
      <c r="H420" s="14"/>
      <c r="I420" s="16" t="str">
        <f aca="false">IF(OR(A420="",C420=""),"",IF(OR(H420="İade",H420="İptal"),0,E420*IFERROR(INDEX(Kanallar!$B$5:$B$19,MATCH(C420,Kanallar!$A$5:$A$19,0)),0)))</f>
        <v/>
      </c>
      <c r="J420" s="16" t="str">
        <f aca="false">IF(I420="","",IF(H420="İptal",0,IF(H420="İade",-G420,E420-I420-F420-G420)))</f>
        <v/>
      </c>
    </row>
    <row r="421" customFormat="false" ht="15" hidden="false" customHeight="false" outlineLevel="0" collapsed="false">
      <c r="A421" s="12"/>
      <c r="B421" s="13"/>
      <c r="C421" s="14"/>
      <c r="D421" s="13"/>
      <c r="E421" s="15"/>
      <c r="F421" s="15"/>
      <c r="G421" s="15"/>
      <c r="H421" s="14"/>
      <c r="I421" s="16" t="str">
        <f aca="false">IF(OR(A421="",C421=""),"",IF(OR(H421="İade",H421="İptal"),0,E421*IFERROR(INDEX(Kanallar!$B$5:$B$19,MATCH(C421,Kanallar!$A$5:$A$19,0)),0)))</f>
        <v/>
      </c>
      <c r="J421" s="16" t="str">
        <f aca="false">IF(I421="","",IF(H421="İptal",0,IF(H421="İade",-G421,E421-I421-F421-G421)))</f>
        <v/>
      </c>
    </row>
    <row r="422" customFormat="false" ht="15" hidden="false" customHeight="false" outlineLevel="0" collapsed="false">
      <c r="A422" s="12"/>
      <c r="B422" s="13"/>
      <c r="C422" s="14"/>
      <c r="D422" s="13"/>
      <c r="E422" s="15"/>
      <c r="F422" s="15"/>
      <c r="G422" s="15"/>
      <c r="H422" s="14"/>
      <c r="I422" s="16" t="str">
        <f aca="false">IF(OR(A422="",C422=""),"",IF(OR(H422="İade",H422="İptal"),0,E422*IFERROR(INDEX(Kanallar!$B$5:$B$19,MATCH(C422,Kanallar!$A$5:$A$19,0)),0)))</f>
        <v/>
      </c>
      <c r="J422" s="16" t="str">
        <f aca="false">IF(I422="","",IF(H422="İptal",0,IF(H422="İade",-G422,E422-I422-F422-G422)))</f>
        <v/>
      </c>
    </row>
    <row r="423" customFormat="false" ht="15" hidden="false" customHeight="false" outlineLevel="0" collapsed="false">
      <c r="A423" s="12"/>
      <c r="B423" s="13"/>
      <c r="C423" s="14"/>
      <c r="D423" s="13"/>
      <c r="E423" s="15"/>
      <c r="F423" s="15"/>
      <c r="G423" s="15"/>
      <c r="H423" s="14"/>
      <c r="I423" s="16" t="str">
        <f aca="false">IF(OR(A423="",C423=""),"",IF(OR(H423="İade",H423="İptal"),0,E423*IFERROR(INDEX(Kanallar!$B$5:$B$19,MATCH(C423,Kanallar!$A$5:$A$19,0)),0)))</f>
        <v/>
      </c>
      <c r="J423" s="16" t="str">
        <f aca="false">IF(I423="","",IF(H423="İptal",0,IF(H423="İade",-G423,E423-I423-F423-G423)))</f>
        <v/>
      </c>
    </row>
    <row r="424" customFormat="false" ht="15" hidden="false" customHeight="false" outlineLevel="0" collapsed="false">
      <c r="A424" s="12"/>
      <c r="B424" s="13"/>
      <c r="C424" s="14"/>
      <c r="D424" s="13"/>
      <c r="E424" s="15"/>
      <c r="F424" s="15"/>
      <c r="G424" s="15"/>
      <c r="H424" s="14"/>
      <c r="I424" s="16" t="str">
        <f aca="false">IF(OR(A424="",C424=""),"",IF(OR(H424="İade",H424="İptal"),0,E424*IFERROR(INDEX(Kanallar!$B$5:$B$19,MATCH(C424,Kanallar!$A$5:$A$19,0)),0)))</f>
        <v/>
      </c>
      <c r="J424" s="16" t="str">
        <f aca="false">IF(I424="","",IF(H424="İptal",0,IF(H424="İade",-G424,E424-I424-F424-G424)))</f>
        <v/>
      </c>
    </row>
    <row r="425" customFormat="false" ht="15" hidden="false" customHeight="false" outlineLevel="0" collapsed="false">
      <c r="A425" s="12"/>
      <c r="B425" s="13"/>
      <c r="C425" s="14"/>
      <c r="D425" s="13"/>
      <c r="E425" s="15"/>
      <c r="F425" s="15"/>
      <c r="G425" s="15"/>
      <c r="H425" s="14"/>
      <c r="I425" s="16" t="str">
        <f aca="false">IF(OR(A425="",C425=""),"",IF(OR(H425="İade",H425="İptal"),0,E425*IFERROR(INDEX(Kanallar!$B$5:$B$19,MATCH(C425,Kanallar!$A$5:$A$19,0)),0)))</f>
        <v/>
      </c>
      <c r="J425" s="16" t="str">
        <f aca="false">IF(I425="","",IF(H425="İptal",0,IF(H425="İade",-G425,E425-I425-F425-G425)))</f>
        <v/>
      </c>
    </row>
    <row r="426" customFormat="false" ht="15" hidden="false" customHeight="false" outlineLevel="0" collapsed="false">
      <c r="A426" s="12"/>
      <c r="B426" s="13"/>
      <c r="C426" s="14"/>
      <c r="D426" s="13"/>
      <c r="E426" s="15"/>
      <c r="F426" s="15"/>
      <c r="G426" s="15"/>
      <c r="H426" s="14"/>
      <c r="I426" s="16" t="str">
        <f aca="false">IF(OR(A426="",C426=""),"",IF(OR(H426="İade",H426="İptal"),0,E426*IFERROR(INDEX(Kanallar!$B$5:$B$19,MATCH(C426,Kanallar!$A$5:$A$19,0)),0)))</f>
        <v/>
      </c>
      <c r="J426" s="16" t="str">
        <f aca="false">IF(I426="","",IF(H426="İptal",0,IF(H426="İade",-G426,E426-I426-F426-G426)))</f>
        <v/>
      </c>
    </row>
    <row r="427" customFormat="false" ht="15" hidden="false" customHeight="false" outlineLevel="0" collapsed="false">
      <c r="A427" s="12"/>
      <c r="B427" s="13"/>
      <c r="C427" s="14"/>
      <c r="D427" s="13"/>
      <c r="E427" s="15"/>
      <c r="F427" s="15"/>
      <c r="G427" s="15"/>
      <c r="H427" s="14"/>
      <c r="I427" s="16" t="str">
        <f aca="false">IF(OR(A427="",C427=""),"",IF(OR(H427="İade",H427="İptal"),0,E427*IFERROR(INDEX(Kanallar!$B$5:$B$19,MATCH(C427,Kanallar!$A$5:$A$19,0)),0)))</f>
        <v/>
      </c>
      <c r="J427" s="16" t="str">
        <f aca="false">IF(I427="","",IF(H427="İptal",0,IF(H427="İade",-G427,E427-I427-F427-G427)))</f>
        <v/>
      </c>
    </row>
    <row r="428" customFormat="false" ht="15" hidden="false" customHeight="false" outlineLevel="0" collapsed="false">
      <c r="A428" s="12"/>
      <c r="B428" s="13"/>
      <c r="C428" s="14"/>
      <c r="D428" s="13"/>
      <c r="E428" s="15"/>
      <c r="F428" s="15"/>
      <c r="G428" s="15"/>
      <c r="H428" s="14"/>
      <c r="I428" s="16" t="str">
        <f aca="false">IF(OR(A428="",C428=""),"",IF(OR(H428="İade",H428="İptal"),0,E428*IFERROR(INDEX(Kanallar!$B$5:$B$19,MATCH(C428,Kanallar!$A$5:$A$19,0)),0)))</f>
        <v/>
      </c>
      <c r="J428" s="16" t="str">
        <f aca="false">IF(I428="","",IF(H428="İptal",0,IF(H428="İade",-G428,E428-I428-F428-G428)))</f>
        <v/>
      </c>
    </row>
    <row r="429" customFormat="false" ht="15" hidden="false" customHeight="false" outlineLevel="0" collapsed="false">
      <c r="A429" s="12"/>
      <c r="B429" s="13"/>
      <c r="C429" s="14"/>
      <c r="D429" s="13"/>
      <c r="E429" s="15"/>
      <c r="F429" s="15"/>
      <c r="G429" s="15"/>
      <c r="H429" s="14"/>
      <c r="I429" s="16" t="str">
        <f aca="false">IF(OR(A429="",C429=""),"",IF(OR(H429="İade",H429="İptal"),0,E429*IFERROR(INDEX(Kanallar!$B$5:$B$19,MATCH(C429,Kanallar!$A$5:$A$19,0)),0)))</f>
        <v/>
      </c>
      <c r="J429" s="16" t="str">
        <f aca="false">IF(I429="","",IF(H429="İptal",0,IF(H429="İade",-G429,E429-I429-F429-G429)))</f>
        <v/>
      </c>
    </row>
    <row r="430" customFormat="false" ht="15" hidden="false" customHeight="false" outlineLevel="0" collapsed="false">
      <c r="A430" s="12"/>
      <c r="B430" s="13"/>
      <c r="C430" s="14"/>
      <c r="D430" s="13"/>
      <c r="E430" s="15"/>
      <c r="F430" s="15"/>
      <c r="G430" s="15"/>
      <c r="H430" s="14"/>
      <c r="I430" s="16" t="str">
        <f aca="false">IF(OR(A430="",C430=""),"",IF(OR(H430="İade",H430="İptal"),0,E430*IFERROR(INDEX(Kanallar!$B$5:$B$19,MATCH(C430,Kanallar!$A$5:$A$19,0)),0)))</f>
        <v/>
      </c>
      <c r="J430" s="16" t="str">
        <f aca="false">IF(I430="","",IF(H430="İptal",0,IF(H430="İade",-G430,E430-I430-F430-G430)))</f>
        <v/>
      </c>
    </row>
    <row r="431" customFormat="false" ht="15" hidden="false" customHeight="false" outlineLevel="0" collapsed="false">
      <c r="A431" s="12"/>
      <c r="B431" s="13"/>
      <c r="C431" s="14"/>
      <c r="D431" s="13"/>
      <c r="E431" s="15"/>
      <c r="F431" s="15"/>
      <c r="G431" s="15"/>
      <c r="H431" s="14"/>
      <c r="I431" s="16" t="str">
        <f aca="false">IF(OR(A431="",C431=""),"",IF(OR(H431="İade",H431="İptal"),0,E431*IFERROR(INDEX(Kanallar!$B$5:$B$19,MATCH(C431,Kanallar!$A$5:$A$19,0)),0)))</f>
        <v/>
      </c>
      <c r="J431" s="16" t="str">
        <f aca="false">IF(I431="","",IF(H431="İptal",0,IF(H431="İade",-G431,E431-I431-F431-G431)))</f>
        <v/>
      </c>
    </row>
    <row r="432" customFormat="false" ht="15" hidden="false" customHeight="false" outlineLevel="0" collapsed="false">
      <c r="A432" s="12"/>
      <c r="B432" s="13"/>
      <c r="C432" s="14"/>
      <c r="D432" s="13"/>
      <c r="E432" s="15"/>
      <c r="F432" s="15"/>
      <c r="G432" s="15"/>
      <c r="H432" s="14"/>
      <c r="I432" s="16" t="str">
        <f aca="false">IF(OR(A432="",C432=""),"",IF(OR(H432="İade",H432="İptal"),0,E432*IFERROR(INDEX(Kanallar!$B$5:$B$19,MATCH(C432,Kanallar!$A$5:$A$19,0)),0)))</f>
        <v/>
      </c>
      <c r="J432" s="16" t="str">
        <f aca="false">IF(I432="","",IF(H432="İptal",0,IF(H432="İade",-G432,E432-I432-F432-G432)))</f>
        <v/>
      </c>
    </row>
    <row r="433" customFormat="false" ht="15" hidden="false" customHeight="false" outlineLevel="0" collapsed="false">
      <c r="A433" s="12"/>
      <c r="B433" s="13"/>
      <c r="C433" s="14"/>
      <c r="D433" s="13"/>
      <c r="E433" s="15"/>
      <c r="F433" s="15"/>
      <c r="G433" s="15"/>
      <c r="H433" s="14"/>
      <c r="I433" s="16" t="str">
        <f aca="false">IF(OR(A433="",C433=""),"",IF(OR(H433="İade",H433="İptal"),0,E433*IFERROR(INDEX(Kanallar!$B$5:$B$19,MATCH(C433,Kanallar!$A$5:$A$19,0)),0)))</f>
        <v/>
      </c>
      <c r="J433" s="16" t="str">
        <f aca="false">IF(I433="","",IF(H433="İptal",0,IF(H433="İade",-G433,E433-I433-F433-G433)))</f>
        <v/>
      </c>
    </row>
    <row r="434" customFormat="false" ht="15" hidden="false" customHeight="false" outlineLevel="0" collapsed="false">
      <c r="A434" s="12"/>
      <c r="B434" s="13"/>
      <c r="C434" s="14"/>
      <c r="D434" s="13"/>
      <c r="E434" s="15"/>
      <c r="F434" s="15"/>
      <c r="G434" s="15"/>
      <c r="H434" s="14"/>
      <c r="I434" s="16" t="str">
        <f aca="false">IF(OR(A434="",C434=""),"",IF(OR(H434="İade",H434="İptal"),0,E434*IFERROR(INDEX(Kanallar!$B$5:$B$19,MATCH(C434,Kanallar!$A$5:$A$19,0)),0)))</f>
        <v/>
      </c>
      <c r="J434" s="16" t="str">
        <f aca="false">IF(I434="","",IF(H434="İptal",0,IF(H434="İade",-G434,E434-I434-F434-G434)))</f>
        <v/>
      </c>
    </row>
    <row r="435" customFormat="false" ht="15" hidden="false" customHeight="false" outlineLevel="0" collapsed="false">
      <c r="A435" s="12"/>
      <c r="B435" s="13"/>
      <c r="C435" s="14"/>
      <c r="D435" s="13"/>
      <c r="E435" s="15"/>
      <c r="F435" s="15"/>
      <c r="G435" s="15"/>
      <c r="H435" s="14"/>
      <c r="I435" s="16" t="str">
        <f aca="false">IF(OR(A435="",C435=""),"",IF(OR(H435="İade",H435="İptal"),0,E435*IFERROR(INDEX(Kanallar!$B$5:$B$19,MATCH(C435,Kanallar!$A$5:$A$19,0)),0)))</f>
        <v/>
      </c>
      <c r="J435" s="16" t="str">
        <f aca="false">IF(I435="","",IF(H435="İptal",0,IF(H435="İade",-G435,E435-I435-F435-G435)))</f>
        <v/>
      </c>
    </row>
    <row r="436" customFormat="false" ht="15" hidden="false" customHeight="false" outlineLevel="0" collapsed="false">
      <c r="A436" s="12"/>
      <c r="B436" s="13"/>
      <c r="C436" s="14"/>
      <c r="D436" s="13"/>
      <c r="E436" s="15"/>
      <c r="F436" s="15"/>
      <c r="G436" s="15"/>
      <c r="H436" s="14"/>
      <c r="I436" s="16" t="str">
        <f aca="false">IF(OR(A436="",C436=""),"",IF(OR(H436="İade",H436="İptal"),0,E436*IFERROR(INDEX(Kanallar!$B$5:$B$19,MATCH(C436,Kanallar!$A$5:$A$19,0)),0)))</f>
        <v/>
      </c>
      <c r="J436" s="16" t="str">
        <f aca="false">IF(I436="","",IF(H436="İptal",0,IF(H436="İade",-G436,E436-I436-F436-G436)))</f>
        <v/>
      </c>
    </row>
    <row r="437" customFormat="false" ht="15" hidden="false" customHeight="false" outlineLevel="0" collapsed="false">
      <c r="A437" s="12"/>
      <c r="B437" s="13"/>
      <c r="C437" s="14"/>
      <c r="D437" s="13"/>
      <c r="E437" s="15"/>
      <c r="F437" s="15"/>
      <c r="G437" s="15"/>
      <c r="H437" s="14"/>
      <c r="I437" s="16" t="str">
        <f aca="false">IF(OR(A437="",C437=""),"",IF(OR(H437="İade",H437="İptal"),0,E437*IFERROR(INDEX(Kanallar!$B$5:$B$19,MATCH(C437,Kanallar!$A$5:$A$19,0)),0)))</f>
        <v/>
      </c>
      <c r="J437" s="16" t="str">
        <f aca="false">IF(I437="","",IF(H437="İptal",0,IF(H437="İade",-G437,E437-I437-F437-G437)))</f>
        <v/>
      </c>
    </row>
    <row r="438" customFormat="false" ht="15" hidden="false" customHeight="false" outlineLevel="0" collapsed="false">
      <c r="A438" s="12"/>
      <c r="B438" s="13"/>
      <c r="C438" s="14"/>
      <c r="D438" s="13"/>
      <c r="E438" s="15"/>
      <c r="F438" s="15"/>
      <c r="G438" s="15"/>
      <c r="H438" s="14"/>
      <c r="I438" s="16" t="str">
        <f aca="false">IF(OR(A438="",C438=""),"",IF(OR(H438="İade",H438="İptal"),0,E438*IFERROR(INDEX(Kanallar!$B$5:$B$19,MATCH(C438,Kanallar!$A$5:$A$19,0)),0)))</f>
        <v/>
      </c>
      <c r="J438" s="16" t="str">
        <f aca="false">IF(I438="","",IF(H438="İptal",0,IF(H438="İade",-G438,E438-I438-F438-G438)))</f>
        <v/>
      </c>
    </row>
    <row r="439" customFormat="false" ht="15" hidden="false" customHeight="false" outlineLevel="0" collapsed="false">
      <c r="A439" s="12"/>
      <c r="B439" s="13"/>
      <c r="C439" s="14"/>
      <c r="D439" s="13"/>
      <c r="E439" s="15"/>
      <c r="F439" s="15"/>
      <c r="G439" s="15"/>
      <c r="H439" s="14"/>
      <c r="I439" s="16" t="str">
        <f aca="false">IF(OR(A439="",C439=""),"",IF(OR(H439="İade",H439="İptal"),0,E439*IFERROR(INDEX(Kanallar!$B$5:$B$19,MATCH(C439,Kanallar!$A$5:$A$19,0)),0)))</f>
        <v/>
      </c>
      <c r="J439" s="16" t="str">
        <f aca="false">IF(I439="","",IF(H439="İptal",0,IF(H439="İade",-G439,E439-I439-F439-G439)))</f>
        <v/>
      </c>
    </row>
    <row r="440" customFormat="false" ht="15" hidden="false" customHeight="false" outlineLevel="0" collapsed="false">
      <c r="A440" s="12"/>
      <c r="B440" s="13"/>
      <c r="C440" s="14"/>
      <c r="D440" s="13"/>
      <c r="E440" s="15"/>
      <c r="F440" s="15"/>
      <c r="G440" s="15"/>
      <c r="H440" s="14"/>
      <c r="I440" s="16" t="str">
        <f aca="false">IF(OR(A440="",C440=""),"",IF(OR(H440="İade",H440="İptal"),0,E440*IFERROR(INDEX(Kanallar!$B$5:$B$19,MATCH(C440,Kanallar!$A$5:$A$19,0)),0)))</f>
        <v/>
      </c>
      <c r="J440" s="16" t="str">
        <f aca="false">IF(I440="","",IF(H440="İptal",0,IF(H440="İade",-G440,E440-I440-F440-G440)))</f>
        <v/>
      </c>
    </row>
    <row r="441" customFormat="false" ht="15" hidden="false" customHeight="false" outlineLevel="0" collapsed="false">
      <c r="A441" s="12"/>
      <c r="B441" s="13"/>
      <c r="C441" s="14"/>
      <c r="D441" s="13"/>
      <c r="E441" s="15"/>
      <c r="F441" s="15"/>
      <c r="G441" s="15"/>
      <c r="H441" s="14"/>
      <c r="I441" s="16" t="str">
        <f aca="false">IF(OR(A441="",C441=""),"",IF(OR(H441="İade",H441="İptal"),0,E441*IFERROR(INDEX(Kanallar!$B$5:$B$19,MATCH(C441,Kanallar!$A$5:$A$19,0)),0)))</f>
        <v/>
      </c>
      <c r="J441" s="16" t="str">
        <f aca="false">IF(I441="","",IF(H441="İptal",0,IF(H441="İade",-G441,E441-I441-F441-G441)))</f>
        <v/>
      </c>
    </row>
    <row r="442" customFormat="false" ht="15" hidden="false" customHeight="false" outlineLevel="0" collapsed="false">
      <c r="A442" s="12"/>
      <c r="B442" s="13"/>
      <c r="C442" s="14"/>
      <c r="D442" s="13"/>
      <c r="E442" s="15"/>
      <c r="F442" s="15"/>
      <c r="G442" s="15"/>
      <c r="H442" s="14"/>
      <c r="I442" s="16" t="str">
        <f aca="false">IF(OR(A442="",C442=""),"",IF(OR(H442="İade",H442="İptal"),0,E442*IFERROR(INDEX(Kanallar!$B$5:$B$19,MATCH(C442,Kanallar!$A$5:$A$19,0)),0)))</f>
        <v/>
      </c>
      <c r="J442" s="16" t="str">
        <f aca="false">IF(I442="","",IF(H442="İptal",0,IF(H442="İade",-G442,E442-I442-F442-G442)))</f>
        <v/>
      </c>
    </row>
    <row r="443" customFormat="false" ht="15" hidden="false" customHeight="false" outlineLevel="0" collapsed="false">
      <c r="A443" s="12"/>
      <c r="B443" s="13"/>
      <c r="C443" s="14"/>
      <c r="D443" s="13"/>
      <c r="E443" s="15"/>
      <c r="F443" s="15"/>
      <c r="G443" s="15"/>
      <c r="H443" s="14"/>
      <c r="I443" s="16" t="str">
        <f aca="false">IF(OR(A443="",C443=""),"",IF(OR(H443="İade",H443="İptal"),0,E443*IFERROR(INDEX(Kanallar!$B$5:$B$19,MATCH(C443,Kanallar!$A$5:$A$19,0)),0)))</f>
        <v/>
      </c>
      <c r="J443" s="16" t="str">
        <f aca="false">IF(I443="","",IF(H443="İptal",0,IF(H443="İade",-G443,E443-I443-F443-G443)))</f>
        <v/>
      </c>
    </row>
    <row r="444" customFormat="false" ht="15" hidden="false" customHeight="false" outlineLevel="0" collapsed="false">
      <c r="A444" s="12"/>
      <c r="B444" s="13"/>
      <c r="C444" s="14"/>
      <c r="D444" s="13"/>
      <c r="E444" s="15"/>
      <c r="F444" s="15"/>
      <c r="G444" s="15"/>
      <c r="H444" s="14"/>
      <c r="I444" s="16" t="str">
        <f aca="false">IF(OR(A444="",C444=""),"",IF(OR(H444="İade",H444="İptal"),0,E444*IFERROR(INDEX(Kanallar!$B$5:$B$19,MATCH(C444,Kanallar!$A$5:$A$19,0)),0)))</f>
        <v/>
      </c>
      <c r="J444" s="16" t="str">
        <f aca="false">IF(I444="","",IF(H444="İptal",0,IF(H444="İade",-G444,E444-I444-F444-G444)))</f>
        <v/>
      </c>
    </row>
    <row r="445" customFormat="false" ht="15" hidden="false" customHeight="false" outlineLevel="0" collapsed="false">
      <c r="A445" s="12"/>
      <c r="B445" s="13"/>
      <c r="C445" s="14"/>
      <c r="D445" s="13"/>
      <c r="E445" s="15"/>
      <c r="F445" s="15"/>
      <c r="G445" s="15"/>
      <c r="H445" s="14"/>
      <c r="I445" s="16" t="str">
        <f aca="false">IF(OR(A445="",C445=""),"",IF(OR(H445="İade",H445="İptal"),0,E445*IFERROR(INDEX(Kanallar!$B$5:$B$19,MATCH(C445,Kanallar!$A$5:$A$19,0)),0)))</f>
        <v/>
      </c>
      <c r="J445" s="16" t="str">
        <f aca="false">IF(I445="","",IF(H445="İptal",0,IF(H445="İade",-G445,E445-I445-F445-G445)))</f>
        <v/>
      </c>
    </row>
    <row r="446" customFormat="false" ht="15" hidden="false" customHeight="false" outlineLevel="0" collapsed="false">
      <c r="A446" s="12"/>
      <c r="B446" s="13"/>
      <c r="C446" s="14"/>
      <c r="D446" s="13"/>
      <c r="E446" s="15"/>
      <c r="F446" s="15"/>
      <c r="G446" s="15"/>
      <c r="H446" s="14"/>
      <c r="I446" s="16" t="str">
        <f aca="false">IF(OR(A446="",C446=""),"",IF(OR(H446="İade",H446="İptal"),0,E446*IFERROR(INDEX(Kanallar!$B$5:$B$19,MATCH(C446,Kanallar!$A$5:$A$19,0)),0)))</f>
        <v/>
      </c>
      <c r="J446" s="16" t="str">
        <f aca="false">IF(I446="","",IF(H446="İptal",0,IF(H446="İade",-G446,E446-I446-F446-G446)))</f>
        <v/>
      </c>
    </row>
    <row r="447" customFormat="false" ht="15" hidden="false" customHeight="false" outlineLevel="0" collapsed="false">
      <c r="A447" s="12"/>
      <c r="B447" s="13"/>
      <c r="C447" s="14"/>
      <c r="D447" s="13"/>
      <c r="E447" s="15"/>
      <c r="F447" s="15"/>
      <c r="G447" s="15"/>
      <c r="H447" s="14"/>
      <c r="I447" s="16" t="str">
        <f aca="false">IF(OR(A447="",C447=""),"",IF(OR(H447="İade",H447="İptal"),0,E447*IFERROR(INDEX(Kanallar!$B$5:$B$19,MATCH(C447,Kanallar!$A$5:$A$19,0)),0)))</f>
        <v/>
      </c>
      <c r="J447" s="16" t="str">
        <f aca="false">IF(I447="","",IF(H447="İptal",0,IF(H447="İade",-G447,E447-I447-F447-G447)))</f>
        <v/>
      </c>
    </row>
    <row r="448" customFormat="false" ht="15" hidden="false" customHeight="false" outlineLevel="0" collapsed="false">
      <c r="A448" s="12"/>
      <c r="B448" s="13"/>
      <c r="C448" s="14"/>
      <c r="D448" s="13"/>
      <c r="E448" s="15"/>
      <c r="F448" s="15"/>
      <c r="G448" s="15"/>
      <c r="H448" s="14"/>
      <c r="I448" s="16" t="str">
        <f aca="false">IF(OR(A448="",C448=""),"",IF(OR(H448="İade",H448="İptal"),0,E448*IFERROR(INDEX(Kanallar!$B$5:$B$19,MATCH(C448,Kanallar!$A$5:$A$19,0)),0)))</f>
        <v/>
      </c>
      <c r="J448" s="16" t="str">
        <f aca="false">IF(I448="","",IF(H448="İptal",0,IF(H448="İade",-G448,E448-I448-F448-G448)))</f>
        <v/>
      </c>
    </row>
    <row r="449" customFormat="false" ht="15" hidden="false" customHeight="false" outlineLevel="0" collapsed="false">
      <c r="A449" s="12"/>
      <c r="B449" s="13"/>
      <c r="C449" s="14"/>
      <c r="D449" s="13"/>
      <c r="E449" s="15"/>
      <c r="F449" s="15"/>
      <c r="G449" s="15"/>
      <c r="H449" s="14"/>
      <c r="I449" s="16" t="str">
        <f aca="false">IF(OR(A449="",C449=""),"",IF(OR(H449="İade",H449="İptal"),0,E449*IFERROR(INDEX(Kanallar!$B$5:$B$19,MATCH(C449,Kanallar!$A$5:$A$19,0)),0)))</f>
        <v/>
      </c>
      <c r="J449" s="16" t="str">
        <f aca="false">IF(I449="","",IF(H449="İptal",0,IF(H449="İade",-G449,E449-I449-F449-G449)))</f>
        <v/>
      </c>
    </row>
    <row r="450" customFormat="false" ht="15" hidden="false" customHeight="false" outlineLevel="0" collapsed="false">
      <c r="A450" s="12"/>
      <c r="B450" s="13"/>
      <c r="C450" s="14"/>
      <c r="D450" s="13"/>
      <c r="E450" s="15"/>
      <c r="F450" s="15"/>
      <c r="G450" s="15"/>
      <c r="H450" s="14"/>
      <c r="I450" s="16" t="str">
        <f aca="false">IF(OR(A450="",C450=""),"",IF(OR(H450="İade",H450="İptal"),0,E450*IFERROR(INDEX(Kanallar!$B$5:$B$19,MATCH(C450,Kanallar!$A$5:$A$19,0)),0)))</f>
        <v/>
      </c>
      <c r="J450" s="16" t="str">
        <f aca="false">IF(I450="","",IF(H450="İptal",0,IF(H450="İade",-G450,E450-I450-F450-G450)))</f>
        <v/>
      </c>
    </row>
    <row r="451" customFormat="false" ht="15" hidden="false" customHeight="false" outlineLevel="0" collapsed="false">
      <c r="A451" s="12"/>
      <c r="B451" s="13"/>
      <c r="C451" s="14"/>
      <c r="D451" s="13"/>
      <c r="E451" s="15"/>
      <c r="F451" s="15"/>
      <c r="G451" s="15"/>
      <c r="H451" s="14"/>
      <c r="I451" s="16" t="str">
        <f aca="false">IF(OR(A451="",C451=""),"",IF(OR(H451="İade",H451="İptal"),0,E451*IFERROR(INDEX(Kanallar!$B$5:$B$19,MATCH(C451,Kanallar!$A$5:$A$19,0)),0)))</f>
        <v/>
      </c>
      <c r="J451" s="16" t="str">
        <f aca="false">IF(I451="","",IF(H451="İptal",0,IF(H451="İade",-G451,E451-I451-F451-G451)))</f>
        <v/>
      </c>
    </row>
    <row r="452" customFormat="false" ht="15" hidden="false" customHeight="false" outlineLevel="0" collapsed="false">
      <c r="A452" s="12"/>
      <c r="B452" s="13"/>
      <c r="C452" s="14"/>
      <c r="D452" s="13"/>
      <c r="E452" s="15"/>
      <c r="F452" s="15"/>
      <c r="G452" s="15"/>
      <c r="H452" s="14"/>
      <c r="I452" s="16" t="str">
        <f aca="false">IF(OR(A452="",C452=""),"",IF(OR(H452="İade",H452="İptal"),0,E452*IFERROR(INDEX(Kanallar!$B$5:$B$19,MATCH(C452,Kanallar!$A$5:$A$19,0)),0)))</f>
        <v/>
      </c>
      <c r="J452" s="16" t="str">
        <f aca="false">IF(I452="","",IF(H452="İptal",0,IF(H452="İade",-G452,E452-I452-F452-G452)))</f>
        <v/>
      </c>
    </row>
    <row r="453" customFormat="false" ht="15" hidden="false" customHeight="false" outlineLevel="0" collapsed="false">
      <c r="A453" s="12"/>
      <c r="B453" s="13"/>
      <c r="C453" s="14"/>
      <c r="D453" s="13"/>
      <c r="E453" s="15"/>
      <c r="F453" s="15"/>
      <c r="G453" s="15"/>
      <c r="H453" s="14"/>
      <c r="I453" s="16" t="str">
        <f aca="false">IF(OR(A453="",C453=""),"",IF(OR(H453="İade",H453="İptal"),0,E453*IFERROR(INDEX(Kanallar!$B$5:$B$19,MATCH(C453,Kanallar!$A$5:$A$19,0)),0)))</f>
        <v/>
      </c>
      <c r="J453" s="16" t="str">
        <f aca="false">IF(I453="","",IF(H453="İptal",0,IF(H453="İade",-G453,E453-I453-F453-G453)))</f>
        <v/>
      </c>
    </row>
    <row r="454" customFormat="false" ht="15" hidden="false" customHeight="false" outlineLevel="0" collapsed="false">
      <c r="A454" s="12"/>
      <c r="B454" s="13"/>
      <c r="C454" s="14"/>
      <c r="D454" s="13"/>
      <c r="E454" s="15"/>
      <c r="F454" s="15"/>
      <c r="G454" s="15"/>
      <c r="H454" s="14"/>
      <c r="I454" s="16" t="str">
        <f aca="false">IF(OR(A454="",C454=""),"",IF(OR(H454="İade",H454="İptal"),0,E454*IFERROR(INDEX(Kanallar!$B$5:$B$19,MATCH(C454,Kanallar!$A$5:$A$19,0)),0)))</f>
        <v/>
      </c>
      <c r="J454" s="16" t="str">
        <f aca="false">IF(I454="","",IF(H454="İptal",0,IF(H454="İade",-G454,E454-I454-F454-G454)))</f>
        <v/>
      </c>
    </row>
    <row r="455" customFormat="false" ht="15" hidden="false" customHeight="false" outlineLevel="0" collapsed="false">
      <c r="A455" s="12"/>
      <c r="B455" s="13"/>
      <c r="C455" s="14"/>
      <c r="D455" s="13"/>
      <c r="E455" s="15"/>
      <c r="F455" s="15"/>
      <c r="G455" s="15"/>
      <c r="H455" s="14"/>
      <c r="I455" s="16" t="str">
        <f aca="false">IF(OR(A455="",C455=""),"",IF(OR(H455="İade",H455="İptal"),0,E455*IFERROR(INDEX(Kanallar!$B$5:$B$19,MATCH(C455,Kanallar!$A$5:$A$19,0)),0)))</f>
        <v/>
      </c>
      <c r="J455" s="16" t="str">
        <f aca="false">IF(I455="","",IF(H455="İptal",0,IF(H455="İade",-G455,E455-I455-F455-G455)))</f>
        <v/>
      </c>
    </row>
    <row r="456" customFormat="false" ht="15" hidden="false" customHeight="false" outlineLevel="0" collapsed="false">
      <c r="A456" s="12"/>
      <c r="B456" s="13"/>
      <c r="C456" s="14"/>
      <c r="D456" s="13"/>
      <c r="E456" s="15"/>
      <c r="F456" s="15"/>
      <c r="G456" s="15"/>
      <c r="H456" s="14"/>
      <c r="I456" s="16" t="str">
        <f aca="false">IF(OR(A456="",C456=""),"",IF(OR(H456="İade",H456="İptal"),0,E456*IFERROR(INDEX(Kanallar!$B$5:$B$19,MATCH(C456,Kanallar!$A$5:$A$19,0)),0)))</f>
        <v/>
      </c>
      <c r="J456" s="16" t="str">
        <f aca="false">IF(I456="","",IF(H456="İptal",0,IF(H456="İade",-G456,E456-I456-F456-G456)))</f>
        <v/>
      </c>
    </row>
    <row r="457" customFormat="false" ht="15" hidden="false" customHeight="false" outlineLevel="0" collapsed="false">
      <c r="A457" s="12"/>
      <c r="B457" s="13"/>
      <c r="C457" s="14"/>
      <c r="D457" s="13"/>
      <c r="E457" s="15"/>
      <c r="F457" s="15"/>
      <c r="G457" s="15"/>
      <c r="H457" s="14"/>
      <c r="I457" s="16" t="str">
        <f aca="false">IF(OR(A457="",C457=""),"",IF(OR(H457="İade",H457="İptal"),0,E457*IFERROR(INDEX(Kanallar!$B$5:$B$19,MATCH(C457,Kanallar!$A$5:$A$19,0)),0)))</f>
        <v/>
      </c>
      <c r="J457" s="16" t="str">
        <f aca="false">IF(I457="","",IF(H457="İptal",0,IF(H457="İade",-G457,E457-I457-F457-G457)))</f>
        <v/>
      </c>
    </row>
    <row r="458" customFormat="false" ht="15" hidden="false" customHeight="false" outlineLevel="0" collapsed="false">
      <c r="A458" s="12"/>
      <c r="B458" s="13"/>
      <c r="C458" s="14"/>
      <c r="D458" s="13"/>
      <c r="E458" s="15"/>
      <c r="F458" s="15"/>
      <c r="G458" s="15"/>
      <c r="H458" s="14"/>
      <c r="I458" s="16" t="str">
        <f aca="false">IF(OR(A458="",C458=""),"",IF(OR(H458="İade",H458="İptal"),0,E458*IFERROR(INDEX(Kanallar!$B$5:$B$19,MATCH(C458,Kanallar!$A$5:$A$19,0)),0)))</f>
        <v/>
      </c>
      <c r="J458" s="16" t="str">
        <f aca="false">IF(I458="","",IF(H458="İptal",0,IF(H458="İade",-G458,E458-I458-F458-G458)))</f>
        <v/>
      </c>
    </row>
    <row r="459" customFormat="false" ht="15" hidden="false" customHeight="false" outlineLevel="0" collapsed="false">
      <c r="A459" s="12"/>
      <c r="B459" s="13"/>
      <c r="C459" s="14"/>
      <c r="D459" s="13"/>
      <c r="E459" s="15"/>
      <c r="F459" s="15"/>
      <c r="G459" s="15"/>
      <c r="H459" s="14"/>
      <c r="I459" s="16" t="str">
        <f aca="false">IF(OR(A459="",C459=""),"",IF(OR(H459="İade",H459="İptal"),0,E459*IFERROR(INDEX(Kanallar!$B$5:$B$19,MATCH(C459,Kanallar!$A$5:$A$19,0)),0)))</f>
        <v/>
      </c>
      <c r="J459" s="16" t="str">
        <f aca="false">IF(I459="","",IF(H459="İptal",0,IF(H459="İade",-G459,E459-I459-F459-G459)))</f>
        <v/>
      </c>
    </row>
    <row r="460" customFormat="false" ht="15" hidden="false" customHeight="false" outlineLevel="0" collapsed="false">
      <c r="A460" s="12"/>
      <c r="B460" s="13"/>
      <c r="C460" s="14"/>
      <c r="D460" s="13"/>
      <c r="E460" s="15"/>
      <c r="F460" s="15"/>
      <c r="G460" s="15"/>
      <c r="H460" s="14"/>
      <c r="I460" s="16" t="str">
        <f aca="false">IF(OR(A460="",C460=""),"",IF(OR(H460="İade",H460="İptal"),0,E460*IFERROR(INDEX(Kanallar!$B$5:$B$19,MATCH(C460,Kanallar!$A$5:$A$19,0)),0)))</f>
        <v/>
      </c>
      <c r="J460" s="16" t="str">
        <f aca="false">IF(I460="","",IF(H460="İptal",0,IF(H460="İade",-G460,E460-I460-F460-G460)))</f>
        <v/>
      </c>
    </row>
    <row r="461" customFormat="false" ht="15" hidden="false" customHeight="false" outlineLevel="0" collapsed="false">
      <c r="A461" s="12"/>
      <c r="B461" s="13"/>
      <c r="C461" s="14"/>
      <c r="D461" s="13"/>
      <c r="E461" s="15"/>
      <c r="F461" s="15"/>
      <c r="G461" s="15"/>
      <c r="H461" s="14"/>
      <c r="I461" s="16" t="str">
        <f aca="false">IF(OR(A461="",C461=""),"",IF(OR(H461="İade",H461="İptal"),0,E461*IFERROR(INDEX(Kanallar!$B$5:$B$19,MATCH(C461,Kanallar!$A$5:$A$19,0)),0)))</f>
        <v/>
      </c>
      <c r="J461" s="16" t="str">
        <f aca="false">IF(I461="","",IF(H461="İptal",0,IF(H461="İade",-G461,E461-I461-F461-G461)))</f>
        <v/>
      </c>
    </row>
    <row r="462" customFormat="false" ht="15" hidden="false" customHeight="false" outlineLevel="0" collapsed="false">
      <c r="A462" s="12"/>
      <c r="B462" s="13"/>
      <c r="C462" s="14"/>
      <c r="D462" s="13"/>
      <c r="E462" s="15"/>
      <c r="F462" s="15"/>
      <c r="G462" s="15"/>
      <c r="H462" s="14"/>
      <c r="I462" s="16" t="str">
        <f aca="false">IF(OR(A462="",C462=""),"",IF(OR(H462="İade",H462="İptal"),0,E462*IFERROR(INDEX(Kanallar!$B$5:$B$19,MATCH(C462,Kanallar!$A$5:$A$19,0)),0)))</f>
        <v/>
      </c>
      <c r="J462" s="16" t="str">
        <f aca="false">IF(I462="","",IF(H462="İptal",0,IF(H462="İade",-G462,E462-I462-F462-G462)))</f>
        <v/>
      </c>
    </row>
    <row r="463" customFormat="false" ht="15" hidden="false" customHeight="false" outlineLevel="0" collapsed="false">
      <c r="A463" s="12"/>
      <c r="B463" s="13"/>
      <c r="C463" s="14"/>
      <c r="D463" s="13"/>
      <c r="E463" s="15"/>
      <c r="F463" s="15"/>
      <c r="G463" s="15"/>
      <c r="H463" s="14"/>
      <c r="I463" s="16" t="str">
        <f aca="false">IF(OR(A463="",C463=""),"",IF(OR(H463="İade",H463="İptal"),0,E463*IFERROR(INDEX(Kanallar!$B$5:$B$19,MATCH(C463,Kanallar!$A$5:$A$19,0)),0)))</f>
        <v/>
      </c>
      <c r="J463" s="16" t="str">
        <f aca="false">IF(I463="","",IF(H463="İptal",0,IF(H463="İade",-G463,E463-I463-F463-G463)))</f>
        <v/>
      </c>
    </row>
    <row r="464" customFormat="false" ht="15" hidden="false" customHeight="false" outlineLevel="0" collapsed="false">
      <c r="A464" s="12"/>
      <c r="B464" s="13"/>
      <c r="C464" s="14"/>
      <c r="D464" s="13"/>
      <c r="E464" s="15"/>
      <c r="F464" s="15"/>
      <c r="G464" s="15"/>
      <c r="H464" s="14"/>
      <c r="I464" s="16" t="str">
        <f aca="false">IF(OR(A464="",C464=""),"",IF(OR(H464="İade",H464="İptal"),0,E464*IFERROR(INDEX(Kanallar!$B$5:$B$19,MATCH(C464,Kanallar!$A$5:$A$19,0)),0)))</f>
        <v/>
      </c>
      <c r="J464" s="16" t="str">
        <f aca="false">IF(I464="","",IF(H464="İptal",0,IF(H464="İade",-G464,E464-I464-F464-G464)))</f>
        <v/>
      </c>
    </row>
    <row r="465" customFormat="false" ht="15" hidden="false" customHeight="false" outlineLevel="0" collapsed="false">
      <c r="A465" s="12"/>
      <c r="B465" s="13"/>
      <c r="C465" s="14"/>
      <c r="D465" s="13"/>
      <c r="E465" s="15"/>
      <c r="F465" s="15"/>
      <c r="G465" s="15"/>
      <c r="H465" s="14"/>
      <c r="I465" s="16" t="str">
        <f aca="false">IF(OR(A465="",C465=""),"",IF(OR(H465="İade",H465="İptal"),0,E465*IFERROR(INDEX(Kanallar!$B$5:$B$19,MATCH(C465,Kanallar!$A$5:$A$19,0)),0)))</f>
        <v/>
      </c>
      <c r="J465" s="16" t="str">
        <f aca="false">IF(I465="","",IF(H465="İptal",0,IF(H465="İade",-G465,E465-I465-F465-G465)))</f>
        <v/>
      </c>
    </row>
    <row r="466" customFormat="false" ht="15" hidden="false" customHeight="false" outlineLevel="0" collapsed="false">
      <c r="A466" s="12"/>
      <c r="B466" s="13"/>
      <c r="C466" s="14"/>
      <c r="D466" s="13"/>
      <c r="E466" s="15"/>
      <c r="F466" s="15"/>
      <c r="G466" s="15"/>
      <c r="H466" s="14"/>
      <c r="I466" s="16" t="str">
        <f aca="false">IF(OR(A466="",C466=""),"",IF(OR(H466="İade",H466="İptal"),0,E466*IFERROR(INDEX(Kanallar!$B$5:$B$19,MATCH(C466,Kanallar!$A$5:$A$19,0)),0)))</f>
        <v/>
      </c>
      <c r="J466" s="16" t="str">
        <f aca="false">IF(I466="","",IF(H466="İptal",0,IF(H466="İade",-G466,E466-I466-F466-G466)))</f>
        <v/>
      </c>
    </row>
    <row r="467" customFormat="false" ht="15" hidden="false" customHeight="false" outlineLevel="0" collapsed="false">
      <c r="A467" s="12"/>
      <c r="B467" s="13"/>
      <c r="C467" s="14"/>
      <c r="D467" s="13"/>
      <c r="E467" s="15"/>
      <c r="F467" s="15"/>
      <c r="G467" s="15"/>
      <c r="H467" s="14"/>
      <c r="I467" s="16" t="str">
        <f aca="false">IF(OR(A467="",C467=""),"",IF(OR(H467="İade",H467="İptal"),0,E467*IFERROR(INDEX(Kanallar!$B$5:$B$19,MATCH(C467,Kanallar!$A$5:$A$19,0)),0)))</f>
        <v/>
      </c>
      <c r="J467" s="16" t="str">
        <f aca="false">IF(I467="","",IF(H467="İptal",0,IF(H467="İade",-G467,E467-I467-F467-G467)))</f>
        <v/>
      </c>
    </row>
    <row r="468" customFormat="false" ht="15" hidden="false" customHeight="false" outlineLevel="0" collapsed="false">
      <c r="A468" s="12"/>
      <c r="B468" s="13"/>
      <c r="C468" s="14"/>
      <c r="D468" s="13"/>
      <c r="E468" s="15"/>
      <c r="F468" s="15"/>
      <c r="G468" s="15"/>
      <c r="H468" s="14"/>
      <c r="I468" s="16" t="str">
        <f aca="false">IF(OR(A468="",C468=""),"",IF(OR(H468="İade",H468="İptal"),0,E468*IFERROR(INDEX(Kanallar!$B$5:$B$19,MATCH(C468,Kanallar!$A$5:$A$19,0)),0)))</f>
        <v/>
      </c>
      <c r="J468" s="16" t="str">
        <f aca="false">IF(I468="","",IF(H468="İptal",0,IF(H468="İade",-G468,E468-I468-F468-G468)))</f>
        <v/>
      </c>
    </row>
    <row r="469" customFormat="false" ht="15" hidden="false" customHeight="false" outlineLevel="0" collapsed="false">
      <c r="A469" s="12"/>
      <c r="B469" s="13"/>
      <c r="C469" s="14"/>
      <c r="D469" s="13"/>
      <c r="E469" s="15"/>
      <c r="F469" s="15"/>
      <c r="G469" s="15"/>
      <c r="H469" s="14"/>
      <c r="I469" s="16" t="str">
        <f aca="false">IF(OR(A469="",C469=""),"",IF(OR(H469="İade",H469="İptal"),0,E469*IFERROR(INDEX(Kanallar!$B$5:$B$19,MATCH(C469,Kanallar!$A$5:$A$19,0)),0)))</f>
        <v/>
      </c>
      <c r="J469" s="16" t="str">
        <f aca="false">IF(I469="","",IF(H469="İptal",0,IF(H469="İade",-G469,E469-I469-F469-G469)))</f>
        <v/>
      </c>
    </row>
    <row r="470" customFormat="false" ht="15" hidden="false" customHeight="false" outlineLevel="0" collapsed="false">
      <c r="A470" s="12"/>
      <c r="B470" s="13"/>
      <c r="C470" s="14"/>
      <c r="D470" s="13"/>
      <c r="E470" s="15"/>
      <c r="F470" s="15"/>
      <c r="G470" s="15"/>
      <c r="H470" s="14"/>
      <c r="I470" s="16" t="str">
        <f aca="false">IF(OR(A470="",C470=""),"",IF(OR(H470="İade",H470="İptal"),0,E470*IFERROR(INDEX(Kanallar!$B$5:$B$19,MATCH(C470,Kanallar!$A$5:$A$19,0)),0)))</f>
        <v/>
      </c>
      <c r="J470" s="16" t="str">
        <f aca="false">IF(I470="","",IF(H470="İptal",0,IF(H470="İade",-G470,E470-I470-F470-G470)))</f>
        <v/>
      </c>
    </row>
    <row r="471" customFormat="false" ht="15" hidden="false" customHeight="false" outlineLevel="0" collapsed="false">
      <c r="A471" s="12"/>
      <c r="B471" s="13"/>
      <c r="C471" s="14"/>
      <c r="D471" s="13"/>
      <c r="E471" s="15"/>
      <c r="F471" s="15"/>
      <c r="G471" s="15"/>
      <c r="H471" s="14"/>
      <c r="I471" s="16" t="str">
        <f aca="false">IF(OR(A471="",C471=""),"",IF(OR(H471="İade",H471="İptal"),0,E471*IFERROR(INDEX(Kanallar!$B$5:$B$19,MATCH(C471,Kanallar!$A$5:$A$19,0)),0)))</f>
        <v/>
      </c>
      <c r="J471" s="16" t="str">
        <f aca="false">IF(I471="","",IF(H471="İptal",0,IF(H471="İade",-G471,E471-I471-F471-G471)))</f>
        <v/>
      </c>
    </row>
    <row r="472" customFormat="false" ht="15" hidden="false" customHeight="false" outlineLevel="0" collapsed="false">
      <c r="A472" s="12"/>
      <c r="B472" s="13"/>
      <c r="C472" s="14"/>
      <c r="D472" s="13"/>
      <c r="E472" s="15"/>
      <c r="F472" s="15"/>
      <c r="G472" s="15"/>
      <c r="H472" s="14"/>
      <c r="I472" s="16" t="str">
        <f aca="false">IF(OR(A472="",C472=""),"",IF(OR(H472="İade",H472="İptal"),0,E472*IFERROR(INDEX(Kanallar!$B$5:$B$19,MATCH(C472,Kanallar!$A$5:$A$19,0)),0)))</f>
        <v/>
      </c>
      <c r="J472" s="16" t="str">
        <f aca="false">IF(I472="","",IF(H472="İptal",0,IF(H472="İade",-G472,E472-I472-F472-G472)))</f>
        <v/>
      </c>
    </row>
    <row r="473" customFormat="false" ht="15" hidden="false" customHeight="false" outlineLevel="0" collapsed="false">
      <c r="A473" s="12"/>
      <c r="B473" s="13"/>
      <c r="C473" s="14"/>
      <c r="D473" s="13"/>
      <c r="E473" s="15"/>
      <c r="F473" s="15"/>
      <c r="G473" s="15"/>
      <c r="H473" s="14"/>
      <c r="I473" s="16" t="str">
        <f aca="false">IF(OR(A473="",C473=""),"",IF(OR(H473="İade",H473="İptal"),0,E473*IFERROR(INDEX(Kanallar!$B$5:$B$19,MATCH(C473,Kanallar!$A$5:$A$19,0)),0)))</f>
        <v/>
      </c>
      <c r="J473" s="16" t="str">
        <f aca="false">IF(I473="","",IF(H473="İptal",0,IF(H473="İade",-G473,E473-I473-F473-G473)))</f>
        <v/>
      </c>
    </row>
    <row r="474" customFormat="false" ht="15" hidden="false" customHeight="false" outlineLevel="0" collapsed="false">
      <c r="A474" s="12"/>
      <c r="B474" s="13"/>
      <c r="C474" s="14"/>
      <c r="D474" s="13"/>
      <c r="E474" s="15"/>
      <c r="F474" s="15"/>
      <c r="G474" s="15"/>
      <c r="H474" s="14"/>
      <c r="I474" s="16" t="str">
        <f aca="false">IF(OR(A474="",C474=""),"",IF(OR(H474="İade",H474="İptal"),0,E474*IFERROR(INDEX(Kanallar!$B$5:$B$19,MATCH(C474,Kanallar!$A$5:$A$19,0)),0)))</f>
        <v/>
      </c>
      <c r="J474" s="16" t="str">
        <f aca="false">IF(I474="","",IF(H474="İptal",0,IF(H474="İade",-G474,E474-I474-F474-G474)))</f>
        <v/>
      </c>
    </row>
    <row r="475" customFormat="false" ht="15" hidden="false" customHeight="false" outlineLevel="0" collapsed="false">
      <c r="A475" s="12"/>
      <c r="B475" s="13"/>
      <c r="C475" s="14"/>
      <c r="D475" s="13"/>
      <c r="E475" s="15"/>
      <c r="F475" s="15"/>
      <c r="G475" s="15"/>
      <c r="H475" s="14"/>
      <c r="I475" s="16" t="str">
        <f aca="false">IF(OR(A475="",C475=""),"",IF(OR(H475="İade",H475="İptal"),0,E475*IFERROR(INDEX(Kanallar!$B$5:$B$19,MATCH(C475,Kanallar!$A$5:$A$19,0)),0)))</f>
        <v/>
      </c>
      <c r="J475" s="16" t="str">
        <f aca="false">IF(I475="","",IF(H475="İptal",0,IF(H475="İade",-G475,E475-I475-F475-G475)))</f>
        <v/>
      </c>
    </row>
    <row r="476" customFormat="false" ht="15" hidden="false" customHeight="false" outlineLevel="0" collapsed="false">
      <c r="A476" s="12"/>
      <c r="B476" s="13"/>
      <c r="C476" s="14"/>
      <c r="D476" s="13"/>
      <c r="E476" s="15"/>
      <c r="F476" s="15"/>
      <c r="G476" s="15"/>
      <c r="H476" s="14"/>
      <c r="I476" s="16" t="str">
        <f aca="false">IF(OR(A476="",C476=""),"",IF(OR(H476="İade",H476="İptal"),0,E476*IFERROR(INDEX(Kanallar!$B$5:$B$19,MATCH(C476,Kanallar!$A$5:$A$19,0)),0)))</f>
        <v/>
      </c>
      <c r="J476" s="16" t="str">
        <f aca="false">IF(I476="","",IF(H476="İptal",0,IF(H476="İade",-G476,E476-I476-F476-G476)))</f>
        <v/>
      </c>
    </row>
    <row r="477" customFormat="false" ht="15" hidden="false" customHeight="false" outlineLevel="0" collapsed="false">
      <c r="A477" s="12"/>
      <c r="B477" s="13"/>
      <c r="C477" s="14"/>
      <c r="D477" s="13"/>
      <c r="E477" s="15"/>
      <c r="F477" s="15"/>
      <c r="G477" s="15"/>
      <c r="H477" s="14"/>
      <c r="I477" s="16" t="str">
        <f aca="false">IF(OR(A477="",C477=""),"",IF(OR(H477="İade",H477="İptal"),0,E477*IFERROR(INDEX(Kanallar!$B$5:$B$19,MATCH(C477,Kanallar!$A$5:$A$19,0)),0)))</f>
        <v/>
      </c>
      <c r="J477" s="16" t="str">
        <f aca="false">IF(I477="","",IF(H477="İptal",0,IF(H477="İade",-G477,E477-I477-F477-G477)))</f>
        <v/>
      </c>
    </row>
    <row r="478" customFormat="false" ht="15" hidden="false" customHeight="false" outlineLevel="0" collapsed="false">
      <c r="A478" s="12"/>
      <c r="B478" s="13"/>
      <c r="C478" s="14"/>
      <c r="D478" s="13"/>
      <c r="E478" s="15"/>
      <c r="F478" s="15"/>
      <c r="G478" s="15"/>
      <c r="H478" s="14"/>
      <c r="I478" s="16" t="str">
        <f aca="false">IF(OR(A478="",C478=""),"",IF(OR(H478="İade",H478="İptal"),0,E478*IFERROR(INDEX(Kanallar!$B$5:$B$19,MATCH(C478,Kanallar!$A$5:$A$19,0)),0)))</f>
        <v/>
      </c>
      <c r="J478" s="16" t="str">
        <f aca="false">IF(I478="","",IF(H478="İptal",0,IF(H478="İade",-G478,E478-I478-F478-G478)))</f>
        <v/>
      </c>
    </row>
    <row r="479" customFormat="false" ht="15" hidden="false" customHeight="false" outlineLevel="0" collapsed="false">
      <c r="A479" s="12"/>
      <c r="B479" s="13"/>
      <c r="C479" s="14"/>
      <c r="D479" s="13"/>
      <c r="E479" s="15"/>
      <c r="F479" s="15"/>
      <c r="G479" s="15"/>
      <c r="H479" s="14"/>
      <c r="I479" s="16" t="str">
        <f aca="false">IF(OR(A479="",C479=""),"",IF(OR(H479="İade",H479="İptal"),0,E479*IFERROR(INDEX(Kanallar!$B$5:$B$19,MATCH(C479,Kanallar!$A$5:$A$19,0)),0)))</f>
        <v/>
      </c>
      <c r="J479" s="16" t="str">
        <f aca="false">IF(I479="","",IF(H479="İptal",0,IF(H479="İade",-G479,E479-I479-F479-G479)))</f>
        <v/>
      </c>
    </row>
    <row r="480" customFormat="false" ht="15" hidden="false" customHeight="false" outlineLevel="0" collapsed="false">
      <c r="A480" s="12"/>
      <c r="B480" s="13"/>
      <c r="C480" s="14"/>
      <c r="D480" s="13"/>
      <c r="E480" s="15"/>
      <c r="F480" s="15"/>
      <c r="G480" s="15"/>
      <c r="H480" s="14"/>
      <c r="I480" s="16" t="str">
        <f aca="false">IF(OR(A480="",C480=""),"",IF(OR(H480="İade",H480="İptal"),0,E480*IFERROR(INDEX(Kanallar!$B$5:$B$19,MATCH(C480,Kanallar!$A$5:$A$19,0)),0)))</f>
        <v/>
      </c>
      <c r="J480" s="16" t="str">
        <f aca="false">IF(I480="","",IF(H480="İptal",0,IF(H480="İade",-G480,E480-I480-F480-G480)))</f>
        <v/>
      </c>
    </row>
    <row r="481" customFormat="false" ht="15" hidden="false" customHeight="false" outlineLevel="0" collapsed="false">
      <c r="A481" s="12"/>
      <c r="B481" s="13"/>
      <c r="C481" s="14"/>
      <c r="D481" s="13"/>
      <c r="E481" s="15"/>
      <c r="F481" s="15"/>
      <c r="G481" s="15"/>
      <c r="H481" s="14"/>
      <c r="I481" s="16" t="str">
        <f aca="false">IF(OR(A481="",C481=""),"",IF(OR(H481="İade",H481="İptal"),0,E481*IFERROR(INDEX(Kanallar!$B$5:$B$19,MATCH(C481,Kanallar!$A$5:$A$19,0)),0)))</f>
        <v/>
      </c>
      <c r="J481" s="16" t="str">
        <f aca="false">IF(I481="","",IF(H481="İptal",0,IF(H481="İade",-G481,E481-I481-F481-G481)))</f>
        <v/>
      </c>
    </row>
    <row r="482" customFormat="false" ht="15" hidden="false" customHeight="false" outlineLevel="0" collapsed="false">
      <c r="A482" s="12"/>
      <c r="B482" s="13"/>
      <c r="C482" s="14"/>
      <c r="D482" s="13"/>
      <c r="E482" s="15"/>
      <c r="F482" s="15"/>
      <c r="G482" s="15"/>
      <c r="H482" s="14"/>
      <c r="I482" s="16" t="str">
        <f aca="false">IF(OR(A482="",C482=""),"",IF(OR(H482="İade",H482="İptal"),0,E482*IFERROR(INDEX(Kanallar!$B$5:$B$19,MATCH(C482,Kanallar!$A$5:$A$19,0)),0)))</f>
        <v/>
      </c>
      <c r="J482" s="16" t="str">
        <f aca="false">IF(I482="","",IF(H482="İptal",0,IF(H482="İade",-G482,E482-I482-F482-G482)))</f>
        <v/>
      </c>
    </row>
    <row r="483" customFormat="false" ht="15" hidden="false" customHeight="false" outlineLevel="0" collapsed="false">
      <c r="A483" s="12"/>
      <c r="B483" s="13"/>
      <c r="C483" s="14"/>
      <c r="D483" s="13"/>
      <c r="E483" s="15"/>
      <c r="F483" s="15"/>
      <c r="G483" s="15"/>
      <c r="H483" s="14"/>
      <c r="I483" s="16" t="str">
        <f aca="false">IF(OR(A483="",C483=""),"",IF(OR(H483="İade",H483="İptal"),0,E483*IFERROR(INDEX(Kanallar!$B$5:$B$19,MATCH(C483,Kanallar!$A$5:$A$19,0)),0)))</f>
        <v/>
      </c>
      <c r="J483" s="16" t="str">
        <f aca="false">IF(I483="","",IF(H483="İptal",0,IF(H483="İade",-G483,E483-I483-F483-G483)))</f>
        <v/>
      </c>
    </row>
    <row r="484" customFormat="false" ht="15" hidden="false" customHeight="false" outlineLevel="0" collapsed="false">
      <c r="A484" s="12"/>
      <c r="B484" s="13"/>
      <c r="C484" s="14"/>
      <c r="D484" s="13"/>
      <c r="E484" s="15"/>
      <c r="F484" s="15"/>
      <c r="G484" s="15"/>
      <c r="H484" s="14"/>
      <c r="I484" s="16" t="str">
        <f aca="false">IF(OR(A484="",C484=""),"",IF(OR(H484="İade",H484="İptal"),0,E484*IFERROR(INDEX(Kanallar!$B$5:$B$19,MATCH(C484,Kanallar!$A$5:$A$19,0)),0)))</f>
        <v/>
      </c>
      <c r="J484" s="16" t="str">
        <f aca="false">IF(I484="","",IF(H484="İptal",0,IF(H484="İade",-G484,E484-I484-F484-G484)))</f>
        <v/>
      </c>
    </row>
    <row r="485" customFormat="false" ht="15" hidden="false" customHeight="false" outlineLevel="0" collapsed="false">
      <c r="A485" s="12"/>
      <c r="B485" s="13"/>
      <c r="C485" s="14"/>
      <c r="D485" s="13"/>
      <c r="E485" s="15"/>
      <c r="F485" s="15"/>
      <c r="G485" s="15"/>
      <c r="H485" s="14"/>
      <c r="I485" s="16" t="str">
        <f aca="false">IF(OR(A485="",C485=""),"",IF(OR(H485="İade",H485="İptal"),0,E485*IFERROR(INDEX(Kanallar!$B$5:$B$19,MATCH(C485,Kanallar!$A$5:$A$19,0)),0)))</f>
        <v/>
      </c>
      <c r="J485" s="16" t="str">
        <f aca="false">IF(I485="","",IF(H485="İptal",0,IF(H485="İade",-G485,E485-I485-F485-G485)))</f>
        <v/>
      </c>
    </row>
    <row r="486" customFormat="false" ht="15" hidden="false" customHeight="false" outlineLevel="0" collapsed="false">
      <c r="A486" s="12"/>
      <c r="B486" s="13"/>
      <c r="C486" s="14"/>
      <c r="D486" s="13"/>
      <c r="E486" s="15"/>
      <c r="F486" s="15"/>
      <c r="G486" s="15"/>
      <c r="H486" s="14"/>
      <c r="I486" s="16" t="str">
        <f aca="false">IF(OR(A486="",C486=""),"",IF(OR(H486="İade",H486="İptal"),0,E486*IFERROR(INDEX(Kanallar!$B$5:$B$19,MATCH(C486,Kanallar!$A$5:$A$19,0)),0)))</f>
        <v/>
      </c>
      <c r="J486" s="16" t="str">
        <f aca="false">IF(I486="","",IF(H486="İptal",0,IF(H486="İade",-G486,E486-I486-F486-G486)))</f>
        <v/>
      </c>
    </row>
    <row r="487" customFormat="false" ht="15" hidden="false" customHeight="false" outlineLevel="0" collapsed="false">
      <c r="A487" s="12"/>
      <c r="B487" s="13"/>
      <c r="C487" s="14"/>
      <c r="D487" s="13"/>
      <c r="E487" s="15"/>
      <c r="F487" s="15"/>
      <c r="G487" s="15"/>
      <c r="H487" s="14"/>
      <c r="I487" s="16" t="str">
        <f aca="false">IF(OR(A487="",C487=""),"",IF(OR(H487="İade",H487="İptal"),0,E487*IFERROR(INDEX(Kanallar!$B$5:$B$19,MATCH(C487,Kanallar!$A$5:$A$19,0)),0)))</f>
        <v/>
      </c>
      <c r="J487" s="16" t="str">
        <f aca="false">IF(I487="","",IF(H487="İptal",0,IF(H487="İade",-G487,E487-I487-F487-G487)))</f>
        <v/>
      </c>
    </row>
    <row r="488" customFormat="false" ht="15" hidden="false" customHeight="false" outlineLevel="0" collapsed="false">
      <c r="A488" s="12"/>
      <c r="B488" s="13"/>
      <c r="C488" s="14"/>
      <c r="D488" s="13"/>
      <c r="E488" s="15"/>
      <c r="F488" s="15"/>
      <c r="G488" s="15"/>
      <c r="H488" s="14"/>
      <c r="I488" s="16" t="str">
        <f aca="false">IF(OR(A488="",C488=""),"",IF(OR(H488="İade",H488="İptal"),0,E488*IFERROR(INDEX(Kanallar!$B$5:$B$19,MATCH(C488,Kanallar!$A$5:$A$19,0)),0)))</f>
        <v/>
      </c>
      <c r="J488" s="16" t="str">
        <f aca="false">IF(I488="","",IF(H488="İptal",0,IF(H488="İade",-G488,E488-I488-F488-G488)))</f>
        <v/>
      </c>
    </row>
    <row r="489" customFormat="false" ht="15" hidden="false" customHeight="false" outlineLevel="0" collapsed="false">
      <c r="A489" s="12"/>
      <c r="B489" s="13"/>
      <c r="C489" s="14"/>
      <c r="D489" s="13"/>
      <c r="E489" s="15"/>
      <c r="F489" s="15"/>
      <c r="G489" s="15"/>
      <c r="H489" s="14"/>
      <c r="I489" s="16" t="str">
        <f aca="false">IF(OR(A489="",C489=""),"",IF(OR(H489="İade",H489="İptal"),0,E489*IFERROR(INDEX(Kanallar!$B$5:$B$19,MATCH(C489,Kanallar!$A$5:$A$19,0)),0)))</f>
        <v/>
      </c>
      <c r="J489" s="16" t="str">
        <f aca="false">IF(I489="","",IF(H489="İptal",0,IF(H489="İade",-G489,E489-I489-F489-G489)))</f>
        <v/>
      </c>
    </row>
    <row r="490" customFormat="false" ht="15" hidden="false" customHeight="false" outlineLevel="0" collapsed="false">
      <c r="A490" s="12"/>
      <c r="B490" s="13"/>
      <c r="C490" s="14"/>
      <c r="D490" s="13"/>
      <c r="E490" s="15"/>
      <c r="F490" s="15"/>
      <c r="G490" s="15"/>
      <c r="H490" s="14"/>
      <c r="I490" s="16" t="str">
        <f aca="false">IF(OR(A490="",C490=""),"",IF(OR(H490="İade",H490="İptal"),0,E490*IFERROR(INDEX(Kanallar!$B$5:$B$19,MATCH(C490,Kanallar!$A$5:$A$19,0)),0)))</f>
        <v/>
      </c>
      <c r="J490" s="16" t="str">
        <f aca="false">IF(I490="","",IF(H490="İptal",0,IF(H490="İade",-G490,E490-I490-F490-G490)))</f>
        <v/>
      </c>
    </row>
    <row r="491" customFormat="false" ht="15" hidden="false" customHeight="false" outlineLevel="0" collapsed="false">
      <c r="A491" s="12"/>
      <c r="B491" s="13"/>
      <c r="C491" s="14"/>
      <c r="D491" s="13"/>
      <c r="E491" s="15"/>
      <c r="F491" s="15"/>
      <c r="G491" s="15"/>
      <c r="H491" s="14"/>
      <c r="I491" s="16" t="str">
        <f aca="false">IF(OR(A491="",C491=""),"",IF(OR(H491="İade",H491="İptal"),0,E491*IFERROR(INDEX(Kanallar!$B$5:$B$19,MATCH(C491,Kanallar!$A$5:$A$19,0)),0)))</f>
        <v/>
      </c>
      <c r="J491" s="16" t="str">
        <f aca="false">IF(I491="","",IF(H491="İptal",0,IF(H491="İade",-G491,E491-I491-F491-G491)))</f>
        <v/>
      </c>
    </row>
    <row r="492" customFormat="false" ht="15" hidden="false" customHeight="false" outlineLevel="0" collapsed="false">
      <c r="A492" s="12"/>
      <c r="B492" s="13"/>
      <c r="C492" s="14"/>
      <c r="D492" s="13"/>
      <c r="E492" s="15"/>
      <c r="F492" s="15"/>
      <c r="G492" s="15"/>
      <c r="H492" s="14"/>
      <c r="I492" s="16" t="str">
        <f aca="false">IF(OR(A492="",C492=""),"",IF(OR(H492="İade",H492="İptal"),0,E492*IFERROR(INDEX(Kanallar!$B$5:$B$19,MATCH(C492,Kanallar!$A$5:$A$19,0)),0)))</f>
        <v/>
      </c>
      <c r="J492" s="16" t="str">
        <f aca="false">IF(I492="","",IF(H492="İptal",0,IF(H492="İade",-G492,E492-I492-F492-G492)))</f>
        <v/>
      </c>
    </row>
    <row r="493" customFormat="false" ht="15" hidden="false" customHeight="false" outlineLevel="0" collapsed="false">
      <c r="A493" s="12"/>
      <c r="B493" s="13"/>
      <c r="C493" s="14"/>
      <c r="D493" s="13"/>
      <c r="E493" s="15"/>
      <c r="F493" s="15"/>
      <c r="G493" s="15"/>
      <c r="H493" s="14"/>
      <c r="I493" s="16" t="str">
        <f aca="false">IF(OR(A493="",C493=""),"",IF(OR(H493="İade",H493="İptal"),0,E493*IFERROR(INDEX(Kanallar!$B$5:$B$19,MATCH(C493,Kanallar!$A$5:$A$19,0)),0)))</f>
        <v/>
      </c>
      <c r="J493" s="16" t="str">
        <f aca="false">IF(I493="","",IF(H493="İptal",0,IF(H493="İade",-G493,E493-I493-F493-G493)))</f>
        <v/>
      </c>
    </row>
    <row r="494" customFormat="false" ht="15" hidden="false" customHeight="false" outlineLevel="0" collapsed="false">
      <c r="A494" s="12"/>
      <c r="B494" s="13"/>
      <c r="C494" s="14"/>
      <c r="D494" s="13"/>
      <c r="E494" s="15"/>
      <c r="F494" s="15"/>
      <c r="G494" s="15"/>
      <c r="H494" s="14"/>
      <c r="I494" s="16" t="str">
        <f aca="false">IF(OR(A494="",C494=""),"",IF(OR(H494="İade",H494="İptal"),0,E494*IFERROR(INDEX(Kanallar!$B$5:$B$19,MATCH(C494,Kanallar!$A$5:$A$19,0)),0)))</f>
        <v/>
      </c>
      <c r="J494" s="16" t="str">
        <f aca="false">IF(I494="","",IF(H494="İptal",0,IF(H494="İade",-G494,E494-I494-F494-G494)))</f>
        <v/>
      </c>
    </row>
    <row r="495" customFormat="false" ht="15" hidden="false" customHeight="false" outlineLevel="0" collapsed="false">
      <c r="A495" s="12"/>
      <c r="B495" s="13"/>
      <c r="C495" s="14"/>
      <c r="D495" s="13"/>
      <c r="E495" s="15"/>
      <c r="F495" s="15"/>
      <c r="G495" s="15"/>
      <c r="H495" s="14"/>
      <c r="I495" s="16" t="str">
        <f aca="false">IF(OR(A495="",C495=""),"",IF(OR(H495="İade",H495="İptal"),0,E495*IFERROR(INDEX(Kanallar!$B$5:$B$19,MATCH(C495,Kanallar!$A$5:$A$19,0)),0)))</f>
        <v/>
      </c>
      <c r="J495" s="16" t="str">
        <f aca="false">IF(I495="","",IF(H495="İptal",0,IF(H495="İade",-G495,E495-I495-F495-G495)))</f>
        <v/>
      </c>
    </row>
    <row r="496" customFormat="false" ht="15" hidden="false" customHeight="false" outlineLevel="0" collapsed="false">
      <c r="A496" s="12"/>
      <c r="B496" s="13"/>
      <c r="C496" s="14"/>
      <c r="D496" s="13"/>
      <c r="E496" s="15"/>
      <c r="F496" s="15"/>
      <c r="G496" s="15"/>
      <c r="H496" s="14"/>
      <c r="I496" s="16" t="str">
        <f aca="false">IF(OR(A496="",C496=""),"",IF(OR(H496="İade",H496="İptal"),0,E496*IFERROR(INDEX(Kanallar!$B$5:$B$19,MATCH(C496,Kanallar!$A$5:$A$19,0)),0)))</f>
        <v/>
      </c>
      <c r="J496" s="16" t="str">
        <f aca="false">IF(I496="","",IF(H496="İptal",0,IF(H496="İade",-G496,E496-I496-F496-G496)))</f>
        <v/>
      </c>
    </row>
    <row r="497" customFormat="false" ht="15" hidden="false" customHeight="false" outlineLevel="0" collapsed="false">
      <c r="A497" s="12"/>
      <c r="B497" s="13"/>
      <c r="C497" s="14"/>
      <c r="D497" s="13"/>
      <c r="E497" s="15"/>
      <c r="F497" s="15"/>
      <c r="G497" s="15"/>
      <c r="H497" s="14"/>
      <c r="I497" s="16" t="str">
        <f aca="false">IF(OR(A497="",C497=""),"",IF(OR(H497="İade",H497="İptal"),0,E497*IFERROR(INDEX(Kanallar!$B$5:$B$19,MATCH(C497,Kanallar!$A$5:$A$19,0)),0)))</f>
        <v/>
      </c>
      <c r="J497" s="16" t="str">
        <f aca="false">IF(I497="","",IF(H497="İptal",0,IF(H497="İade",-G497,E497-I497-F497-G497)))</f>
        <v/>
      </c>
    </row>
    <row r="498" customFormat="false" ht="15" hidden="false" customHeight="false" outlineLevel="0" collapsed="false">
      <c r="A498" s="12"/>
      <c r="B498" s="13"/>
      <c r="C498" s="14"/>
      <c r="D498" s="13"/>
      <c r="E498" s="15"/>
      <c r="F498" s="15"/>
      <c r="G498" s="15"/>
      <c r="H498" s="14"/>
      <c r="I498" s="16" t="str">
        <f aca="false">IF(OR(A498="",C498=""),"",IF(OR(H498="İade",H498="İptal"),0,E498*IFERROR(INDEX(Kanallar!$B$5:$B$19,MATCH(C498,Kanallar!$A$5:$A$19,0)),0)))</f>
        <v/>
      </c>
      <c r="J498" s="16" t="str">
        <f aca="false">IF(I498="","",IF(H498="İptal",0,IF(H498="İade",-G498,E498-I498-F498-G498)))</f>
        <v/>
      </c>
    </row>
    <row r="499" customFormat="false" ht="15" hidden="false" customHeight="false" outlineLevel="0" collapsed="false">
      <c r="A499" s="12"/>
      <c r="B499" s="13"/>
      <c r="C499" s="14"/>
      <c r="D499" s="13"/>
      <c r="E499" s="15"/>
      <c r="F499" s="15"/>
      <c r="G499" s="15"/>
      <c r="H499" s="14"/>
      <c r="I499" s="16" t="str">
        <f aca="false">IF(OR(A499="",C499=""),"",IF(OR(H499="İade",H499="İptal"),0,E499*IFERROR(INDEX(Kanallar!$B$5:$B$19,MATCH(C499,Kanallar!$A$5:$A$19,0)),0)))</f>
        <v/>
      </c>
      <c r="J499" s="16" t="str">
        <f aca="false">IF(I499="","",IF(H499="İptal",0,IF(H499="İade",-G499,E499-I499-F499-G499)))</f>
        <v/>
      </c>
    </row>
    <row r="500" customFormat="false" ht="15" hidden="false" customHeight="false" outlineLevel="0" collapsed="false">
      <c r="A500" s="12"/>
      <c r="B500" s="13"/>
      <c r="C500" s="14"/>
      <c r="D500" s="13"/>
      <c r="E500" s="15"/>
      <c r="F500" s="15"/>
      <c r="G500" s="15"/>
      <c r="H500" s="14"/>
      <c r="I500" s="16" t="str">
        <f aca="false">IF(OR(A500="",C500=""),"",IF(OR(H500="İade",H500="İptal"),0,E500*IFERROR(INDEX(Kanallar!$B$5:$B$19,MATCH(C500,Kanallar!$A$5:$A$19,0)),0)))</f>
        <v/>
      </c>
      <c r="J500" s="16" t="str">
        <f aca="false">IF(I500="","",IF(H500="İptal",0,IF(H500="İade",-G500,E500-I500-F500-G500)))</f>
        <v/>
      </c>
    </row>
    <row r="501" customFormat="false" ht="15" hidden="false" customHeight="false" outlineLevel="0" collapsed="false">
      <c r="A501" s="12"/>
      <c r="B501" s="13"/>
      <c r="C501" s="14"/>
      <c r="D501" s="13"/>
      <c r="E501" s="15"/>
      <c r="F501" s="15"/>
      <c r="G501" s="15"/>
      <c r="H501" s="14"/>
      <c r="I501" s="16" t="str">
        <f aca="false">IF(OR(A501="",C501=""),"",IF(OR(H501="İade",H501="İptal"),0,E501*IFERROR(INDEX(Kanallar!$B$5:$B$19,MATCH(C501,Kanallar!$A$5:$A$19,0)),0)))</f>
        <v/>
      </c>
      <c r="J501" s="16" t="str">
        <f aca="false">IF(I501="","",IF(H501="İptal",0,IF(H501="İade",-G501,E501-I501-F501-G501)))</f>
        <v/>
      </c>
    </row>
    <row r="502" customFormat="false" ht="15" hidden="false" customHeight="false" outlineLevel="0" collapsed="false">
      <c r="A502" s="12"/>
      <c r="B502" s="13"/>
      <c r="C502" s="14"/>
      <c r="D502" s="13"/>
      <c r="E502" s="15"/>
      <c r="F502" s="15"/>
      <c r="G502" s="15"/>
      <c r="H502" s="14"/>
      <c r="I502" s="16" t="str">
        <f aca="false">IF(OR(A502="",C502=""),"",IF(OR(H502="İade",H502="İptal"),0,E502*IFERROR(INDEX(Kanallar!$B$5:$B$19,MATCH(C502,Kanallar!$A$5:$A$19,0)),0)))</f>
        <v/>
      </c>
      <c r="J502" s="16" t="str">
        <f aca="false">IF(I502="","",IF(H502="İptal",0,IF(H502="İade",-G502,E502-I502-F502-G502)))</f>
        <v/>
      </c>
    </row>
    <row r="503" customFormat="false" ht="15" hidden="false" customHeight="false" outlineLevel="0" collapsed="false">
      <c r="A503" s="12"/>
      <c r="B503" s="13"/>
      <c r="C503" s="14"/>
      <c r="D503" s="13"/>
      <c r="E503" s="15"/>
      <c r="F503" s="15"/>
      <c r="G503" s="15"/>
      <c r="H503" s="14"/>
      <c r="I503" s="16" t="str">
        <f aca="false">IF(OR(A503="",C503=""),"",IF(OR(H503="İade",H503="İptal"),0,E503*IFERROR(INDEX(Kanallar!$B$5:$B$19,MATCH(C503,Kanallar!$A$5:$A$19,0)),0)))</f>
        <v/>
      </c>
      <c r="J503" s="16" t="str">
        <f aca="false">IF(I503="","",IF(H503="İptal",0,IF(H503="İade",-G503,E503-I503-F503-G503)))</f>
        <v/>
      </c>
    </row>
    <row r="504" customFormat="false" ht="15" hidden="false" customHeight="false" outlineLevel="0" collapsed="false">
      <c r="A504" s="12"/>
      <c r="B504" s="13"/>
      <c r="C504" s="14"/>
      <c r="D504" s="13"/>
      <c r="E504" s="15"/>
      <c r="F504" s="15"/>
      <c r="G504" s="15"/>
      <c r="H504" s="14"/>
      <c r="I504" s="16" t="str">
        <f aca="false">IF(OR(A504="",C504=""),"",IF(OR(H504="İade",H504="İptal"),0,E504*IFERROR(INDEX(Kanallar!$B$5:$B$19,MATCH(C504,Kanallar!$A$5:$A$19,0)),0)))</f>
        <v/>
      </c>
      <c r="J504" s="16" t="str">
        <f aca="false">IF(I504="","",IF(H504="İptal",0,IF(H504="İade",-G504,E504-I504-F504-G504)))</f>
        <v/>
      </c>
    </row>
    <row r="505" customFormat="false" ht="15" hidden="false" customHeight="false" outlineLevel="0" collapsed="false">
      <c r="A505" s="12"/>
      <c r="B505" s="13"/>
      <c r="C505" s="14"/>
      <c r="D505" s="13"/>
      <c r="E505" s="15"/>
      <c r="F505" s="15"/>
      <c r="G505" s="15"/>
      <c r="H505" s="14"/>
      <c r="I505" s="16" t="str">
        <f aca="false">IF(OR(A505="",C505=""),"",IF(OR(H505="İade",H505="İptal"),0,E505*IFERROR(INDEX(Kanallar!$B$5:$B$19,MATCH(C505,Kanallar!$A$5:$A$19,0)),0)))</f>
        <v/>
      </c>
      <c r="J505" s="16" t="str">
        <f aca="false">IF(I505="","",IF(H505="İptal",0,IF(H505="İade",-G505,E505-I505-F505-G505)))</f>
        <v/>
      </c>
    </row>
    <row r="506" customFormat="false" ht="15" hidden="false" customHeight="false" outlineLevel="0" collapsed="false">
      <c r="A506" s="12"/>
      <c r="B506" s="13"/>
      <c r="C506" s="14"/>
      <c r="D506" s="13"/>
      <c r="E506" s="15"/>
      <c r="F506" s="15"/>
      <c r="G506" s="15"/>
      <c r="H506" s="14"/>
      <c r="I506" s="16" t="str">
        <f aca="false">IF(OR(A506="",C506=""),"",IF(OR(H506="İade",H506="İptal"),0,E506*IFERROR(INDEX(Kanallar!$B$5:$B$19,MATCH(C506,Kanallar!$A$5:$A$19,0)),0)))</f>
        <v/>
      </c>
      <c r="J506" s="16" t="str">
        <f aca="false">IF(I506="","",IF(H506="İptal",0,IF(H506="İade",-G506,E506-I506-F506-G506)))</f>
        <v/>
      </c>
    </row>
    <row r="507" customFormat="false" ht="15" hidden="false" customHeight="false" outlineLevel="0" collapsed="false">
      <c r="A507" s="12"/>
      <c r="B507" s="13"/>
      <c r="C507" s="14"/>
      <c r="D507" s="13"/>
      <c r="E507" s="15"/>
      <c r="F507" s="15"/>
      <c r="G507" s="15"/>
      <c r="H507" s="14"/>
      <c r="I507" s="16" t="str">
        <f aca="false">IF(OR(A507="",C507=""),"",IF(OR(H507="İade",H507="İptal"),0,E507*IFERROR(INDEX(Kanallar!$B$5:$B$19,MATCH(C507,Kanallar!$A$5:$A$19,0)),0)))</f>
        <v/>
      </c>
      <c r="J507" s="16" t="str">
        <f aca="false">IF(I507="","",IF(H507="İptal",0,IF(H507="İade",-G507,E507-I507-F507-G507)))</f>
        <v/>
      </c>
    </row>
    <row r="508" customFormat="false" ht="15" hidden="false" customHeight="false" outlineLevel="0" collapsed="false">
      <c r="A508" s="12"/>
      <c r="B508" s="13"/>
      <c r="C508" s="14"/>
      <c r="D508" s="13"/>
      <c r="E508" s="15"/>
      <c r="F508" s="15"/>
      <c r="G508" s="15"/>
      <c r="H508" s="14"/>
      <c r="I508" s="16" t="str">
        <f aca="false">IF(OR(A508="",C508=""),"",IF(OR(H508="İade",H508="İptal"),0,E508*IFERROR(INDEX(Kanallar!$B$5:$B$19,MATCH(C508,Kanallar!$A$5:$A$19,0)),0)))</f>
        <v/>
      </c>
      <c r="J508" s="16" t="str">
        <f aca="false">IF(I508="","",IF(H508="İptal",0,IF(H508="İade",-G508,E508-I508-F508-G508)))</f>
        <v/>
      </c>
    </row>
    <row r="509" customFormat="false" ht="15" hidden="false" customHeight="false" outlineLevel="0" collapsed="false">
      <c r="A509" s="12"/>
      <c r="B509" s="13"/>
      <c r="C509" s="14"/>
      <c r="D509" s="13"/>
      <c r="E509" s="15"/>
      <c r="F509" s="15"/>
      <c r="G509" s="15"/>
      <c r="H509" s="14"/>
      <c r="I509" s="16" t="str">
        <f aca="false">IF(OR(A509="",C509=""),"",IF(OR(H509="İade",H509="İptal"),0,E509*IFERROR(INDEX(Kanallar!$B$5:$B$19,MATCH(C509,Kanallar!$A$5:$A$19,0)),0)))</f>
        <v/>
      </c>
      <c r="J509" s="16" t="str">
        <f aca="false">IF(I509="","",IF(H509="İptal",0,IF(H509="İade",-G509,E509-I509-F509-G509)))</f>
        <v/>
      </c>
    </row>
    <row r="510" customFormat="false" ht="15" hidden="false" customHeight="false" outlineLevel="0" collapsed="false">
      <c r="A510" s="12"/>
      <c r="B510" s="13"/>
      <c r="C510" s="14"/>
      <c r="D510" s="13"/>
      <c r="E510" s="15"/>
      <c r="F510" s="15"/>
      <c r="G510" s="15"/>
      <c r="H510" s="14"/>
      <c r="I510" s="16" t="str">
        <f aca="false">IF(OR(A510="",C510=""),"",IF(OR(H510="İade",H510="İptal"),0,E510*IFERROR(INDEX(Kanallar!$B$5:$B$19,MATCH(C510,Kanallar!$A$5:$A$19,0)),0)))</f>
        <v/>
      </c>
      <c r="J510" s="16" t="str">
        <f aca="false">IF(I510="","",IF(H510="İptal",0,IF(H510="İade",-G510,E510-I510-F510-G510)))</f>
        <v/>
      </c>
    </row>
    <row r="511" customFormat="false" ht="15" hidden="false" customHeight="false" outlineLevel="0" collapsed="false">
      <c r="A511" s="12"/>
      <c r="B511" s="13"/>
      <c r="C511" s="14"/>
      <c r="D511" s="13"/>
      <c r="E511" s="15"/>
      <c r="F511" s="15"/>
      <c r="G511" s="15"/>
      <c r="H511" s="14"/>
      <c r="I511" s="16" t="str">
        <f aca="false">IF(OR(A511="",C511=""),"",IF(OR(H511="İade",H511="İptal"),0,E511*IFERROR(INDEX(Kanallar!$B$5:$B$19,MATCH(C511,Kanallar!$A$5:$A$19,0)),0)))</f>
        <v/>
      </c>
      <c r="J511" s="16" t="str">
        <f aca="false">IF(I511="","",IF(H511="İptal",0,IF(H511="İade",-G511,E511-I511-F511-G511)))</f>
        <v/>
      </c>
    </row>
    <row r="512" customFormat="false" ht="15" hidden="false" customHeight="false" outlineLevel="0" collapsed="false">
      <c r="A512" s="12"/>
      <c r="B512" s="13"/>
      <c r="C512" s="14"/>
      <c r="D512" s="13"/>
      <c r="E512" s="15"/>
      <c r="F512" s="15"/>
      <c r="G512" s="15"/>
      <c r="H512" s="14"/>
      <c r="I512" s="16" t="str">
        <f aca="false">IF(OR(A512="",C512=""),"",IF(OR(H512="İade",H512="İptal"),0,E512*IFERROR(INDEX(Kanallar!$B$5:$B$19,MATCH(C512,Kanallar!$A$5:$A$19,0)),0)))</f>
        <v/>
      </c>
      <c r="J512" s="16" t="str">
        <f aca="false">IF(I512="","",IF(H512="İptal",0,IF(H512="İade",-G512,E512-I512-F512-G512)))</f>
        <v/>
      </c>
    </row>
    <row r="513" customFormat="false" ht="15" hidden="false" customHeight="false" outlineLevel="0" collapsed="false">
      <c r="A513" s="12"/>
      <c r="B513" s="13"/>
      <c r="C513" s="14"/>
      <c r="D513" s="13"/>
      <c r="E513" s="15"/>
      <c r="F513" s="15"/>
      <c r="G513" s="15"/>
      <c r="H513" s="14"/>
      <c r="I513" s="16" t="str">
        <f aca="false">IF(OR(A513="",C513=""),"",IF(OR(H513="İade",H513="İptal"),0,E513*IFERROR(INDEX(Kanallar!$B$5:$B$19,MATCH(C513,Kanallar!$A$5:$A$19,0)),0)))</f>
        <v/>
      </c>
      <c r="J513" s="16" t="str">
        <f aca="false">IF(I513="","",IF(H513="İptal",0,IF(H513="İade",-G513,E513-I513-F513-G513)))</f>
        <v/>
      </c>
    </row>
    <row r="514" customFormat="false" ht="15" hidden="false" customHeight="false" outlineLevel="0" collapsed="false">
      <c r="A514" s="12"/>
      <c r="B514" s="13"/>
      <c r="C514" s="14"/>
      <c r="D514" s="13"/>
      <c r="E514" s="15"/>
      <c r="F514" s="15"/>
      <c r="G514" s="15"/>
      <c r="H514" s="14"/>
      <c r="I514" s="16" t="str">
        <f aca="false">IF(OR(A514="",C514=""),"",IF(OR(H514="İade",H514="İptal"),0,E514*IFERROR(INDEX(Kanallar!$B$5:$B$19,MATCH(C514,Kanallar!$A$5:$A$19,0)),0)))</f>
        <v/>
      </c>
      <c r="J514" s="16" t="str">
        <f aca="false">IF(I514="","",IF(H514="İptal",0,IF(H514="İade",-G514,E514-I514-F514-G514)))</f>
        <v/>
      </c>
    </row>
    <row r="515" customFormat="false" ht="15" hidden="false" customHeight="false" outlineLevel="0" collapsed="false">
      <c r="A515" s="12"/>
      <c r="B515" s="13"/>
      <c r="C515" s="14"/>
      <c r="D515" s="13"/>
      <c r="E515" s="15"/>
      <c r="F515" s="15"/>
      <c r="G515" s="15"/>
      <c r="H515" s="14"/>
      <c r="I515" s="16" t="str">
        <f aca="false">IF(OR(A515="",C515=""),"",IF(OR(H515="İade",H515="İptal"),0,E515*IFERROR(INDEX(Kanallar!$B$5:$B$19,MATCH(C515,Kanallar!$A$5:$A$19,0)),0)))</f>
        <v/>
      </c>
      <c r="J515" s="16" t="str">
        <f aca="false">IF(I515="","",IF(H515="İptal",0,IF(H515="İade",-G515,E515-I515-F515-G515)))</f>
        <v/>
      </c>
    </row>
    <row r="516" customFormat="false" ht="15" hidden="false" customHeight="false" outlineLevel="0" collapsed="false">
      <c r="A516" s="12"/>
      <c r="B516" s="13"/>
      <c r="C516" s="14"/>
      <c r="D516" s="13"/>
      <c r="E516" s="15"/>
      <c r="F516" s="15"/>
      <c r="G516" s="15"/>
      <c r="H516" s="14"/>
      <c r="I516" s="16" t="str">
        <f aca="false">IF(OR(A516="",C516=""),"",IF(OR(H516="İade",H516="İptal"),0,E516*IFERROR(INDEX(Kanallar!$B$5:$B$19,MATCH(C516,Kanallar!$A$5:$A$19,0)),0)))</f>
        <v/>
      </c>
      <c r="J516" s="16" t="str">
        <f aca="false">IF(I516="","",IF(H516="İptal",0,IF(H516="İade",-G516,E516-I516-F516-G516)))</f>
        <v/>
      </c>
    </row>
    <row r="517" customFormat="false" ht="15" hidden="false" customHeight="false" outlineLevel="0" collapsed="false">
      <c r="A517" s="12"/>
      <c r="B517" s="13"/>
      <c r="C517" s="14"/>
      <c r="D517" s="13"/>
      <c r="E517" s="15"/>
      <c r="F517" s="15"/>
      <c r="G517" s="15"/>
      <c r="H517" s="14"/>
      <c r="I517" s="16" t="str">
        <f aca="false">IF(OR(A517="",C517=""),"",IF(OR(H517="İade",H517="İptal"),0,E517*IFERROR(INDEX(Kanallar!$B$5:$B$19,MATCH(C517,Kanallar!$A$5:$A$19,0)),0)))</f>
        <v/>
      </c>
      <c r="J517" s="16" t="str">
        <f aca="false">IF(I517="","",IF(H517="İptal",0,IF(H517="İade",-G517,E517-I517-F517-G517)))</f>
        <v/>
      </c>
    </row>
    <row r="518" customFormat="false" ht="15" hidden="false" customHeight="false" outlineLevel="0" collapsed="false">
      <c r="A518" s="12"/>
      <c r="B518" s="13"/>
      <c r="C518" s="14"/>
      <c r="D518" s="13"/>
      <c r="E518" s="15"/>
      <c r="F518" s="15"/>
      <c r="G518" s="15"/>
      <c r="H518" s="14"/>
      <c r="I518" s="16" t="str">
        <f aca="false">IF(OR(A518="",C518=""),"",IF(OR(H518="İade",H518="İptal"),0,E518*IFERROR(INDEX(Kanallar!$B$5:$B$19,MATCH(C518,Kanallar!$A$5:$A$19,0)),0)))</f>
        <v/>
      </c>
      <c r="J518" s="16" t="str">
        <f aca="false">IF(I518="","",IF(H518="İptal",0,IF(H518="İade",-G518,E518-I518-F518-G518)))</f>
        <v/>
      </c>
    </row>
    <row r="519" customFormat="false" ht="15" hidden="false" customHeight="false" outlineLevel="0" collapsed="false">
      <c r="A519" s="12"/>
      <c r="B519" s="13"/>
      <c r="C519" s="14"/>
      <c r="D519" s="13"/>
      <c r="E519" s="15"/>
      <c r="F519" s="15"/>
      <c r="G519" s="15"/>
      <c r="H519" s="14"/>
      <c r="I519" s="16" t="str">
        <f aca="false">IF(OR(A519="",C519=""),"",IF(OR(H519="İade",H519="İptal"),0,E519*IFERROR(INDEX(Kanallar!$B$5:$B$19,MATCH(C519,Kanallar!$A$5:$A$19,0)),0)))</f>
        <v/>
      </c>
      <c r="J519" s="16" t="str">
        <f aca="false">IF(I519="","",IF(H519="İptal",0,IF(H519="İade",-G519,E519-I519-F519-G519)))</f>
        <v/>
      </c>
    </row>
    <row r="520" customFormat="false" ht="15" hidden="false" customHeight="false" outlineLevel="0" collapsed="false">
      <c r="A520" s="12"/>
      <c r="B520" s="13"/>
      <c r="C520" s="14"/>
      <c r="D520" s="13"/>
      <c r="E520" s="15"/>
      <c r="F520" s="15"/>
      <c r="G520" s="15"/>
      <c r="H520" s="14"/>
      <c r="I520" s="16" t="str">
        <f aca="false">IF(OR(A520="",C520=""),"",IF(OR(H520="İade",H520="İptal"),0,E520*IFERROR(INDEX(Kanallar!$B$5:$B$19,MATCH(C520,Kanallar!$A$5:$A$19,0)),0)))</f>
        <v/>
      </c>
      <c r="J520" s="16" t="str">
        <f aca="false">IF(I520="","",IF(H520="İptal",0,IF(H520="İade",-G520,E520-I520-F520-G520)))</f>
        <v/>
      </c>
    </row>
    <row r="521" customFormat="false" ht="15" hidden="false" customHeight="false" outlineLevel="0" collapsed="false">
      <c r="A521" s="12"/>
      <c r="B521" s="13"/>
      <c r="C521" s="14"/>
      <c r="D521" s="13"/>
      <c r="E521" s="15"/>
      <c r="F521" s="15"/>
      <c r="G521" s="15"/>
      <c r="H521" s="14"/>
      <c r="I521" s="16" t="str">
        <f aca="false">IF(OR(A521="",C521=""),"",IF(OR(H521="İade",H521="İptal"),0,E521*IFERROR(INDEX(Kanallar!$B$5:$B$19,MATCH(C521,Kanallar!$A$5:$A$19,0)),0)))</f>
        <v/>
      </c>
      <c r="J521" s="16" t="str">
        <f aca="false">IF(I521="","",IF(H521="İptal",0,IF(H521="İade",-G521,E521-I521-F521-G521)))</f>
        <v/>
      </c>
    </row>
    <row r="522" customFormat="false" ht="15" hidden="false" customHeight="false" outlineLevel="0" collapsed="false">
      <c r="A522" s="12"/>
      <c r="B522" s="13"/>
      <c r="C522" s="14"/>
      <c r="D522" s="13"/>
      <c r="E522" s="15"/>
      <c r="F522" s="15"/>
      <c r="G522" s="15"/>
      <c r="H522" s="14"/>
      <c r="I522" s="16" t="str">
        <f aca="false">IF(OR(A522="",C522=""),"",IF(OR(H522="İade",H522="İptal"),0,E522*IFERROR(INDEX(Kanallar!$B$5:$B$19,MATCH(C522,Kanallar!$A$5:$A$19,0)),0)))</f>
        <v/>
      </c>
      <c r="J522" s="16" t="str">
        <f aca="false">IF(I522="","",IF(H522="İptal",0,IF(H522="İade",-G522,E522-I522-F522-G522)))</f>
        <v/>
      </c>
    </row>
    <row r="523" customFormat="false" ht="15" hidden="false" customHeight="false" outlineLevel="0" collapsed="false">
      <c r="A523" s="12"/>
      <c r="B523" s="13"/>
      <c r="C523" s="14"/>
      <c r="D523" s="13"/>
      <c r="E523" s="15"/>
      <c r="F523" s="15"/>
      <c r="G523" s="15"/>
      <c r="H523" s="14"/>
      <c r="I523" s="16" t="str">
        <f aca="false">IF(OR(A523="",C523=""),"",IF(OR(H523="İade",H523="İptal"),0,E523*IFERROR(INDEX(Kanallar!$B$5:$B$19,MATCH(C523,Kanallar!$A$5:$A$19,0)),0)))</f>
        <v/>
      </c>
      <c r="J523" s="16" t="str">
        <f aca="false">IF(I523="","",IF(H523="İptal",0,IF(H523="İade",-G523,E523-I523-F523-G523)))</f>
        <v/>
      </c>
    </row>
    <row r="524" customFormat="false" ht="15" hidden="false" customHeight="false" outlineLevel="0" collapsed="false">
      <c r="A524" s="12"/>
      <c r="B524" s="13"/>
      <c r="C524" s="14"/>
      <c r="D524" s="13"/>
      <c r="E524" s="15"/>
      <c r="F524" s="15"/>
      <c r="G524" s="15"/>
      <c r="H524" s="14"/>
      <c r="I524" s="16" t="str">
        <f aca="false">IF(OR(A524="",C524=""),"",IF(OR(H524="İade",H524="İptal"),0,E524*IFERROR(INDEX(Kanallar!$B$5:$B$19,MATCH(C524,Kanallar!$A$5:$A$19,0)),0)))</f>
        <v/>
      </c>
      <c r="J524" s="16" t="str">
        <f aca="false">IF(I524="","",IF(H524="İptal",0,IF(H524="İade",-G524,E524-I524-F524-G524)))</f>
        <v/>
      </c>
    </row>
    <row r="525" customFormat="false" ht="15" hidden="false" customHeight="false" outlineLevel="0" collapsed="false">
      <c r="A525" s="12"/>
      <c r="B525" s="13"/>
      <c r="C525" s="14"/>
      <c r="D525" s="13"/>
      <c r="E525" s="15"/>
      <c r="F525" s="15"/>
      <c r="G525" s="15"/>
      <c r="H525" s="14"/>
      <c r="I525" s="16" t="str">
        <f aca="false">IF(OR(A525="",C525=""),"",IF(OR(H525="İade",H525="İptal"),0,E525*IFERROR(INDEX(Kanallar!$B$5:$B$19,MATCH(C525,Kanallar!$A$5:$A$19,0)),0)))</f>
        <v/>
      </c>
      <c r="J525" s="16" t="str">
        <f aca="false">IF(I525="","",IF(H525="İptal",0,IF(H525="İade",-G525,E525-I525-F525-G525)))</f>
        <v/>
      </c>
    </row>
    <row r="526" customFormat="false" ht="15" hidden="false" customHeight="false" outlineLevel="0" collapsed="false">
      <c r="A526" s="12"/>
      <c r="B526" s="13"/>
      <c r="C526" s="14"/>
      <c r="D526" s="13"/>
      <c r="E526" s="15"/>
      <c r="F526" s="15"/>
      <c r="G526" s="15"/>
      <c r="H526" s="14"/>
      <c r="I526" s="16" t="str">
        <f aca="false">IF(OR(A526="",C526=""),"",IF(OR(H526="İade",H526="İptal"),0,E526*IFERROR(INDEX(Kanallar!$B$5:$B$19,MATCH(C526,Kanallar!$A$5:$A$19,0)),0)))</f>
        <v/>
      </c>
      <c r="J526" s="16" t="str">
        <f aca="false">IF(I526="","",IF(H526="İptal",0,IF(H526="İade",-G526,E526-I526-F526-G526)))</f>
        <v/>
      </c>
    </row>
    <row r="527" customFormat="false" ht="15" hidden="false" customHeight="false" outlineLevel="0" collapsed="false">
      <c r="A527" s="12"/>
      <c r="B527" s="13"/>
      <c r="C527" s="14"/>
      <c r="D527" s="13"/>
      <c r="E527" s="15"/>
      <c r="F527" s="15"/>
      <c r="G527" s="15"/>
      <c r="H527" s="14"/>
      <c r="I527" s="16" t="str">
        <f aca="false">IF(OR(A527="",C527=""),"",IF(OR(H527="İade",H527="İptal"),0,E527*IFERROR(INDEX(Kanallar!$B$5:$B$19,MATCH(C527,Kanallar!$A$5:$A$19,0)),0)))</f>
        <v/>
      </c>
      <c r="J527" s="16" t="str">
        <f aca="false">IF(I527="","",IF(H527="İptal",0,IF(H527="İade",-G527,E527-I527-F527-G527)))</f>
        <v/>
      </c>
    </row>
    <row r="528" customFormat="false" ht="15" hidden="false" customHeight="false" outlineLevel="0" collapsed="false">
      <c r="A528" s="12"/>
      <c r="B528" s="13"/>
      <c r="C528" s="14"/>
      <c r="D528" s="13"/>
      <c r="E528" s="15"/>
      <c r="F528" s="15"/>
      <c r="G528" s="15"/>
      <c r="H528" s="14"/>
      <c r="I528" s="16" t="str">
        <f aca="false">IF(OR(A528="",C528=""),"",IF(OR(H528="İade",H528="İptal"),0,E528*IFERROR(INDEX(Kanallar!$B$5:$B$19,MATCH(C528,Kanallar!$A$5:$A$19,0)),0)))</f>
        <v/>
      </c>
      <c r="J528" s="16" t="str">
        <f aca="false">IF(I528="","",IF(H528="İptal",0,IF(H528="İade",-G528,E528-I528-F528-G528)))</f>
        <v/>
      </c>
    </row>
    <row r="529" customFormat="false" ht="15" hidden="false" customHeight="false" outlineLevel="0" collapsed="false">
      <c r="A529" s="12"/>
      <c r="B529" s="13"/>
      <c r="C529" s="14"/>
      <c r="D529" s="13"/>
      <c r="E529" s="15"/>
      <c r="F529" s="15"/>
      <c r="G529" s="15"/>
      <c r="H529" s="14"/>
      <c r="I529" s="16" t="str">
        <f aca="false">IF(OR(A529="",C529=""),"",IF(OR(H529="İade",H529="İptal"),0,E529*IFERROR(INDEX(Kanallar!$B$5:$B$19,MATCH(C529,Kanallar!$A$5:$A$19,0)),0)))</f>
        <v/>
      </c>
      <c r="J529" s="16" t="str">
        <f aca="false">IF(I529="","",IF(H529="İptal",0,IF(H529="İade",-G529,E529-I529-F529-G529)))</f>
        <v/>
      </c>
    </row>
    <row r="530" customFormat="false" ht="15" hidden="false" customHeight="false" outlineLevel="0" collapsed="false">
      <c r="A530" s="12"/>
      <c r="B530" s="13"/>
      <c r="C530" s="14"/>
      <c r="D530" s="13"/>
      <c r="E530" s="15"/>
      <c r="F530" s="15"/>
      <c r="G530" s="15"/>
      <c r="H530" s="14"/>
      <c r="I530" s="16" t="str">
        <f aca="false">IF(OR(A530="",C530=""),"",IF(OR(H530="İade",H530="İptal"),0,E530*IFERROR(INDEX(Kanallar!$B$5:$B$19,MATCH(C530,Kanallar!$A$5:$A$19,0)),0)))</f>
        <v/>
      </c>
      <c r="J530" s="16" t="str">
        <f aca="false">IF(I530="","",IF(H530="İptal",0,IF(H530="İade",-G530,E530-I530-F530-G530)))</f>
        <v/>
      </c>
    </row>
    <row r="531" customFormat="false" ht="15" hidden="false" customHeight="false" outlineLevel="0" collapsed="false">
      <c r="A531" s="12"/>
      <c r="B531" s="13"/>
      <c r="C531" s="14"/>
      <c r="D531" s="13"/>
      <c r="E531" s="15"/>
      <c r="F531" s="15"/>
      <c r="G531" s="15"/>
      <c r="H531" s="14"/>
      <c r="I531" s="16" t="str">
        <f aca="false">IF(OR(A531="",C531=""),"",IF(OR(H531="İade",H531="İptal"),0,E531*IFERROR(INDEX(Kanallar!$B$5:$B$19,MATCH(C531,Kanallar!$A$5:$A$19,0)),0)))</f>
        <v/>
      </c>
      <c r="J531" s="16" t="str">
        <f aca="false">IF(I531="","",IF(H531="İptal",0,IF(H531="İade",-G531,E531-I531-F531-G531)))</f>
        <v/>
      </c>
    </row>
    <row r="532" customFormat="false" ht="15" hidden="false" customHeight="false" outlineLevel="0" collapsed="false">
      <c r="A532" s="12"/>
      <c r="B532" s="13"/>
      <c r="C532" s="14"/>
      <c r="D532" s="13"/>
      <c r="E532" s="15"/>
      <c r="F532" s="15"/>
      <c r="G532" s="15"/>
      <c r="H532" s="14"/>
      <c r="I532" s="16" t="str">
        <f aca="false">IF(OR(A532="",C532=""),"",IF(OR(H532="İade",H532="İptal"),0,E532*IFERROR(INDEX(Kanallar!$B$5:$B$19,MATCH(C532,Kanallar!$A$5:$A$19,0)),0)))</f>
        <v/>
      </c>
      <c r="J532" s="16" t="str">
        <f aca="false">IF(I532="","",IF(H532="İptal",0,IF(H532="İade",-G532,E532-I532-F532-G532)))</f>
        <v/>
      </c>
    </row>
    <row r="533" customFormat="false" ht="15" hidden="false" customHeight="false" outlineLevel="0" collapsed="false">
      <c r="A533" s="12"/>
      <c r="B533" s="13"/>
      <c r="C533" s="14"/>
      <c r="D533" s="13"/>
      <c r="E533" s="15"/>
      <c r="F533" s="15"/>
      <c r="G533" s="15"/>
      <c r="H533" s="14"/>
      <c r="I533" s="16" t="str">
        <f aca="false">IF(OR(A533="",C533=""),"",IF(OR(H533="İade",H533="İptal"),0,E533*IFERROR(INDEX(Kanallar!$B$5:$B$19,MATCH(C533,Kanallar!$A$5:$A$19,0)),0)))</f>
        <v/>
      </c>
      <c r="J533" s="16" t="str">
        <f aca="false">IF(I533="","",IF(H533="İptal",0,IF(H533="İade",-G533,E533-I533-F533-G533)))</f>
        <v/>
      </c>
    </row>
    <row r="534" customFormat="false" ht="15" hidden="false" customHeight="false" outlineLevel="0" collapsed="false">
      <c r="A534" s="12"/>
      <c r="B534" s="13"/>
      <c r="C534" s="14"/>
      <c r="D534" s="13"/>
      <c r="E534" s="15"/>
      <c r="F534" s="15"/>
      <c r="G534" s="15"/>
      <c r="H534" s="14"/>
      <c r="I534" s="16" t="str">
        <f aca="false">IF(OR(A534="",C534=""),"",IF(OR(H534="İade",H534="İptal"),0,E534*IFERROR(INDEX(Kanallar!$B$5:$B$19,MATCH(C534,Kanallar!$A$5:$A$19,0)),0)))</f>
        <v/>
      </c>
      <c r="J534" s="16" t="str">
        <f aca="false">IF(I534="","",IF(H534="İptal",0,IF(H534="İade",-G534,E534-I534-F534-G534)))</f>
        <v/>
      </c>
    </row>
    <row r="535" customFormat="false" ht="15" hidden="false" customHeight="false" outlineLevel="0" collapsed="false">
      <c r="A535" s="12"/>
      <c r="B535" s="13"/>
      <c r="C535" s="14"/>
      <c r="D535" s="13"/>
      <c r="E535" s="15"/>
      <c r="F535" s="15"/>
      <c r="G535" s="15"/>
      <c r="H535" s="14"/>
      <c r="I535" s="16" t="str">
        <f aca="false">IF(OR(A535="",C535=""),"",IF(OR(H535="İade",H535="İptal"),0,E535*IFERROR(INDEX(Kanallar!$B$5:$B$19,MATCH(C535,Kanallar!$A$5:$A$19,0)),0)))</f>
        <v/>
      </c>
      <c r="J535" s="16" t="str">
        <f aca="false">IF(I535="","",IF(H535="İptal",0,IF(H535="İade",-G535,E535-I535-F535-G535)))</f>
        <v/>
      </c>
    </row>
    <row r="536" customFormat="false" ht="15" hidden="false" customHeight="false" outlineLevel="0" collapsed="false">
      <c r="A536" s="12"/>
      <c r="B536" s="13"/>
      <c r="C536" s="14"/>
      <c r="D536" s="13"/>
      <c r="E536" s="15"/>
      <c r="F536" s="15"/>
      <c r="G536" s="15"/>
      <c r="H536" s="14"/>
      <c r="I536" s="16" t="str">
        <f aca="false">IF(OR(A536="",C536=""),"",IF(OR(H536="İade",H536="İptal"),0,E536*IFERROR(INDEX(Kanallar!$B$5:$B$19,MATCH(C536,Kanallar!$A$5:$A$19,0)),0)))</f>
        <v/>
      </c>
      <c r="J536" s="16" t="str">
        <f aca="false">IF(I536="","",IF(H536="İptal",0,IF(H536="İade",-G536,E536-I536-F536-G536)))</f>
        <v/>
      </c>
    </row>
    <row r="537" customFormat="false" ht="15" hidden="false" customHeight="false" outlineLevel="0" collapsed="false">
      <c r="A537" s="12"/>
      <c r="B537" s="13"/>
      <c r="C537" s="14"/>
      <c r="D537" s="13"/>
      <c r="E537" s="15"/>
      <c r="F537" s="15"/>
      <c r="G537" s="15"/>
      <c r="H537" s="14"/>
      <c r="I537" s="16" t="str">
        <f aca="false">IF(OR(A537="",C537=""),"",IF(OR(H537="İade",H537="İptal"),0,E537*IFERROR(INDEX(Kanallar!$B$5:$B$19,MATCH(C537,Kanallar!$A$5:$A$19,0)),0)))</f>
        <v/>
      </c>
      <c r="J537" s="16" t="str">
        <f aca="false">IF(I537="","",IF(H537="İptal",0,IF(H537="İade",-G537,E537-I537-F537-G537)))</f>
        <v/>
      </c>
    </row>
    <row r="538" customFormat="false" ht="15" hidden="false" customHeight="false" outlineLevel="0" collapsed="false">
      <c r="A538" s="12"/>
      <c r="B538" s="13"/>
      <c r="C538" s="14"/>
      <c r="D538" s="13"/>
      <c r="E538" s="15"/>
      <c r="F538" s="15"/>
      <c r="G538" s="15"/>
      <c r="H538" s="14"/>
      <c r="I538" s="16" t="str">
        <f aca="false">IF(OR(A538="",C538=""),"",IF(OR(H538="İade",H538="İptal"),0,E538*IFERROR(INDEX(Kanallar!$B$5:$B$19,MATCH(C538,Kanallar!$A$5:$A$19,0)),0)))</f>
        <v/>
      </c>
      <c r="J538" s="16" t="str">
        <f aca="false">IF(I538="","",IF(H538="İptal",0,IF(H538="İade",-G538,E538-I538-F538-G538)))</f>
        <v/>
      </c>
    </row>
    <row r="539" customFormat="false" ht="15" hidden="false" customHeight="false" outlineLevel="0" collapsed="false">
      <c r="A539" s="12"/>
      <c r="B539" s="13"/>
      <c r="C539" s="14"/>
      <c r="D539" s="13"/>
      <c r="E539" s="15"/>
      <c r="F539" s="15"/>
      <c r="G539" s="15"/>
      <c r="H539" s="14"/>
      <c r="I539" s="16" t="str">
        <f aca="false">IF(OR(A539="",C539=""),"",IF(OR(H539="İade",H539="İptal"),0,E539*IFERROR(INDEX(Kanallar!$B$5:$B$19,MATCH(C539,Kanallar!$A$5:$A$19,0)),0)))</f>
        <v/>
      </c>
      <c r="J539" s="16" t="str">
        <f aca="false">IF(I539="","",IF(H539="İptal",0,IF(H539="İade",-G539,E539-I539-F539-G539)))</f>
        <v/>
      </c>
    </row>
    <row r="540" customFormat="false" ht="15" hidden="false" customHeight="false" outlineLevel="0" collapsed="false">
      <c r="A540" s="12"/>
      <c r="B540" s="13"/>
      <c r="C540" s="14"/>
      <c r="D540" s="13"/>
      <c r="E540" s="15"/>
      <c r="F540" s="15"/>
      <c r="G540" s="15"/>
      <c r="H540" s="14"/>
      <c r="I540" s="16" t="str">
        <f aca="false">IF(OR(A540="",C540=""),"",IF(OR(H540="İade",H540="İptal"),0,E540*IFERROR(INDEX(Kanallar!$B$5:$B$19,MATCH(C540,Kanallar!$A$5:$A$19,0)),0)))</f>
        <v/>
      </c>
      <c r="J540" s="16" t="str">
        <f aca="false">IF(I540="","",IF(H540="İptal",0,IF(H540="İade",-G540,E540-I540-F540-G540)))</f>
        <v/>
      </c>
    </row>
    <row r="541" customFormat="false" ht="15" hidden="false" customHeight="false" outlineLevel="0" collapsed="false">
      <c r="A541" s="12"/>
      <c r="B541" s="13"/>
      <c r="C541" s="14"/>
      <c r="D541" s="13"/>
      <c r="E541" s="15"/>
      <c r="F541" s="15"/>
      <c r="G541" s="15"/>
      <c r="H541" s="14"/>
      <c r="I541" s="16" t="str">
        <f aca="false">IF(OR(A541="",C541=""),"",IF(OR(H541="İade",H541="İptal"),0,E541*IFERROR(INDEX(Kanallar!$B$5:$B$19,MATCH(C541,Kanallar!$A$5:$A$19,0)),0)))</f>
        <v/>
      </c>
      <c r="J541" s="16" t="str">
        <f aca="false">IF(I541="","",IF(H541="İptal",0,IF(H541="İade",-G541,E541-I541-F541-G541)))</f>
        <v/>
      </c>
    </row>
    <row r="542" customFormat="false" ht="15" hidden="false" customHeight="false" outlineLevel="0" collapsed="false">
      <c r="A542" s="12"/>
      <c r="B542" s="13"/>
      <c r="C542" s="14"/>
      <c r="D542" s="13"/>
      <c r="E542" s="15"/>
      <c r="F542" s="15"/>
      <c r="G542" s="15"/>
      <c r="H542" s="14"/>
      <c r="I542" s="16" t="str">
        <f aca="false">IF(OR(A542="",C542=""),"",IF(OR(H542="İade",H542="İptal"),0,E542*IFERROR(INDEX(Kanallar!$B$5:$B$19,MATCH(C542,Kanallar!$A$5:$A$19,0)),0)))</f>
        <v/>
      </c>
      <c r="J542" s="16" t="str">
        <f aca="false">IF(I542="","",IF(H542="İptal",0,IF(H542="İade",-G542,E542-I542-F542-G542)))</f>
        <v/>
      </c>
    </row>
    <row r="543" customFormat="false" ht="15" hidden="false" customHeight="false" outlineLevel="0" collapsed="false">
      <c r="A543" s="12"/>
      <c r="B543" s="13"/>
      <c r="C543" s="14"/>
      <c r="D543" s="13"/>
      <c r="E543" s="15"/>
      <c r="F543" s="15"/>
      <c r="G543" s="15"/>
      <c r="H543" s="14"/>
      <c r="I543" s="16" t="str">
        <f aca="false">IF(OR(A543="",C543=""),"",IF(OR(H543="İade",H543="İptal"),0,E543*IFERROR(INDEX(Kanallar!$B$5:$B$19,MATCH(C543,Kanallar!$A$5:$A$19,0)),0)))</f>
        <v/>
      </c>
      <c r="J543" s="16" t="str">
        <f aca="false">IF(I543="","",IF(H543="İptal",0,IF(H543="İade",-G543,E543-I543-F543-G543)))</f>
        <v/>
      </c>
    </row>
    <row r="544" customFormat="false" ht="15" hidden="false" customHeight="false" outlineLevel="0" collapsed="false">
      <c r="A544" s="12"/>
      <c r="B544" s="13"/>
      <c r="C544" s="14"/>
      <c r="D544" s="13"/>
      <c r="E544" s="15"/>
      <c r="F544" s="15"/>
      <c r="G544" s="15"/>
      <c r="H544" s="14"/>
      <c r="I544" s="16" t="str">
        <f aca="false">IF(OR(A544="",C544=""),"",IF(OR(H544="İade",H544="İptal"),0,E544*IFERROR(INDEX(Kanallar!$B$5:$B$19,MATCH(C544,Kanallar!$A$5:$A$19,0)),0)))</f>
        <v/>
      </c>
      <c r="J544" s="16" t="str">
        <f aca="false">IF(I544="","",IF(H544="İptal",0,IF(H544="İade",-G544,E544-I544-F544-G544)))</f>
        <v/>
      </c>
    </row>
    <row r="545" customFormat="false" ht="15" hidden="false" customHeight="false" outlineLevel="0" collapsed="false">
      <c r="A545" s="12"/>
      <c r="B545" s="13"/>
      <c r="C545" s="14"/>
      <c r="D545" s="13"/>
      <c r="E545" s="15"/>
      <c r="F545" s="15"/>
      <c r="G545" s="15"/>
      <c r="H545" s="14"/>
      <c r="I545" s="16" t="str">
        <f aca="false">IF(OR(A545="",C545=""),"",IF(OR(H545="İade",H545="İptal"),0,E545*IFERROR(INDEX(Kanallar!$B$5:$B$19,MATCH(C545,Kanallar!$A$5:$A$19,0)),0)))</f>
        <v/>
      </c>
      <c r="J545" s="16" t="str">
        <f aca="false">IF(I545="","",IF(H545="İptal",0,IF(H545="İade",-G545,E545-I545-F545-G545)))</f>
        <v/>
      </c>
    </row>
    <row r="546" customFormat="false" ht="15" hidden="false" customHeight="false" outlineLevel="0" collapsed="false">
      <c r="A546" s="12"/>
      <c r="B546" s="13"/>
      <c r="C546" s="14"/>
      <c r="D546" s="13"/>
      <c r="E546" s="15"/>
      <c r="F546" s="15"/>
      <c r="G546" s="15"/>
      <c r="H546" s="14"/>
      <c r="I546" s="16" t="str">
        <f aca="false">IF(OR(A546="",C546=""),"",IF(OR(H546="İade",H546="İptal"),0,E546*IFERROR(INDEX(Kanallar!$B$5:$B$19,MATCH(C546,Kanallar!$A$5:$A$19,0)),0)))</f>
        <v/>
      </c>
      <c r="J546" s="16" t="str">
        <f aca="false">IF(I546="","",IF(H546="İptal",0,IF(H546="İade",-G546,E546-I546-F546-G546)))</f>
        <v/>
      </c>
    </row>
    <row r="547" customFormat="false" ht="15" hidden="false" customHeight="false" outlineLevel="0" collapsed="false">
      <c r="A547" s="12"/>
      <c r="B547" s="13"/>
      <c r="C547" s="14"/>
      <c r="D547" s="13"/>
      <c r="E547" s="15"/>
      <c r="F547" s="15"/>
      <c r="G547" s="15"/>
      <c r="H547" s="14"/>
      <c r="I547" s="16" t="str">
        <f aca="false">IF(OR(A547="",C547=""),"",IF(OR(H547="İade",H547="İptal"),0,E547*IFERROR(INDEX(Kanallar!$B$5:$B$19,MATCH(C547,Kanallar!$A$5:$A$19,0)),0)))</f>
        <v/>
      </c>
      <c r="J547" s="16" t="str">
        <f aca="false">IF(I547="","",IF(H547="İptal",0,IF(H547="İade",-G547,E547-I547-F547-G547)))</f>
        <v/>
      </c>
    </row>
    <row r="548" customFormat="false" ht="15" hidden="false" customHeight="false" outlineLevel="0" collapsed="false">
      <c r="A548" s="12"/>
      <c r="B548" s="13"/>
      <c r="C548" s="14"/>
      <c r="D548" s="13"/>
      <c r="E548" s="15"/>
      <c r="F548" s="15"/>
      <c r="G548" s="15"/>
      <c r="H548" s="14"/>
      <c r="I548" s="16" t="str">
        <f aca="false">IF(OR(A548="",C548=""),"",IF(OR(H548="İade",H548="İptal"),0,E548*IFERROR(INDEX(Kanallar!$B$5:$B$19,MATCH(C548,Kanallar!$A$5:$A$19,0)),0)))</f>
        <v/>
      </c>
      <c r="J548" s="16" t="str">
        <f aca="false">IF(I548="","",IF(H548="İptal",0,IF(H548="İade",-G548,E548-I548-F548-G548)))</f>
        <v/>
      </c>
    </row>
    <row r="549" customFormat="false" ht="15" hidden="false" customHeight="false" outlineLevel="0" collapsed="false">
      <c r="A549" s="12"/>
      <c r="B549" s="13"/>
      <c r="C549" s="14"/>
      <c r="D549" s="13"/>
      <c r="E549" s="15"/>
      <c r="F549" s="15"/>
      <c r="G549" s="15"/>
      <c r="H549" s="14"/>
      <c r="I549" s="16" t="str">
        <f aca="false">IF(OR(A549="",C549=""),"",IF(OR(H549="İade",H549="İptal"),0,E549*IFERROR(INDEX(Kanallar!$B$5:$B$19,MATCH(C549,Kanallar!$A$5:$A$19,0)),0)))</f>
        <v/>
      </c>
      <c r="J549" s="16" t="str">
        <f aca="false">IF(I549="","",IF(H549="İptal",0,IF(H549="İade",-G549,E549-I549-F549-G549)))</f>
        <v/>
      </c>
    </row>
    <row r="550" customFormat="false" ht="15" hidden="false" customHeight="false" outlineLevel="0" collapsed="false">
      <c r="A550" s="12"/>
      <c r="B550" s="13"/>
      <c r="C550" s="14"/>
      <c r="D550" s="13"/>
      <c r="E550" s="15"/>
      <c r="F550" s="15"/>
      <c r="G550" s="15"/>
      <c r="H550" s="14"/>
      <c r="I550" s="16" t="str">
        <f aca="false">IF(OR(A550="",C550=""),"",IF(OR(H550="İade",H550="İptal"),0,E550*IFERROR(INDEX(Kanallar!$B$5:$B$19,MATCH(C550,Kanallar!$A$5:$A$19,0)),0)))</f>
        <v/>
      </c>
      <c r="J550" s="16" t="str">
        <f aca="false">IF(I550="","",IF(H550="İptal",0,IF(H550="İade",-G550,E550-I550-F550-G550)))</f>
        <v/>
      </c>
    </row>
    <row r="551" customFormat="false" ht="15" hidden="false" customHeight="false" outlineLevel="0" collapsed="false">
      <c r="A551" s="12"/>
      <c r="B551" s="13"/>
      <c r="C551" s="14"/>
      <c r="D551" s="13"/>
      <c r="E551" s="15"/>
      <c r="F551" s="15"/>
      <c r="G551" s="15"/>
      <c r="H551" s="14"/>
      <c r="I551" s="16" t="str">
        <f aca="false">IF(OR(A551="",C551=""),"",IF(OR(H551="İade",H551="İptal"),0,E551*IFERROR(INDEX(Kanallar!$B$5:$B$19,MATCH(C551,Kanallar!$A$5:$A$19,0)),0)))</f>
        <v/>
      </c>
      <c r="J551" s="16" t="str">
        <f aca="false">IF(I551="","",IF(H551="İptal",0,IF(H551="İade",-G551,E551-I551-F551-G551)))</f>
        <v/>
      </c>
    </row>
    <row r="552" customFormat="false" ht="15" hidden="false" customHeight="false" outlineLevel="0" collapsed="false">
      <c r="A552" s="12"/>
      <c r="B552" s="13"/>
      <c r="C552" s="14"/>
      <c r="D552" s="13"/>
      <c r="E552" s="15"/>
      <c r="F552" s="15"/>
      <c r="G552" s="15"/>
      <c r="H552" s="14"/>
      <c r="I552" s="16" t="str">
        <f aca="false">IF(OR(A552="",C552=""),"",IF(OR(H552="İade",H552="İptal"),0,E552*IFERROR(INDEX(Kanallar!$B$5:$B$19,MATCH(C552,Kanallar!$A$5:$A$19,0)),0)))</f>
        <v/>
      </c>
      <c r="J552" s="16" t="str">
        <f aca="false">IF(I552="","",IF(H552="İptal",0,IF(H552="İade",-G552,E552-I552-F552-G552)))</f>
        <v/>
      </c>
    </row>
    <row r="553" customFormat="false" ht="15" hidden="false" customHeight="false" outlineLevel="0" collapsed="false">
      <c r="A553" s="12"/>
      <c r="B553" s="13"/>
      <c r="C553" s="14"/>
      <c r="D553" s="13"/>
      <c r="E553" s="15"/>
      <c r="F553" s="15"/>
      <c r="G553" s="15"/>
      <c r="H553" s="14"/>
      <c r="I553" s="16" t="str">
        <f aca="false">IF(OR(A553="",C553=""),"",IF(OR(H553="İade",H553="İptal"),0,E553*IFERROR(INDEX(Kanallar!$B$5:$B$19,MATCH(C553,Kanallar!$A$5:$A$19,0)),0)))</f>
        <v/>
      </c>
      <c r="J553" s="16" t="str">
        <f aca="false">IF(I553="","",IF(H553="İptal",0,IF(H553="İade",-G553,E553-I553-F553-G553)))</f>
        <v/>
      </c>
    </row>
    <row r="554" customFormat="false" ht="15" hidden="false" customHeight="false" outlineLevel="0" collapsed="false">
      <c r="A554" s="12"/>
      <c r="B554" s="13"/>
      <c r="C554" s="14"/>
      <c r="D554" s="13"/>
      <c r="E554" s="15"/>
      <c r="F554" s="15"/>
      <c r="G554" s="15"/>
      <c r="H554" s="14"/>
      <c r="I554" s="16" t="str">
        <f aca="false">IF(OR(A554="",C554=""),"",IF(OR(H554="İade",H554="İptal"),0,E554*IFERROR(INDEX(Kanallar!$B$5:$B$19,MATCH(C554,Kanallar!$A$5:$A$19,0)),0)))</f>
        <v/>
      </c>
      <c r="J554" s="16" t="str">
        <f aca="false">IF(I554="","",IF(H554="İptal",0,IF(H554="İade",-G554,E554-I554-F554-G554)))</f>
        <v/>
      </c>
    </row>
    <row r="555" customFormat="false" ht="15" hidden="false" customHeight="false" outlineLevel="0" collapsed="false">
      <c r="A555" s="12"/>
      <c r="B555" s="13"/>
      <c r="C555" s="14"/>
      <c r="D555" s="13"/>
      <c r="E555" s="15"/>
      <c r="F555" s="15"/>
      <c r="G555" s="15"/>
      <c r="H555" s="14"/>
      <c r="I555" s="16" t="str">
        <f aca="false">IF(OR(A555="",C555=""),"",IF(OR(H555="İade",H555="İptal"),0,E555*IFERROR(INDEX(Kanallar!$B$5:$B$19,MATCH(C555,Kanallar!$A$5:$A$19,0)),0)))</f>
        <v/>
      </c>
      <c r="J555" s="16" t="str">
        <f aca="false">IF(I555="","",IF(H555="İptal",0,IF(H555="İade",-G555,E555-I555-F555-G555)))</f>
        <v/>
      </c>
    </row>
    <row r="556" customFormat="false" ht="15" hidden="false" customHeight="false" outlineLevel="0" collapsed="false">
      <c r="A556" s="12"/>
      <c r="B556" s="13"/>
      <c r="C556" s="14"/>
      <c r="D556" s="13"/>
      <c r="E556" s="15"/>
      <c r="F556" s="15"/>
      <c r="G556" s="15"/>
      <c r="H556" s="14"/>
      <c r="I556" s="16" t="str">
        <f aca="false">IF(OR(A556="",C556=""),"",IF(OR(H556="İade",H556="İptal"),0,E556*IFERROR(INDEX(Kanallar!$B$5:$B$19,MATCH(C556,Kanallar!$A$5:$A$19,0)),0)))</f>
        <v/>
      </c>
      <c r="J556" s="16" t="str">
        <f aca="false">IF(I556="","",IF(H556="İptal",0,IF(H556="İade",-G556,E556-I556-F556-G556)))</f>
        <v/>
      </c>
    </row>
    <row r="557" customFormat="false" ht="15" hidden="false" customHeight="false" outlineLevel="0" collapsed="false">
      <c r="A557" s="12"/>
      <c r="B557" s="13"/>
      <c r="C557" s="14"/>
      <c r="D557" s="13"/>
      <c r="E557" s="15"/>
      <c r="F557" s="15"/>
      <c r="G557" s="15"/>
      <c r="H557" s="14"/>
      <c r="I557" s="16" t="str">
        <f aca="false">IF(OR(A557="",C557=""),"",IF(OR(H557="İade",H557="İptal"),0,E557*IFERROR(INDEX(Kanallar!$B$5:$B$19,MATCH(C557,Kanallar!$A$5:$A$19,0)),0)))</f>
        <v/>
      </c>
      <c r="J557" s="16" t="str">
        <f aca="false">IF(I557="","",IF(H557="İptal",0,IF(H557="İade",-G557,E557-I557-F557-G557)))</f>
        <v/>
      </c>
    </row>
    <row r="558" customFormat="false" ht="15" hidden="false" customHeight="false" outlineLevel="0" collapsed="false">
      <c r="A558" s="12"/>
      <c r="B558" s="13"/>
      <c r="C558" s="14"/>
      <c r="D558" s="13"/>
      <c r="E558" s="15"/>
      <c r="F558" s="15"/>
      <c r="G558" s="15"/>
      <c r="H558" s="14"/>
      <c r="I558" s="16" t="str">
        <f aca="false">IF(OR(A558="",C558=""),"",IF(OR(H558="İade",H558="İptal"),0,E558*IFERROR(INDEX(Kanallar!$B$5:$B$19,MATCH(C558,Kanallar!$A$5:$A$19,0)),0)))</f>
        <v/>
      </c>
      <c r="J558" s="16" t="str">
        <f aca="false">IF(I558="","",IF(H558="İptal",0,IF(H558="İade",-G558,E558-I558-F558-G558)))</f>
        <v/>
      </c>
    </row>
    <row r="559" customFormat="false" ht="15" hidden="false" customHeight="false" outlineLevel="0" collapsed="false">
      <c r="A559" s="12"/>
      <c r="B559" s="13"/>
      <c r="C559" s="14"/>
      <c r="D559" s="13"/>
      <c r="E559" s="15"/>
      <c r="F559" s="15"/>
      <c r="G559" s="15"/>
      <c r="H559" s="14"/>
      <c r="I559" s="16" t="str">
        <f aca="false">IF(OR(A559="",C559=""),"",IF(OR(H559="İade",H559="İptal"),0,E559*IFERROR(INDEX(Kanallar!$B$5:$B$19,MATCH(C559,Kanallar!$A$5:$A$19,0)),0)))</f>
        <v/>
      </c>
      <c r="J559" s="16" t="str">
        <f aca="false">IF(I559="","",IF(H559="İptal",0,IF(H559="İade",-G559,E559-I559-F559-G559)))</f>
        <v/>
      </c>
    </row>
    <row r="560" customFormat="false" ht="15" hidden="false" customHeight="false" outlineLevel="0" collapsed="false">
      <c r="A560" s="12"/>
      <c r="B560" s="13"/>
      <c r="C560" s="14"/>
      <c r="D560" s="13"/>
      <c r="E560" s="15"/>
      <c r="F560" s="15"/>
      <c r="G560" s="15"/>
      <c r="H560" s="14"/>
      <c r="I560" s="16" t="str">
        <f aca="false">IF(OR(A560="",C560=""),"",IF(OR(H560="İade",H560="İptal"),0,E560*IFERROR(INDEX(Kanallar!$B$5:$B$19,MATCH(C560,Kanallar!$A$5:$A$19,0)),0)))</f>
        <v/>
      </c>
      <c r="J560" s="16" t="str">
        <f aca="false">IF(I560="","",IF(H560="İptal",0,IF(H560="İade",-G560,E560-I560-F560-G560)))</f>
        <v/>
      </c>
    </row>
    <row r="561" customFormat="false" ht="15" hidden="false" customHeight="false" outlineLevel="0" collapsed="false">
      <c r="A561" s="12"/>
      <c r="B561" s="13"/>
      <c r="C561" s="14"/>
      <c r="D561" s="13"/>
      <c r="E561" s="15"/>
      <c r="F561" s="15"/>
      <c r="G561" s="15"/>
      <c r="H561" s="14"/>
      <c r="I561" s="16" t="str">
        <f aca="false">IF(OR(A561="",C561=""),"",IF(OR(H561="İade",H561="İptal"),0,E561*IFERROR(INDEX(Kanallar!$B$5:$B$19,MATCH(C561,Kanallar!$A$5:$A$19,0)),0)))</f>
        <v/>
      </c>
      <c r="J561" s="16" t="str">
        <f aca="false">IF(I561="","",IF(H561="İptal",0,IF(H561="İade",-G561,E561-I561-F561-G561)))</f>
        <v/>
      </c>
    </row>
    <row r="562" customFormat="false" ht="15" hidden="false" customHeight="false" outlineLevel="0" collapsed="false">
      <c r="A562" s="12"/>
      <c r="B562" s="13"/>
      <c r="C562" s="14"/>
      <c r="D562" s="13"/>
      <c r="E562" s="15"/>
      <c r="F562" s="15"/>
      <c r="G562" s="15"/>
      <c r="H562" s="14"/>
      <c r="I562" s="16" t="str">
        <f aca="false">IF(OR(A562="",C562=""),"",IF(OR(H562="İade",H562="İptal"),0,E562*IFERROR(INDEX(Kanallar!$B$5:$B$19,MATCH(C562,Kanallar!$A$5:$A$19,0)),0)))</f>
        <v/>
      </c>
      <c r="J562" s="16" t="str">
        <f aca="false">IF(I562="","",IF(H562="İptal",0,IF(H562="İade",-G562,E562-I562-F562-G562)))</f>
        <v/>
      </c>
    </row>
    <row r="563" customFormat="false" ht="15" hidden="false" customHeight="false" outlineLevel="0" collapsed="false">
      <c r="A563" s="12"/>
      <c r="B563" s="13"/>
      <c r="C563" s="14"/>
      <c r="D563" s="13"/>
      <c r="E563" s="15"/>
      <c r="F563" s="15"/>
      <c r="G563" s="15"/>
      <c r="H563" s="14"/>
      <c r="I563" s="16" t="str">
        <f aca="false">IF(OR(A563="",C563=""),"",IF(OR(H563="İade",H563="İptal"),0,E563*IFERROR(INDEX(Kanallar!$B$5:$B$19,MATCH(C563,Kanallar!$A$5:$A$19,0)),0)))</f>
        <v/>
      </c>
      <c r="J563" s="16" t="str">
        <f aca="false">IF(I563="","",IF(H563="İptal",0,IF(H563="İade",-G563,E563-I563-F563-G563)))</f>
        <v/>
      </c>
    </row>
    <row r="564" customFormat="false" ht="15" hidden="false" customHeight="false" outlineLevel="0" collapsed="false">
      <c r="A564" s="12"/>
      <c r="B564" s="13"/>
      <c r="C564" s="14"/>
      <c r="D564" s="13"/>
      <c r="E564" s="15"/>
      <c r="F564" s="15"/>
      <c r="G564" s="15"/>
      <c r="H564" s="14"/>
      <c r="I564" s="16" t="str">
        <f aca="false">IF(OR(A564="",C564=""),"",IF(OR(H564="İade",H564="İptal"),0,E564*IFERROR(INDEX(Kanallar!$B$5:$B$19,MATCH(C564,Kanallar!$A$5:$A$19,0)),0)))</f>
        <v/>
      </c>
      <c r="J564" s="16" t="str">
        <f aca="false">IF(I564="","",IF(H564="İptal",0,IF(H564="İade",-G564,E564-I564-F564-G564)))</f>
        <v/>
      </c>
    </row>
    <row r="565" customFormat="false" ht="15" hidden="false" customHeight="false" outlineLevel="0" collapsed="false">
      <c r="A565" s="12"/>
      <c r="B565" s="13"/>
      <c r="C565" s="14"/>
      <c r="D565" s="13"/>
      <c r="E565" s="15"/>
      <c r="F565" s="15"/>
      <c r="G565" s="15"/>
      <c r="H565" s="14"/>
      <c r="I565" s="16" t="str">
        <f aca="false">IF(OR(A565="",C565=""),"",IF(OR(H565="İade",H565="İptal"),0,E565*IFERROR(INDEX(Kanallar!$B$5:$B$19,MATCH(C565,Kanallar!$A$5:$A$19,0)),0)))</f>
        <v/>
      </c>
      <c r="J565" s="16" t="str">
        <f aca="false">IF(I565="","",IF(H565="İptal",0,IF(H565="İade",-G565,E565-I565-F565-G565)))</f>
        <v/>
      </c>
    </row>
    <row r="566" customFormat="false" ht="15" hidden="false" customHeight="false" outlineLevel="0" collapsed="false">
      <c r="A566" s="12"/>
      <c r="B566" s="13"/>
      <c r="C566" s="14"/>
      <c r="D566" s="13"/>
      <c r="E566" s="15"/>
      <c r="F566" s="15"/>
      <c r="G566" s="15"/>
      <c r="H566" s="14"/>
      <c r="I566" s="16" t="str">
        <f aca="false">IF(OR(A566="",C566=""),"",IF(OR(H566="İade",H566="İptal"),0,E566*IFERROR(INDEX(Kanallar!$B$5:$B$19,MATCH(C566,Kanallar!$A$5:$A$19,0)),0)))</f>
        <v/>
      </c>
      <c r="J566" s="16" t="str">
        <f aca="false">IF(I566="","",IF(H566="İptal",0,IF(H566="İade",-G566,E566-I566-F566-G566)))</f>
        <v/>
      </c>
    </row>
    <row r="567" customFormat="false" ht="15" hidden="false" customHeight="false" outlineLevel="0" collapsed="false">
      <c r="A567" s="12"/>
      <c r="B567" s="13"/>
      <c r="C567" s="14"/>
      <c r="D567" s="13"/>
      <c r="E567" s="15"/>
      <c r="F567" s="15"/>
      <c r="G567" s="15"/>
      <c r="H567" s="14"/>
      <c r="I567" s="16" t="str">
        <f aca="false">IF(OR(A567="",C567=""),"",IF(OR(H567="İade",H567="İptal"),0,E567*IFERROR(INDEX(Kanallar!$B$5:$B$19,MATCH(C567,Kanallar!$A$5:$A$19,0)),0)))</f>
        <v/>
      </c>
      <c r="J567" s="16" t="str">
        <f aca="false">IF(I567="","",IF(H567="İptal",0,IF(H567="İade",-G567,E567-I567-F567-G567)))</f>
        <v/>
      </c>
    </row>
    <row r="568" customFormat="false" ht="15" hidden="false" customHeight="false" outlineLevel="0" collapsed="false">
      <c r="A568" s="12"/>
      <c r="B568" s="13"/>
      <c r="C568" s="14"/>
      <c r="D568" s="13"/>
      <c r="E568" s="15"/>
      <c r="F568" s="15"/>
      <c r="G568" s="15"/>
      <c r="H568" s="14"/>
      <c r="I568" s="16" t="str">
        <f aca="false">IF(OR(A568="",C568=""),"",IF(OR(H568="İade",H568="İptal"),0,E568*IFERROR(INDEX(Kanallar!$B$5:$B$19,MATCH(C568,Kanallar!$A$5:$A$19,0)),0)))</f>
        <v/>
      </c>
      <c r="J568" s="16" t="str">
        <f aca="false">IF(I568="","",IF(H568="İptal",0,IF(H568="İade",-G568,E568-I568-F568-G568)))</f>
        <v/>
      </c>
    </row>
    <row r="569" customFormat="false" ht="15" hidden="false" customHeight="false" outlineLevel="0" collapsed="false">
      <c r="A569" s="12"/>
      <c r="B569" s="13"/>
      <c r="C569" s="14"/>
      <c r="D569" s="13"/>
      <c r="E569" s="15"/>
      <c r="F569" s="15"/>
      <c r="G569" s="15"/>
      <c r="H569" s="14"/>
      <c r="I569" s="16" t="str">
        <f aca="false">IF(OR(A569="",C569=""),"",IF(OR(H569="İade",H569="İptal"),0,E569*IFERROR(INDEX(Kanallar!$B$5:$B$19,MATCH(C569,Kanallar!$A$5:$A$19,0)),0)))</f>
        <v/>
      </c>
      <c r="J569" s="16" t="str">
        <f aca="false">IF(I569="","",IF(H569="İptal",0,IF(H569="İade",-G569,E569-I569-F569-G569)))</f>
        <v/>
      </c>
    </row>
    <row r="570" customFormat="false" ht="15" hidden="false" customHeight="false" outlineLevel="0" collapsed="false">
      <c r="A570" s="12"/>
      <c r="B570" s="13"/>
      <c r="C570" s="14"/>
      <c r="D570" s="13"/>
      <c r="E570" s="15"/>
      <c r="F570" s="15"/>
      <c r="G570" s="15"/>
      <c r="H570" s="14"/>
      <c r="I570" s="16" t="str">
        <f aca="false">IF(OR(A570="",C570=""),"",IF(OR(H570="İade",H570="İptal"),0,E570*IFERROR(INDEX(Kanallar!$B$5:$B$19,MATCH(C570,Kanallar!$A$5:$A$19,0)),0)))</f>
        <v/>
      </c>
      <c r="J570" s="16" t="str">
        <f aca="false">IF(I570="","",IF(H570="İptal",0,IF(H570="İade",-G570,E570-I570-F570-G570)))</f>
        <v/>
      </c>
    </row>
    <row r="571" customFormat="false" ht="15" hidden="false" customHeight="false" outlineLevel="0" collapsed="false">
      <c r="A571" s="12"/>
      <c r="B571" s="13"/>
      <c r="C571" s="14"/>
      <c r="D571" s="13"/>
      <c r="E571" s="15"/>
      <c r="F571" s="15"/>
      <c r="G571" s="15"/>
      <c r="H571" s="14"/>
      <c r="I571" s="16" t="str">
        <f aca="false">IF(OR(A571="",C571=""),"",IF(OR(H571="İade",H571="İptal"),0,E571*IFERROR(INDEX(Kanallar!$B$5:$B$19,MATCH(C571,Kanallar!$A$5:$A$19,0)),0)))</f>
        <v/>
      </c>
      <c r="J571" s="16" t="str">
        <f aca="false">IF(I571="","",IF(H571="İptal",0,IF(H571="İade",-G571,E571-I571-F571-G571)))</f>
        <v/>
      </c>
    </row>
    <row r="572" customFormat="false" ht="15" hidden="false" customHeight="false" outlineLevel="0" collapsed="false">
      <c r="A572" s="12"/>
      <c r="B572" s="13"/>
      <c r="C572" s="14"/>
      <c r="D572" s="13"/>
      <c r="E572" s="15"/>
      <c r="F572" s="15"/>
      <c r="G572" s="15"/>
      <c r="H572" s="14"/>
      <c r="I572" s="16" t="str">
        <f aca="false">IF(OR(A572="",C572=""),"",IF(OR(H572="İade",H572="İptal"),0,E572*IFERROR(INDEX(Kanallar!$B$5:$B$19,MATCH(C572,Kanallar!$A$5:$A$19,0)),0)))</f>
        <v/>
      </c>
      <c r="J572" s="16" t="str">
        <f aca="false">IF(I572="","",IF(H572="İptal",0,IF(H572="İade",-G572,E572-I572-F572-G572)))</f>
        <v/>
      </c>
    </row>
    <row r="573" customFormat="false" ht="15" hidden="false" customHeight="false" outlineLevel="0" collapsed="false">
      <c r="A573" s="12"/>
      <c r="B573" s="13"/>
      <c r="C573" s="14"/>
      <c r="D573" s="13"/>
      <c r="E573" s="15"/>
      <c r="F573" s="15"/>
      <c r="G573" s="15"/>
      <c r="H573" s="14"/>
      <c r="I573" s="16" t="str">
        <f aca="false">IF(OR(A573="",C573=""),"",IF(OR(H573="İade",H573="İptal"),0,E573*IFERROR(INDEX(Kanallar!$B$5:$B$19,MATCH(C573,Kanallar!$A$5:$A$19,0)),0)))</f>
        <v/>
      </c>
      <c r="J573" s="16" t="str">
        <f aca="false">IF(I573="","",IF(H573="İptal",0,IF(H573="İade",-G573,E573-I573-F573-G573)))</f>
        <v/>
      </c>
    </row>
    <row r="574" customFormat="false" ht="15" hidden="false" customHeight="false" outlineLevel="0" collapsed="false">
      <c r="A574" s="12"/>
      <c r="B574" s="13"/>
      <c r="C574" s="14"/>
      <c r="D574" s="13"/>
      <c r="E574" s="15"/>
      <c r="F574" s="15"/>
      <c r="G574" s="15"/>
      <c r="H574" s="14"/>
      <c r="I574" s="16" t="str">
        <f aca="false">IF(OR(A574="",C574=""),"",IF(OR(H574="İade",H574="İptal"),0,E574*IFERROR(INDEX(Kanallar!$B$5:$B$19,MATCH(C574,Kanallar!$A$5:$A$19,0)),0)))</f>
        <v/>
      </c>
      <c r="J574" s="16" t="str">
        <f aca="false">IF(I574="","",IF(H574="İptal",0,IF(H574="İade",-G574,E574-I574-F574-G574)))</f>
        <v/>
      </c>
    </row>
    <row r="575" customFormat="false" ht="15" hidden="false" customHeight="false" outlineLevel="0" collapsed="false">
      <c r="A575" s="12"/>
      <c r="B575" s="13"/>
      <c r="C575" s="14"/>
      <c r="D575" s="13"/>
      <c r="E575" s="15"/>
      <c r="F575" s="15"/>
      <c r="G575" s="15"/>
      <c r="H575" s="14"/>
      <c r="I575" s="16" t="str">
        <f aca="false">IF(OR(A575="",C575=""),"",IF(OR(H575="İade",H575="İptal"),0,E575*IFERROR(INDEX(Kanallar!$B$5:$B$19,MATCH(C575,Kanallar!$A$5:$A$19,0)),0)))</f>
        <v/>
      </c>
      <c r="J575" s="16" t="str">
        <f aca="false">IF(I575="","",IF(H575="İptal",0,IF(H575="İade",-G575,E575-I575-F575-G575)))</f>
        <v/>
      </c>
    </row>
    <row r="576" customFormat="false" ht="15" hidden="false" customHeight="false" outlineLevel="0" collapsed="false">
      <c r="A576" s="12"/>
      <c r="B576" s="13"/>
      <c r="C576" s="14"/>
      <c r="D576" s="13"/>
      <c r="E576" s="15"/>
      <c r="F576" s="15"/>
      <c r="G576" s="15"/>
      <c r="H576" s="14"/>
      <c r="I576" s="16" t="str">
        <f aca="false">IF(OR(A576="",C576=""),"",IF(OR(H576="İade",H576="İptal"),0,E576*IFERROR(INDEX(Kanallar!$B$5:$B$19,MATCH(C576,Kanallar!$A$5:$A$19,0)),0)))</f>
        <v/>
      </c>
      <c r="J576" s="16" t="str">
        <f aca="false">IF(I576="","",IF(H576="İptal",0,IF(H576="İade",-G576,E576-I576-F576-G576)))</f>
        <v/>
      </c>
    </row>
    <row r="577" customFormat="false" ht="15" hidden="false" customHeight="false" outlineLevel="0" collapsed="false">
      <c r="A577" s="12"/>
      <c r="B577" s="13"/>
      <c r="C577" s="14"/>
      <c r="D577" s="13"/>
      <c r="E577" s="15"/>
      <c r="F577" s="15"/>
      <c r="G577" s="15"/>
      <c r="H577" s="14"/>
      <c r="I577" s="16" t="str">
        <f aca="false">IF(OR(A577="",C577=""),"",IF(OR(H577="İade",H577="İptal"),0,E577*IFERROR(INDEX(Kanallar!$B$5:$B$19,MATCH(C577,Kanallar!$A$5:$A$19,0)),0)))</f>
        <v/>
      </c>
      <c r="J577" s="16" t="str">
        <f aca="false">IF(I577="","",IF(H577="İptal",0,IF(H577="İade",-G577,E577-I577-F577-G577)))</f>
        <v/>
      </c>
    </row>
    <row r="578" customFormat="false" ht="15" hidden="false" customHeight="false" outlineLevel="0" collapsed="false">
      <c r="A578" s="12"/>
      <c r="B578" s="13"/>
      <c r="C578" s="14"/>
      <c r="D578" s="13"/>
      <c r="E578" s="15"/>
      <c r="F578" s="15"/>
      <c r="G578" s="15"/>
      <c r="H578" s="14"/>
      <c r="I578" s="16" t="str">
        <f aca="false">IF(OR(A578="",C578=""),"",IF(OR(H578="İade",H578="İptal"),0,E578*IFERROR(INDEX(Kanallar!$B$5:$B$19,MATCH(C578,Kanallar!$A$5:$A$19,0)),0)))</f>
        <v/>
      </c>
      <c r="J578" s="16" t="str">
        <f aca="false">IF(I578="","",IF(H578="İptal",0,IF(H578="İade",-G578,E578-I578-F578-G578)))</f>
        <v/>
      </c>
    </row>
    <row r="579" customFormat="false" ht="15" hidden="false" customHeight="false" outlineLevel="0" collapsed="false">
      <c r="A579" s="12"/>
      <c r="B579" s="13"/>
      <c r="C579" s="14"/>
      <c r="D579" s="13"/>
      <c r="E579" s="15"/>
      <c r="F579" s="15"/>
      <c r="G579" s="15"/>
      <c r="H579" s="14"/>
      <c r="I579" s="16" t="str">
        <f aca="false">IF(OR(A579="",C579=""),"",IF(OR(H579="İade",H579="İptal"),0,E579*IFERROR(INDEX(Kanallar!$B$5:$B$19,MATCH(C579,Kanallar!$A$5:$A$19,0)),0)))</f>
        <v/>
      </c>
      <c r="J579" s="16" t="str">
        <f aca="false">IF(I579="","",IF(H579="İptal",0,IF(H579="İade",-G579,E579-I579-F579-G579)))</f>
        <v/>
      </c>
    </row>
    <row r="580" customFormat="false" ht="15" hidden="false" customHeight="false" outlineLevel="0" collapsed="false">
      <c r="A580" s="12"/>
      <c r="B580" s="13"/>
      <c r="C580" s="14"/>
      <c r="D580" s="13"/>
      <c r="E580" s="15"/>
      <c r="F580" s="15"/>
      <c r="G580" s="15"/>
      <c r="H580" s="14"/>
      <c r="I580" s="16" t="str">
        <f aca="false">IF(OR(A580="",C580=""),"",IF(OR(H580="İade",H580="İptal"),0,E580*IFERROR(INDEX(Kanallar!$B$5:$B$19,MATCH(C580,Kanallar!$A$5:$A$19,0)),0)))</f>
        <v/>
      </c>
      <c r="J580" s="16" t="str">
        <f aca="false">IF(I580="","",IF(H580="İptal",0,IF(H580="İade",-G580,E580-I580-F580-G580)))</f>
        <v/>
      </c>
    </row>
    <row r="581" customFormat="false" ht="15" hidden="false" customHeight="false" outlineLevel="0" collapsed="false">
      <c r="A581" s="12"/>
      <c r="B581" s="13"/>
      <c r="C581" s="14"/>
      <c r="D581" s="13"/>
      <c r="E581" s="15"/>
      <c r="F581" s="15"/>
      <c r="G581" s="15"/>
      <c r="H581" s="14"/>
      <c r="I581" s="16" t="str">
        <f aca="false">IF(OR(A581="",C581=""),"",IF(OR(H581="İade",H581="İptal"),0,E581*IFERROR(INDEX(Kanallar!$B$5:$B$19,MATCH(C581,Kanallar!$A$5:$A$19,0)),0)))</f>
        <v/>
      </c>
      <c r="J581" s="16" t="str">
        <f aca="false">IF(I581="","",IF(H581="İptal",0,IF(H581="İade",-G581,E581-I581-F581-G581)))</f>
        <v/>
      </c>
    </row>
    <row r="582" customFormat="false" ht="15" hidden="false" customHeight="false" outlineLevel="0" collapsed="false">
      <c r="A582" s="12"/>
      <c r="B582" s="13"/>
      <c r="C582" s="14"/>
      <c r="D582" s="13"/>
      <c r="E582" s="15"/>
      <c r="F582" s="15"/>
      <c r="G582" s="15"/>
      <c r="H582" s="14"/>
      <c r="I582" s="16" t="str">
        <f aca="false">IF(OR(A582="",C582=""),"",IF(OR(H582="İade",H582="İptal"),0,E582*IFERROR(INDEX(Kanallar!$B$5:$B$19,MATCH(C582,Kanallar!$A$5:$A$19,0)),0)))</f>
        <v/>
      </c>
      <c r="J582" s="16" t="str">
        <f aca="false">IF(I582="","",IF(H582="İptal",0,IF(H582="İade",-G582,E582-I582-F582-G582)))</f>
        <v/>
      </c>
    </row>
    <row r="583" customFormat="false" ht="15" hidden="false" customHeight="false" outlineLevel="0" collapsed="false">
      <c r="A583" s="12"/>
      <c r="B583" s="13"/>
      <c r="C583" s="14"/>
      <c r="D583" s="13"/>
      <c r="E583" s="15"/>
      <c r="F583" s="15"/>
      <c r="G583" s="15"/>
      <c r="H583" s="14"/>
      <c r="I583" s="16" t="str">
        <f aca="false">IF(OR(A583="",C583=""),"",IF(OR(H583="İade",H583="İptal"),0,E583*IFERROR(INDEX(Kanallar!$B$5:$B$19,MATCH(C583,Kanallar!$A$5:$A$19,0)),0)))</f>
        <v/>
      </c>
      <c r="J583" s="16" t="str">
        <f aca="false">IF(I583="","",IF(H583="İptal",0,IF(H583="İade",-G583,E583-I583-F583-G583)))</f>
        <v/>
      </c>
    </row>
    <row r="584" customFormat="false" ht="15" hidden="false" customHeight="false" outlineLevel="0" collapsed="false">
      <c r="A584" s="12"/>
      <c r="B584" s="13"/>
      <c r="C584" s="14"/>
      <c r="D584" s="13"/>
      <c r="E584" s="15"/>
      <c r="F584" s="15"/>
      <c r="G584" s="15"/>
      <c r="H584" s="14"/>
      <c r="I584" s="16" t="str">
        <f aca="false">IF(OR(A584="",C584=""),"",IF(OR(H584="İade",H584="İptal"),0,E584*IFERROR(INDEX(Kanallar!$B$5:$B$19,MATCH(C584,Kanallar!$A$5:$A$19,0)),0)))</f>
        <v/>
      </c>
      <c r="J584" s="16" t="str">
        <f aca="false">IF(I584="","",IF(H584="İptal",0,IF(H584="İade",-G584,E584-I584-F584-G584)))</f>
        <v/>
      </c>
    </row>
    <row r="585" customFormat="false" ht="15" hidden="false" customHeight="false" outlineLevel="0" collapsed="false">
      <c r="A585" s="12"/>
      <c r="B585" s="13"/>
      <c r="C585" s="14"/>
      <c r="D585" s="13"/>
      <c r="E585" s="15"/>
      <c r="F585" s="15"/>
      <c r="G585" s="15"/>
      <c r="H585" s="14"/>
      <c r="I585" s="16" t="str">
        <f aca="false">IF(OR(A585="",C585=""),"",IF(OR(H585="İade",H585="İptal"),0,E585*IFERROR(INDEX(Kanallar!$B$5:$B$19,MATCH(C585,Kanallar!$A$5:$A$19,0)),0)))</f>
        <v/>
      </c>
      <c r="J585" s="16" t="str">
        <f aca="false">IF(I585="","",IF(H585="İptal",0,IF(H585="İade",-G585,E585-I585-F585-G585)))</f>
        <v/>
      </c>
    </row>
    <row r="586" customFormat="false" ht="15" hidden="false" customHeight="false" outlineLevel="0" collapsed="false">
      <c r="A586" s="12"/>
      <c r="B586" s="13"/>
      <c r="C586" s="14"/>
      <c r="D586" s="13"/>
      <c r="E586" s="15"/>
      <c r="F586" s="15"/>
      <c r="G586" s="15"/>
      <c r="H586" s="14"/>
      <c r="I586" s="16" t="str">
        <f aca="false">IF(OR(A586="",C586=""),"",IF(OR(H586="İade",H586="İptal"),0,E586*IFERROR(INDEX(Kanallar!$B$5:$B$19,MATCH(C586,Kanallar!$A$5:$A$19,0)),0)))</f>
        <v/>
      </c>
      <c r="J586" s="16" t="str">
        <f aca="false">IF(I586="","",IF(H586="İptal",0,IF(H586="İade",-G586,E586-I586-F586-G586)))</f>
        <v/>
      </c>
    </row>
    <row r="587" customFormat="false" ht="15" hidden="false" customHeight="false" outlineLevel="0" collapsed="false">
      <c r="A587" s="12"/>
      <c r="B587" s="13"/>
      <c r="C587" s="14"/>
      <c r="D587" s="13"/>
      <c r="E587" s="15"/>
      <c r="F587" s="15"/>
      <c r="G587" s="15"/>
      <c r="H587" s="14"/>
      <c r="I587" s="16" t="str">
        <f aca="false">IF(OR(A587="",C587=""),"",IF(OR(H587="İade",H587="İptal"),0,E587*IFERROR(INDEX(Kanallar!$B$5:$B$19,MATCH(C587,Kanallar!$A$5:$A$19,0)),0)))</f>
        <v/>
      </c>
      <c r="J587" s="16" t="str">
        <f aca="false">IF(I587="","",IF(H587="İptal",0,IF(H587="İade",-G587,E587-I587-F587-G587)))</f>
        <v/>
      </c>
    </row>
    <row r="588" customFormat="false" ht="15" hidden="false" customHeight="false" outlineLevel="0" collapsed="false">
      <c r="A588" s="12"/>
      <c r="B588" s="13"/>
      <c r="C588" s="14"/>
      <c r="D588" s="13"/>
      <c r="E588" s="15"/>
      <c r="F588" s="15"/>
      <c r="G588" s="15"/>
      <c r="H588" s="14"/>
      <c r="I588" s="16" t="str">
        <f aca="false">IF(OR(A588="",C588=""),"",IF(OR(H588="İade",H588="İptal"),0,E588*IFERROR(INDEX(Kanallar!$B$5:$B$19,MATCH(C588,Kanallar!$A$5:$A$19,0)),0)))</f>
        <v/>
      </c>
      <c r="J588" s="16" t="str">
        <f aca="false">IF(I588="","",IF(H588="İptal",0,IF(H588="İade",-G588,E588-I588-F588-G588)))</f>
        <v/>
      </c>
    </row>
    <row r="589" customFormat="false" ht="15" hidden="false" customHeight="false" outlineLevel="0" collapsed="false">
      <c r="A589" s="12"/>
      <c r="B589" s="13"/>
      <c r="C589" s="14"/>
      <c r="D589" s="13"/>
      <c r="E589" s="15"/>
      <c r="F589" s="15"/>
      <c r="G589" s="15"/>
      <c r="H589" s="14"/>
      <c r="I589" s="16" t="str">
        <f aca="false">IF(OR(A589="",C589=""),"",IF(OR(H589="İade",H589="İptal"),0,E589*IFERROR(INDEX(Kanallar!$B$5:$B$19,MATCH(C589,Kanallar!$A$5:$A$19,0)),0)))</f>
        <v/>
      </c>
      <c r="J589" s="16" t="str">
        <f aca="false">IF(I589="","",IF(H589="İptal",0,IF(H589="İade",-G589,E589-I589-F589-G589)))</f>
        <v/>
      </c>
    </row>
    <row r="590" customFormat="false" ht="15" hidden="false" customHeight="false" outlineLevel="0" collapsed="false">
      <c r="A590" s="12"/>
      <c r="B590" s="13"/>
      <c r="C590" s="14"/>
      <c r="D590" s="13"/>
      <c r="E590" s="15"/>
      <c r="F590" s="15"/>
      <c r="G590" s="15"/>
      <c r="H590" s="14"/>
      <c r="I590" s="16" t="str">
        <f aca="false">IF(OR(A590="",C590=""),"",IF(OR(H590="İade",H590="İptal"),0,E590*IFERROR(INDEX(Kanallar!$B$5:$B$19,MATCH(C590,Kanallar!$A$5:$A$19,0)),0)))</f>
        <v/>
      </c>
      <c r="J590" s="16" t="str">
        <f aca="false">IF(I590="","",IF(H590="İptal",0,IF(H590="İade",-G590,E590-I590-F590-G590)))</f>
        <v/>
      </c>
    </row>
    <row r="591" customFormat="false" ht="15" hidden="false" customHeight="false" outlineLevel="0" collapsed="false">
      <c r="A591" s="12"/>
      <c r="B591" s="13"/>
      <c r="C591" s="14"/>
      <c r="D591" s="13"/>
      <c r="E591" s="15"/>
      <c r="F591" s="15"/>
      <c r="G591" s="15"/>
      <c r="H591" s="14"/>
      <c r="I591" s="16" t="str">
        <f aca="false">IF(OR(A591="",C591=""),"",IF(OR(H591="İade",H591="İptal"),0,E591*IFERROR(INDEX(Kanallar!$B$5:$B$19,MATCH(C591,Kanallar!$A$5:$A$19,0)),0)))</f>
        <v/>
      </c>
      <c r="J591" s="16" t="str">
        <f aca="false">IF(I591="","",IF(H591="İptal",0,IF(H591="İade",-G591,E591-I591-F591-G591)))</f>
        <v/>
      </c>
    </row>
    <row r="592" customFormat="false" ht="15" hidden="false" customHeight="false" outlineLevel="0" collapsed="false">
      <c r="A592" s="12"/>
      <c r="B592" s="13"/>
      <c r="C592" s="14"/>
      <c r="D592" s="13"/>
      <c r="E592" s="15"/>
      <c r="F592" s="15"/>
      <c r="G592" s="15"/>
      <c r="H592" s="14"/>
      <c r="I592" s="16" t="str">
        <f aca="false">IF(OR(A592="",C592=""),"",IF(OR(H592="İade",H592="İptal"),0,E592*IFERROR(INDEX(Kanallar!$B$5:$B$19,MATCH(C592,Kanallar!$A$5:$A$19,0)),0)))</f>
        <v/>
      </c>
      <c r="J592" s="16" t="str">
        <f aca="false">IF(I592="","",IF(H592="İptal",0,IF(H592="İade",-G592,E592-I592-F592-G592)))</f>
        <v/>
      </c>
    </row>
    <row r="593" customFormat="false" ht="15" hidden="false" customHeight="false" outlineLevel="0" collapsed="false">
      <c r="A593" s="12"/>
      <c r="B593" s="13"/>
      <c r="C593" s="14"/>
      <c r="D593" s="13"/>
      <c r="E593" s="15"/>
      <c r="F593" s="15"/>
      <c r="G593" s="15"/>
      <c r="H593" s="14"/>
      <c r="I593" s="16" t="str">
        <f aca="false">IF(OR(A593="",C593=""),"",IF(OR(H593="İade",H593="İptal"),0,E593*IFERROR(INDEX(Kanallar!$B$5:$B$19,MATCH(C593,Kanallar!$A$5:$A$19,0)),0)))</f>
        <v/>
      </c>
      <c r="J593" s="16" t="str">
        <f aca="false">IF(I593="","",IF(H593="İptal",0,IF(H593="İade",-G593,E593-I593-F593-G593)))</f>
        <v/>
      </c>
    </row>
    <row r="594" customFormat="false" ht="15" hidden="false" customHeight="false" outlineLevel="0" collapsed="false">
      <c r="A594" s="12"/>
      <c r="B594" s="13"/>
      <c r="C594" s="14"/>
      <c r="D594" s="13"/>
      <c r="E594" s="15"/>
      <c r="F594" s="15"/>
      <c r="G594" s="15"/>
      <c r="H594" s="14"/>
      <c r="I594" s="16" t="str">
        <f aca="false">IF(OR(A594="",C594=""),"",IF(OR(H594="İade",H594="İptal"),0,E594*IFERROR(INDEX(Kanallar!$B$5:$B$19,MATCH(C594,Kanallar!$A$5:$A$19,0)),0)))</f>
        <v/>
      </c>
      <c r="J594" s="16" t="str">
        <f aca="false">IF(I594="","",IF(H594="İptal",0,IF(H594="İade",-G594,E594-I594-F594-G594)))</f>
        <v/>
      </c>
    </row>
    <row r="595" customFormat="false" ht="15" hidden="false" customHeight="false" outlineLevel="0" collapsed="false">
      <c r="A595" s="12"/>
      <c r="B595" s="13"/>
      <c r="C595" s="14"/>
      <c r="D595" s="13"/>
      <c r="E595" s="15"/>
      <c r="F595" s="15"/>
      <c r="G595" s="15"/>
      <c r="H595" s="14"/>
      <c r="I595" s="16" t="str">
        <f aca="false">IF(OR(A595="",C595=""),"",IF(OR(H595="İade",H595="İptal"),0,E595*IFERROR(INDEX(Kanallar!$B$5:$B$19,MATCH(C595,Kanallar!$A$5:$A$19,0)),0)))</f>
        <v/>
      </c>
      <c r="J595" s="16" t="str">
        <f aca="false">IF(I595="","",IF(H595="İptal",0,IF(H595="İade",-G595,E595-I595-F595-G595)))</f>
        <v/>
      </c>
    </row>
    <row r="596" customFormat="false" ht="15" hidden="false" customHeight="false" outlineLevel="0" collapsed="false">
      <c r="A596" s="12"/>
      <c r="B596" s="13"/>
      <c r="C596" s="14"/>
      <c r="D596" s="13"/>
      <c r="E596" s="15"/>
      <c r="F596" s="15"/>
      <c r="G596" s="15"/>
      <c r="H596" s="14"/>
      <c r="I596" s="16" t="str">
        <f aca="false">IF(OR(A596="",C596=""),"",IF(OR(H596="İade",H596="İptal"),0,E596*IFERROR(INDEX(Kanallar!$B$5:$B$19,MATCH(C596,Kanallar!$A$5:$A$19,0)),0)))</f>
        <v/>
      </c>
      <c r="J596" s="16" t="str">
        <f aca="false">IF(I596="","",IF(H596="İptal",0,IF(H596="İade",-G596,E596-I596-F596-G596)))</f>
        <v/>
      </c>
    </row>
    <row r="597" customFormat="false" ht="15" hidden="false" customHeight="false" outlineLevel="0" collapsed="false">
      <c r="A597" s="12"/>
      <c r="B597" s="13"/>
      <c r="C597" s="14"/>
      <c r="D597" s="13"/>
      <c r="E597" s="15"/>
      <c r="F597" s="15"/>
      <c r="G597" s="15"/>
      <c r="H597" s="14"/>
      <c r="I597" s="16" t="str">
        <f aca="false">IF(OR(A597="",C597=""),"",IF(OR(H597="İade",H597="İptal"),0,E597*IFERROR(INDEX(Kanallar!$B$5:$B$19,MATCH(C597,Kanallar!$A$5:$A$19,0)),0)))</f>
        <v/>
      </c>
      <c r="J597" s="16" t="str">
        <f aca="false">IF(I597="","",IF(H597="İptal",0,IF(H597="İade",-G597,E597-I597-F597-G597)))</f>
        <v/>
      </c>
    </row>
    <row r="598" customFormat="false" ht="15" hidden="false" customHeight="false" outlineLevel="0" collapsed="false">
      <c r="A598" s="12"/>
      <c r="B598" s="13"/>
      <c r="C598" s="14"/>
      <c r="D598" s="13"/>
      <c r="E598" s="15"/>
      <c r="F598" s="15"/>
      <c r="G598" s="15"/>
      <c r="H598" s="14"/>
      <c r="I598" s="16" t="str">
        <f aca="false">IF(OR(A598="",C598=""),"",IF(OR(H598="İade",H598="İptal"),0,E598*IFERROR(INDEX(Kanallar!$B$5:$B$19,MATCH(C598,Kanallar!$A$5:$A$19,0)),0)))</f>
        <v/>
      </c>
      <c r="J598" s="16" t="str">
        <f aca="false">IF(I598="","",IF(H598="İptal",0,IF(H598="İade",-G598,E598-I598-F598-G598)))</f>
        <v/>
      </c>
    </row>
    <row r="599" customFormat="false" ht="15" hidden="false" customHeight="false" outlineLevel="0" collapsed="false">
      <c r="A599" s="12"/>
      <c r="B599" s="13"/>
      <c r="C599" s="14"/>
      <c r="D599" s="13"/>
      <c r="E599" s="15"/>
      <c r="F599" s="15"/>
      <c r="G599" s="15"/>
      <c r="H599" s="14"/>
      <c r="I599" s="16" t="str">
        <f aca="false">IF(OR(A599="",C599=""),"",IF(OR(H599="İade",H599="İptal"),0,E599*IFERROR(INDEX(Kanallar!$B$5:$B$19,MATCH(C599,Kanallar!$A$5:$A$19,0)),0)))</f>
        <v/>
      </c>
      <c r="J599" s="16" t="str">
        <f aca="false">IF(I599="","",IF(H599="İptal",0,IF(H599="İade",-G599,E599-I599-F599-G599)))</f>
        <v/>
      </c>
    </row>
    <row r="600" customFormat="false" ht="15" hidden="false" customHeight="false" outlineLevel="0" collapsed="false">
      <c r="A600" s="12"/>
      <c r="B600" s="13"/>
      <c r="C600" s="14"/>
      <c r="D600" s="13"/>
      <c r="E600" s="15"/>
      <c r="F600" s="15"/>
      <c r="G600" s="15"/>
      <c r="H600" s="14"/>
      <c r="I600" s="16" t="str">
        <f aca="false">IF(OR(A600="",C600=""),"",IF(OR(H600="İade",H600="İptal"),0,E600*IFERROR(INDEX(Kanallar!$B$5:$B$19,MATCH(C600,Kanallar!$A$5:$A$19,0)),0)))</f>
        <v/>
      </c>
      <c r="J600" s="16" t="str">
        <f aca="false">IF(I600="","",IF(H600="İptal",0,IF(H600="İade",-G600,E600-I600-F600-G600)))</f>
        <v/>
      </c>
    </row>
    <row r="601" customFormat="false" ht="15" hidden="false" customHeight="false" outlineLevel="0" collapsed="false">
      <c r="A601" s="12"/>
      <c r="B601" s="13"/>
      <c r="C601" s="14"/>
      <c r="D601" s="13"/>
      <c r="E601" s="15"/>
      <c r="F601" s="15"/>
      <c r="G601" s="15"/>
      <c r="H601" s="14"/>
      <c r="I601" s="16" t="str">
        <f aca="false">IF(OR(A601="",C601=""),"",IF(OR(H601="İade",H601="İptal"),0,E601*IFERROR(INDEX(Kanallar!$B$5:$B$19,MATCH(C601,Kanallar!$A$5:$A$19,0)),0)))</f>
        <v/>
      </c>
      <c r="J601" s="16" t="str">
        <f aca="false">IF(I601="","",IF(H601="İptal",0,IF(H601="İade",-G601,E601-I601-F601-G601)))</f>
        <v/>
      </c>
    </row>
    <row r="602" customFormat="false" ht="15" hidden="false" customHeight="false" outlineLevel="0" collapsed="false">
      <c r="A602" s="12"/>
      <c r="B602" s="13"/>
      <c r="C602" s="14"/>
      <c r="D602" s="13"/>
      <c r="E602" s="15"/>
      <c r="F602" s="15"/>
      <c r="G602" s="15"/>
      <c r="H602" s="14"/>
      <c r="I602" s="16" t="str">
        <f aca="false">IF(OR(A602="",C602=""),"",IF(OR(H602="İade",H602="İptal"),0,E602*IFERROR(INDEX(Kanallar!$B$5:$B$19,MATCH(C602,Kanallar!$A$5:$A$19,0)),0)))</f>
        <v/>
      </c>
      <c r="J602" s="16" t="str">
        <f aca="false">IF(I602="","",IF(H602="İptal",0,IF(H602="İade",-G602,E602-I602-F602-G602)))</f>
        <v/>
      </c>
    </row>
    <row r="603" customFormat="false" ht="15" hidden="false" customHeight="false" outlineLevel="0" collapsed="false">
      <c r="A603" s="12"/>
      <c r="B603" s="13"/>
      <c r="C603" s="14"/>
      <c r="D603" s="13"/>
      <c r="E603" s="15"/>
      <c r="F603" s="15"/>
      <c r="G603" s="15"/>
      <c r="H603" s="14"/>
      <c r="I603" s="16" t="str">
        <f aca="false">IF(OR(A603="",C603=""),"",IF(OR(H603="İade",H603="İptal"),0,E603*IFERROR(INDEX(Kanallar!$B$5:$B$19,MATCH(C603,Kanallar!$A$5:$A$19,0)),0)))</f>
        <v/>
      </c>
      <c r="J603" s="16" t="str">
        <f aca="false">IF(I603="","",IF(H603="İptal",0,IF(H603="İade",-G603,E603-I603-F603-G603)))</f>
        <v/>
      </c>
    </row>
    <row r="604" customFormat="false" ht="15" hidden="false" customHeight="false" outlineLevel="0" collapsed="false">
      <c r="A604" s="12"/>
      <c r="B604" s="13"/>
      <c r="C604" s="14"/>
      <c r="D604" s="13"/>
      <c r="E604" s="15"/>
      <c r="F604" s="15"/>
      <c r="G604" s="15"/>
      <c r="H604" s="14"/>
      <c r="I604" s="16" t="str">
        <f aca="false">IF(OR(A604="",C604=""),"",IF(OR(H604="İade",H604="İptal"),0,E604*IFERROR(INDEX(Kanallar!$B$5:$B$19,MATCH(C604,Kanallar!$A$5:$A$19,0)),0)))</f>
        <v/>
      </c>
      <c r="J604" s="16" t="str">
        <f aca="false">IF(I604="","",IF(H604="İptal",0,IF(H604="İade",-G604,E604-I604-F604-G604)))</f>
        <v/>
      </c>
    </row>
    <row r="605" customFormat="false" ht="15" hidden="false" customHeight="false" outlineLevel="0" collapsed="false">
      <c r="A605" s="12"/>
      <c r="B605" s="13"/>
      <c r="C605" s="14"/>
      <c r="D605" s="13"/>
      <c r="E605" s="15"/>
      <c r="F605" s="15"/>
      <c r="G605" s="15"/>
      <c r="H605" s="14"/>
      <c r="I605" s="16" t="str">
        <f aca="false">IF(OR(A605="",C605=""),"",IF(OR(H605="İade",H605="İptal"),0,E605*IFERROR(INDEX(Kanallar!$B$5:$B$19,MATCH(C605,Kanallar!$A$5:$A$19,0)),0)))</f>
        <v/>
      </c>
      <c r="J605" s="16" t="str">
        <f aca="false">IF(I605="","",IF(H605="İptal",0,IF(H605="İade",-G605,E605-I605-F605-G605)))</f>
        <v/>
      </c>
    </row>
    <row r="606" customFormat="false" ht="15" hidden="false" customHeight="false" outlineLevel="0" collapsed="false">
      <c r="A606" s="12"/>
      <c r="B606" s="13"/>
      <c r="C606" s="14"/>
      <c r="D606" s="13"/>
      <c r="E606" s="15"/>
      <c r="F606" s="15"/>
      <c r="G606" s="15"/>
      <c r="H606" s="14"/>
      <c r="I606" s="16" t="str">
        <f aca="false">IF(OR(A606="",C606=""),"",IF(OR(H606="İade",H606="İptal"),0,E606*IFERROR(INDEX(Kanallar!$B$5:$B$19,MATCH(C606,Kanallar!$A$5:$A$19,0)),0)))</f>
        <v/>
      </c>
      <c r="J606" s="16" t="str">
        <f aca="false">IF(I606="","",IF(H606="İptal",0,IF(H606="İade",-G606,E606-I606-F606-G606)))</f>
        <v/>
      </c>
    </row>
    <row r="607" customFormat="false" ht="15" hidden="false" customHeight="false" outlineLevel="0" collapsed="false">
      <c r="A607" s="12"/>
      <c r="B607" s="13"/>
      <c r="C607" s="14"/>
      <c r="D607" s="13"/>
      <c r="E607" s="15"/>
      <c r="F607" s="15"/>
      <c r="G607" s="15"/>
      <c r="H607" s="14"/>
      <c r="I607" s="16" t="str">
        <f aca="false">IF(OR(A607="",C607=""),"",IF(OR(H607="İade",H607="İptal"),0,E607*IFERROR(INDEX(Kanallar!$B$5:$B$19,MATCH(C607,Kanallar!$A$5:$A$19,0)),0)))</f>
        <v/>
      </c>
      <c r="J607" s="16" t="str">
        <f aca="false">IF(I607="","",IF(H607="İptal",0,IF(H607="İade",-G607,E607-I607-F607-G607)))</f>
        <v/>
      </c>
    </row>
    <row r="608" customFormat="false" ht="15" hidden="false" customHeight="false" outlineLevel="0" collapsed="false">
      <c r="A608" s="12"/>
      <c r="B608" s="13"/>
      <c r="C608" s="14"/>
      <c r="D608" s="13"/>
      <c r="E608" s="15"/>
      <c r="F608" s="15"/>
      <c r="G608" s="15"/>
      <c r="H608" s="14"/>
      <c r="I608" s="16" t="str">
        <f aca="false">IF(OR(A608="",C608=""),"",IF(OR(H608="İade",H608="İptal"),0,E608*IFERROR(INDEX(Kanallar!$B$5:$B$19,MATCH(C608,Kanallar!$A$5:$A$19,0)),0)))</f>
        <v/>
      </c>
      <c r="J608" s="16" t="str">
        <f aca="false">IF(I608="","",IF(H608="İptal",0,IF(H608="İade",-G608,E608-I608-F608-G608)))</f>
        <v/>
      </c>
    </row>
    <row r="609" customFormat="false" ht="15" hidden="false" customHeight="false" outlineLevel="0" collapsed="false">
      <c r="A609" s="12"/>
      <c r="B609" s="13"/>
      <c r="C609" s="14"/>
      <c r="D609" s="13"/>
      <c r="E609" s="15"/>
      <c r="F609" s="15"/>
      <c r="G609" s="15"/>
      <c r="H609" s="14"/>
      <c r="I609" s="16" t="str">
        <f aca="false">IF(OR(A609="",C609=""),"",IF(OR(H609="İade",H609="İptal"),0,E609*IFERROR(INDEX(Kanallar!$B$5:$B$19,MATCH(C609,Kanallar!$A$5:$A$19,0)),0)))</f>
        <v/>
      </c>
      <c r="J609" s="16" t="str">
        <f aca="false">IF(I609="","",IF(H609="İptal",0,IF(H609="İade",-G609,E609-I609-F609-G609)))</f>
        <v/>
      </c>
    </row>
    <row r="610" customFormat="false" ht="15" hidden="false" customHeight="false" outlineLevel="0" collapsed="false">
      <c r="A610" s="12"/>
      <c r="B610" s="13"/>
      <c r="C610" s="14"/>
      <c r="D610" s="13"/>
      <c r="E610" s="15"/>
      <c r="F610" s="15"/>
      <c r="G610" s="15"/>
      <c r="H610" s="14"/>
      <c r="I610" s="16" t="str">
        <f aca="false">IF(OR(A610="",C610=""),"",IF(OR(H610="İade",H610="İptal"),0,E610*IFERROR(INDEX(Kanallar!$B$5:$B$19,MATCH(C610,Kanallar!$A$5:$A$19,0)),0)))</f>
        <v/>
      </c>
      <c r="J610" s="16" t="str">
        <f aca="false">IF(I610="","",IF(H610="İptal",0,IF(H610="İade",-G610,E610-I610-F610-G610)))</f>
        <v/>
      </c>
    </row>
    <row r="611" customFormat="false" ht="15" hidden="false" customHeight="false" outlineLevel="0" collapsed="false">
      <c r="A611" s="12"/>
      <c r="B611" s="13"/>
      <c r="C611" s="14"/>
      <c r="D611" s="13"/>
      <c r="E611" s="15"/>
      <c r="F611" s="15"/>
      <c r="G611" s="15"/>
      <c r="H611" s="14"/>
      <c r="I611" s="16" t="str">
        <f aca="false">IF(OR(A611="",C611=""),"",IF(OR(H611="İade",H611="İptal"),0,E611*IFERROR(INDEX(Kanallar!$B$5:$B$19,MATCH(C611,Kanallar!$A$5:$A$19,0)),0)))</f>
        <v/>
      </c>
      <c r="J611" s="16" t="str">
        <f aca="false">IF(I611="","",IF(H611="İptal",0,IF(H611="İade",-G611,E611-I611-F611-G611)))</f>
        <v/>
      </c>
    </row>
    <row r="612" customFormat="false" ht="15" hidden="false" customHeight="false" outlineLevel="0" collapsed="false">
      <c r="A612" s="12"/>
      <c r="B612" s="13"/>
      <c r="C612" s="14"/>
      <c r="D612" s="13"/>
      <c r="E612" s="15"/>
      <c r="F612" s="15"/>
      <c r="G612" s="15"/>
      <c r="H612" s="14"/>
      <c r="I612" s="16" t="str">
        <f aca="false">IF(OR(A612="",C612=""),"",IF(OR(H612="İade",H612="İptal"),0,E612*IFERROR(INDEX(Kanallar!$B$5:$B$19,MATCH(C612,Kanallar!$A$5:$A$19,0)),0)))</f>
        <v/>
      </c>
      <c r="J612" s="16" t="str">
        <f aca="false">IF(I612="","",IF(H612="İptal",0,IF(H612="İade",-G612,E612-I612-F612-G612)))</f>
        <v/>
      </c>
    </row>
    <row r="613" customFormat="false" ht="15" hidden="false" customHeight="false" outlineLevel="0" collapsed="false">
      <c r="A613" s="12"/>
      <c r="B613" s="13"/>
      <c r="C613" s="14"/>
      <c r="D613" s="13"/>
      <c r="E613" s="15"/>
      <c r="F613" s="15"/>
      <c r="G613" s="15"/>
      <c r="H613" s="14"/>
      <c r="I613" s="16" t="str">
        <f aca="false">IF(OR(A613="",C613=""),"",IF(OR(H613="İade",H613="İptal"),0,E613*IFERROR(INDEX(Kanallar!$B$5:$B$19,MATCH(C613,Kanallar!$A$5:$A$19,0)),0)))</f>
        <v/>
      </c>
      <c r="J613" s="16" t="str">
        <f aca="false">IF(I613="","",IF(H613="İptal",0,IF(H613="İade",-G613,E613-I613-F613-G613)))</f>
        <v/>
      </c>
    </row>
    <row r="614" customFormat="false" ht="15" hidden="false" customHeight="false" outlineLevel="0" collapsed="false">
      <c r="A614" s="12"/>
      <c r="B614" s="13"/>
      <c r="C614" s="14"/>
      <c r="D614" s="13"/>
      <c r="E614" s="15"/>
      <c r="F614" s="15"/>
      <c r="G614" s="15"/>
      <c r="H614" s="14"/>
      <c r="I614" s="16" t="str">
        <f aca="false">IF(OR(A614="",C614=""),"",IF(OR(H614="İade",H614="İptal"),0,E614*IFERROR(INDEX(Kanallar!$B$5:$B$19,MATCH(C614,Kanallar!$A$5:$A$19,0)),0)))</f>
        <v/>
      </c>
      <c r="J614" s="16" t="str">
        <f aca="false">IF(I614="","",IF(H614="İptal",0,IF(H614="İade",-G614,E614-I614-F614-G614)))</f>
        <v/>
      </c>
    </row>
    <row r="615" customFormat="false" ht="15" hidden="false" customHeight="false" outlineLevel="0" collapsed="false">
      <c r="A615" s="12"/>
      <c r="B615" s="13"/>
      <c r="C615" s="14"/>
      <c r="D615" s="13"/>
      <c r="E615" s="15"/>
      <c r="F615" s="15"/>
      <c r="G615" s="15"/>
      <c r="H615" s="14"/>
      <c r="I615" s="16" t="str">
        <f aca="false">IF(OR(A615="",C615=""),"",IF(OR(H615="İade",H615="İptal"),0,E615*IFERROR(INDEX(Kanallar!$B$5:$B$19,MATCH(C615,Kanallar!$A$5:$A$19,0)),0)))</f>
        <v/>
      </c>
      <c r="J615" s="16" t="str">
        <f aca="false">IF(I615="","",IF(H615="İptal",0,IF(H615="İade",-G615,E615-I615-F615-G615)))</f>
        <v/>
      </c>
    </row>
    <row r="616" customFormat="false" ht="15" hidden="false" customHeight="false" outlineLevel="0" collapsed="false">
      <c r="A616" s="12"/>
      <c r="B616" s="13"/>
      <c r="C616" s="14"/>
      <c r="D616" s="13"/>
      <c r="E616" s="15"/>
      <c r="F616" s="15"/>
      <c r="G616" s="15"/>
      <c r="H616" s="14"/>
      <c r="I616" s="16" t="str">
        <f aca="false">IF(OR(A616="",C616=""),"",IF(OR(H616="İade",H616="İptal"),0,E616*IFERROR(INDEX(Kanallar!$B$5:$B$19,MATCH(C616,Kanallar!$A$5:$A$19,0)),0)))</f>
        <v/>
      </c>
      <c r="J616" s="16" t="str">
        <f aca="false">IF(I616="","",IF(H616="İptal",0,IF(H616="İade",-G616,E616-I616-F616-G616)))</f>
        <v/>
      </c>
    </row>
    <row r="617" customFormat="false" ht="15" hidden="false" customHeight="false" outlineLevel="0" collapsed="false">
      <c r="A617" s="12"/>
      <c r="B617" s="13"/>
      <c r="C617" s="14"/>
      <c r="D617" s="13"/>
      <c r="E617" s="15"/>
      <c r="F617" s="15"/>
      <c r="G617" s="15"/>
      <c r="H617" s="14"/>
      <c r="I617" s="16" t="str">
        <f aca="false">IF(OR(A617="",C617=""),"",IF(OR(H617="İade",H617="İptal"),0,E617*IFERROR(INDEX(Kanallar!$B$5:$B$19,MATCH(C617,Kanallar!$A$5:$A$19,0)),0)))</f>
        <v/>
      </c>
      <c r="J617" s="16" t="str">
        <f aca="false">IF(I617="","",IF(H617="İptal",0,IF(H617="İade",-G617,E617-I617-F617-G617)))</f>
        <v/>
      </c>
    </row>
    <row r="618" customFormat="false" ht="15" hidden="false" customHeight="false" outlineLevel="0" collapsed="false">
      <c r="A618" s="12"/>
      <c r="B618" s="13"/>
      <c r="C618" s="14"/>
      <c r="D618" s="13"/>
      <c r="E618" s="15"/>
      <c r="F618" s="15"/>
      <c r="G618" s="15"/>
      <c r="H618" s="14"/>
      <c r="I618" s="16" t="str">
        <f aca="false">IF(OR(A618="",C618=""),"",IF(OR(H618="İade",H618="İptal"),0,E618*IFERROR(INDEX(Kanallar!$B$5:$B$19,MATCH(C618,Kanallar!$A$5:$A$19,0)),0)))</f>
        <v/>
      </c>
      <c r="J618" s="16" t="str">
        <f aca="false">IF(I618="","",IF(H618="İptal",0,IF(H618="İade",-G618,E618-I618-F618-G618)))</f>
        <v/>
      </c>
    </row>
    <row r="619" customFormat="false" ht="15" hidden="false" customHeight="false" outlineLevel="0" collapsed="false">
      <c r="A619" s="12"/>
      <c r="B619" s="13"/>
      <c r="C619" s="14"/>
      <c r="D619" s="13"/>
      <c r="E619" s="15"/>
      <c r="F619" s="15"/>
      <c r="G619" s="15"/>
      <c r="H619" s="14"/>
      <c r="I619" s="16" t="str">
        <f aca="false">IF(OR(A619="",C619=""),"",IF(OR(H619="İade",H619="İptal"),0,E619*IFERROR(INDEX(Kanallar!$B$5:$B$19,MATCH(C619,Kanallar!$A$5:$A$19,0)),0)))</f>
        <v/>
      </c>
      <c r="J619" s="16" t="str">
        <f aca="false">IF(I619="","",IF(H619="İptal",0,IF(H619="İade",-G619,E619-I619-F619-G619)))</f>
        <v/>
      </c>
    </row>
    <row r="620" customFormat="false" ht="15" hidden="false" customHeight="false" outlineLevel="0" collapsed="false">
      <c r="A620" s="12"/>
      <c r="B620" s="13"/>
      <c r="C620" s="14"/>
      <c r="D620" s="13"/>
      <c r="E620" s="15"/>
      <c r="F620" s="15"/>
      <c r="G620" s="15"/>
      <c r="H620" s="14"/>
      <c r="I620" s="16" t="str">
        <f aca="false">IF(OR(A620="",C620=""),"",IF(OR(H620="İade",H620="İptal"),0,E620*IFERROR(INDEX(Kanallar!$B$5:$B$19,MATCH(C620,Kanallar!$A$5:$A$19,0)),0)))</f>
        <v/>
      </c>
      <c r="J620" s="16" t="str">
        <f aca="false">IF(I620="","",IF(H620="İptal",0,IF(H620="İade",-G620,E620-I620-F620-G620)))</f>
        <v/>
      </c>
    </row>
    <row r="621" customFormat="false" ht="15" hidden="false" customHeight="false" outlineLevel="0" collapsed="false">
      <c r="A621" s="12"/>
      <c r="B621" s="13"/>
      <c r="C621" s="14"/>
      <c r="D621" s="13"/>
      <c r="E621" s="15"/>
      <c r="F621" s="15"/>
      <c r="G621" s="15"/>
      <c r="H621" s="14"/>
      <c r="I621" s="16" t="str">
        <f aca="false">IF(OR(A621="",C621=""),"",IF(OR(H621="İade",H621="İptal"),0,E621*IFERROR(INDEX(Kanallar!$B$5:$B$19,MATCH(C621,Kanallar!$A$5:$A$19,0)),0)))</f>
        <v/>
      </c>
      <c r="J621" s="16" t="str">
        <f aca="false">IF(I621="","",IF(H621="İptal",0,IF(H621="İade",-G621,E621-I621-F621-G621)))</f>
        <v/>
      </c>
    </row>
    <row r="622" customFormat="false" ht="15" hidden="false" customHeight="false" outlineLevel="0" collapsed="false">
      <c r="A622" s="12"/>
      <c r="B622" s="13"/>
      <c r="C622" s="14"/>
      <c r="D622" s="13"/>
      <c r="E622" s="15"/>
      <c r="F622" s="15"/>
      <c r="G622" s="15"/>
      <c r="H622" s="14"/>
      <c r="I622" s="16" t="str">
        <f aca="false">IF(OR(A622="",C622=""),"",IF(OR(H622="İade",H622="İptal"),0,E622*IFERROR(INDEX(Kanallar!$B$5:$B$19,MATCH(C622,Kanallar!$A$5:$A$19,0)),0)))</f>
        <v/>
      </c>
      <c r="J622" s="16" t="str">
        <f aca="false">IF(I622="","",IF(H622="İptal",0,IF(H622="İade",-G622,E622-I622-F622-G622)))</f>
        <v/>
      </c>
    </row>
    <row r="623" customFormat="false" ht="15" hidden="false" customHeight="false" outlineLevel="0" collapsed="false">
      <c r="A623" s="12"/>
      <c r="B623" s="13"/>
      <c r="C623" s="14"/>
      <c r="D623" s="13"/>
      <c r="E623" s="15"/>
      <c r="F623" s="15"/>
      <c r="G623" s="15"/>
      <c r="H623" s="14"/>
      <c r="I623" s="16" t="str">
        <f aca="false">IF(OR(A623="",C623=""),"",IF(OR(H623="İade",H623="İptal"),0,E623*IFERROR(INDEX(Kanallar!$B$5:$B$19,MATCH(C623,Kanallar!$A$5:$A$19,0)),0)))</f>
        <v/>
      </c>
      <c r="J623" s="16" t="str">
        <f aca="false">IF(I623="","",IF(H623="İptal",0,IF(H623="İade",-G623,E623-I623-F623-G623)))</f>
        <v/>
      </c>
    </row>
    <row r="624" customFormat="false" ht="15" hidden="false" customHeight="false" outlineLevel="0" collapsed="false">
      <c r="A624" s="12"/>
      <c r="B624" s="13"/>
      <c r="C624" s="14"/>
      <c r="D624" s="13"/>
      <c r="E624" s="15"/>
      <c r="F624" s="15"/>
      <c r="G624" s="15"/>
      <c r="H624" s="14"/>
      <c r="I624" s="16" t="str">
        <f aca="false">IF(OR(A624="",C624=""),"",IF(OR(H624="İade",H624="İptal"),0,E624*IFERROR(INDEX(Kanallar!$B$5:$B$19,MATCH(C624,Kanallar!$A$5:$A$19,0)),0)))</f>
        <v/>
      </c>
      <c r="J624" s="16" t="str">
        <f aca="false">IF(I624="","",IF(H624="İptal",0,IF(H624="İade",-G624,E624-I624-F624-G624)))</f>
        <v/>
      </c>
    </row>
    <row r="625" customFormat="false" ht="15" hidden="false" customHeight="false" outlineLevel="0" collapsed="false">
      <c r="A625" s="12"/>
      <c r="B625" s="13"/>
      <c r="C625" s="14"/>
      <c r="D625" s="13"/>
      <c r="E625" s="15"/>
      <c r="F625" s="15"/>
      <c r="G625" s="15"/>
      <c r="H625" s="14"/>
      <c r="I625" s="16" t="str">
        <f aca="false">IF(OR(A625="",C625=""),"",IF(OR(H625="İade",H625="İptal"),0,E625*IFERROR(INDEX(Kanallar!$B$5:$B$19,MATCH(C625,Kanallar!$A$5:$A$19,0)),0)))</f>
        <v/>
      </c>
      <c r="J625" s="16" t="str">
        <f aca="false">IF(I625="","",IF(H625="İptal",0,IF(H625="İade",-G625,E625-I625-F625-G625)))</f>
        <v/>
      </c>
    </row>
    <row r="626" customFormat="false" ht="15" hidden="false" customHeight="false" outlineLevel="0" collapsed="false">
      <c r="A626" s="12"/>
      <c r="B626" s="13"/>
      <c r="C626" s="14"/>
      <c r="D626" s="13"/>
      <c r="E626" s="15"/>
      <c r="F626" s="15"/>
      <c r="G626" s="15"/>
      <c r="H626" s="14"/>
      <c r="I626" s="16" t="str">
        <f aca="false">IF(OR(A626="",C626=""),"",IF(OR(H626="İade",H626="İptal"),0,E626*IFERROR(INDEX(Kanallar!$B$5:$B$19,MATCH(C626,Kanallar!$A$5:$A$19,0)),0)))</f>
        <v/>
      </c>
      <c r="J626" s="16" t="str">
        <f aca="false">IF(I626="","",IF(H626="İptal",0,IF(H626="İade",-G626,E626-I626-F626-G626)))</f>
        <v/>
      </c>
    </row>
    <row r="627" customFormat="false" ht="15" hidden="false" customHeight="false" outlineLevel="0" collapsed="false">
      <c r="A627" s="12"/>
      <c r="B627" s="13"/>
      <c r="C627" s="14"/>
      <c r="D627" s="13"/>
      <c r="E627" s="15"/>
      <c r="F627" s="15"/>
      <c r="G627" s="15"/>
      <c r="H627" s="14"/>
      <c r="I627" s="16" t="str">
        <f aca="false">IF(OR(A627="",C627=""),"",IF(OR(H627="İade",H627="İptal"),0,E627*IFERROR(INDEX(Kanallar!$B$5:$B$19,MATCH(C627,Kanallar!$A$5:$A$19,0)),0)))</f>
        <v/>
      </c>
      <c r="J627" s="16" t="str">
        <f aca="false">IF(I627="","",IF(H627="İptal",0,IF(H627="İade",-G627,E627-I627-F627-G627)))</f>
        <v/>
      </c>
    </row>
    <row r="628" customFormat="false" ht="15" hidden="false" customHeight="false" outlineLevel="0" collapsed="false">
      <c r="A628" s="12"/>
      <c r="B628" s="13"/>
      <c r="C628" s="14"/>
      <c r="D628" s="13"/>
      <c r="E628" s="15"/>
      <c r="F628" s="15"/>
      <c r="G628" s="15"/>
      <c r="H628" s="14"/>
      <c r="I628" s="16" t="str">
        <f aca="false">IF(OR(A628="",C628=""),"",IF(OR(H628="İade",H628="İptal"),0,E628*IFERROR(INDEX(Kanallar!$B$5:$B$19,MATCH(C628,Kanallar!$A$5:$A$19,0)),0)))</f>
        <v/>
      </c>
      <c r="J628" s="16" t="str">
        <f aca="false">IF(I628="","",IF(H628="İptal",0,IF(H628="İade",-G628,E628-I628-F628-G628)))</f>
        <v/>
      </c>
    </row>
    <row r="629" customFormat="false" ht="15" hidden="false" customHeight="false" outlineLevel="0" collapsed="false">
      <c r="A629" s="12"/>
      <c r="B629" s="13"/>
      <c r="C629" s="14"/>
      <c r="D629" s="13"/>
      <c r="E629" s="15"/>
      <c r="F629" s="15"/>
      <c r="G629" s="15"/>
      <c r="H629" s="14"/>
      <c r="I629" s="16" t="str">
        <f aca="false">IF(OR(A629="",C629=""),"",IF(OR(H629="İade",H629="İptal"),0,E629*IFERROR(INDEX(Kanallar!$B$5:$B$19,MATCH(C629,Kanallar!$A$5:$A$19,0)),0)))</f>
        <v/>
      </c>
      <c r="J629" s="16" t="str">
        <f aca="false">IF(I629="","",IF(H629="İptal",0,IF(H629="İade",-G629,E629-I629-F629-G629)))</f>
        <v/>
      </c>
    </row>
    <row r="630" customFormat="false" ht="15" hidden="false" customHeight="false" outlineLevel="0" collapsed="false">
      <c r="A630" s="12"/>
      <c r="B630" s="13"/>
      <c r="C630" s="14"/>
      <c r="D630" s="13"/>
      <c r="E630" s="15"/>
      <c r="F630" s="15"/>
      <c r="G630" s="15"/>
      <c r="H630" s="14"/>
      <c r="I630" s="16" t="str">
        <f aca="false">IF(OR(A630="",C630=""),"",IF(OR(H630="İade",H630="İptal"),0,E630*IFERROR(INDEX(Kanallar!$B$5:$B$19,MATCH(C630,Kanallar!$A$5:$A$19,0)),0)))</f>
        <v/>
      </c>
      <c r="J630" s="16" t="str">
        <f aca="false">IF(I630="","",IF(H630="İptal",0,IF(H630="İade",-G630,E630-I630-F630-G630)))</f>
        <v/>
      </c>
    </row>
    <row r="631" customFormat="false" ht="15" hidden="false" customHeight="false" outlineLevel="0" collapsed="false">
      <c r="A631" s="12"/>
      <c r="B631" s="13"/>
      <c r="C631" s="14"/>
      <c r="D631" s="13"/>
      <c r="E631" s="15"/>
      <c r="F631" s="15"/>
      <c r="G631" s="15"/>
      <c r="H631" s="14"/>
      <c r="I631" s="16" t="str">
        <f aca="false">IF(OR(A631="",C631=""),"",IF(OR(H631="İade",H631="İptal"),0,E631*IFERROR(INDEX(Kanallar!$B$5:$B$19,MATCH(C631,Kanallar!$A$5:$A$19,0)),0)))</f>
        <v/>
      </c>
      <c r="J631" s="16" t="str">
        <f aca="false">IF(I631="","",IF(H631="İptal",0,IF(H631="İade",-G631,E631-I631-F631-G631)))</f>
        <v/>
      </c>
    </row>
    <row r="632" customFormat="false" ht="15" hidden="false" customHeight="false" outlineLevel="0" collapsed="false">
      <c r="A632" s="12"/>
      <c r="B632" s="13"/>
      <c r="C632" s="14"/>
      <c r="D632" s="13"/>
      <c r="E632" s="15"/>
      <c r="F632" s="15"/>
      <c r="G632" s="15"/>
      <c r="H632" s="14"/>
      <c r="I632" s="16" t="str">
        <f aca="false">IF(OR(A632="",C632=""),"",IF(OR(H632="İade",H632="İptal"),0,E632*IFERROR(INDEX(Kanallar!$B$5:$B$19,MATCH(C632,Kanallar!$A$5:$A$19,0)),0)))</f>
        <v/>
      </c>
      <c r="J632" s="16" t="str">
        <f aca="false">IF(I632="","",IF(H632="İptal",0,IF(H632="İade",-G632,E632-I632-F632-G632)))</f>
        <v/>
      </c>
    </row>
    <row r="633" customFormat="false" ht="15" hidden="false" customHeight="false" outlineLevel="0" collapsed="false">
      <c r="A633" s="12"/>
      <c r="B633" s="13"/>
      <c r="C633" s="14"/>
      <c r="D633" s="13"/>
      <c r="E633" s="15"/>
      <c r="F633" s="15"/>
      <c r="G633" s="15"/>
      <c r="H633" s="14"/>
      <c r="I633" s="16" t="str">
        <f aca="false">IF(OR(A633="",C633=""),"",IF(OR(H633="İade",H633="İptal"),0,E633*IFERROR(INDEX(Kanallar!$B$5:$B$19,MATCH(C633,Kanallar!$A$5:$A$19,0)),0)))</f>
        <v/>
      </c>
      <c r="J633" s="16" t="str">
        <f aca="false">IF(I633="","",IF(H633="İptal",0,IF(H633="İade",-G633,E633-I633-F633-G633)))</f>
        <v/>
      </c>
    </row>
    <row r="634" customFormat="false" ht="15" hidden="false" customHeight="false" outlineLevel="0" collapsed="false">
      <c r="A634" s="12"/>
      <c r="B634" s="13"/>
      <c r="C634" s="14"/>
      <c r="D634" s="13"/>
      <c r="E634" s="15"/>
      <c r="F634" s="15"/>
      <c r="G634" s="15"/>
      <c r="H634" s="14"/>
      <c r="I634" s="16" t="str">
        <f aca="false">IF(OR(A634="",C634=""),"",IF(OR(H634="İade",H634="İptal"),0,E634*IFERROR(INDEX(Kanallar!$B$5:$B$19,MATCH(C634,Kanallar!$A$5:$A$19,0)),0)))</f>
        <v/>
      </c>
      <c r="J634" s="16" t="str">
        <f aca="false">IF(I634="","",IF(H634="İptal",0,IF(H634="İade",-G634,E634-I634-F634-G634)))</f>
        <v/>
      </c>
    </row>
    <row r="635" customFormat="false" ht="15" hidden="false" customHeight="false" outlineLevel="0" collapsed="false">
      <c r="A635" s="12"/>
      <c r="B635" s="13"/>
      <c r="C635" s="14"/>
      <c r="D635" s="13"/>
      <c r="E635" s="15"/>
      <c r="F635" s="15"/>
      <c r="G635" s="15"/>
      <c r="H635" s="14"/>
      <c r="I635" s="16" t="str">
        <f aca="false">IF(OR(A635="",C635=""),"",IF(OR(H635="İade",H635="İptal"),0,E635*IFERROR(INDEX(Kanallar!$B$5:$B$19,MATCH(C635,Kanallar!$A$5:$A$19,0)),0)))</f>
        <v/>
      </c>
      <c r="J635" s="16" t="str">
        <f aca="false">IF(I635="","",IF(H635="İptal",0,IF(H635="İade",-G635,E635-I635-F635-G635)))</f>
        <v/>
      </c>
    </row>
    <row r="636" customFormat="false" ht="15" hidden="false" customHeight="false" outlineLevel="0" collapsed="false">
      <c r="A636" s="12"/>
      <c r="B636" s="13"/>
      <c r="C636" s="14"/>
      <c r="D636" s="13"/>
      <c r="E636" s="15"/>
      <c r="F636" s="15"/>
      <c r="G636" s="15"/>
      <c r="H636" s="14"/>
      <c r="I636" s="16" t="str">
        <f aca="false">IF(OR(A636="",C636=""),"",IF(OR(H636="İade",H636="İptal"),0,E636*IFERROR(INDEX(Kanallar!$B$5:$B$19,MATCH(C636,Kanallar!$A$5:$A$19,0)),0)))</f>
        <v/>
      </c>
      <c r="J636" s="16" t="str">
        <f aca="false">IF(I636="","",IF(H636="İptal",0,IF(H636="İade",-G636,E636-I636-F636-G636)))</f>
        <v/>
      </c>
    </row>
    <row r="637" customFormat="false" ht="15" hidden="false" customHeight="false" outlineLevel="0" collapsed="false">
      <c r="A637" s="12"/>
      <c r="B637" s="13"/>
      <c r="C637" s="14"/>
      <c r="D637" s="13"/>
      <c r="E637" s="15"/>
      <c r="F637" s="15"/>
      <c r="G637" s="15"/>
      <c r="H637" s="14"/>
      <c r="I637" s="16" t="str">
        <f aca="false">IF(OR(A637="",C637=""),"",IF(OR(H637="İade",H637="İptal"),0,E637*IFERROR(INDEX(Kanallar!$B$5:$B$19,MATCH(C637,Kanallar!$A$5:$A$19,0)),0)))</f>
        <v/>
      </c>
      <c r="J637" s="16" t="str">
        <f aca="false">IF(I637="","",IF(H637="İptal",0,IF(H637="İade",-G637,E637-I637-F637-G637)))</f>
        <v/>
      </c>
    </row>
    <row r="638" customFormat="false" ht="15" hidden="false" customHeight="false" outlineLevel="0" collapsed="false">
      <c r="A638" s="12"/>
      <c r="B638" s="13"/>
      <c r="C638" s="14"/>
      <c r="D638" s="13"/>
      <c r="E638" s="15"/>
      <c r="F638" s="15"/>
      <c r="G638" s="15"/>
      <c r="H638" s="14"/>
      <c r="I638" s="16" t="str">
        <f aca="false">IF(OR(A638="",C638=""),"",IF(OR(H638="İade",H638="İptal"),0,E638*IFERROR(INDEX(Kanallar!$B$5:$B$19,MATCH(C638,Kanallar!$A$5:$A$19,0)),0)))</f>
        <v/>
      </c>
      <c r="J638" s="16" t="str">
        <f aca="false">IF(I638="","",IF(H638="İptal",0,IF(H638="İade",-G638,E638-I638-F638-G638)))</f>
        <v/>
      </c>
    </row>
    <row r="639" customFormat="false" ht="15" hidden="false" customHeight="false" outlineLevel="0" collapsed="false">
      <c r="A639" s="12"/>
      <c r="B639" s="13"/>
      <c r="C639" s="14"/>
      <c r="D639" s="13"/>
      <c r="E639" s="15"/>
      <c r="F639" s="15"/>
      <c r="G639" s="15"/>
      <c r="H639" s="14"/>
      <c r="I639" s="16" t="str">
        <f aca="false">IF(OR(A639="",C639=""),"",IF(OR(H639="İade",H639="İptal"),0,E639*IFERROR(INDEX(Kanallar!$B$5:$B$19,MATCH(C639,Kanallar!$A$5:$A$19,0)),0)))</f>
        <v/>
      </c>
      <c r="J639" s="16" t="str">
        <f aca="false">IF(I639="","",IF(H639="İptal",0,IF(H639="İade",-G639,E639-I639-F639-G639)))</f>
        <v/>
      </c>
    </row>
    <row r="640" customFormat="false" ht="15" hidden="false" customHeight="false" outlineLevel="0" collapsed="false">
      <c r="A640" s="12"/>
      <c r="B640" s="13"/>
      <c r="C640" s="14"/>
      <c r="D640" s="13"/>
      <c r="E640" s="15"/>
      <c r="F640" s="15"/>
      <c r="G640" s="15"/>
      <c r="H640" s="14"/>
      <c r="I640" s="16" t="str">
        <f aca="false">IF(OR(A640="",C640=""),"",IF(OR(H640="İade",H640="İptal"),0,E640*IFERROR(INDEX(Kanallar!$B$5:$B$19,MATCH(C640,Kanallar!$A$5:$A$19,0)),0)))</f>
        <v/>
      </c>
      <c r="J640" s="16" t="str">
        <f aca="false">IF(I640="","",IF(H640="İptal",0,IF(H640="İade",-G640,E640-I640-F640-G640)))</f>
        <v/>
      </c>
    </row>
    <row r="641" customFormat="false" ht="15" hidden="false" customHeight="false" outlineLevel="0" collapsed="false">
      <c r="A641" s="12"/>
      <c r="B641" s="13"/>
      <c r="C641" s="14"/>
      <c r="D641" s="13"/>
      <c r="E641" s="15"/>
      <c r="F641" s="15"/>
      <c r="G641" s="15"/>
      <c r="H641" s="14"/>
      <c r="I641" s="16" t="str">
        <f aca="false">IF(OR(A641="",C641=""),"",IF(OR(H641="İade",H641="İptal"),0,E641*IFERROR(INDEX(Kanallar!$B$5:$B$19,MATCH(C641,Kanallar!$A$5:$A$19,0)),0)))</f>
        <v/>
      </c>
      <c r="J641" s="16" t="str">
        <f aca="false">IF(I641="","",IF(H641="İptal",0,IF(H641="İade",-G641,E641-I641-F641-G641)))</f>
        <v/>
      </c>
    </row>
    <row r="642" customFormat="false" ht="15" hidden="false" customHeight="false" outlineLevel="0" collapsed="false">
      <c r="A642" s="12"/>
      <c r="B642" s="13"/>
      <c r="C642" s="14"/>
      <c r="D642" s="13"/>
      <c r="E642" s="15"/>
      <c r="F642" s="15"/>
      <c r="G642" s="15"/>
      <c r="H642" s="14"/>
      <c r="I642" s="16" t="str">
        <f aca="false">IF(OR(A642="",C642=""),"",IF(OR(H642="İade",H642="İptal"),0,E642*IFERROR(INDEX(Kanallar!$B$5:$B$19,MATCH(C642,Kanallar!$A$5:$A$19,0)),0)))</f>
        <v/>
      </c>
      <c r="J642" s="16" t="str">
        <f aca="false">IF(I642="","",IF(H642="İptal",0,IF(H642="İade",-G642,E642-I642-F642-G642)))</f>
        <v/>
      </c>
    </row>
    <row r="643" customFormat="false" ht="15" hidden="false" customHeight="false" outlineLevel="0" collapsed="false">
      <c r="A643" s="12"/>
      <c r="B643" s="13"/>
      <c r="C643" s="14"/>
      <c r="D643" s="13"/>
      <c r="E643" s="15"/>
      <c r="F643" s="15"/>
      <c r="G643" s="15"/>
      <c r="H643" s="14"/>
      <c r="I643" s="16" t="str">
        <f aca="false">IF(OR(A643="",C643=""),"",IF(OR(H643="İade",H643="İptal"),0,E643*IFERROR(INDEX(Kanallar!$B$5:$B$19,MATCH(C643,Kanallar!$A$5:$A$19,0)),0)))</f>
        <v/>
      </c>
      <c r="J643" s="16" t="str">
        <f aca="false">IF(I643="","",IF(H643="İptal",0,IF(H643="İade",-G643,E643-I643-F643-G643)))</f>
        <v/>
      </c>
    </row>
    <row r="644" customFormat="false" ht="15" hidden="false" customHeight="false" outlineLevel="0" collapsed="false">
      <c r="A644" s="12"/>
      <c r="B644" s="13"/>
      <c r="C644" s="14"/>
      <c r="D644" s="13"/>
      <c r="E644" s="15"/>
      <c r="F644" s="15"/>
      <c r="G644" s="15"/>
      <c r="H644" s="14"/>
      <c r="I644" s="16" t="str">
        <f aca="false">IF(OR(A644="",C644=""),"",IF(OR(H644="İade",H644="İptal"),0,E644*IFERROR(INDEX(Kanallar!$B$5:$B$19,MATCH(C644,Kanallar!$A$5:$A$19,0)),0)))</f>
        <v/>
      </c>
      <c r="J644" s="16" t="str">
        <f aca="false">IF(I644="","",IF(H644="İptal",0,IF(H644="İade",-G644,E644-I644-F644-G644)))</f>
        <v/>
      </c>
    </row>
    <row r="645" customFormat="false" ht="15" hidden="false" customHeight="false" outlineLevel="0" collapsed="false">
      <c r="A645" s="12"/>
      <c r="B645" s="13"/>
      <c r="C645" s="14"/>
      <c r="D645" s="13"/>
      <c r="E645" s="15"/>
      <c r="F645" s="15"/>
      <c r="G645" s="15"/>
      <c r="H645" s="14"/>
      <c r="I645" s="16" t="str">
        <f aca="false">IF(OR(A645="",C645=""),"",IF(OR(H645="İade",H645="İptal"),0,E645*IFERROR(INDEX(Kanallar!$B$5:$B$19,MATCH(C645,Kanallar!$A$5:$A$19,0)),0)))</f>
        <v/>
      </c>
      <c r="J645" s="16" t="str">
        <f aca="false">IF(I645="","",IF(H645="İptal",0,IF(H645="İade",-G645,E645-I645-F645-G645)))</f>
        <v/>
      </c>
    </row>
    <row r="646" customFormat="false" ht="15" hidden="false" customHeight="false" outlineLevel="0" collapsed="false">
      <c r="A646" s="12"/>
      <c r="B646" s="13"/>
      <c r="C646" s="14"/>
      <c r="D646" s="13"/>
      <c r="E646" s="15"/>
      <c r="F646" s="15"/>
      <c r="G646" s="15"/>
      <c r="H646" s="14"/>
      <c r="I646" s="16" t="str">
        <f aca="false">IF(OR(A646="",C646=""),"",IF(OR(H646="İade",H646="İptal"),0,E646*IFERROR(INDEX(Kanallar!$B$5:$B$19,MATCH(C646,Kanallar!$A$5:$A$19,0)),0)))</f>
        <v/>
      </c>
      <c r="J646" s="16" t="str">
        <f aca="false">IF(I646="","",IF(H646="İptal",0,IF(H646="İade",-G646,E646-I646-F646-G646)))</f>
        <v/>
      </c>
    </row>
    <row r="647" customFormat="false" ht="15" hidden="false" customHeight="false" outlineLevel="0" collapsed="false">
      <c r="A647" s="12"/>
      <c r="B647" s="13"/>
      <c r="C647" s="14"/>
      <c r="D647" s="13"/>
      <c r="E647" s="15"/>
      <c r="F647" s="15"/>
      <c r="G647" s="15"/>
      <c r="H647" s="14"/>
      <c r="I647" s="16" t="str">
        <f aca="false">IF(OR(A647="",C647=""),"",IF(OR(H647="İade",H647="İptal"),0,E647*IFERROR(INDEX(Kanallar!$B$5:$B$19,MATCH(C647,Kanallar!$A$5:$A$19,0)),0)))</f>
        <v/>
      </c>
      <c r="J647" s="16" t="str">
        <f aca="false">IF(I647="","",IF(H647="İptal",0,IF(H647="İade",-G647,E647-I647-F647-G647)))</f>
        <v/>
      </c>
    </row>
    <row r="648" customFormat="false" ht="15" hidden="false" customHeight="false" outlineLevel="0" collapsed="false">
      <c r="A648" s="12"/>
      <c r="B648" s="13"/>
      <c r="C648" s="14"/>
      <c r="D648" s="13"/>
      <c r="E648" s="15"/>
      <c r="F648" s="15"/>
      <c r="G648" s="15"/>
      <c r="H648" s="14"/>
      <c r="I648" s="16" t="str">
        <f aca="false">IF(OR(A648="",C648=""),"",IF(OR(H648="İade",H648="İptal"),0,E648*IFERROR(INDEX(Kanallar!$B$5:$B$19,MATCH(C648,Kanallar!$A$5:$A$19,0)),0)))</f>
        <v/>
      </c>
      <c r="J648" s="16" t="str">
        <f aca="false">IF(I648="","",IF(H648="İptal",0,IF(H648="İade",-G648,E648-I648-F648-G648)))</f>
        <v/>
      </c>
    </row>
    <row r="649" customFormat="false" ht="15" hidden="false" customHeight="false" outlineLevel="0" collapsed="false">
      <c r="A649" s="12"/>
      <c r="B649" s="13"/>
      <c r="C649" s="14"/>
      <c r="D649" s="13"/>
      <c r="E649" s="15"/>
      <c r="F649" s="15"/>
      <c r="G649" s="15"/>
      <c r="H649" s="14"/>
      <c r="I649" s="16" t="str">
        <f aca="false">IF(OR(A649="",C649=""),"",IF(OR(H649="İade",H649="İptal"),0,E649*IFERROR(INDEX(Kanallar!$B$5:$B$19,MATCH(C649,Kanallar!$A$5:$A$19,0)),0)))</f>
        <v/>
      </c>
      <c r="J649" s="16" t="str">
        <f aca="false">IF(I649="","",IF(H649="İptal",0,IF(H649="İade",-G649,E649-I649-F649-G649)))</f>
        <v/>
      </c>
    </row>
    <row r="650" customFormat="false" ht="15" hidden="false" customHeight="false" outlineLevel="0" collapsed="false">
      <c r="A650" s="12"/>
      <c r="B650" s="13"/>
      <c r="C650" s="14"/>
      <c r="D650" s="13"/>
      <c r="E650" s="15"/>
      <c r="F650" s="15"/>
      <c r="G650" s="15"/>
      <c r="H650" s="14"/>
      <c r="I650" s="16" t="str">
        <f aca="false">IF(OR(A650="",C650=""),"",IF(OR(H650="İade",H650="İptal"),0,E650*IFERROR(INDEX(Kanallar!$B$5:$B$19,MATCH(C650,Kanallar!$A$5:$A$19,0)),0)))</f>
        <v/>
      </c>
      <c r="J650" s="16" t="str">
        <f aca="false">IF(I650="","",IF(H650="İptal",0,IF(H650="İade",-G650,E650-I650-F650-G650)))</f>
        <v/>
      </c>
    </row>
    <row r="651" customFormat="false" ht="15" hidden="false" customHeight="false" outlineLevel="0" collapsed="false">
      <c r="A651" s="12"/>
      <c r="B651" s="13"/>
      <c r="C651" s="14"/>
      <c r="D651" s="13"/>
      <c r="E651" s="15"/>
      <c r="F651" s="15"/>
      <c r="G651" s="15"/>
      <c r="H651" s="14"/>
      <c r="I651" s="16" t="str">
        <f aca="false">IF(OR(A651="",C651=""),"",IF(OR(H651="İade",H651="İptal"),0,E651*IFERROR(INDEX(Kanallar!$B$5:$B$19,MATCH(C651,Kanallar!$A$5:$A$19,0)),0)))</f>
        <v/>
      </c>
      <c r="J651" s="16" t="str">
        <f aca="false">IF(I651="","",IF(H651="İptal",0,IF(H651="İade",-G651,E651-I651-F651-G651)))</f>
        <v/>
      </c>
    </row>
    <row r="652" customFormat="false" ht="15" hidden="false" customHeight="false" outlineLevel="0" collapsed="false">
      <c r="A652" s="12"/>
      <c r="B652" s="13"/>
      <c r="C652" s="14"/>
      <c r="D652" s="13"/>
      <c r="E652" s="15"/>
      <c r="F652" s="15"/>
      <c r="G652" s="15"/>
      <c r="H652" s="14"/>
      <c r="I652" s="16" t="str">
        <f aca="false">IF(OR(A652="",C652=""),"",IF(OR(H652="İade",H652="İptal"),0,E652*IFERROR(INDEX(Kanallar!$B$5:$B$19,MATCH(C652,Kanallar!$A$5:$A$19,0)),0)))</f>
        <v/>
      </c>
      <c r="J652" s="16" t="str">
        <f aca="false">IF(I652="","",IF(H652="İptal",0,IF(H652="İade",-G652,E652-I652-F652-G652)))</f>
        <v/>
      </c>
    </row>
    <row r="653" customFormat="false" ht="15" hidden="false" customHeight="false" outlineLevel="0" collapsed="false">
      <c r="A653" s="12"/>
      <c r="B653" s="13"/>
      <c r="C653" s="14"/>
      <c r="D653" s="13"/>
      <c r="E653" s="15"/>
      <c r="F653" s="15"/>
      <c r="G653" s="15"/>
      <c r="H653" s="14"/>
      <c r="I653" s="16" t="str">
        <f aca="false">IF(OR(A653="",C653=""),"",IF(OR(H653="İade",H653="İptal"),0,E653*IFERROR(INDEX(Kanallar!$B$5:$B$19,MATCH(C653,Kanallar!$A$5:$A$19,0)),0)))</f>
        <v/>
      </c>
      <c r="J653" s="16" t="str">
        <f aca="false">IF(I653="","",IF(H653="İptal",0,IF(H653="İade",-G653,E653-I653-F653-G653)))</f>
        <v/>
      </c>
    </row>
    <row r="654" customFormat="false" ht="15" hidden="false" customHeight="false" outlineLevel="0" collapsed="false">
      <c r="A654" s="12"/>
      <c r="B654" s="13"/>
      <c r="C654" s="14"/>
      <c r="D654" s="13"/>
      <c r="E654" s="15"/>
      <c r="F654" s="15"/>
      <c r="G654" s="15"/>
      <c r="H654" s="14"/>
      <c r="I654" s="16" t="str">
        <f aca="false">IF(OR(A654="",C654=""),"",IF(OR(H654="İade",H654="İptal"),0,E654*IFERROR(INDEX(Kanallar!$B$5:$B$19,MATCH(C654,Kanallar!$A$5:$A$19,0)),0)))</f>
        <v/>
      </c>
      <c r="J654" s="16" t="str">
        <f aca="false">IF(I654="","",IF(H654="İptal",0,IF(H654="İade",-G654,E654-I654-F654-G654)))</f>
        <v/>
      </c>
    </row>
    <row r="655" customFormat="false" ht="15" hidden="false" customHeight="false" outlineLevel="0" collapsed="false">
      <c r="A655" s="12"/>
      <c r="B655" s="13"/>
      <c r="C655" s="14"/>
      <c r="D655" s="13"/>
      <c r="E655" s="15"/>
      <c r="F655" s="15"/>
      <c r="G655" s="15"/>
      <c r="H655" s="14"/>
      <c r="I655" s="16" t="str">
        <f aca="false">IF(OR(A655="",C655=""),"",IF(OR(H655="İade",H655="İptal"),0,E655*IFERROR(INDEX(Kanallar!$B$5:$B$19,MATCH(C655,Kanallar!$A$5:$A$19,0)),0)))</f>
        <v/>
      </c>
      <c r="J655" s="16" t="str">
        <f aca="false">IF(I655="","",IF(H655="İptal",0,IF(H655="İade",-G655,E655-I655-F655-G655)))</f>
        <v/>
      </c>
    </row>
    <row r="656" customFormat="false" ht="15" hidden="false" customHeight="false" outlineLevel="0" collapsed="false">
      <c r="A656" s="12"/>
      <c r="B656" s="13"/>
      <c r="C656" s="14"/>
      <c r="D656" s="13"/>
      <c r="E656" s="15"/>
      <c r="F656" s="15"/>
      <c r="G656" s="15"/>
      <c r="H656" s="14"/>
      <c r="I656" s="16" t="str">
        <f aca="false">IF(OR(A656="",C656=""),"",IF(OR(H656="İade",H656="İptal"),0,E656*IFERROR(INDEX(Kanallar!$B$5:$B$19,MATCH(C656,Kanallar!$A$5:$A$19,0)),0)))</f>
        <v/>
      </c>
      <c r="J656" s="16" t="str">
        <f aca="false">IF(I656="","",IF(H656="İptal",0,IF(H656="İade",-G656,E656-I656-F656-G656)))</f>
        <v/>
      </c>
    </row>
    <row r="657" customFormat="false" ht="15" hidden="false" customHeight="false" outlineLevel="0" collapsed="false">
      <c r="A657" s="12"/>
      <c r="B657" s="13"/>
      <c r="C657" s="14"/>
      <c r="D657" s="13"/>
      <c r="E657" s="15"/>
      <c r="F657" s="15"/>
      <c r="G657" s="15"/>
      <c r="H657" s="14"/>
      <c r="I657" s="16" t="str">
        <f aca="false">IF(OR(A657="",C657=""),"",IF(OR(H657="İade",H657="İptal"),0,E657*IFERROR(INDEX(Kanallar!$B$5:$B$19,MATCH(C657,Kanallar!$A$5:$A$19,0)),0)))</f>
        <v/>
      </c>
      <c r="J657" s="16" t="str">
        <f aca="false">IF(I657="","",IF(H657="İptal",0,IF(H657="İade",-G657,E657-I657-F657-G657)))</f>
        <v/>
      </c>
    </row>
    <row r="658" customFormat="false" ht="15" hidden="false" customHeight="false" outlineLevel="0" collapsed="false">
      <c r="A658" s="12"/>
      <c r="B658" s="13"/>
      <c r="C658" s="14"/>
      <c r="D658" s="13"/>
      <c r="E658" s="15"/>
      <c r="F658" s="15"/>
      <c r="G658" s="15"/>
      <c r="H658" s="14"/>
      <c r="I658" s="16" t="str">
        <f aca="false">IF(OR(A658="",C658=""),"",IF(OR(H658="İade",H658="İptal"),0,E658*IFERROR(INDEX(Kanallar!$B$5:$B$19,MATCH(C658,Kanallar!$A$5:$A$19,0)),0)))</f>
        <v/>
      </c>
      <c r="J658" s="16" t="str">
        <f aca="false">IF(I658="","",IF(H658="İptal",0,IF(H658="İade",-G658,E658-I658-F658-G658)))</f>
        <v/>
      </c>
    </row>
    <row r="659" customFormat="false" ht="15" hidden="false" customHeight="false" outlineLevel="0" collapsed="false">
      <c r="A659" s="12"/>
      <c r="B659" s="13"/>
      <c r="C659" s="14"/>
      <c r="D659" s="13"/>
      <c r="E659" s="15"/>
      <c r="F659" s="15"/>
      <c r="G659" s="15"/>
      <c r="H659" s="14"/>
      <c r="I659" s="16" t="str">
        <f aca="false">IF(OR(A659="",C659=""),"",IF(OR(H659="İade",H659="İptal"),0,E659*IFERROR(INDEX(Kanallar!$B$5:$B$19,MATCH(C659,Kanallar!$A$5:$A$19,0)),0)))</f>
        <v/>
      </c>
      <c r="J659" s="16" t="str">
        <f aca="false">IF(I659="","",IF(H659="İptal",0,IF(H659="İade",-G659,E659-I659-F659-G659)))</f>
        <v/>
      </c>
    </row>
    <row r="660" customFormat="false" ht="15" hidden="false" customHeight="false" outlineLevel="0" collapsed="false">
      <c r="A660" s="12"/>
      <c r="B660" s="13"/>
      <c r="C660" s="14"/>
      <c r="D660" s="13"/>
      <c r="E660" s="15"/>
      <c r="F660" s="15"/>
      <c r="G660" s="15"/>
      <c r="H660" s="14"/>
      <c r="I660" s="16" t="str">
        <f aca="false">IF(OR(A660="",C660=""),"",IF(OR(H660="İade",H660="İptal"),0,E660*IFERROR(INDEX(Kanallar!$B$5:$B$19,MATCH(C660,Kanallar!$A$5:$A$19,0)),0)))</f>
        <v/>
      </c>
      <c r="J660" s="16" t="str">
        <f aca="false">IF(I660="","",IF(H660="İptal",0,IF(H660="İade",-G660,E660-I660-F660-G660)))</f>
        <v/>
      </c>
    </row>
    <row r="661" customFormat="false" ht="15" hidden="false" customHeight="false" outlineLevel="0" collapsed="false">
      <c r="A661" s="12"/>
      <c r="B661" s="13"/>
      <c r="C661" s="14"/>
      <c r="D661" s="13"/>
      <c r="E661" s="15"/>
      <c r="F661" s="15"/>
      <c r="G661" s="15"/>
      <c r="H661" s="14"/>
      <c r="I661" s="16" t="str">
        <f aca="false">IF(OR(A661="",C661=""),"",IF(OR(H661="İade",H661="İptal"),0,E661*IFERROR(INDEX(Kanallar!$B$5:$B$19,MATCH(C661,Kanallar!$A$5:$A$19,0)),0)))</f>
        <v/>
      </c>
      <c r="J661" s="16" t="str">
        <f aca="false">IF(I661="","",IF(H661="İptal",0,IF(H661="İade",-G661,E661-I661-F661-G661)))</f>
        <v/>
      </c>
    </row>
    <row r="662" customFormat="false" ht="15" hidden="false" customHeight="false" outlineLevel="0" collapsed="false">
      <c r="A662" s="12"/>
      <c r="B662" s="13"/>
      <c r="C662" s="14"/>
      <c r="D662" s="13"/>
      <c r="E662" s="15"/>
      <c r="F662" s="15"/>
      <c r="G662" s="15"/>
      <c r="H662" s="14"/>
      <c r="I662" s="16" t="str">
        <f aca="false">IF(OR(A662="",C662=""),"",IF(OR(H662="İade",H662="İptal"),0,E662*IFERROR(INDEX(Kanallar!$B$5:$B$19,MATCH(C662,Kanallar!$A$5:$A$19,0)),0)))</f>
        <v/>
      </c>
      <c r="J662" s="16" t="str">
        <f aca="false">IF(I662="","",IF(H662="İptal",0,IF(H662="İade",-G662,E662-I662-F662-G662)))</f>
        <v/>
      </c>
    </row>
    <row r="663" customFormat="false" ht="15" hidden="false" customHeight="false" outlineLevel="0" collapsed="false">
      <c r="A663" s="12"/>
      <c r="B663" s="13"/>
      <c r="C663" s="14"/>
      <c r="D663" s="13"/>
      <c r="E663" s="15"/>
      <c r="F663" s="15"/>
      <c r="G663" s="15"/>
      <c r="H663" s="14"/>
      <c r="I663" s="16" t="str">
        <f aca="false">IF(OR(A663="",C663=""),"",IF(OR(H663="İade",H663="İptal"),0,E663*IFERROR(INDEX(Kanallar!$B$5:$B$19,MATCH(C663,Kanallar!$A$5:$A$19,0)),0)))</f>
        <v/>
      </c>
      <c r="J663" s="16" t="str">
        <f aca="false">IF(I663="","",IF(H663="İptal",0,IF(H663="İade",-G663,E663-I663-F663-G663)))</f>
        <v/>
      </c>
    </row>
    <row r="664" customFormat="false" ht="15" hidden="false" customHeight="false" outlineLevel="0" collapsed="false">
      <c r="A664" s="12"/>
      <c r="B664" s="13"/>
      <c r="C664" s="14"/>
      <c r="D664" s="13"/>
      <c r="E664" s="15"/>
      <c r="F664" s="15"/>
      <c r="G664" s="15"/>
      <c r="H664" s="14"/>
      <c r="I664" s="16" t="str">
        <f aca="false">IF(OR(A664="",C664=""),"",IF(OR(H664="İade",H664="İptal"),0,E664*IFERROR(INDEX(Kanallar!$B$5:$B$19,MATCH(C664,Kanallar!$A$5:$A$19,0)),0)))</f>
        <v/>
      </c>
      <c r="J664" s="16" t="str">
        <f aca="false">IF(I664="","",IF(H664="İptal",0,IF(H664="İade",-G664,E664-I664-F664-G664)))</f>
        <v/>
      </c>
    </row>
    <row r="665" customFormat="false" ht="15" hidden="false" customHeight="false" outlineLevel="0" collapsed="false">
      <c r="A665" s="12"/>
      <c r="B665" s="13"/>
      <c r="C665" s="14"/>
      <c r="D665" s="13"/>
      <c r="E665" s="15"/>
      <c r="F665" s="15"/>
      <c r="G665" s="15"/>
      <c r="H665" s="14"/>
      <c r="I665" s="16" t="str">
        <f aca="false">IF(OR(A665="",C665=""),"",IF(OR(H665="İade",H665="İptal"),0,E665*IFERROR(INDEX(Kanallar!$B$5:$B$19,MATCH(C665,Kanallar!$A$5:$A$19,0)),0)))</f>
        <v/>
      </c>
      <c r="J665" s="16" t="str">
        <f aca="false">IF(I665="","",IF(H665="İptal",0,IF(H665="İade",-G665,E665-I665-F665-G665)))</f>
        <v/>
      </c>
    </row>
    <row r="666" customFormat="false" ht="15" hidden="false" customHeight="false" outlineLevel="0" collapsed="false">
      <c r="A666" s="12"/>
      <c r="B666" s="13"/>
      <c r="C666" s="14"/>
      <c r="D666" s="13"/>
      <c r="E666" s="15"/>
      <c r="F666" s="15"/>
      <c r="G666" s="15"/>
      <c r="H666" s="14"/>
      <c r="I666" s="16" t="str">
        <f aca="false">IF(OR(A666="",C666=""),"",IF(OR(H666="İade",H666="İptal"),0,E666*IFERROR(INDEX(Kanallar!$B$5:$B$19,MATCH(C666,Kanallar!$A$5:$A$19,0)),0)))</f>
        <v/>
      </c>
      <c r="J666" s="16" t="str">
        <f aca="false">IF(I666="","",IF(H666="İptal",0,IF(H666="İade",-G666,E666-I666-F666-G666)))</f>
        <v/>
      </c>
    </row>
    <row r="667" customFormat="false" ht="15" hidden="false" customHeight="false" outlineLevel="0" collapsed="false">
      <c r="A667" s="12"/>
      <c r="B667" s="13"/>
      <c r="C667" s="14"/>
      <c r="D667" s="13"/>
      <c r="E667" s="15"/>
      <c r="F667" s="15"/>
      <c r="G667" s="15"/>
      <c r="H667" s="14"/>
      <c r="I667" s="16" t="str">
        <f aca="false">IF(OR(A667="",C667=""),"",IF(OR(H667="İade",H667="İptal"),0,E667*IFERROR(INDEX(Kanallar!$B$5:$B$19,MATCH(C667,Kanallar!$A$5:$A$19,0)),0)))</f>
        <v/>
      </c>
      <c r="J667" s="16" t="str">
        <f aca="false">IF(I667="","",IF(H667="İptal",0,IF(H667="İade",-G667,E667-I667-F667-G667)))</f>
        <v/>
      </c>
    </row>
    <row r="668" customFormat="false" ht="15" hidden="false" customHeight="false" outlineLevel="0" collapsed="false">
      <c r="A668" s="12"/>
      <c r="B668" s="13"/>
      <c r="C668" s="14"/>
      <c r="D668" s="13"/>
      <c r="E668" s="15"/>
      <c r="F668" s="15"/>
      <c r="G668" s="15"/>
      <c r="H668" s="14"/>
      <c r="I668" s="16" t="str">
        <f aca="false">IF(OR(A668="",C668=""),"",IF(OR(H668="İade",H668="İptal"),0,E668*IFERROR(INDEX(Kanallar!$B$5:$B$19,MATCH(C668,Kanallar!$A$5:$A$19,0)),0)))</f>
        <v/>
      </c>
      <c r="J668" s="16" t="str">
        <f aca="false">IF(I668="","",IF(H668="İptal",0,IF(H668="İade",-G668,E668-I668-F668-G668)))</f>
        <v/>
      </c>
    </row>
    <row r="669" customFormat="false" ht="15" hidden="false" customHeight="false" outlineLevel="0" collapsed="false">
      <c r="A669" s="12"/>
      <c r="B669" s="13"/>
      <c r="C669" s="14"/>
      <c r="D669" s="13"/>
      <c r="E669" s="15"/>
      <c r="F669" s="15"/>
      <c r="G669" s="15"/>
      <c r="H669" s="14"/>
      <c r="I669" s="16" t="str">
        <f aca="false">IF(OR(A669="",C669=""),"",IF(OR(H669="İade",H669="İptal"),0,E669*IFERROR(INDEX(Kanallar!$B$5:$B$19,MATCH(C669,Kanallar!$A$5:$A$19,0)),0)))</f>
        <v/>
      </c>
      <c r="J669" s="16" t="str">
        <f aca="false">IF(I669="","",IF(H669="İptal",0,IF(H669="İade",-G669,E669-I669-F669-G669)))</f>
        <v/>
      </c>
    </row>
    <row r="670" customFormat="false" ht="15" hidden="false" customHeight="false" outlineLevel="0" collapsed="false">
      <c r="A670" s="12"/>
      <c r="B670" s="13"/>
      <c r="C670" s="14"/>
      <c r="D670" s="13"/>
      <c r="E670" s="15"/>
      <c r="F670" s="15"/>
      <c r="G670" s="15"/>
      <c r="H670" s="14"/>
      <c r="I670" s="16" t="str">
        <f aca="false">IF(OR(A670="",C670=""),"",IF(OR(H670="İade",H670="İptal"),0,E670*IFERROR(INDEX(Kanallar!$B$5:$B$19,MATCH(C670,Kanallar!$A$5:$A$19,0)),0)))</f>
        <v/>
      </c>
      <c r="J670" s="16" t="str">
        <f aca="false">IF(I670="","",IF(H670="İptal",0,IF(H670="İade",-G670,E670-I670-F670-G670)))</f>
        <v/>
      </c>
    </row>
    <row r="671" customFormat="false" ht="15" hidden="false" customHeight="false" outlineLevel="0" collapsed="false">
      <c r="A671" s="12"/>
      <c r="B671" s="13"/>
      <c r="C671" s="14"/>
      <c r="D671" s="13"/>
      <c r="E671" s="15"/>
      <c r="F671" s="15"/>
      <c r="G671" s="15"/>
      <c r="H671" s="14"/>
      <c r="I671" s="16" t="str">
        <f aca="false">IF(OR(A671="",C671=""),"",IF(OR(H671="İade",H671="İptal"),0,E671*IFERROR(INDEX(Kanallar!$B$5:$B$19,MATCH(C671,Kanallar!$A$5:$A$19,0)),0)))</f>
        <v/>
      </c>
      <c r="J671" s="16" t="str">
        <f aca="false">IF(I671="","",IF(H671="İptal",0,IF(H671="İade",-G671,E671-I671-F671-G671)))</f>
        <v/>
      </c>
    </row>
    <row r="672" customFormat="false" ht="15" hidden="false" customHeight="false" outlineLevel="0" collapsed="false">
      <c r="A672" s="12"/>
      <c r="B672" s="13"/>
      <c r="C672" s="14"/>
      <c r="D672" s="13"/>
      <c r="E672" s="15"/>
      <c r="F672" s="15"/>
      <c r="G672" s="15"/>
      <c r="H672" s="14"/>
      <c r="I672" s="16" t="str">
        <f aca="false">IF(OR(A672="",C672=""),"",IF(OR(H672="İade",H672="İptal"),0,E672*IFERROR(INDEX(Kanallar!$B$5:$B$19,MATCH(C672,Kanallar!$A$5:$A$19,0)),0)))</f>
        <v/>
      </c>
      <c r="J672" s="16" t="str">
        <f aca="false">IF(I672="","",IF(H672="İptal",0,IF(H672="İade",-G672,E672-I672-F672-G672)))</f>
        <v/>
      </c>
    </row>
    <row r="673" customFormat="false" ht="15" hidden="false" customHeight="false" outlineLevel="0" collapsed="false">
      <c r="A673" s="12"/>
      <c r="B673" s="13"/>
      <c r="C673" s="14"/>
      <c r="D673" s="13"/>
      <c r="E673" s="15"/>
      <c r="F673" s="15"/>
      <c r="G673" s="15"/>
      <c r="H673" s="14"/>
      <c r="I673" s="16" t="str">
        <f aca="false">IF(OR(A673="",C673=""),"",IF(OR(H673="İade",H673="İptal"),0,E673*IFERROR(INDEX(Kanallar!$B$5:$B$19,MATCH(C673,Kanallar!$A$5:$A$19,0)),0)))</f>
        <v/>
      </c>
      <c r="J673" s="16" t="str">
        <f aca="false">IF(I673="","",IF(H673="İptal",0,IF(H673="İade",-G673,E673-I673-F673-G673)))</f>
        <v/>
      </c>
    </row>
    <row r="674" customFormat="false" ht="15" hidden="false" customHeight="false" outlineLevel="0" collapsed="false">
      <c r="A674" s="12"/>
      <c r="B674" s="13"/>
      <c r="C674" s="14"/>
      <c r="D674" s="13"/>
      <c r="E674" s="15"/>
      <c r="F674" s="15"/>
      <c r="G674" s="15"/>
      <c r="H674" s="14"/>
      <c r="I674" s="16" t="str">
        <f aca="false">IF(OR(A674="",C674=""),"",IF(OR(H674="İade",H674="İptal"),0,E674*IFERROR(INDEX(Kanallar!$B$5:$B$19,MATCH(C674,Kanallar!$A$5:$A$19,0)),0)))</f>
        <v/>
      </c>
      <c r="J674" s="16" t="str">
        <f aca="false">IF(I674="","",IF(H674="İptal",0,IF(H674="İade",-G674,E674-I674-F674-G674)))</f>
        <v/>
      </c>
    </row>
    <row r="675" customFormat="false" ht="15" hidden="false" customHeight="false" outlineLevel="0" collapsed="false">
      <c r="A675" s="12"/>
      <c r="B675" s="13"/>
      <c r="C675" s="14"/>
      <c r="D675" s="13"/>
      <c r="E675" s="15"/>
      <c r="F675" s="15"/>
      <c r="G675" s="15"/>
      <c r="H675" s="14"/>
      <c r="I675" s="16" t="str">
        <f aca="false">IF(OR(A675="",C675=""),"",IF(OR(H675="İade",H675="İptal"),0,E675*IFERROR(INDEX(Kanallar!$B$5:$B$19,MATCH(C675,Kanallar!$A$5:$A$19,0)),0)))</f>
        <v/>
      </c>
      <c r="J675" s="16" t="str">
        <f aca="false">IF(I675="","",IF(H675="İptal",0,IF(H675="İade",-G675,E675-I675-F675-G675)))</f>
        <v/>
      </c>
    </row>
    <row r="676" customFormat="false" ht="15" hidden="false" customHeight="false" outlineLevel="0" collapsed="false">
      <c r="A676" s="12"/>
      <c r="B676" s="13"/>
      <c r="C676" s="14"/>
      <c r="D676" s="13"/>
      <c r="E676" s="15"/>
      <c r="F676" s="15"/>
      <c r="G676" s="15"/>
      <c r="H676" s="14"/>
      <c r="I676" s="16" t="str">
        <f aca="false">IF(OR(A676="",C676=""),"",IF(OR(H676="İade",H676="İptal"),0,E676*IFERROR(INDEX(Kanallar!$B$5:$B$19,MATCH(C676,Kanallar!$A$5:$A$19,0)),0)))</f>
        <v/>
      </c>
      <c r="J676" s="16" t="str">
        <f aca="false">IF(I676="","",IF(H676="İptal",0,IF(H676="İade",-G676,E676-I676-F676-G676)))</f>
        <v/>
      </c>
    </row>
    <row r="677" customFormat="false" ht="15" hidden="false" customHeight="false" outlineLevel="0" collapsed="false">
      <c r="A677" s="12"/>
      <c r="B677" s="13"/>
      <c r="C677" s="14"/>
      <c r="D677" s="13"/>
      <c r="E677" s="15"/>
      <c r="F677" s="15"/>
      <c r="G677" s="15"/>
      <c r="H677" s="14"/>
      <c r="I677" s="16" t="str">
        <f aca="false">IF(OR(A677="",C677=""),"",IF(OR(H677="İade",H677="İptal"),0,E677*IFERROR(INDEX(Kanallar!$B$5:$B$19,MATCH(C677,Kanallar!$A$5:$A$19,0)),0)))</f>
        <v/>
      </c>
      <c r="J677" s="16" t="str">
        <f aca="false">IF(I677="","",IF(H677="İptal",0,IF(H677="İade",-G677,E677-I677-F677-G677)))</f>
        <v/>
      </c>
    </row>
    <row r="678" customFormat="false" ht="15" hidden="false" customHeight="false" outlineLevel="0" collapsed="false">
      <c r="A678" s="12"/>
      <c r="B678" s="13"/>
      <c r="C678" s="14"/>
      <c r="D678" s="13"/>
      <c r="E678" s="15"/>
      <c r="F678" s="15"/>
      <c r="G678" s="15"/>
      <c r="H678" s="14"/>
      <c r="I678" s="16" t="str">
        <f aca="false">IF(OR(A678="",C678=""),"",IF(OR(H678="İade",H678="İptal"),0,E678*IFERROR(INDEX(Kanallar!$B$5:$B$19,MATCH(C678,Kanallar!$A$5:$A$19,0)),0)))</f>
        <v/>
      </c>
      <c r="J678" s="16" t="str">
        <f aca="false">IF(I678="","",IF(H678="İptal",0,IF(H678="İade",-G678,E678-I678-F678-G678)))</f>
        <v/>
      </c>
    </row>
    <row r="679" customFormat="false" ht="15" hidden="false" customHeight="false" outlineLevel="0" collapsed="false">
      <c r="A679" s="12"/>
      <c r="B679" s="13"/>
      <c r="C679" s="14"/>
      <c r="D679" s="13"/>
      <c r="E679" s="15"/>
      <c r="F679" s="15"/>
      <c r="G679" s="15"/>
      <c r="H679" s="14"/>
      <c r="I679" s="16" t="str">
        <f aca="false">IF(OR(A679="",C679=""),"",IF(OR(H679="İade",H679="İptal"),0,E679*IFERROR(INDEX(Kanallar!$B$5:$B$19,MATCH(C679,Kanallar!$A$5:$A$19,0)),0)))</f>
        <v/>
      </c>
      <c r="J679" s="16" t="str">
        <f aca="false">IF(I679="","",IF(H679="İptal",0,IF(H679="İade",-G679,E679-I679-F679-G679)))</f>
        <v/>
      </c>
    </row>
    <row r="680" customFormat="false" ht="15" hidden="false" customHeight="false" outlineLevel="0" collapsed="false">
      <c r="A680" s="12"/>
      <c r="B680" s="13"/>
      <c r="C680" s="14"/>
      <c r="D680" s="13"/>
      <c r="E680" s="15"/>
      <c r="F680" s="15"/>
      <c r="G680" s="15"/>
      <c r="H680" s="14"/>
      <c r="I680" s="16" t="str">
        <f aca="false">IF(OR(A680="",C680=""),"",IF(OR(H680="İade",H680="İptal"),0,E680*IFERROR(INDEX(Kanallar!$B$5:$B$19,MATCH(C680,Kanallar!$A$5:$A$19,0)),0)))</f>
        <v/>
      </c>
      <c r="J680" s="16" t="str">
        <f aca="false">IF(I680="","",IF(H680="İptal",0,IF(H680="İade",-G680,E680-I680-F680-G680)))</f>
        <v/>
      </c>
    </row>
    <row r="681" customFormat="false" ht="15" hidden="false" customHeight="false" outlineLevel="0" collapsed="false">
      <c r="A681" s="12"/>
      <c r="B681" s="13"/>
      <c r="C681" s="14"/>
      <c r="D681" s="13"/>
      <c r="E681" s="15"/>
      <c r="F681" s="15"/>
      <c r="G681" s="15"/>
      <c r="H681" s="14"/>
      <c r="I681" s="16" t="str">
        <f aca="false">IF(OR(A681="",C681=""),"",IF(OR(H681="İade",H681="İptal"),0,E681*IFERROR(INDEX(Kanallar!$B$5:$B$19,MATCH(C681,Kanallar!$A$5:$A$19,0)),0)))</f>
        <v/>
      </c>
      <c r="J681" s="16" t="str">
        <f aca="false">IF(I681="","",IF(H681="İptal",0,IF(H681="İade",-G681,E681-I681-F681-G681)))</f>
        <v/>
      </c>
    </row>
    <row r="682" customFormat="false" ht="15" hidden="false" customHeight="false" outlineLevel="0" collapsed="false">
      <c r="A682" s="12"/>
      <c r="B682" s="13"/>
      <c r="C682" s="14"/>
      <c r="D682" s="13"/>
      <c r="E682" s="15"/>
      <c r="F682" s="15"/>
      <c r="G682" s="15"/>
      <c r="H682" s="14"/>
      <c r="I682" s="16" t="str">
        <f aca="false">IF(OR(A682="",C682=""),"",IF(OR(H682="İade",H682="İptal"),0,E682*IFERROR(INDEX(Kanallar!$B$5:$B$19,MATCH(C682,Kanallar!$A$5:$A$19,0)),0)))</f>
        <v/>
      </c>
      <c r="J682" s="16" t="str">
        <f aca="false">IF(I682="","",IF(H682="İptal",0,IF(H682="İade",-G682,E682-I682-F682-G682)))</f>
        <v/>
      </c>
    </row>
    <row r="683" customFormat="false" ht="15" hidden="false" customHeight="false" outlineLevel="0" collapsed="false">
      <c r="A683" s="12"/>
      <c r="B683" s="13"/>
      <c r="C683" s="14"/>
      <c r="D683" s="13"/>
      <c r="E683" s="15"/>
      <c r="F683" s="15"/>
      <c r="G683" s="15"/>
      <c r="H683" s="14"/>
      <c r="I683" s="16" t="str">
        <f aca="false">IF(OR(A683="",C683=""),"",IF(OR(H683="İade",H683="İptal"),0,E683*IFERROR(INDEX(Kanallar!$B$5:$B$19,MATCH(C683,Kanallar!$A$5:$A$19,0)),0)))</f>
        <v/>
      </c>
      <c r="J683" s="16" t="str">
        <f aca="false">IF(I683="","",IF(H683="İptal",0,IF(H683="İade",-G683,E683-I683-F683-G683)))</f>
        <v/>
      </c>
    </row>
    <row r="684" customFormat="false" ht="15" hidden="false" customHeight="false" outlineLevel="0" collapsed="false">
      <c r="A684" s="12"/>
      <c r="B684" s="13"/>
      <c r="C684" s="14"/>
      <c r="D684" s="13"/>
      <c r="E684" s="15"/>
      <c r="F684" s="15"/>
      <c r="G684" s="15"/>
      <c r="H684" s="14"/>
      <c r="I684" s="16" t="str">
        <f aca="false">IF(OR(A684="",C684=""),"",IF(OR(H684="İade",H684="İptal"),0,E684*IFERROR(INDEX(Kanallar!$B$5:$B$19,MATCH(C684,Kanallar!$A$5:$A$19,0)),0)))</f>
        <v/>
      </c>
      <c r="J684" s="16" t="str">
        <f aca="false">IF(I684="","",IF(H684="İptal",0,IF(H684="İade",-G684,E684-I684-F684-G684)))</f>
        <v/>
      </c>
    </row>
    <row r="685" customFormat="false" ht="15" hidden="false" customHeight="false" outlineLevel="0" collapsed="false">
      <c r="A685" s="12"/>
      <c r="B685" s="13"/>
      <c r="C685" s="14"/>
      <c r="D685" s="13"/>
      <c r="E685" s="15"/>
      <c r="F685" s="15"/>
      <c r="G685" s="15"/>
      <c r="H685" s="14"/>
      <c r="I685" s="16" t="str">
        <f aca="false">IF(OR(A685="",C685=""),"",IF(OR(H685="İade",H685="İptal"),0,E685*IFERROR(INDEX(Kanallar!$B$5:$B$19,MATCH(C685,Kanallar!$A$5:$A$19,0)),0)))</f>
        <v/>
      </c>
      <c r="J685" s="16" t="str">
        <f aca="false">IF(I685="","",IF(H685="İptal",0,IF(H685="İade",-G685,E685-I685-F685-G685)))</f>
        <v/>
      </c>
    </row>
    <row r="686" customFormat="false" ht="15" hidden="false" customHeight="false" outlineLevel="0" collapsed="false">
      <c r="A686" s="12"/>
      <c r="B686" s="13"/>
      <c r="C686" s="14"/>
      <c r="D686" s="13"/>
      <c r="E686" s="15"/>
      <c r="F686" s="15"/>
      <c r="G686" s="15"/>
      <c r="H686" s="14"/>
      <c r="I686" s="16" t="str">
        <f aca="false">IF(OR(A686="",C686=""),"",IF(OR(H686="İade",H686="İptal"),0,E686*IFERROR(INDEX(Kanallar!$B$5:$B$19,MATCH(C686,Kanallar!$A$5:$A$19,0)),0)))</f>
        <v/>
      </c>
      <c r="J686" s="16" t="str">
        <f aca="false">IF(I686="","",IF(H686="İptal",0,IF(H686="İade",-G686,E686-I686-F686-G686)))</f>
        <v/>
      </c>
    </row>
    <row r="687" customFormat="false" ht="15" hidden="false" customHeight="false" outlineLevel="0" collapsed="false">
      <c r="A687" s="12"/>
      <c r="B687" s="13"/>
      <c r="C687" s="14"/>
      <c r="D687" s="13"/>
      <c r="E687" s="15"/>
      <c r="F687" s="15"/>
      <c r="G687" s="15"/>
      <c r="H687" s="14"/>
      <c r="I687" s="16" t="str">
        <f aca="false">IF(OR(A687="",C687=""),"",IF(OR(H687="İade",H687="İptal"),0,E687*IFERROR(INDEX(Kanallar!$B$5:$B$19,MATCH(C687,Kanallar!$A$5:$A$19,0)),0)))</f>
        <v/>
      </c>
      <c r="J687" s="16" t="str">
        <f aca="false">IF(I687="","",IF(H687="İptal",0,IF(H687="İade",-G687,E687-I687-F687-G687)))</f>
        <v/>
      </c>
    </row>
    <row r="688" customFormat="false" ht="15" hidden="false" customHeight="false" outlineLevel="0" collapsed="false">
      <c r="A688" s="12"/>
      <c r="B688" s="13"/>
      <c r="C688" s="14"/>
      <c r="D688" s="13"/>
      <c r="E688" s="15"/>
      <c r="F688" s="15"/>
      <c r="G688" s="15"/>
      <c r="H688" s="14"/>
      <c r="I688" s="16" t="str">
        <f aca="false">IF(OR(A688="",C688=""),"",IF(OR(H688="İade",H688="İptal"),0,E688*IFERROR(INDEX(Kanallar!$B$5:$B$19,MATCH(C688,Kanallar!$A$5:$A$19,0)),0)))</f>
        <v/>
      </c>
      <c r="J688" s="16" t="str">
        <f aca="false">IF(I688="","",IF(H688="İptal",0,IF(H688="İade",-G688,E688-I688-F688-G688)))</f>
        <v/>
      </c>
    </row>
    <row r="689" customFormat="false" ht="15" hidden="false" customHeight="false" outlineLevel="0" collapsed="false">
      <c r="A689" s="12"/>
      <c r="B689" s="13"/>
      <c r="C689" s="14"/>
      <c r="D689" s="13"/>
      <c r="E689" s="15"/>
      <c r="F689" s="15"/>
      <c r="G689" s="15"/>
      <c r="H689" s="14"/>
      <c r="I689" s="16" t="str">
        <f aca="false">IF(OR(A689="",C689=""),"",IF(OR(H689="İade",H689="İptal"),0,E689*IFERROR(INDEX(Kanallar!$B$5:$B$19,MATCH(C689,Kanallar!$A$5:$A$19,0)),0)))</f>
        <v/>
      </c>
      <c r="J689" s="16" t="str">
        <f aca="false">IF(I689="","",IF(H689="İptal",0,IF(H689="İade",-G689,E689-I689-F689-G689)))</f>
        <v/>
      </c>
    </row>
    <row r="690" customFormat="false" ht="15" hidden="false" customHeight="false" outlineLevel="0" collapsed="false">
      <c r="A690" s="12"/>
      <c r="B690" s="13"/>
      <c r="C690" s="14"/>
      <c r="D690" s="13"/>
      <c r="E690" s="15"/>
      <c r="F690" s="15"/>
      <c r="G690" s="15"/>
      <c r="H690" s="14"/>
      <c r="I690" s="16" t="str">
        <f aca="false">IF(OR(A690="",C690=""),"",IF(OR(H690="İade",H690="İptal"),0,E690*IFERROR(INDEX(Kanallar!$B$5:$B$19,MATCH(C690,Kanallar!$A$5:$A$19,0)),0)))</f>
        <v/>
      </c>
      <c r="J690" s="16" t="str">
        <f aca="false">IF(I690="","",IF(H690="İptal",0,IF(H690="İade",-G690,E690-I690-F690-G690)))</f>
        <v/>
      </c>
    </row>
    <row r="691" customFormat="false" ht="15" hidden="false" customHeight="false" outlineLevel="0" collapsed="false">
      <c r="A691" s="12"/>
      <c r="B691" s="13"/>
      <c r="C691" s="14"/>
      <c r="D691" s="13"/>
      <c r="E691" s="15"/>
      <c r="F691" s="15"/>
      <c r="G691" s="15"/>
      <c r="H691" s="14"/>
      <c r="I691" s="16" t="str">
        <f aca="false">IF(OR(A691="",C691=""),"",IF(OR(H691="İade",H691="İptal"),0,E691*IFERROR(INDEX(Kanallar!$B$5:$B$19,MATCH(C691,Kanallar!$A$5:$A$19,0)),0)))</f>
        <v/>
      </c>
      <c r="J691" s="16" t="str">
        <f aca="false">IF(I691="","",IF(H691="İptal",0,IF(H691="İade",-G691,E691-I691-F691-G691)))</f>
        <v/>
      </c>
    </row>
    <row r="692" customFormat="false" ht="15" hidden="false" customHeight="false" outlineLevel="0" collapsed="false">
      <c r="A692" s="12"/>
      <c r="B692" s="13"/>
      <c r="C692" s="14"/>
      <c r="D692" s="13"/>
      <c r="E692" s="15"/>
      <c r="F692" s="15"/>
      <c r="G692" s="15"/>
      <c r="H692" s="14"/>
      <c r="I692" s="16" t="str">
        <f aca="false">IF(OR(A692="",C692=""),"",IF(OR(H692="İade",H692="İptal"),0,E692*IFERROR(INDEX(Kanallar!$B$5:$B$19,MATCH(C692,Kanallar!$A$5:$A$19,0)),0)))</f>
        <v/>
      </c>
      <c r="J692" s="16" t="str">
        <f aca="false">IF(I692="","",IF(H692="İptal",0,IF(H692="İade",-G692,E692-I692-F692-G692)))</f>
        <v/>
      </c>
    </row>
    <row r="693" customFormat="false" ht="15" hidden="false" customHeight="false" outlineLevel="0" collapsed="false">
      <c r="A693" s="12"/>
      <c r="B693" s="13"/>
      <c r="C693" s="14"/>
      <c r="D693" s="13"/>
      <c r="E693" s="15"/>
      <c r="F693" s="15"/>
      <c r="G693" s="15"/>
      <c r="H693" s="14"/>
      <c r="I693" s="16" t="str">
        <f aca="false">IF(OR(A693="",C693=""),"",IF(OR(H693="İade",H693="İptal"),0,E693*IFERROR(INDEX(Kanallar!$B$5:$B$19,MATCH(C693,Kanallar!$A$5:$A$19,0)),0)))</f>
        <v/>
      </c>
      <c r="J693" s="16" t="str">
        <f aca="false">IF(I693="","",IF(H693="İptal",0,IF(H693="İade",-G693,E693-I693-F693-G693)))</f>
        <v/>
      </c>
    </row>
    <row r="694" customFormat="false" ht="15" hidden="false" customHeight="false" outlineLevel="0" collapsed="false">
      <c r="A694" s="12"/>
      <c r="B694" s="13"/>
      <c r="C694" s="14"/>
      <c r="D694" s="13"/>
      <c r="E694" s="15"/>
      <c r="F694" s="15"/>
      <c r="G694" s="15"/>
      <c r="H694" s="14"/>
      <c r="I694" s="16" t="str">
        <f aca="false">IF(OR(A694="",C694=""),"",IF(OR(H694="İade",H694="İptal"),0,E694*IFERROR(INDEX(Kanallar!$B$5:$B$19,MATCH(C694,Kanallar!$A$5:$A$19,0)),0)))</f>
        <v/>
      </c>
      <c r="J694" s="16" t="str">
        <f aca="false">IF(I694="","",IF(H694="İptal",0,IF(H694="İade",-G694,E694-I694-F694-G694)))</f>
        <v/>
      </c>
    </row>
    <row r="695" customFormat="false" ht="15" hidden="false" customHeight="false" outlineLevel="0" collapsed="false">
      <c r="A695" s="12"/>
      <c r="B695" s="13"/>
      <c r="C695" s="14"/>
      <c r="D695" s="13"/>
      <c r="E695" s="15"/>
      <c r="F695" s="15"/>
      <c r="G695" s="15"/>
      <c r="H695" s="14"/>
      <c r="I695" s="16" t="str">
        <f aca="false">IF(OR(A695="",C695=""),"",IF(OR(H695="İade",H695="İptal"),0,E695*IFERROR(INDEX(Kanallar!$B$5:$B$19,MATCH(C695,Kanallar!$A$5:$A$19,0)),0)))</f>
        <v/>
      </c>
      <c r="J695" s="16" t="str">
        <f aca="false">IF(I695="","",IF(H695="İptal",0,IF(H695="İade",-G695,E695-I695-F695-G695)))</f>
        <v/>
      </c>
    </row>
    <row r="696" customFormat="false" ht="15" hidden="false" customHeight="false" outlineLevel="0" collapsed="false">
      <c r="A696" s="12"/>
      <c r="B696" s="13"/>
      <c r="C696" s="14"/>
      <c r="D696" s="13"/>
      <c r="E696" s="15"/>
      <c r="F696" s="15"/>
      <c r="G696" s="15"/>
      <c r="H696" s="14"/>
      <c r="I696" s="16" t="str">
        <f aca="false">IF(OR(A696="",C696=""),"",IF(OR(H696="İade",H696="İptal"),0,E696*IFERROR(INDEX(Kanallar!$B$5:$B$19,MATCH(C696,Kanallar!$A$5:$A$19,0)),0)))</f>
        <v/>
      </c>
      <c r="J696" s="16" t="str">
        <f aca="false">IF(I696="","",IF(H696="İptal",0,IF(H696="İade",-G696,E696-I696-F696-G696)))</f>
        <v/>
      </c>
    </row>
    <row r="697" customFormat="false" ht="15" hidden="false" customHeight="false" outlineLevel="0" collapsed="false">
      <c r="A697" s="12"/>
      <c r="B697" s="13"/>
      <c r="C697" s="14"/>
      <c r="D697" s="13"/>
      <c r="E697" s="15"/>
      <c r="F697" s="15"/>
      <c r="G697" s="15"/>
      <c r="H697" s="14"/>
      <c r="I697" s="16" t="str">
        <f aca="false">IF(OR(A697="",C697=""),"",IF(OR(H697="İade",H697="İptal"),0,E697*IFERROR(INDEX(Kanallar!$B$5:$B$19,MATCH(C697,Kanallar!$A$5:$A$19,0)),0)))</f>
        <v/>
      </c>
      <c r="J697" s="16" t="str">
        <f aca="false">IF(I697="","",IF(H697="İptal",0,IF(H697="İade",-G697,E697-I697-F697-G697)))</f>
        <v/>
      </c>
    </row>
    <row r="698" customFormat="false" ht="15" hidden="false" customHeight="false" outlineLevel="0" collapsed="false">
      <c r="A698" s="12"/>
      <c r="B698" s="13"/>
      <c r="C698" s="14"/>
      <c r="D698" s="13"/>
      <c r="E698" s="15"/>
      <c r="F698" s="15"/>
      <c r="G698" s="15"/>
      <c r="H698" s="14"/>
      <c r="I698" s="16" t="str">
        <f aca="false">IF(OR(A698="",C698=""),"",IF(OR(H698="İade",H698="İptal"),0,E698*IFERROR(INDEX(Kanallar!$B$5:$B$19,MATCH(C698,Kanallar!$A$5:$A$19,0)),0)))</f>
        <v/>
      </c>
      <c r="J698" s="16" t="str">
        <f aca="false">IF(I698="","",IF(H698="İptal",0,IF(H698="İade",-G698,E698-I698-F698-G698)))</f>
        <v/>
      </c>
    </row>
    <row r="699" customFormat="false" ht="15" hidden="false" customHeight="false" outlineLevel="0" collapsed="false">
      <c r="A699" s="12"/>
      <c r="B699" s="13"/>
      <c r="C699" s="14"/>
      <c r="D699" s="13"/>
      <c r="E699" s="15"/>
      <c r="F699" s="15"/>
      <c r="G699" s="15"/>
      <c r="H699" s="14"/>
      <c r="I699" s="16" t="str">
        <f aca="false">IF(OR(A699="",C699=""),"",IF(OR(H699="İade",H699="İptal"),0,E699*IFERROR(INDEX(Kanallar!$B$5:$B$19,MATCH(C699,Kanallar!$A$5:$A$19,0)),0)))</f>
        <v/>
      </c>
      <c r="J699" s="16" t="str">
        <f aca="false">IF(I699="","",IF(H699="İptal",0,IF(H699="İade",-G699,E699-I699-F699-G699)))</f>
        <v/>
      </c>
    </row>
    <row r="700" customFormat="false" ht="15" hidden="false" customHeight="false" outlineLevel="0" collapsed="false">
      <c r="A700" s="12"/>
      <c r="B700" s="13"/>
      <c r="C700" s="14"/>
      <c r="D700" s="13"/>
      <c r="E700" s="15"/>
      <c r="F700" s="15"/>
      <c r="G700" s="15"/>
      <c r="H700" s="14"/>
      <c r="I700" s="16" t="str">
        <f aca="false">IF(OR(A700="",C700=""),"",IF(OR(H700="İade",H700="İptal"),0,E700*IFERROR(INDEX(Kanallar!$B$5:$B$19,MATCH(C700,Kanallar!$A$5:$A$19,0)),0)))</f>
        <v/>
      </c>
      <c r="J700" s="16" t="str">
        <f aca="false">IF(I700="","",IF(H700="İptal",0,IF(H700="İade",-G700,E700-I700-F700-G700)))</f>
        <v/>
      </c>
    </row>
    <row r="701" customFormat="false" ht="15" hidden="false" customHeight="false" outlineLevel="0" collapsed="false">
      <c r="A701" s="12"/>
      <c r="B701" s="13"/>
      <c r="C701" s="14"/>
      <c r="D701" s="13"/>
      <c r="E701" s="15"/>
      <c r="F701" s="15"/>
      <c r="G701" s="15"/>
      <c r="H701" s="14"/>
      <c r="I701" s="16" t="str">
        <f aca="false">IF(OR(A701="",C701=""),"",IF(OR(H701="İade",H701="İptal"),0,E701*IFERROR(INDEX(Kanallar!$B$5:$B$19,MATCH(C701,Kanallar!$A$5:$A$19,0)),0)))</f>
        <v/>
      </c>
      <c r="J701" s="16" t="str">
        <f aca="false">IF(I701="","",IF(H701="İptal",0,IF(H701="İade",-G701,E701-I701-F701-G701)))</f>
        <v/>
      </c>
    </row>
    <row r="702" customFormat="false" ht="15" hidden="false" customHeight="false" outlineLevel="0" collapsed="false">
      <c r="A702" s="12"/>
      <c r="B702" s="13"/>
      <c r="C702" s="14"/>
      <c r="D702" s="13"/>
      <c r="E702" s="15"/>
      <c r="F702" s="15"/>
      <c r="G702" s="15"/>
      <c r="H702" s="14"/>
      <c r="I702" s="16" t="str">
        <f aca="false">IF(OR(A702="",C702=""),"",IF(OR(H702="İade",H702="İptal"),0,E702*IFERROR(INDEX(Kanallar!$B$5:$B$19,MATCH(C702,Kanallar!$A$5:$A$19,0)),0)))</f>
        <v/>
      </c>
      <c r="J702" s="16" t="str">
        <f aca="false">IF(I702="","",IF(H702="İptal",0,IF(H702="İade",-G702,E702-I702-F702-G702)))</f>
        <v/>
      </c>
    </row>
    <row r="703" customFormat="false" ht="15" hidden="false" customHeight="false" outlineLevel="0" collapsed="false">
      <c r="A703" s="12"/>
      <c r="B703" s="13"/>
      <c r="C703" s="14"/>
      <c r="D703" s="13"/>
      <c r="E703" s="15"/>
      <c r="F703" s="15"/>
      <c r="G703" s="15"/>
      <c r="H703" s="14"/>
      <c r="I703" s="16" t="str">
        <f aca="false">IF(OR(A703="",C703=""),"",IF(OR(H703="İade",H703="İptal"),0,E703*IFERROR(INDEX(Kanallar!$B$5:$B$19,MATCH(C703,Kanallar!$A$5:$A$19,0)),0)))</f>
        <v/>
      </c>
      <c r="J703" s="16" t="str">
        <f aca="false">IF(I703="","",IF(H703="İptal",0,IF(H703="İade",-G703,E703-I703-F703-G703)))</f>
        <v/>
      </c>
    </row>
    <row r="704" customFormat="false" ht="15" hidden="false" customHeight="false" outlineLevel="0" collapsed="false">
      <c r="A704" s="12"/>
      <c r="B704" s="13"/>
      <c r="C704" s="14"/>
      <c r="D704" s="13"/>
      <c r="E704" s="15"/>
      <c r="F704" s="15"/>
      <c r="G704" s="15"/>
      <c r="H704" s="14"/>
      <c r="I704" s="16" t="str">
        <f aca="false">IF(OR(A704="",C704=""),"",IF(OR(H704="İade",H704="İptal"),0,E704*IFERROR(INDEX(Kanallar!$B$5:$B$19,MATCH(C704,Kanallar!$A$5:$A$19,0)),0)))</f>
        <v/>
      </c>
      <c r="J704" s="16" t="str">
        <f aca="false">IF(I704="","",IF(H704="İptal",0,IF(H704="İade",-G704,E704-I704-F704-G704)))</f>
        <v/>
      </c>
    </row>
    <row r="705" customFormat="false" ht="15" hidden="false" customHeight="false" outlineLevel="0" collapsed="false">
      <c r="A705" s="12"/>
      <c r="B705" s="13"/>
      <c r="C705" s="14"/>
      <c r="D705" s="13"/>
      <c r="E705" s="15"/>
      <c r="F705" s="15"/>
      <c r="G705" s="15"/>
      <c r="H705" s="14"/>
      <c r="I705" s="16" t="str">
        <f aca="false">IF(OR(A705="",C705=""),"",IF(OR(H705="İade",H705="İptal"),0,E705*IFERROR(INDEX(Kanallar!$B$5:$B$19,MATCH(C705,Kanallar!$A$5:$A$19,0)),0)))</f>
        <v/>
      </c>
      <c r="J705" s="16" t="str">
        <f aca="false">IF(I705="","",IF(H705="İptal",0,IF(H705="İade",-G705,E705-I705-F705-G705)))</f>
        <v/>
      </c>
    </row>
    <row r="706" customFormat="false" ht="15" hidden="false" customHeight="false" outlineLevel="0" collapsed="false">
      <c r="A706" s="12"/>
      <c r="B706" s="13"/>
      <c r="C706" s="14"/>
      <c r="D706" s="13"/>
      <c r="E706" s="15"/>
      <c r="F706" s="15"/>
      <c r="G706" s="15"/>
      <c r="H706" s="14"/>
      <c r="I706" s="16" t="str">
        <f aca="false">IF(OR(A706="",C706=""),"",IF(OR(H706="İade",H706="İptal"),0,E706*IFERROR(INDEX(Kanallar!$B$5:$B$19,MATCH(C706,Kanallar!$A$5:$A$19,0)),0)))</f>
        <v/>
      </c>
      <c r="J706" s="16" t="str">
        <f aca="false">IF(I706="","",IF(H706="İptal",0,IF(H706="İade",-G706,E706-I706-F706-G706)))</f>
        <v/>
      </c>
    </row>
    <row r="707" customFormat="false" ht="15" hidden="false" customHeight="false" outlineLevel="0" collapsed="false">
      <c r="A707" s="12"/>
      <c r="B707" s="13"/>
      <c r="C707" s="14"/>
      <c r="D707" s="13"/>
      <c r="E707" s="15"/>
      <c r="F707" s="15"/>
      <c r="G707" s="15"/>
      <c r="H707" s="14"/>
      <c r="I707" s="16" t="str">
        <f aca="false">IF(OR(A707="",C707=""),"",IF(OR(H707="İade",H707="İptal"),0,E707*IFERROR(INDEX(Kanallar!$B$5:$B$19,MATCH(C707,Kanallar!$A$5:$A$19,0)),0)))</f>
        <v/>
      </c>
      <c r="J707" s="16" t="str">
        <f aca="false">IF(I707="","",IF(H707="İptal",0,IF(H707="İade",-G707,E707-I707-F707-G707)))</f>
        <v/>
      </c>
    </row>
    <row r="708" customFormat="false" ht="15" hidden="false" customHeight="false" outlineLevel="0" collapsed="false">
      <c r="A708" s="12"/>
      <c r="B708" s="13"/>
      <c r="C708" s="14"/>
      <c r="D708" s="13"/>
      <c r="E708" s="15"/>
      <c r="F708" s="15"/>
      <c r="G708" s="15"/>
      <c r="H708" s="14"/>
      <c r="I708" s="16" t="str">
        <f aca="false">IF(OR(A708="",C708=""),"",IF(OR(H708="İade",H708="İptal"),0,E708*IFERROR(INDEX(Kanallar!$B$5:$B$19,MATCH(C708,Kanallar!$A$5:$A$19,0)),0)))</f>
        <v/>
      </c>
      <c r="J708" s="16" t="str">
        <f aca="false">IF(I708="","",IF(H708="İptal",0,IF(H708="İade",-G708,E708-I708-F708-G708)))</f>
        <v/>
      </c>
    </row>
    <row r="709" customFormat="false" ht="15" hidden="false" customHeight="false" outlineLevel="0" collapsed="false">
      <c r="A709" s="12"/>
      <c r="B709" s="13"/>
      <c r="C709" s="14"/>
      <c r="D709" s="13"/>
      <c r="E709" s="15"/>
      <c r="F709" s="15"/>
      <c r="G709" s="15"/>
      <c r="H709" s="14"/>
      <c r="I709" s="16" t="str">
        <f aca="false">IF(OR(A709="",C709=""),"",IF(OR(H709="İade",H709="İptal"),0,E709*IFERROR(INDEX(Kanallar!$B$5:$B$19,MATCH(C709,Kanallar!$A$5:$A$19,0)),0)))</f>
        <v/>
      </c>
      <c r="J709" s="16" t="str">
        <f aca="false">IF(I709="","",IF(H709="İptal",0,IF(H709="İade",-G709,E709-I709-F709-G709)))</f>
        <v/>
      </c>
    </row>
    <row r="710" customFormat="false" ht="15" hidden="false" customHeight="false" outlineLevel="0" collapsed="false">
      <c r="A710" s="12"/>
      <c r="B710" s="13"/>
      <c r="C710" s="14"/>
      <c r="D710" s="13"/>
      <c r="E710" s="15"/>
      <c r="F710" s="15"/>
      <c r="G710" s="15"/>
      <c r="H710" s="14"/>
      <c r="I710" s="16" t="str">
        <f aca="false">IF(OR(A710="",C710=""),"",IF(OR(H710="İade",H710="İptal"),0,E710*IFERROR(INDEX(Kanallar!$B$5:$B$19,MATCH(C710,Kanallar!$A$5:$A$19,0)),0)))</f>
        <v/>
      </c>
      <c r="J710" s="16" t="str">
        <f aca="false">IF(I710="","",IF(H710="İptal",0,IF(H710="İade",-G710,E710-I710-F710-G710)))</f>
        <v/>
      </c>
    </row>
    <row r="711" customFormat="false" ht="15" hidden="false" customHeight="false" outlineLevel="0" collapsed="false">
      <c r="A711" s="12"/>
      <c r="B711" s="13"/>
      <c r="C711" s="14"/>
      <c r="D711" s="13"/>
      <c r="E711" s="15"/>
      <c r="F711" s="15"/>
      <c r="G711" s="15"/>
      <c r="H711" s="14"/>
      <c r="I711" s="16" t="str">
        <f aca="false">IF(OR(A711="",C711=""),"",IF(OR(H711="İade",H711="İptal"),0,E711*IFERROR(INDEX(Kanallar!$B$5:$B$19,MATCH(C711,Kanallar!$A$5:$A$19,0)),0)))</f>
        <v/>
      </c>
      <c r="J711" s="16" t="str">
        <f aca="false">IF(I711="","",IF(H711="İptal",0,IF(H711="İade",-G711,E711-I711-F711-G711)))</f>
        <v/>
      </c>
    </row>
    <row r="712" customFormat="false" ht="15" hidden="false" customHeight="false" outlineLevel="0" collapsed="false">
      <c r="A712" s="12"/>
      <c r="B712" s="13"/>
      <c r="C712" s="14"/>
      <c r="D712" s="13"/>
      <c r="E712" s="15"/>
      <c r="F712" s="15"/>
      <c r="G712" s="15"/>
      <c r="H712" s="14"/>
      <c r="I712" s="16" t="str">
        <f aca="false">IF(OR(A712="",C712=""),"",IF(OR(H712="İade",H712="İptal"),0,E712*IFERROR(INDEX(Kanallar!$B$5:$B$19,MATCH(C712,Kanallar!$A$5:$A$19,0)),0)))</f>
        <v/>
      </c>
      <c r="J712" s="16" t="str">
        <f aca="false">IF(I712="","",IF(H712="İptal",0,IF(H712="İade",-G712,E712-I712-F712-G712)))</f>
        <v/>
      </c>
    </row>
    <row r="713" customFormat="false" ht="15" hidden="false" customHeight="false" outlineLevel="0" collapsed="false">
      <c r="A713" s="12"/>
      <c r="B713" s="13"/>
      <c r="C713" s="14"/>
      <c r="D713" s="13"/>
      <c r="E713" s="15"/>
      <c r="F713" s="15"/>
      <c r="G713" s="15"/>
      <c r="H713" s="14"/>
      <c r="I713" s="16" t="str">
        <f aca="false">IF(OR(A713="",C713=""),"",IF(OR(H713="İade",H713="İptal"),0,E713*IFERROR(INDEX(Kanallar!$B$5:$B$19,MATCH(C713,Kanallar!$A$5:$A$19,0)),0)))</f>
        <v/>
      </c>
      <c r="J713" s="16" t="str">
        <f aca="false">IF(I713="","",IF(H713="İptal",0,IF(H713="İade",-G713,E713-I713-F713-G713)))</f>
        <v/>
      </c>
    </row>
    <row r="714" customFormat="false" ht="15" hidden="false" customHeight="false" outlineLevel="0" collapsed="false">
      <c r="A714" s="12"/>
      <c r="B714" s="13"/>
      <c r="C714" s="14"/>
      <c r="D714" s="13"/>
      <c r="E714" s="15"/>
      <c r="F714" s="15"/>
      <c r="G714" s="15"/>
      <c r="H714" s="14"/>
      <c r="I714" s="16" t="str">
        <f aca="false">IF(OR(A714="",C714=""),"",IF(OR(H714="İade",H714="İptal"),0,E714*IFERROR(INDEX(Kanallar!$B$5:$B$19,MATCH(C714,Kanallar!$A$5:$A$19,0)),0)))</f>
        <v/>
      </c>
      <c r="J714" s="16" t="str">
        <f aca="false">IF(I714="","",IF(H714="İptal",0,IF(H714="İade",-G714,E714-I714-F714-G714)))</f>
        <v/>
      </c>
    </row>
    <row r="715" customFormat="false" ht="15" hidden="false" customHeight="false" outlineLevel="0" collapsed="false">
      <c r="A715" s="12"/>
      <c r="B715" s="13"/>
      <c r="C715" s="14"/>
      <c r="D715" s="13"/>
      <c r="E715" s="15"/>
      <c r="F715" s="15"/>
      <c r="G715" s="15"/>
      <c r="H715" s="14"/>
      <c r="I715" s="16" t="str">
        <f aca="false">IF(OR(A715="",C715=""),"",IF(OR(H715="İade",H715="İptal"),0,E715*IFERROR(INDEX(Kanallar!$B$5:$B$19,MATCH(C715,Kanallar!$A$5:$A$19,0)),0)))</f>
        <v/>
      </c>
      <c r="J715" s="16" t="str">
        <f aca="false">IF(I715="","",IF(H715="İptal",0,IF(H715="İade",-G715,E715-I715-F715-G715)))</f>
        <v/>
      </c>
    </row>
    <row r="716" customFormat="false" ht="15" hidden="false" customHeight="false" outlineLevel="0" collapsed="false">
      <c r="A716" s="12"/>
      <c r="B716" s="13"/>
      <c r="C716" s="14"/>
      <c r="D716" s="13"/>
      <c r="E716" s="15"/>
      <c r="F716" s="15"/>
      <c r="G716" s="15"/>
      <c r="H716" s="14"/>
      <c r="I716" s="16" t="str">
        <f aca="false">IF(OR(A716="",C716=""),"",IF(OR(H716="İade",H716="İptal"),0,E716*IFERROR(INDEX(Kanallar!$B$5:$B$19,MATCH(C716,Kanallar!$A$5:$A$19,0)),0)))</f>
        <v/>
      </c>
      <c r="J716" s="16" t="str">
        <f aca="false">IF(I716="","",IF(H716="İptal",0,IF(H716="İade",-G716,E716-I716-F716-G716)))</f>
        <v/>
      </c>
    </row>
    <row r="717" customFormat="false" ht="15" hidden="false" customHeight="false" outlineLevel="0" collapsed="false">
      <c r="A717" s="12"/>
      <c r="B717" s="13"/>
      <c r="C717" s="14"/>
      <c r="D717" s="13"/>
      <c r="E717" s="15"/>
      <c r="F717" s="15"/>
      <c r="G717" s="15"/>
      <c r="H717" s="14"/>
      <c r="I717" s="16" t="str">
        <f aca="false">IF(OR(A717="",C717=""),"",IF(OR(H717="İade",H717="İptal"),0,E717*IFERROR(INDEX(Kanallar!$B$5:$B$19,MATCH(C717,Kanallar!$A$5:$A$19,0)),0)))</f>
        <v/>
      </c>
      <c r="J717" s="16" t="str">
        <f aca="false">IF(I717="","",IF(H717="İptal",0,IF(H717="İade",-G717,E717-I717-F717-G717)))</f>
        <v/>
      </c>
    </row>
    <row r="718" customFormat="false" ht="15" hidden="false" customHeight="false" outlineLevel="0" collapsed="false">
      <c r="A718" s="12"/>
      <c r="B718" s="13"/>
      <c r="C718" s="14"/>
      <c r="D718" s="13"/>
      <c r="E718" s="15"/>
      <c r="F718" s="15"/>
      <c r="G718" s="15"/>
      <c r="H718" s="14"/>
      <c r="I718" s="16" t="str">
        <f aca="false">IF(OR(A718="",C718=""),"",IF(OR(H718="İade",H718="İptal"),0,E718*IFERROR(INDEX(Kanallar!$B$5:$B$19,MATCH(C718,Kanallar!$A$5:$A$19,0)),0)))</f>
        <v/>
      </c>
      <c r="J718" s="16" t="str">
        <f aca="false">IF(I718="","",IF(H718="İptal",0,IF(H718="İade",-G718,E718-I718-F718-G718)))</f>
        <v/>
      </c>
    </row>
    <row r="719" customFormat="false" ht="15" hidden="false" customHeight="false" outlineLevel="0" collapsed="false">
      <c r="A719" s="12"/>
      <c r="B719" s="13"/>
      <c r="C719" s="14"/>
      <c r="D719" s="13"/>
      <c r="E719" s="15"/>
      <c r="F719" s="15"/>
      <c r="G719" s="15"/>
      <c r="H719" s="14"/>
      <c r="I719" s="16" t="str">
        <f aca="false">IF(OR(A719="",C719=""),"",IF(OR(H719="İade",H719="İptal"),0,E719*IFERROR(INDEX(Kanallar!$B$5:$B$19,MATCH(C719,Kanallar!$A$5:$A$19,0)),0)))</f>
        <v/>
      </c>
      <c r="J719" s="16" t="str">
        <f aca="false">IF(I719="","",IF(H719="İptal",0,IF(H719="İade",-G719,E719-I719-F719-G719)))</f>
        <v/>
      </c>
    </row>
    <row r="720" customFormat="false" ht="15" hidden="false" customHeight="false" outlineLevel="0" collapsed="false">
      <c r="A720" s="12"/>
      <c r="B720" s="13"/>
      <c r="C720" s="14"/>
      <c r="D720" s="13"/>
      <c r="E720" s="15"/>
      <c r="F720" s="15"/>
      <c r="G720" s="15"/>
      <c r="H720" s="14"/>
      <c r="I720" s="16" t="str">
        <f aca="false">IF(OR(A720="",C720=""),"",IF(OR(H720="İade",H720="İptal"),0,E720*IFERROR(INDEX(Kanallar!$B$5:$B$19,MATCH(C720,Kanallar!$A$5:$A$19,0)),0)))</f>
        <v/>
      </c>
      <c r="J720" s="16" t="str">
        <f aca="false">IF(I720="","",IF(H720="İptal",0,IF(H720="İade",-G720,E720-I720-F720-G720)))</f>
        <v/>
      </c>
    </row>
    <row r="721" customFormat="false" ht="15" hidden="false" customHeight="false" outlineLevel="0" collapsed="false">
      <c r="A721" s="12"/>
      <c r="B721" s="13"/>
      <c r="C721" s="14"/>
      <c r="D721" s="13"/>
      <c r="E721" s="15"/>
      <c r="F721" s="15"/>
      <c r="G721" s="15"/>
      <c r="H721" s="14"/>
      <c r="I721" s="16" t="str">
        <f aca="false">IF(OR(A721="",C721=""),"",IF(OR(H721="İade",H721="İptal"),0,E721*IFERROR(INDEX(Kanallar!$B$5:$B$19,MATCH(C721,Kanallar!$A$5:$A$19,0)),0)))</f>
        <v/>
      </c>
      <c r="J721" s="16" t="str">
        <f aca="false">IF(I721="","",IF(H721="İptal",0,IF(H721="İade",-G721,E721-I721-F721-G721)))</f>
        <v/>
      </c>
    </row>
    <row r="722" customFormat="false" ht="15" hidden="false" customHeight="false" outlineLevel="0" collapsed="false">
      <c r="A722" s="12"/>
      <c r="B722" s="13"/>
      <c r="C722" s="14"/>
      <c r="D722" s="13"/>
      <c r="E722" s="15"/>
      <c r="F722" s="15"/>
      <c r="G722" s="15"/>
      <c r="H722" s="14"/>
      <c r="I722" s="16" t="str">
        <f aca="false">IF(OR(A722="",C722=""),"",IF(OR(H722="İade",H722="İptal"),0,E722*IFERROR(INDEX(Kanallar!$B$5:$B$19,MATCH(C722,Kanallar!$A$5:$A$19,0)),0)))</f>
        <v/>
      </c>
      <c r="J722" s="16" t="str">
        <f aca="false">IF(I722="","",IF(H722="İptal",0,IF(H722="İade",-G722,E722-I722-F722-G722)))</f>
        <v/>
      </c>
    </row>
    <row r="723" customFormat="false" ht="15" hidden="false" customHeight="false" outlineLevel="0" collapsed="false">
      <c r="A723" s="12"/>
      <c r="B723" s="13"/>
      <c r="C723" s="14"/>
      <c r="D723" s="13"/>
      <c r="E723" s="15"/>
      <c r="F723" s="15"/>
      <c r="G723" s="15"/>
      <c r="H723" s="14"/>
      <c r="I723" s="16" t="str">
        <f aca="false">IF(OR(A723="",C723=""),"",IF(OR(H723="İade",H723="İptal"),0,E723*IFERROR(INDEX(Kanallar!$B$5:$B$19,MATCH(C723,Kanallar!$A$5:$A$19,0)),0)))</f>
        <v/>
      </c>
      <c r="J723" s="16" t="str">
        <f aca="false">IF(I723="","",IF(H723="İptal",0,IF(H723="İade",-G723,E723-I723-F723-G723)))</f>
        <v/>
      </c>
    </row>
    <row r="724" customFormat="false" ht="15" hidden="false" customHeight="false" outlineLevel="0" collapsed="false">
      <c r="A724" s="12"/>
      <c r="B724" s="13"/>
      <c r="C724" s="14"/>
      <c r="D724" s="13"/>
      <c r="E724" s="15"/>
      <c r="F724" s="15"/>
      <c r="G724" s="15"/>
      <c r="H724" s="14"/>
      <c r="I724" s="16" t="str">
        <f aca="false">IF(OR(A724="",C724=""),"",IF(OR(H724="İade",H724="İptal"),0,E724*IFERROR(INDEX(Kanallar!$B$5:$B$19,MATCH(C724,Kanallar!$A$5:$A$19,0)),0)))</f>
        <v/>
      </c>
      <c r="J724" s="16" t="str">
        <f aca="false">IF(I724="","",IF(H724="İptal",0,IF(H724="İade",-G724,E724-I724-F724-G724)))</f>
        <v/>
      </c>
    </row>
    <row r="725" customFormat="false" ht="15" hidden="false" customHeight="false" outlineLevel="0" collapsed="false">
      <c r="A725" s="12"/>
      <c r="B725" s="13"/>
      <c r="C725" s="14"/>
      <c r="D725" s="13"/>
      <c r="E725" s="15"/>
      <c r="F725" s="15"/>
      <c r="G725" s="15"/>
      <c r="H725" s="14"/>
      <c r="I725" s="16" t="str">
        <f aca="false">IF(OR(A725="",C725=""),"",IF(OR(H725="İade",H725="İptal"),0,E725*IFERROR(INDEX(Kanallar!$B$5:$B$19,MATCH(C725,Kanallar!$A$5:$A$19,0)),0)))</f>
        <v/>
      </c>
      <c r="J725" s="16" t="str">
        <f aca="false">IF(I725="","",IF(H725="İptal",0,IF(H725="İade",-G725,E725-I725-F725-G725)))</f>
        <v/>
      </c>
    </row>
    <row r="726" customFormat="false" ht="15" hidden="false" customHeight="false" outlineLevel="0" collapsed="false">
      <c r="A726" s="12"/>
      <c r="B726" s="13"/>
      <c r="C726" s="14"/>
      <c r="D726" s="13"/>
      <c r="E726" s="15"/>
      <c r="F726" s="15"/>
      <c r="G726" s="15"/>
      <c r="H726" s="14"/>
      <c r="I726" s="16" t="str">
        <f aca="false">IF(OR(A726="",C726=""),"",IF(OR(H726="İade",H726="İptal"),0,E726*IFERROR(INDEX(Kanallar!$B$5:$B$19,MATCH(C726,Kanallar!$A$5:$A$19,0)),0)))</f>
        <v/>
      </c>
      <c r="J726" s="16" t="str">
        <f aca="false">IF(I726="","",IF(H726="İptal",0,IF(H726="İade",-G726,E726-I726-F726-G726)))</f>
        <v/>
      </c>
    </row>
    <row r="727" customFormat="false" ht="15" hidden="false" customHeight="false" outlineLevel="0" collapsed="false">
      <c r="A727" s="12"/>
      <c r="B727" s="13"/>
      <c r="C727" s="14"/>
      <c r="D727" s="13"/>
      <c r="E727" s="15"/>
      <c r="F727" s="15"/>
      <c r="G727" s="15"/>
      <c r="H727" s="14"/>
      <c r="I727" s="16" t="str">
        <f aca="false">IF(OR(A727="",C727=""),"",IF(OR(H727="İade",H727="İptal"),0,E727*IFERROR(INDEX(Kanallar!$B$5:$B$19,MATCH(C727,Kanallar!$A$5:$A$19,0)),0)))</f>
        <v/>
      </c>
      <c r="J727" s="16" t="str">
        <f aca="false">IF(I727="","",IF(H727="İptal",0,IF(H727="İade",-G727,E727-I727-F727-G727)))</f>
        <v/>
      </c>
    </row>
    <row r="728" customFormat="false" ht="15" hidden="false" customHeight="false" outlineLevel="0" collapsed="false">
      <c r="A728" s="12"/>
      <c r="B728" s="13"/>
      <c r="C728" s="14"/>
      <c r="D728" s="13"/>
      <c r="E728" s="15"/>
      <c r="F728" s="15"/>
      <c r="G728" s="15"/>
      <c r="H728" s="14"/>
      <c r="I728" s="16" t="str">
        <f aca="false">IF(OR(A728="",C728=""),"",IF(OR(H728="İade",H728="İptal"),0,E728*IFERROR(INDEX(Kanallar!$B$5:$B$19,MATCH(C728,Kanallar!$A$5:$A$19,0)),0)))</f>
        <v/>
      </c>
      <c r="J728" s="16" t="str">
        <f aca="false">IF(I728="","",IF(H728="İptal",0,IF(H728="İade",-G728,E728-I728-F728-G728)))</f>
        <v/>
      </c>
    </row>
    <row r="729" customFormat="false" ht="15" hidden="false" customHeight="false" outlineLevel="0" collapsed="false">
      <c r="A729" s="12"/>
      <c r="B729" s="13"/>
      <c r="C729" s="14"/>
      <c r="D729" s="13"/>
      <c r="E729" s="15"/>
      <c r="F729" s="15"/>
      <c r="G729" s="15"/>
      <c r="H729" s="14"/>
      <c r="I729" s="16" t="str">
        <f aca="false">IF(OR(A729="",C729=""),"",IF(OR(H729="İade",H729="İptal"),0,E729*IFERROR(INDEX(Kanallar!$B$5:$B$19,MATCH(C729,Kanallar!$A$5:$A$19,0)),0)))</f>
        <v/>
      </c>
      <c r="J729" s="16" t="str">
        <f aca="false">IF(I729="","",IF(H729="İptal",0,IF(H729="İade",-G729,E729-I729-F729-G729)))</f>
        <v/>
      </c>
    </row>
    <row r="730" customFormat="false" ht="15" hidden="false" customHeight="false" outlineLevel="0" collapsed="false">
      <c r="A730" s="12"/>
      <c r="B730" s="13"/>
      <c r="C730" s="14"/>
      <c r="D730" s="13"/>
      <c r="E730" s="15"/>
      <c r="F730" s="15"/>
      <c r="G730" s="15"/>
      <c r="H730" s="14"/>
      <c r="I730" s="16" t="str">
        <f aca="false">IF(OR(A730="",C730=""),"",IF(OR(H730="İade",H730="İptal"),0,E730*IFERROR(INDEX(Kanallar!$B$5:$B$19,MATCH(C730,Kanallar!$A$5:$A$19,0)),0)))</f>
        <v/>
      </c>
      <c r="J730" s="16" t="str">
        <f aca="false">IF(I730="","",IF(H730="İptal",0,IF(H730="İade",-G730,E730-I730-F730-G730)))</f>
        <v/>
      </c>
    </row>
    <row r="731" customFormat="false" ht="15" hidden="false" customHeight="false" outlineLevel="0" collapsed="false">
      <c r="A731" s="12"/>
      <c r="B731" s="13"/>
      <c r="C731" s="14"/>
      <c r="D731" s="13"/>
      <c r="E731" s="15"/>
      <c r="F731" s="15"/>
      <c r="G731" s="15"/>
      <c r="H731" s="14"/>
      <c r="I731" s="16" t="str">
        <f aca="false">IF(OR(A731="",C731=""),"",IF(OR(H731="İade",H731="İptal"),0,E731*IFERROR(INDEX(Kanallar!$B$5:$B$19,MATCH(C731,Kanallar!$A$5:$A$19,0)),0)))</f>
        <v/>
      </c>
      <c r="J731" s="16" t="str">
        <f aca="false">IF(I731="","",IF(H731="İptal",0,IF(H731="İade",-G731,E731-I731-F731-G731)))</f>
        <v/>
      </c>
    </row>
    <row r="732" customFormat="false" ht="15" hidden="false" customHeight="false" outlineLevel="0" collapsed="false">
      <c r="A732" s="12"/>
      <c r="B732" s="13"/>
      <c r="C732" s="14"/>
      <c r="D732" s="13"/>
      <c r="E732" s="15"/>
      <c r="F732" s="15"/>
      <c r="G732" s="15"/>
      <c r="H732" s="14"/>
      <c r="I732" s="16" t="str">
        <f aca="false">IF(OR(A732="",C732=""),"",IF(OR(H732="İade",H732="İptal"),0,E732*IFERROR(INDEX(Kanallar!$B$5:$B$19,MATCH(C732,Kanallar!$A$5:$A$19,0)),0)))</f>
        <v/>
      </c>
      <c r="J732" s="16" t="str">
        <f aca="false">IF(I732="","",IF(H732="İptal",0,IF(H732="İade",-G732,E732-I732-F732-G732)))</f>
        <v/>
      </c>
    </row>
    <row r="733" customFormat="false" ht="15" hidden="false" customHeight="false" outlineLevel="0" collapsed="false">
      <c r="A733" s="12"/>
      <c r="B733" s="13"/>
      <c r="C733" s="14"/>
      <c r="D733" s="13"/>
      <c r="E733" s="15"/>
      <c r="F733" s="15"/>
      <c r="G733" s="15"/>
      <c r="H733" s="14"/>
      <c r="I733" s="16" t="str">
        <f aca="false">IF(OR(A733="",C733=""),"",IF(OR(H733="İade",H733="İptal"),0,E733*IFERROR(INDEX(Kanallar!$B$5:$B$19,MATCH(C733,Kanallar!$A$5:$A$19,0)),0)))</f>
        <v/>
      </c>
      <c r="J733" s="16" t="str">
        <f aca="false">IF(I733="","",IF(H733="İptal",0,IF(H733="İade",-G733,E733-I733-F733-G733)))</f>
        <v/>
      </c>
    </row>
    <row r="734" customFormat="false" ht="15" hidden="false" customHeight="false" outlineLevel="0" collapsed="false">
      <c r="A734" s="12"/>
      <c r="B734" s="13"/>
      <c r="C734" s="14"/>
      <c r="D734" s="13"/>
      <c r="E734" s="15"/>
      <c r="F734" s="15"/>
      <c r="G734" s="15"/>
      <c r="H734" s="14"/>
      <c r="I734" s="16" t="str">
        <f aca="false">IF(OR(A734="",C734=""),"",IF(OR(H734="İade",H734="İptal"),0,E734*IFERROR(INDEX(Kanallar!$B$5:$B$19,MATCH(C734,Kanallar!$A$5:$A$19,0)),0)))</f>
        <v/>
      </c>
      <c r="J734" s="16" t="str">
        <f aca="false">IF(I734="","",IF(H734="İptal",0,IF(H734="İade",-G734,E734-I734-F734-G734)))</f>
        <v/>
      </c>
    </row>
    <row r="735" customFormat="false" ht="15" hidden="false" customHeight="false" outlineLevel="0" collapsed="false">
      <c r="A735" s="12"/>
      <c r="B735" s="13"/>
      <c r="C735" s="14"/>
      <c r="D735" s="13"/>
      <c r="E735" s="15"/>
      <c r="F735" s="15"/>
      <c r="G735" s="15"/>
      <c r="H735" s="14"/>
      <c r="I735" s="16" t="str">
        <f aca="false">IF(OR(A735="",C735=""),"",IF(OR(H735="İade",H735="İptal"),0,E735*IFERROR(INDEX(Kanallar!$B$5:$B$19,MATCH(C735,Kanallar!$A$5:$A$19,0)),0)))</f>
        <v/>
      </c>
      <c r="J735" s="16" t="str">
        <f aca="false">IF(I735="","",IF(H735="İptal",0,IF(H735="İade",-G735,E735-I735-F735-G735)))</f>
        <v/>
      </c>
    </row>
    <row r="736" customFormat="false" ht="15" hidden="false" customHeight="false" outlineLevel="0" collapsed="false">
      <c r="A736" s="12"/>
      <c r="B736" s="13"/>
      <c r="C736" s="14"/>
      <c r="D736" s="13"/>
      <c r="E736" s="15"/>
      <c r="F736" s="15"/>
      <c r="G736" s="15"/>
      <c r="H736" s="14"/>
      <c r="I736" s="16" t="str">
        <f aca="false">IF(OR(A736="",C736=""),"",IF(OR(H736="İade",H736="İptal"),0,E736*IFERROR(INDEX(Kanallar!$B$5:$B$19,MATCH(C736,Kanallar!$A$5:$A$19,0)),0)))</f>
        <v/>
      </c>
      <c r="J736" s="16" t="str">
        <f aca="false">IF(I736="","",IF(H736="İptal",0,IF(H736="İade",-G736,E736-I736-F736-G736)))</f>
        <v/>
      </c>
    </row>
    <row r="737" customFormat="false" ht="15" hidden="false" customHeight="false" outlineLevel="0" collapsed="false">
      <c r="A737" s="12"/>
      <c r="B737" s="13"/>
      <c r="C737" s="14"/>
      <c r="D737" s="13"/>
      <c r="E737" s="15"/>
      <c r="F737" s="15"/>
      <c r="G737" s="15"/>
      <c r="H737" s="14"/>
      <c r="I737" s="16" t="str">
        <f aca="false">IF(OR(A737="",C737=""),"",IF(OR(H737="İade",H737="İptal"),0,E737*IFERROR(INDEX(Kanallar!$B$5:$B$19,MATCH(C737,Kanallar!$A$5:$A$19,0)),0)))</f>
        <v/>
      </c>
      <c r="J737" s="16" t="str">
        <f aca="false">IF(I737="","",IF(H737="İptal",0,IF(H737="İade",-G737,E737-I737-F737-G737)))</f>
        <v/>
      </c>
    </row>
    <row r="738" customFormat="false" ht="15" hidden="false" customHeight="false" outlineLevel="0" collapsed="false">
      <c r="A738" s="12"/>
      <c r="B738" s="13"/>
      <c r="C738" s="14"/>
      <c r="D738" s="13"/>
      <c r="E738" s="15"/>
      <c r="F738" s="15"/>
      <c r="G738" s="15"/>
      <c r="H738" s="14"/>
      <c r="I738" s="16" t="str">
        <f aca="false">IF(OR(A738="",C738=""),"",IF(OR(H738="İade",H738="İptal"),0,E738*IFERROR(INDEX(Kanallar!$B$5:$B$19,MATCH(C738,Kanallar!$A$5:$A$19,0)),0)))</f>
        <v/>
      </c>
      <c r="J738" s="16" t="str">
        <f aca="false">IF(I738="","",IF(H738="İptal",0,IF(H738="İade",-G738,E738-I738-F738-G738)))</f>
        <v/>
      </c>
    </row>
    <row r="739" customFormat="false" ht="15" hidden="false" customHeight="false" outlineLevel="0" collapsed="false">
      <c r="A739" s="12"/>
      <c r="B739" s="13"/>
      <c r="C739" s="14"/>
      <c r="D739" s="13"/>
      <c r="E739" s="15"/>
      <c r="F739" s="15"/>
      <c r="G739" s="15"/>
      <c r="H739" s="14"/>
      <c r="I739" s="16" t="str">
        <f aca="false">IF(OR(A739="",C739=""),"",IF(OR(H739="İade",H739="İptal"),0,E739*IFERROR(INDEX(Kanallar!$B$5:$B$19,MATCH(C739,Kanallar!$A$5:$A$19,0)),0)))</f>
        <v/>
      </c>
      <c r="J739" s="16" t="str">
        <f aca="false">IF(I739="","",IF(H739="İptal",0,IF(H739="İade",-G739,E739-I739-F739-G739)))</f>
        <v/>
      </c>
    </row>
    <row r="740" customFormat="false" ht="15" hidden="false" customHeight="false" outlineLevel="0" collapsed="false">
      <c r="A740" s="12"/>
      <c r="B740" s="13"/>
      <c r="C740" s="14"/>
      <c r="D740" s="13"/>
      <c r="E740" s="15"/>
      <c r="F740" s="15"/>
      <c r="G740" s="15"/>
      <c r="H740" s="14"/>
      <c r="I740" s="16" t="str">
        <f aca="false">IF(OR(A740="",C740=""),"",IF(OR(H740="İade",H740="İptal"),0,E740*IFERROR(INDEX(Kanallar!$B$5:$B$19,MATCH(C740,Kanallar!$A$5:$A$19,0)),0)))</f>
        <v/>
      </c>
      <c r="J740" s="16" t="str">
        <f aca="false">IF(I740="","",IF(H740="İptal",0,IF(H740="İade",-G740,E740-I740-F740-G740)))</f>
        <v/>
      </c>
    </row>
    <row r="741" customFormat="false" ht="15" hidden="false" customHeight="false" outlineLevel="0" collapsed="false">
      <c r="A741" s="12"/>
      <c r="B741" s="13"/>
      <c r="C741" s="14"/>
      <c r="D741" s="13"/>
      <c r="E741" s="15"/>
      <c r="F741" s="15"/>
      <c r="G741" s="15"/>
      <c r="H741" s="14"/>
      <c r="I741" s="16" t="str">
        <f aca="false">IF(OR(A741="",C741=""),"",IF(OR(H741="İade",H741="İptal"),0,E741*IFERROR(INDEX(Kanallar!$B$5:$B$19,MATCH(C741,Kanallar!$A$5:$A$19,0)),0)))</f>
        <v/>
      </c>
      <c r="J741" s="16" t="str">
        <f aca="false">IF(I741="","",IF(H741="İptal",0,IF(H741="İade",-G741,E741-I741-F741-G741)))</f>
        <v/>
      </c>
    </row>
    <row r="742" customFormat="false" ht="15" hidden="false" customHeight="false" outlineLevel="0" collapsed="false">
      <c r="A742" s="12"/>
      <c r="B742" s="13"/>
      <c r="C742" s="14"/>
      <c r="D742" s="13"/>
      <c r="E742" s="15"/>
      <c r="F742" s="15"/>
      <c r="G742" s="15"/>
      <c r="H742" s="14"/>
      <c r="I742" s="16" t="str">
        <f aca="false">IF(OR(A742="",C742=""),"",IF(OR(H742="İade",H742="İptal"),0,E742*IFERROR(INDEX(Kanallar!$B$5:$B$19,MATCH(C742,Kanallar!$A$5:$A$19,0)),0)))</f>
        <v/>
      </c>
      <c r="J742" s="16" t="str">
        <f aca="false">IF(I742="","",IF(H742="İptal",0,IF(H742="İade",-G742,E742-I742-F742-G742)))</f>
        <v/>
      </c>
    </row>
    <row r="743" customFormat="false" ht="15" hidden="false" customHeight="false" outlineLevel="0" collapsed="false">
      <c r="A743" s="12"/>
      <c r="B743" s="13"/>
      <c r="C743" s="14"/>
      <c r="D743" s="13"/>
      <c r="E743" s="15"/>
      <c r="F743" s="15"/>
      <c r="G743" s="15"/>
      <c r="H743" s="14"/>
      <c r="I743" s="16" t="str">
        <f aca="false">IF(OR(A743="",C743=""),"",IF(OR(H743="İade",H743="İptal"),0,E743*IFERROR(INDEX(Kanallar!$B$5:$B$19,MATCH(C743,Kanallar!$A$5:$A$19,0)),0)))</f>
        <v/>
      </c>
      <c r="J743" s="16" t="str">
        <f aca="false">IF(I743="","",IF(H743="İptal",0,IF(H743="İade",-G743,E743-I743-F743-G743)))</f>
        <v/>
      </c>
    </row>
    <row r="744" customFormat="false" ht="15" hidden="false" customHeight="false" outlineLevel="0" collapsed="false">
      <c r="A744" s="12"/>
      <c r="B744" s="13"/>
      <c r="C744" s="14"/>
      <c r="D744" s="13"/>
      <c r="E744" s="15"/>
      <c r="F744" s="15"/>
      <c r="G744" s="15"/>
      <c r="H744" s="14"/>
      <c r="I744" s="16" t="str">
        <f aca="false">IF(OR(A744="",C744=""),"",IF(OR(H744="İade",H744="İptal"),0,E744*IFERROR(INDEX(Kanallar!$B$5:$B$19,MATCH(C744,Kanallar!$A$5:$A$19,0)),0)))</f>
        <v/>
      </c>
      <c r="J744" s="16" t="str">
        <f aca="false">IF(I744="","",IF(H744="İptal",0,IF(H744="İade",-G744,E744-I744-F744-G744)))</f>
        <v/>
      </c>
    </row>
    <row r="745" customFormat="false" ht="15" hidden="false" customHeight="false" outlineLevel="0" collapsed="false">
      <c r="A745" s="12"/>
      <c r="B745" s="13"/>
      <c r="C745" s="14"/>
      <c r="D745" s="13"/>
      <c r="E745" s="15"/>
      <c r="F745" s="15"/>
      <c r="G745" s="15"/>
      <c r="H745" s="14"/>
      <c r="I745" s="16" t="str">
        <f aca="false">IF(OR(A745="",C745=""),"",IF(OR(H745="İade",H745="İptal"),0,E745*IFERROR(INDEX(Kanallar!$B$5:$B$19,MATCH(C745,Kanallar!$A$5:$A$19,0)),0)))</f>
        <v/>
      </c>
      <c r="J745" s="16" t="str">
        <f aca="false">IF(I745="","",IF(H745="İptal",0,IF(H745="İade",-G745,E745-I745-F745-G745)))</f>
        <v/>
      </c>
    </row>
    <row r="746" customFormat="false" ht="15" hidden="false" customHeight="false" outlineLevel="0" collapsed="false">
      <c r="A746" s="12"/>
      <c r="B746" s="13"/>
      <c r="C746" s="14"/>
      <c r="D746" s="13"/>
      <c r="E746" s="15"/>
      <c r="F746" s="15"/>
      <c r="G746" s="15"/>
      <c r="H746" s="14"/>
      <c r="I746" s="16" t="str">
        <f aca="false">IF(OR(A746="",C746=""),"",IF(OR(H746="İade",H746="İptal"),0,E746*IFERROR(INDEX(Kanallar!$B$5:$B$19,MATCH(C746,Kanallar!$A$5:$A$19,0)),0)))</f>
        <v/>
      </c>
      <c r="J746" s="16" t="str">
        <f aca="false">IF(I746="","",IF(H746="İptal",0,IF(H746="İade",-G746,E746-I746-F746-G746)))</f>
        <v/>
      </c>
    </row>
    <row r="747" customFormat="false" ht="15" hidden="false" customHeight="false" outlineLevel="0" collapsed="false">
      <c r="A747" s="12"/>
      <c r="B747" s="13"/>
      <c r="C747" s="14"/>
      <c r="D747" s="13"/>
      <c r="E747" s="15"/>
      <c r="F747" s="15"/>
      <c r="G747" s="15"/>
      <c r="H747" s="14"/>
      <c r="I747" s="16" t="str">
        <f aca="false">IF(OR(A747="",C747=""),"",IF(OR(H747="İade",H747="İptal"),0,E747*IFERROR(INDEX(Kanallar!$B$5:$B$19,MATCH(C747,Kanallar!$A$5:$A$19,0)),0)))</f>
        <v/>
      </c>
      <c r="J747" s="16" t="str">
        <f aca="false">IF(I747="","",IF(H747="İptal",0,IF(H747="İade",-G747,E747-I747-F747-G747)))</f>
        <v/>
      </c>
    </row>
    <row r="748" customFormat="false" ht="15" hidden="false" customHeight="false" outlineLevel="0" collapsed="false">
      <c r="A748" s="12"/>
      <c r="B748" s="13"/>
      <c r="C748" s="14"/>
      <c r="D748" s="13"/>
      <c r="E748" s="15"/>
      <c r="F748" s="15"/>
      <c r="G748" s="15"/>
      <c r="H748" s="14"/>
      <c r="I748" s="16" t="str">
        <f aca="false">IF(OR(A748="",C748=""),"",IF(OR(H748="İade",H748="İptal"),0,E748*IFERROR(INDEX(Kanallar!$B$5:$B$19,MATCH(C748,Kanallar!$A$5:$A$19,0)),0)))</f>
        <v/>
      </c>
      <c r="J748" s="16" t="str">
        <f aca="false">IF(I748="","",IF(H748="İptal",0,IF(H748="İade",-G748,E748-I748-F748-G748)))</f>
        <v/>
      </c>
    </row>
    <row r="749" customFormat="false" ht="15" hidden="false" customHeight="false" outlineLevel="0" collapsed="false">
      <c r="A749" s="12"/>
      <c r="B749" s="13"/>
      <c r="C749" s="14"/>
      <c r="D749" s="13"/>
      <c r="E749" s="15"/>
      <c r="F749" s="15"/>
      <c r="G749" s="15"/>
      <c r="H749" s="14"/>
      <c r="I749" s="16" t="str">
        <f aca="false">IF(OR(A749="",C749=""),"",IF(OR(H749="İade",H749="İptal"),0,E749*IFERROR(INDEX(Kanallar!$B$5:$B$19,MATCH(C749,Kanallar!$A$5:$A$19,0)),0)))</f>
        <v/>
      </c>
      <c r="J749" s="16" t="str">
        <f aca="false">IF(I749="","",IF(H749="İptal",0,IF(H749="İade",-G749,E749-I749-F749-G749)))</f>
        <v/>
      </c>
    </row>
    <row r="750" customFormat="false" ht="15" hidden="false" customHeight="false" outlineLevel="0" collapsed="false">
      <c r="A750" s="12"/>
      <c r="B750" s="13"/>
      <c r="C750" s="14"/>
      <c r="D750" s="13"/>
      <c r="E750" s="15"/>
      <c r="F750" s="15"/>
      <c r="G750" s="15"/>
      <c r="H750" s="14"/>
      <c r="I750" s="16" t="str">
        <f aca="false">IF(OR(A750="",C750=""),"",IF(OR(H750="İade",H750="İptal"),0,E750*IFERROR(INDEX(Kanallar!$B$5:$B$19,MATCH(C750,Kanallar!$A$5:$A$19,0)),0)))</f>
        <v/>
      </c>
      <c r="J750" s="16" t="str">
        <f aca="false">IF(I750="","",IF(H750="İptal",0,IF(H750="İade",-G750,E750-I750-F750-G750)))</f>
        <v/>
      </c>
    </row>
    <row r="751" customFormat="false" ht="15" hidden="false" customHeight="false" outlineLevel="0" collapsed="false">
      <c r="A751" s="12"/>
      <c r="B751" s="13"/>
      <c r="C751" s="14"/>
      <c r="D751" s="13"/>
      <c r="E751" s="15"/>
      <c r="F751" s="15"/>
      <c r="G751" s="15"/>
      <c r="H751" s="14"/>
      <c r="I751" s="16" t="str">
        <f aca="false">IF(OR(A751="",C751=""),"",IF(OR(H751="İade",H751="İptal"),0,E751*IFERROR(INDEX(Kanallar!$B$5:$B$19,MATCH(C751,Kanallar!$A$5:$A$19,0)),0)))</f>
        <v/>
      </c>
      <c r="J751" s="16" t="str">
        <f aca="false">IF(I751="","",IF(H751="İptal",0,IF(H751="İade",-G751,E751-I751-F751-G751)))</f>
        <v/>
      </c>
    </row>
    <row r="752" customFormat="false" ht="15" hidden="false" customHeight="false" outlineLevel="0" collapsed="false">
      <c r="A752" s="12"/>
      <c r="B752" s="13"/>
      <c r="C752" s="14"/>
      <c r="D752" s="13"/>
      <c r="E752" s="15"/>
      <c r="F752" s="15"/>
      <c r="G752" s="15"/>
      <c r="H752" s="14"/>
      <c r="I752" s="16" t="str">
        <f aca="false">IF(OR(A752="",C752=""),"",IF(OR(H752="İade",H752="İptal"),0,E752*IFERROR(INDEX(Kanallar!$B$5:$B$19,MATCH(C752,Kanallar!$A$5:$A$19,0)),0)))</f>
        <v/>
      </c>
      <c r="J752" s="16" t="str">
        <f aca="false">IF(I752="","",IF(H752="İptal",0,IF(H752="İade",-G752,E752-I752-F752-G752)))</f>
        <v/>
      </c>
    </row>
    <row r="753" customFormat="false" ht="15" hidden="false" customHeight="false" outlineLevel="0" collapsed="false">
      <c r="A753" s="12"/>
      <c r="B753" s="13"/>
      <c r="C753" s="14"/>
      <c r="D753" s="13"/>
      <c r="E753" s="15"/>
      <c r="F753" s="15"/>
      <c r="G753" s="15"/>
      <c r="H753" s="14"/>
      <c r="I753" s="16" t="str">
        <f aca="false">IF(OR(A753="",C753=""),"",IF(OR(H753="İade",H753="İptal"),0,E753*IFERROR(INDEX(Kanallar!$B$5:$B$19,MATCH(C753,Kanallar!$A$5:$A$19,0)),0)))</f>
        <v/>
      </c>
      <c r="J753" s="16" t="str">
        <f aca="false">IF(I753="","",IF(H753="İptal",0,IF(H753="İade",-G753,E753-I753-F753-G753)))</f>
        <v/>
      </c>
    </row>
    <row r="754" customFormat="false" ht="15" hidden="false" customHeight="false" outlineLevel="0" collapsed="false">
      <c r="A754" s="12"/>
      <c r="B754" s="13"/>
      <c r="C754" s="14"/>
      <c r="D754" s="13"/>
      <c r="E754" s="15"/>
      <c r="F754" s="15"/>
      <c r="G754" s="15"/>
      <c r="H754" s="14"/>
      <c r="I754" s="16" t="str">
        <f aca="false">IF(OR(A754="",C754=""),"",IF(OR(H754="İade",H754="İptal"),0,E754*IFERROR(INDEX(Kanallar!$B$5:$B$19,MATCH(C754,Kanallar!$A$5:$A$19,0)),0)))</f>
        <v/>
      </c>
      <c r="J754" s="16" t="str">
        <f aca="false">IF(I754="","",IF(H754="İptal",0,IF(H754="İade",-G754,E754-I754-F754-G754)))</f>
        <v/>
      </c>
    </row>
    <row r="755" customFormat="false" ht="15" hidden="false" customHeight="false" outlineLevel="0" collapsed="false">
      <c r="A755" s="12"/>
      <c r="B755" s="13"/>
      <c r="C755" s="14"/>
      <c r="D755" s="13"/>
      <c r="E755" s="15"/>
      <c r="F755" s="15"/>
      <c r="G755" s="15"/>
      <c r="H755" s="14"/>
      <c r="I755" s="16" t="str">
        <f aca="false">IF(OR(A755="",C755=""),"",IF(OR(H755="İade",H755="İptal"),0,E755*IFERROR(INDEX(Kanallar!$B$5:$B$19,MATCH(C755,Kanallar!$A$5:$A$19,0)),0)))</f>
        <v/>
      </c>
      <c r="J755" s="16" t="str">
        <f aca="false">IF(I755="","",IF(H755="İptal",0,IF(H755="İade",-G755,E755-I755-F755-G755)))</f>
        <v/>
      </c>
    </row>
    <row r="756" customFormat="false" ht="15" hidden="false" customHeight="false" outlineLevel="0" collapsed="false">
      <c r="A756" s="12"/>
      <c r="B756" s="13"/>
      <c r="C756" s="14"/>
      <c r="D756" s="13"/>
      <c r="E756" s="15"/>
      <c r="F756" s="15"/>
      <c r="G756" s="15"/>
      <c r="H756" s="14"/>
      <c r="I756" s="16" t="str">
        <f aca="false">IF(OR(A756="",C756=""),"",IF(OR(H756="İade",H756="İptal"),0,E756*IFERROR(INDEX(Kanallar!$B$5:$B$19,MATCH(C756,Kanallar!$A$5:$A$19,0)),0)))</f>
        <v/>
      </c>
      <c r="J756" s="16" t="str">
        <f aca="false">IF(I756="","",IF(H756="İptal",0,IF(H756="İade",-G756,E756-I756-F756-G756)))</f>
        <v/>
      </c>
    </row>
    <row r="757" customFormat="false" ht="15" hidden="false" customHeight="false" outlineLevel="0" collapsed="false">
      <c r="A757" s="12"/>
      <c r="B757" s="13"/>
      <c r="C757" s="14"/>
      <c r="D757" s="13"/>
      <c r="E757" s="15"/>
      <c r="F757" s="15"/>
      <c r="G757" s="15"/>
      <c r="H757" s="14"/>
      <c r="I757" s="16" t="str">
        <f aca="false">IF(OR(A757="",C757=""),"",IF(OR(H757="İade",H757="İptal"),0,E757*IFERROR(INDEX(Kanallar!$B$5:$B$19,MATCH(C757,Kanallar!$A$5:$A$19,0)),0)))</f>
        <v/>
      </c>
      <c r="J757" s="16" t="str">
        <f aca="false">IF(I757="","",IF(H757="İptal",0,IF(H757="İade",-G757,E757-I757-F757-G757)))</f>
        <v/>
      </c>
    </row>
    <row r="758" customFormat="false" ht="15" hidden="false" customHeight="false" outlineLevel="0" collapsed="false">
      <c r="A758" s="12"/>
      <c r="B758" s="13"/>
      <c r="C758" s="14"/>
      <c r="D758" s="13"/>
      <c r="E758" s="15"/>
      <c r="F758" s="15"/>
      <c r="G758" s="15"/>
      <c r="H758" s="14"/>
      <c r="I758" s="16" t="str">
        <f aca="false">IF(OR(A758="",C758=""),"",IF(OR(H758="İade",H758="İptal"),0,E758*IFERROR(INDEX(Kanallar!$B$5:$B$19,MATCH(C758,Kanallar!$A$5:$A$19,0)),0)))</f>
        <v/>
      </c>
      <c r="J758" s="16" t="str">
        <f aca="false">IF(I758="","",IF(H758="İptal",0,IF(H758="İade",-G758,E758-I758-F758-G758)))</f>
        <v/>
      </c>
    </row>
    <row r="759" customFormat="false" ht="15" hidden="false" customHeight="false" outlineLevel="0" collapsed="false">
      <c r="A759" s="12"/>
      <c r="B759" s="13"/>
      <c r="C759" s="14"/>
      <c r="D759" s="13"/>
      <c r="E759" s="15"/>
      <c r="F759" s="15"/>
      <c r="G759" s="15"/>
      <c r="H759" s="14"/>
      <c r="I759" s="16" t="str">
        <f aca="false">IF(OR(A759="",C759=""),"",IF(OR(H759="İade",H759="İptal"),0,E759*IFERROR(INDEX(Kanallar!$B$5:$B$19,MATCH(C759,Kanallar!$A$5:$A$19,0)),0)))</f>
        <v/>
      </c>
      <c r="J759" s="16" t="str">
        <f aca="false">IF(I759="","",IF(H759="İptal",0,IF(H759="İade",-G759,E759-I759-F759-G759)))</f>
        <v/>
      </c>
    </row>
    <row r="760" customFormat="false" ht="15" hidden="false" customHeight="false" outlineLevel="0" collapsed="false">
      <c r="A760" s="12"/>
      <c r="B760" s="13"/>
      <c r="C760" s="14"/>
      <c r="D760" s="13"/>
      <c r="E760" s="15"/>
      <c r="F760" s="15"/>
      <c r="G760" s="15"/>
      <c r="H760" s="14"/>
      <c r="I760" s="16" t="str">
        <f aca="false">IF(OR(A760="",C760=""),"",IF(OR(H760="İade",H760="İptal"),0,E760*IFERROR(INDEX(Kanallar!$B$5:$B$19,MATCH(C760,Kanallar!$A$5:$A$19,0)),0)))</f>
        <v/>
      </c>
      <c r="J760" s="16" t="str">
        <f aca="false">IF(I760="","",IF(H760="İptal",0,IF(H760="İade",-G760,E760-I760-F760-G760)))</f>
        <v/>
      </c>
    </row>
    <row r="761" customFormat="false" ht="15" hidden="false" customHeight="false" outlineLevel="0" collapsed="false">
      <c r="A761" s="12"/>
      <c r="B761" s="13"/>
      <c r="C761" s="14"/>
      <c r="D761" s="13"/>
      <c r="E761" s="15"/>
      <c r="F761" s="15"/>
      <c r="G761" s="15"/>
      <c r="H761" s="14"/>
      <c r="I761" s="16" t="str">
        <f aca="false">IF(OR(A761="",C761=""),"",IF(OR(H761="İade",H761="İptal"),0,E761*IFERROR(INDEX(Kanallar!$B$5:$B$19,MATCH(C761,Kanallar!$A$5:$A$19,0)),0)))</f>
        <v/>
      </c>
      <c r="J761" s="16" t="str">
        <f aca="false">IF(I761="","",IF(H761="İptal",0,IF(H761="İade",-G761,E761-I761-F761-G761)))</f>
        <v/>
      </c>
    </row>
    <row r="762" customFormat="false" ht="15" hidden="false" customHeight="false" outlineLevel="0" collapsed="false">
      <c r="A762" s="12"/>
      <c r="B762" s="13"/>
      <c r="C762" s="14"/>
      <c r="D762" s="13"/>
      <c r="E762" s="15"/>
      <c r="F762" s="15"/>
      <c r="G762" s="15"/>
      <c r="H762" s="14"/>
      <c r="I762" s="16" t="str">
        <f aca="false">IF(OR(A762="",C762=""),"",IF(OR(H762="İade",H762="İptal"),0,E762*IFERROR(INDEX(Kanallar!$B$5:$B$19,MATCH(C762,Kanallar!$A$5:$A$19,0)),0)))</f>
        <v/>
      </c>
      <c r="J762" s="16" t="str">
        <f aca="false">IF(I762="","",IF(H762="İptal",0,IF(H762="İade",-G762,E762-I762-F762-G762)))</f>
        <v/>
      </c>
    </row>
    <row r="763" customFormat="false" ht="15" hidden="false" customHeight="false" outlineLevel="0" collapsed="false">
      <c r="A763" s="12"/>
      <c r="B763" s="13"/>
      <c r="C763" s="14"/>
      <c r="D763" s="13"/>
      <c r="E763" s="15"/>
      <c r="F763" s="15"/>
      <c r="G763" s="15"/>
      <c r="H763" s="14"/>
      <c r="I763" s="16" t="str">
        <f aca="false">IF(OR(A763="",C763=""),"",IF(OR(H763="İade",H763="İptal"),0,E763*IFERROR(INDEX(Kanallar!$B$5:$B$19,MATCH(C763,Kanallar!$A$5:$A$19,0)),0)))</f>
        <v/>
      </c>
      <c r="J763" s="16" t="str">
        <f aca="false">IF(I763="","",IF(H763="İptal",0,IF(H763="İade",-G763,E763-I763-F763-G763)))</f>
        <v/>
      </c>
    </row>
    <row r="764" customFormat="false" ht="15" hidden="false" customHeight="false" outlineLevel="0" collapsed="false">
      <c r="A764" s="12"/>
      <c r="B764" s="13"/>
      <c r="C764" s="14"/>
      <c r="D764" s="13"/>
      <c r="E764" s="15"/>
      <c r="F764" s="15"/>
      <c r="G764" s="15"/>
      <c r="H764" s="14"/>
      <c r="I764" s="16" t="str">
        <f aca="false">IF(OR(A764="",C764=""),"",IF(OR(H764="İade",H764="İptal"),0,E764*IFERROR(INDEX(Kanallar!$B$5:$B$19,MATCH(C764,Kanallar!$A$5:$A$19,0)),0)))</f>
        <v/>
      </c>
      <c r="J764" s="16" t="str">
        <f aca="false">IF(I764="","",IF(H764="İptal",0,IF(H764="İade",-G764,E764-I764-F764-G764)))</f>
        <v/>
      </c>
    </row>
    <row r="765" customFormat="false" ht="15" hidden="false" customHeight="false" outlineLevel="0" collapsed="false">
      <c r="A765" s="12"/>
      <c r="B765" s="13"/>
      <c r="C765" s="14"/>
      <c r="D765" s="13"/>
      <c r="E765" s="15"/>
      <c r="F765" s="15"/>
      <c r="G765" s="15"/>
      <c r="H765" s="14"/>
      <c r="I765" s="16" t="str">
        <f aca="false">IF(OR(A765="",C765=""),"",IF(OR(H765="İade",H765="İptal"),0,E765*IFERROR(INDEX(Kanallar!$B$5:$B$19,MATCH(C765,Kanallar!$A$5:$A$19,0)),0)))</f>
        <v/>
      </c>
      <c r="J765" s="16" t="str">
        <f aca="false">IF(I765="","",IF(H765="İptal",0,IF(H765="İade",-G765,E765-I765-F765-G765)))</f>
        <v/>
      </c>
    </row>
    <row r="766" customFormat="false" ht="15" hidden="false" customHeight="false" outlineLevel="0" collapsed="false">
      <c r="A766" s="12"/>
      <c r="B766" s="13"/>
      <c r="C766" s="14"/>
      <c r="D766" s="13"/>
      <c r="E766" s="15"/>
      <c r="F766" s="15"/>
      <c r="G766" s="15"/>
      <c r="H766" s="14"/>
      <c r="I766" s="16" t="str">
        <f aca="false">IF(OR(A766="",C766=""),"",IF(OR(H766="İade",H766="İptal"),0,E766*IFERROR(INDEX(Kanallar!$B$5:$B$19,MATCH(C766,Kanallar!$A$5:$A$19,0)),0)))</f>
        <v/>
      </c>
      <c r="J766" s="16" t="str">
        <f aca="false">IF(I766="","",IF(H766="İptal",0,IF(H766="İade",-G766,E766-I766-F766-G766)))</f>
        <v/>
      </c>
    </row>
    <row r="767" customFormat="false" ht="15" hidden="false" customHeight="false" outlineLevel="0" collapsed="false">
      <c r="A767" s="12"/>
      <c r="B767" s="13"/>
      <c r="C767" s="14"/>
      <c r="D767" s="13"/>
      <c r="E767" s="15"/>
      <c r="F767" s="15"/>
      <c r="G767" s="15"/>
      <c r="H767" s="14"/>
      <c r="I767" s="16" t="str">
        <f aca="false">IF(OR(A767="",C767=""),"",IF(OR(H767="İade",H767="İptal"),0,E767*IFERROR(INDEX(Kanallar!$B$5:$B$19,MATCH(C767,Kanallar!$A$5:$A$19,0)),0)))</f>
        <v/>
      </c>
      <c r="J767" s="16" t="str">
        <f aca="false">IF(I767="","",IF(H767="İptal",0,IF(H767="İade",-G767,E767-I767-F767-G767)))</f>
        <v/>
      </c>
    </row>
    <row r="768" customFormat="false" ht="15" hidden="false" customHeight="false" outlineLevel="0" collapsed="false">
      <c r="A768" s="12"/>
      <c r="B768" s="13"/>
      <c r="C768" s="14"/>
      <c r="D768" s="13"/>
      <c r="E768" s="15"/>
      <c r="F768" s="15"/>
      <c r="G768" s="15"/>
      <c r="H768" s="14"/>
      <c r="I768" s="16" t="str">
        <f aca="false">IF(OR(A768="",C768=""),"",IF(OR(H768="İade",H768="İptal"),0,E768*IFERROR(INDEX(Kanallar!$B$5:$B$19,MATCH(C768,Kanallar!$A$5:$A$19,0)),0)))</f>
        <v/>
      </c>
      <c r="J768" s="16" t="str">
        <f aca="false">IF(I768="","",IF(H768="İptal",0,IF(H768="İade",-G768,E768-I768-F768-G768)))</f>
        <v/>
      </c>
    </row>
    <row r="769" customFormat="false" ht="15" hidden="false" customHeight="false" outlineLevel="0" collapsed="false">
      <c r="A769" s="12"/>
      <c r="B769" s="13"/>
      <c r="C769" s="14"/>
      <c r="D769" s="13"/>
      <c r="E769" s="15"/>
      <c r="F769" s="15"/>
      <c r="G769" s="15"/>
      <c r="H769" s="14"/>
      <c r="I769" s="16" t="str">
        <f aca="false">IF(OR(A769="",C769=""),"",IF(OR(H769="İade",H769="İptal"),0,E769*IFERROR(INDEX(Kanallar!$B$5:$B$19,MATCH(C769,Kanallar!$A$5:$A$19,0)),0)))</f>
        <v/>
      </c>
      <c r="J769" s="16" t="str">
        <f aca="false">IF(I769="","",IF(H769="İptal",0,IF(H769="İade",-G769,E769-I769-F769-G769)))</f>
        <v/>
      </c>
    </row>
    <row r="770" customFormat="false" ht="15" hidden="false" customHeight="false" outlineLevel="0" collapsed="false">
      <c r="A770" s="12"/>
      <c r="B770" s="13"/>
      <c r="C770" s="14"/>
      <c r="D770" s="13"/>
      <c r="E770" s="15"/>
      <c r="F770" s="15"/>
      <c r="G770" s="15"/>
      <c r="H770" s="14"/>
      <c r="I770" s="16" t="str">
        <f aca="false">IF(OR(A770="",C770=""),"",IF(OR(H770="İade",H770="İptal"),0,E770*IFERROR(INDEX(Kanallar!$B$5:$B$19,MATCH(C770,Kanallar!$A$5:$A$19,0)),0)))</f>
        <v/>
      </c>
      <c r="J770" s="16" t="str">
        <f aca="false">IF(I770="","",IF(H770="İptal",0,IF(H770="İade",-G770,E770-I770-F770-G770)))</f>
        <v/>
      </c>
    </row>
    <row r="771" customFormat="false" ht="15" hidden="false" customHeight="false" outlineLevel="0" collapsed="false">
      <c r="A771" s="12"/>
      <c r="B771" s="13"/>
      <c r="C771" s="14"/>
      <c r="D771" s="13"/>
      <c r="E771" s="15"/>
      <c r="F771" s="15"/>
      <c r="G771" s="15"/>
      <c r="H771" s="14"/>
      <c r="I771" s="16" t="str">
        <f aca="false">IF(OR(A771="",C771=""),"",IF(OR(H771="İade",H771="İptal"),0,E771*IFERROR(INDEX(Kanallar!$B$5:$B$19,MATCH(C771,Kanallar!$A$5:$A$19,0)),0)))</f>
        <v/>
      </c>
      <c r="J771" s="16" t="str">
        <f aca="false">IF(I771="","",IF(H771="İptal",0,IF(H771="İade",-G771,E771-I771-F771-G771)))</f>
        <v/>
      </c>
    </row>
    <row r="772" customFormat="false" ht="15" hidden="false" customHeight="false" outlineLevel="0" collapsed="false">
      <c r="A772" s="12"/>
      <c r="B772" s="13"/>
      <c r="C772" s="14"/>
      <c r="D772" s="13"/>
      <c r="E772" s="15"/>
      <c r="F772" s="15"/>
      <c r="G772" s="15"/>
      <c r="H772" s="14"/>
      <c r="I772" s="16" t="str">
        <f aca="false">IF(OR(A772="",C772=""),"",IF(OR(H772="İade",H772="İptal"),0,E772*IFERROR(INDEX(Kanallar!$B$5:$B$19,MATCH(C772,Kanallar!$A$5:$A$19,0)),0)))</f>
        <v/>
      </c>
      <c r="J772" s="16" t="str">
        <f aca="false">IF(I772="","",IF(H772="İptal",0,IF(H772="İade",-G772,E772-I772-F772-G772)))</f>
        <v/>
      </c>
    </row>
    <row r="773" customFormat="false" ht="15" hidden="false" customHeight="false" outlineLevel="0" collapsed="false">
      <c r="A773" s="12"/>
      <c r="B773" s="13"/>
      <c r="C773" s="14"/>
      <c r="D773" s="13"/>
      <c r="E773" s="15"/>
      <c r="F773" s="15"/>
      <c r="G773" s="15"/>
      <c r="H773" s="14"/>
      <c r="I773" s="16" t="str">
        <f aca="false">IF(OR(A773="",C773=""),"",IF(OR(H773="İade",H773="İptal"),0,E773*IFERROR(INDEX(Kanallar!$B$5:$B$19,MATCH(C773,Kanallar!$A$5:$A$19,0)),0)))</f>
        <v/>
      </c>
      <c r="J773" s="16" t="str">
        <f aca="false">IF(I773="","",IF(H773="İptal",0,IF(H773="İade",-G773,E773-I773-F773-G773)))</f>
        <v/>
      </c>
    </row>
    <row r="774" customFormat="false" ht="15" hidden="false" customHeight="false" outlineLevel="0" collapsed="false">
      <c r="A774" s="12"/>
      <c r="B774" s="13"/>
      <c r="C774" s="14"/>
      <c r="D774" s="13"/>
      <c r="E774" s="15"/>
      <c r="F774" s="15"/>
      <c r="G774" s="15"/>
      <c r="H774" s="14"/>
      <c r="I774" s="16" t="str">
        <f aca="false">IF(OR(A774="",C774=""),"",IF(OR(H774="İade",H774="İptal"),0,E774*IFERROR(INDEX(Kanallar!$B$5:$B$19,MATCH(C774,Kanallar!$A$5:$A$19,0)),0)))</f>
        <v/>
      </c>
      <c r="J774" s="16" t="str">
        <f aca="false">IF(I774="","",IF(H774="İptal",0,IF(H774="İade",-G774,E774-I774-F774-G774)))</f>
        <v/>
      </c>
    </row>
    <row r="775" customFormat="false" ht="15" hidden="false" customHeight="false" outlineLevel="0" collapsed="false">
      <c r="A775" s="12"/>
      <c r="B775" s="13"/>
      <c r="C775" s="14"/>
      <c r="D775" s="13"/>
      <c r="E775" s="15"/>
      <c r="F775" s="15"/>
      <c r="G775" s="15"/>
      <c r="H775" s="14"/>
      <c r="I775" s="16" t="str">
        <f aca="false">IF(OR(A775="",C775=""),"",IF(OR(H775="İade",H775="İptal"),0,E775*IFERROR(INDEX(Kanallar!$B$5:$B$19,MATCH(C775,Kanallar!$A$5:$A$19,0)),0)))</f>
        <v/>
      </c>
      <c r="J775" s="16" t="str">
        <f aca="false">IF(I775="","",IF(H775="İptal",0,IF(H775="İade",-G775,E775-I775-F775-G775)))</f>
        <v/>
      </c>
    </row>
    <row r="776" customFormat="false" ht="15" hidden="false" customHeight="false" outlineLevel="0" collapsed="false">
      <c r="A776" s="12"/>
      <c r="B776" s="13"/>
      <c r="C776" s="14"/>
      <c r="D776" s="13"/>
      <c r="E776" s="15"/>
      <c r="F776" s="15"/>
      <c r="G776" s="15"/>
      <c r="H776" s="14"/>
      <c r="I776" s="16" t="str">
        <f aca="false">IF(OR(A776="",C776=""),"",IF(OR(H776="İade",H776="İptal"),0,E776*IFERROR(INDEX(Kanallar!$B$5:$B$19,MATCH(C776,Kanallar!$A$5:$A$19,0)),0)))</f>
        <v/>
      </c>
      <c r="J776" s="16" t="str">
        <f aca="false">IF(I776="","",IF(H776="İptal",0,IF(H776="İade",-G776,E776-I776-F776-G776)))</f>
        <v/>
      </c>
    </row>
    <row r="777" customFormat="false" ht="15" hidden="false" customHeight="false" outlineLevel="0" collapsed="false">
      <c r="A777" s="12"/>
      <c r="B777" s="13"/>
      <c r="C777" s="14"/>
      <c r="D777" s="13"/>
      <c r="E777" s="15"/>
      <c r="F777" s="15"/>
      <c r="G777" s="15"/>
      <c r="H777" s="14"/>
      <c r="I777" s="16" t="str">
        <f aca="false">IF(OR(A777="",C777=""),"",IF(OR(H777="İade",H777="İptal"),0,E777*IFERROR(INDEX(Kanallar!$B$5:$B$19,MATCH(C777,Kanallar!$A$5:$A$19,0)),0)))</f>
        <v/>
      </c>
      <c r="J777" s="16" t="str">
        <f aca="false">IF(I777="","",IF(H777="İptal",0,IF(H777="İade",-G777,E777-I777-F777-G777)))</f>
        <v/>
      </c>
    </row>
    <row r="778" customFormat="false" ht="15" hidden="false" customHeight="false" outlineLevel="0" collapsed="false">
      <c r="A778" s="12"/>
      <c r="B778" s="13"/>
      <c r="C778" s="14"/>
      <c r="D778" s="13"/>
      <c r="E778" s="15"/>
      <c r="F778" s="15"/>
      <c r="G778" s="15"/>
      <c r="H778" s="14"/>
      <c r="I778" s="16" t="str">
        <f aca="false">IF(OR(A778="",C778=""),"",IF(OR(H778="İade",H778="İptal"),0,E778*IFERROR(INDEX(Kanallar!$B$5:$B$19,MATCH(C778,Kanallar!$A$5:$A$19,0)),0)))</f>
        <v/>
      </c>
      <c r="J778" s="16" t="str">
        <f aca="false">IF(I778="","",IF(H778="İptal",0,IF(H778="İade",-G778,E778-I778-F778-G778)))</f>
        <v/>
      </c>
    </row>
    <row r="779" customFormat="false" ht="15" hidden="false" customHeight="false" outlineLevel="0" collapsed="false">
      <c r="A779" s="12"/>
      <c r="B779" s="13"/>
      <c r="C779" s="14"/>
      <c r="D779" s="13"/>
      <c r="E779" s="15"/>
      <c r="F779" s="15"/>
      <c r="G779" s="15"/>
      <c r="H779" s="14"/>
      <c r="I779" s="16" t="str">
        <f aca="false">IF(OR(A779="",C779=""),"",IF(OR(H779="İade",H779="İptal"),0,E779*IFERROR(INDEX(Kanallar!$B$5:$B$19,MATCH(C779,Kanallar!$A$5:$A$19,0)),0)))</f>
        <v/>
      </c>
      <c r="J779" s="16" t="str">
        <f aca="false">IF(I779="","",IF(H779="İptal",0,IF(H779="İade",-G779,E779-I779-F779-G779)))</f>
        <v/>
      </c>
    </row>
    <row r="780" customFormat="false" ht="15" hidden="false" customHeight="false" outlineLevel="0" collapsed="false">
      <c r="A780" s="12"/>
      <c r="B780" s="13"/>
      <c r="C780" s="14"/>
      <c r="D780" s="13"/>
      <c r="E780" s="15"/>
      <c r="F780" s="15"/>
      <c r="G780" s="15"/>
      <c r="H780" s="14"/>
      <c r="I780" s="16" t="str">
        <f aca="false">IF(OR(A780="",C780=""),"",IF(OR(H780="İade",H780="İptal"),0,E780*IFERROR(INDEX(Kanallar!$B$5:$B$19,MATCH(C780,Kanallar!$A$5:$A$19,0)),0)))</f>
        <v/>
      </c>
      <c r="J780" s="16" t="str">
        <f aca="false">IF(I780="","",IF(H780="İptal",0,IF(H780="İade",-G780,E780-I780-F780-G780)))</f>
        <v/>
      </c>
    </row>
    <row r="781" customFormat="false" ht="15" hidden="false" customHeight="false" outlineLevel="0" collapsed="false">
      <c r="A781" s="12"/>
      <c r="B781" s="13"/>
      <c r="C781" s="14"/>
      <c r="D781" s="13"/>
      <c r="E781" s="15"/>
      <c r="F781" s="15"/>
      <c r="G781" s="15"/>
      <c r="H781" s="14"/>
      <c r="I781" s="16" t="str">
        <f aca="false">IF(OR(A781="",C781=""),"",IF(OR(H781="İade",H781="İptal"),0,E781*IFERROR(INDEX(Kanallar!$B$5:$B$19,MATCH(C781,Kanallar!$A$5:$A$19,0)),0)))</f>
        <v/>
      </c>
      <c r="J781" s="16" t="str">
        <f aca="false">IF(I781="","",IF(H781="İptal",0,IF(H781="İade",-G781,E781-I781-F781-G781)))</f>
        <v/>
      </c>
    </row>
    <row r="782" customFormat="false" ht="15" hidden="false" customHeight="false" outlineLevel="0" collapsed="false">
      <c r="A782" s="12"/>
      <c r="B782" s="13"/>
      <c r="C782" s="14"/>
      <c r="D782" s="13"/>
      <c r="E782" s="15"/>
      <c r="F782" s="15"/>
      <c r="G782" s="15"/>
      <c r="H782" s="14"/>
      <c r="I782" s="16" t="str">
        <f aca="false">IF(OR(A782="",C782=""),"",IF(OR(H782="İade",H782="İptal"),0,E782*IFERROR(INDEX(Kanallar!$B$5:$B$19,MATCH(C782,Kanallar!$A$5:$A$19,0)),0)))</f>
        <v/>
      </c>
      <c r="J782" s="16" t="str">
        <f aca="false">IF(I782="","",IF(H782="İptal",0,IF(H782="İade",-G782,E782-I782-F782-G782)))</f>
        <v/>
      </c>
    </row>
    <row r="783" customFormat="false" ht="15" hidden="false" customHeight="false" outlineLevel="0" collapsed="false">
      <c r="A783" s="12"/>
      <c r="B783" s="13"/>
      <c r="C783" s="14"/>
      <c r="D783" s="13"/>
      <c r="E783" s="15"/>
      <c r="F783" s="15"/>
      <c r="G783" s="15"/>
      <c r="H783" s="14"/>
      <c r="I783" s="16" t="str">
        <f aca="false">IF(OR(A783="",C783=""),"",IF(OR(H783="İade",H783="İptal"),0,E783*IFERROR(INDEX(Kanallar!$B$5:$B$19,MATCH(C783,Kanallar!$A$5:$A$19,0)),0)))</f>
        <v/>
      </c>
      <c r="J783" s="16" t="str">
        <f aca="false">IF(I783="","",IF(H783="İptal",0,IF(H783="İade",-G783,E783-I783-F783-G783)))</f>
        <v/>
      </c>
    </row>
    <row r="784" customFormat="false" ht="15" hidden="false" customHeight="false" outlineLevel="0" collapsed="false">
      <c r="A784" s="12"/>
      <c r="B784" s="13"/>
      <c r="C784" s="14"/>
      <c r="D784" s="13"/>
      <c r="E784" s="15"/>
      <c r="F784" s="15"/>
      <c r="G784" s="15"/>
      <c r="H784" s="14"/>
      <c r="I784" s="16" t="str">
        <f aca="false">IF(OR(A784="",C784=""),"",IF(OR(H784="İade",H784="İptal"),0,E784*IFERROR(INDEX(Kanallar!$B$5:$B$19,MATCH(C784,Kanallar!$A$5:$A$19,0)),0)))</f>
        <v/>
      </c>
      <c r="J784" s="16" t="str">
        <f aca="false">IF(I784="","",IF(H784="İptal",0,IF(H784="İade",-G784,E784-I784-F784-G784)))</f>
        <v/>
      </c>
    </row>
    <row r="785" customFormat="false" ht="15" hidden="false" customHeight="false" outlineLevel="0" collapsed="false">
      <c r="A785" s="12"/>
      <c r="B785" s="13"/>
      <c r="C785" s="14"/>
      <c r="D785" s="13"/>
      <c r="E785" s="15"/>
      <c r="F785" s="15"/>
      <c r="G785" s="15"/>
      <c r="H785" s="14"/>
      <c r="I785" s="16" t="str">
        <f aca="false">IF(OR(A785="",C785=""),"",IF(OR(H785="İade",H785="İptal"),0,E785*IFERROR(INDEX(Kanallar!$B$5:$B$19,MATCH(C785,Kanallar!$A$5:$A$19,0)),0)))</f>
        <v/>
      </c>
      <c r="J785" s="16" t="str">
        <f aca="false">IF(I785="","",IF(H785="İptal",0,IF(H785="İade",-G785,E785-I785-F785-G785)))</f>
        <v/>
      </c>
    </row>
    <row r="786" customFormat="false" ht="15" hidden="false" customHeight="false" outlineLevel="0" collapsed="false">
      <c r="A786" s="12"/>
      <c r="B786" s="13"/>
      <c r="C786" s="14"/>
      <c r="D786" s="13"/>
      <c r="E786" s="15"/>
      <c r="F786" s="15"/>
      <c r="G786" s="15"/>
      <c r="H786" s="14"/>
      <c r="I786" s="16" t="str">
        <f aca="false">IF(OR(A786="",C786=""),"",IF(OR(H786="İade",H786="İptal"),0,E786*IFERROR(INDEX(Kanallar!$B$5:$B$19,MATCH(C786,Kanallar!$A$5:$A$19,0)),0)))</f>
        <v/>
      </c>
      <c r="J786" s="16" t="str">
        <f aca="false">IF(I786="","",IF(H786="İptal",0,IF(H786="İade",-G786,E786-I786-F786-G786)))</f>
        <v/>
      </c>
    </row>
    <row r="787" customFormat="false" ht="15" hidden="false" customHeight="false" outlineLevel="0" collapsed="false">
      <c r="A787" s="12"/>
      <c r="B787" s="13"/>
      <c r="C787" s="14"/>
      <c r="D787" s="13"/>
      <c r="E787" s="15"/>
      <c r="F787" s="15"/>
      <c r="G787" s="15"/>
      <c r="H787" s="14"/>
      <c r="I787" s="16" t="str">
        <f aca="false">IF(OR(A787="",C787=""),"",IF(OR(H787="İade",H787="İptal"),0,E787*IFERROR(INDEX(Kanallar!$B$5:$B$19,MATCH(C787,Kanallar!$A$5:$A$19,0)),0)))</f>
        <v/>
      </c>
      <c r="J787" s="16" t="str">
        <f aca="false">IF(I787="","",IF(H787="İptal",0,IF(H787="İade",-G787,E787-I787-F787-G787)))</f>
        <v/>
      </c>
    </row>
    <row r="788" customFormat="false" ht="15" hidden="false" customHeight="false" outlineLevel="0" collapsed="false">
      <c r="A788" s="12"/>
      <c r="B788" s="13"/>
      <c r="C788" s="14"/>
      <c r="D788" s="13"/>
      <c r="E788" s="15"/>
      <c r="F788" s="15"/>
      <c r="G788" s="15"/>
      <c r="H788" s="14"/>
      <c r="I788" s="16" t="str">
        <f aca="false">IF(OR(A788="",C788=""),"",IF(OR(H788="İade",H788="İptal"),0,E788*IFERROR(INDEX(Kanallar!$B$5:$B$19,MATCH(C788,Kanallar!$A$5:$A$19,0)),0)))</f>
        <v/>
      </c>
      <c r="J788" s="16" t="str">
        <f aca="false">IF(I788="","",IF(H788="İptal",0,IF(H788="İade",-G788,E788-I788-F788-G788)))</f>
        <v/>
      </c>
    </row>
    <row r="789" customFormat="false" ht="15" hidden="false" customHeight="false" outlineLevel="0" collapsed="false">
      <c r="A789" s="12"/>
      <c r="B789" s="13"/>
      <c r="C789" s="14"/>
      <c r="D789" s="13"/>
      <c r="E789" s="15"/>
      <c r="F789" s="15"/>
      <c r="G789" s="15"/>
      <c r="H789" s="14"/>
      <c r="I789" s="16" t="str">
        <f aca="false">IF(OR(A789="",C789=""),"",IF(OR(H789="İade",H789="İptal"),0,E789*IFERROR(INDEX(Kanallar!$B$5:$B$19,MATCH(C789,Kanallar!$A$5:$A$19,0)),0)))</f>
        <v/>
      </c>
      <c r="J789" s="16" t="str">
        <f aca="false">IF(I789="","",IF(H789="İptal",0,IF(H789="İade",-G789,E789-I789-F789-G789)))</f>
        <v/>
      </c>
    </row>
    <row r="790" customFormat="false" ht="15" hidden="false" customHeight="false" outlineLevel="0" collapsed="false">
      <c r="A790" s="12"/>
      <c r="B790" s="13"/>
      <c r="C790" s="14"/>
      <c r="D790" s="13"/>
      <c r="E790" s="15"/>
      <c r="F790" s="15"/>
      <c r="G790" s="15"/>
      <c r="H790" s="14"/>
      <c r="I790" s="16" t="str">
        <f aca="false">IF(OR(A790="",C790=""),"",IF(OR(H790="İade",H790="İptal"),0,E790*IFERROR(INDEX(Kanallar!$B$5:$B$19,MATCH(C790,Kanallar!$A$5:$A$19,0)),0)))</f>
        <v/>
      </c>
      <c r="J790" s="16" t="str">
        <f aca="false">IF(I790="","",IF(H790="İptal",0,IF(H790="İade",-G790,E790-I790-F790-G790)))</f>
        <v/>
      </c>
    </row>
    <row r="791" customFormat="false" ht="15" hidden="false" customHeight="false" outlineLevel="0" collapsed="false">
      <c r="A791" s="12"/>
      <c r="B791" s="13"/>
      <c r="C791" s="14"/>
      <c r="D791" s="13"/>
      <c r="E791" s="15"/>
      <c r="F791" s="15"/>
      <c r="G791" s="15"/>
      <c r="H791" s="14"/>
      <c r="I791" s="16" t="str">
        <f aca="false">IF(OR(A791="",C791=""),"",IF(OR(H791="İade",H791="İptal"),0,E791*IFERROR(INDEX(Kanallar!$B$5:$B$19,MATCH(C791,Kanallar!$A$5:$A$19,0)),0)))</f>
        <v/>
      </c>
      <c r="J791" s="16" t="str">
        <f aca="false">IF(I791="","",IF(H791="İptal",0,IF(H791="İade",-G791,E791-I791-F791-G791)))</f>
        <v/>
      </c>
    </row>
    <row r="792" customFormat="false" ht="15" hidden="false" customHeight="false" outlineLevel="0" collapsed="false">
      <c r="A792" s="12"/>
      <c r="B792" s="13"/>
      <c r="C792" s="14"/>
      <c r="D792" s="13"/>
      <c r="E792" s="15"/>
      <c r="F792" s="15"/>
      <c r="G792" s="15"/>
      <c r="H792" s="14"/>
      <c r="I792" s="16" t="str">
        <f aca="false">IF(OR(A792="",C792=""),"",IF(OR(H792="İade",H792="İptal"),0,E792*IFERROR(INDEX(Kanallar!$B$5:$B$19,MATCH(C792,Kanallar!$A$5:$A$19,0)),0)))</f>
        <v/>
      </c>
      <c r="J792" s="16" t="str">
        <f aca="false">IF(I792="","",IF(H792="İptal",0,IF(H792="İade",-G792,E792-I792-F792-G792)))</f>
        <v/>
      </c>
    </row>
    <row r="793" customFormat="false" ht="15" hidden="false" customHeight="false" outlineLevel="0" collapsed="false">
      <c r="A793" s="12"/>
      <c r="B793" s="13"/>
      <c r="C793" s="14"/>
      <c r="D793" s="13"/>
      <c r="E793" s="15"/>
      <c r="F793" s="15"/>
      <c r="G793" s="15"/>
      <c r="H793" s="14"/>
      <c r="I793" s="16" t="str">
        <f aca="false">IF(OR(A793="",C793=""),"",IF(OR(H793="İade",H793="İptal"),0,E793*IFERROR(INDEX(Kanallar!$B$5:$B$19,MATCH(C793,Kanallar!$A$5:$A$19,0)),0)))</f>
        <v/>
      </c>
      <c r="J793" s="16" t="str">
        <f aca="false">IF(I793="","",IF(H793="İptal",0,IF(H793="İade",-G793,E793-I793-F793-G793)))</f>
        <v/>
      </c>
    </row>
    <row r="794" customFormat="false" ht="15" hidden="false" customHeight="false" outlineLevel="0" collapsed="false">
      <c r="A794" s="12"/>
      <c r="B794" s="13"/>
      <c r="C794" s="14"/>
      <c r="D794" s="13"/>
      <c r="E794" s="15"/>
      <c r="F794" s="15"/>
      <c r="G794" s="15"/>
      <c r="H794" s="14"/>
      <c r="I794" s="16" t="str">
        <f aca="false">IF(OR(A794="",C794=""),"",IF(OR(H794="İade",H794="İptal"),0,E794*IFERROR(INDEX(Kanallar!$B$5:$B$19,MATCH(C794,Kanallar!$A$5:$A$19,0)),0)))</f>
        <v/>
      </c>
      <c r="J794" s="16" t="str">
        <f aca="false">IF(I794="","",IF(H794="İptal",0,IF(H794="İade",-G794,E794-I794-F794-G794)))</f>
        <v/>
      </c>
    </row>
    <row r="795" customFormat="false" ht="15" hidden="false" customHeight="false" outlineLevel="0" collapsed="false">
      <c r="A795" s="12"/>
      <c r="B795" s="13"/>
      <c r="C795" s="14"/>
      <c r="D795" s="13"/>
      <c r="E795" s="15"/>
      <c r="F795" s="15"/>
      <c r="G795" s="15"/>
      <c r="H795" s="14"/>
      <c r="I795" s="16" t="str">
        <f aca="false">IF(OR(A795="",C795=""),"",IF(OR(H795="İade",H795="İptal"),0,E795*IFERROR(INDEX(Kanallar!$B$5:$B$19,MATCH(C795,Kanallar!$A$5:$A$19,0)),0)))</f>
        <v/>
      </c>
      <c r="J795" s="16" t="str">
        <f aca="false">IF(I795="","",IF(H795="İptal",0,IF(H795="İade",-G795,E795-I795-F795-G795)))</f>
        <v/>
      </c>
    </row>
    <row r="796" customFormat="false" ht="15" hidden="false" customHeight="false" outlineLevel="0" collapsed="false">
      <c r="A796" s="12"/>
      <c r="B796" s="13"/>
      <c r="C796" s="14"/>
      <c r="D796" s="13"/>
      <c r="E796" s="15"/>
      <c r="F796" s="15"/>
      <c r="G796" s="15"/>
      <c r="H796" s="14"/>
      <c r="I796" s="16" t="str">
        <f aca="false">IF(OR(A796="",C796=""),"",IF(OR(H796="İade",H796="İptal"),0,E796*IFERROR(INDEX(Kanallar!$B$5:$B$19,MATCH(C796,Kanallar!$A$5:$A$19,0)),0)))</f>
        <v/>
      </c>
      <c r="J796" s="16" t="str">
        <f aca="false">IF(I796="","",IF(H796="İptal",0,IF(H796="İade",-G796,E796-I796-F796-G796)))</f>
        <v/>
      </c>
    </row>
    <row r="797" customFormat="false" ht="15" hidden="false" customHeight="false" outlineLevel="0" collapsed="false">
      <c r="A797" s="12"/>
      <c r="B797" s="13"/>
      <c r="C797" s="14"/>
      <c r="D797" s="13"/>
      <c r="E797" s="15"/>
      <c r="F797" s="15"/>
      <c r="G797" s="15"/>
      <c r="H797" s="14"/>
      <c r="I797" s="16" t="str">
        <f aca="false">IF(OR(A797="",C797=""),"",IF(OR(H797="İade",H797="İptal"),0,E797*IFERROR(INDEX(Kanallar!$B$5:$B$19,MATCH(C797,Kanallar!$A$5:$A$19,0)),0)))</f>
        <v/>
      </c>
      <c r="J797" s="16" t="str">
        <f aca="false">IF(I797="","",IF(H797="İptal",0,IF(H797="İade",-G797,E797-I797-F797-G797)))</f>
        <v/>
      </c>
    </row>
    <row r="798" customFormat="false" ht="15" hidden="false" customHeight="false" outlineLevel="0" collapsed="false">
      <c r="A798" s="12"/>
      <c r="B798" s="13"/>
      <c r="C798" s="14"/>
      <c r="D798" s="13"/>
      <c r="E798" s="15"/>
      <c r="F798" s="15"/>
      <c r="G798" s="15"/>
      <c r="H798" s="14"/>
      <c r="I798" s="16" t="str">
        <f aca="false">IF(OR(A798="",C798=""),"",IF(OR(H798="İade",H798="İptal"),0,E798*IFERROR(INDEX(Kanallar!$B$5:$B$19,MATCH(C798,Kanallar!$A$5:$A$19,0)),0)))</f>
        <v/>
      </c>
      <c r="J798" s="16" t="str">
        <f aca="false">IF(I798="","",IF(H798="İptal",0,IF(H798="İade",-G798,E798-I798-F798-G798)))</f>
        <v/>
      </c>
    </row>
    <row r="799" customFormat="false" ht="15" hidden="false" customHeight="false" outlineLevel="0" collapsed="false">
      <c r="A799" s="12"/>
      <c r="B799" s="13"/>
      <c r="C799" s="14"/>
      <c r="D799" s="13"/>
      <c r="E799" s="15"/>
      <c r="F799" s="15"/>
      <c r="G799" s="15"/>
      <c r="H799" s="14"/>
      <c r="I799" s="16" t="str">
        <f aca="false">IF(OR(A799="",C799=""),"",IF(OR(H799="İade",H799="İptal"),0,E799*IFERROR(INDEX(Kanallar!$B$5:$B$19,MATCH(C799,Kanallar!$A$5:$A$19,0)),0)))</f>
        <v/>
      </c>
      <c r="J799" s="16" t="str">
        <f aca="false">IF(I799="","",IF(H799="İptal",0,IF(H799="İade",-G799,E799-I799-F799-G799)))</f>
        <v/>
      </c>
    </row>
    <row r="800" customFormat="false" ht="15" hidden="false" customHeight="false" outlineLevel="0" collapsed="false">
      <c r="A800" s="12"/>
      <c r="B800" s="13"/>
      <c r="C800" s="14"/>
      <c r="D800" s="13"/>
      <c r="E800" s="15"/>
      <c r="F800" s="15"/>
      <c r="G800" s="15"/>
      <c r="H800" s="14"/>
      <c r="I800" s="16" t="str">
        <f aca="false">IF(OR(A800="",C800=""),"",IF(OR(H800="İade",H800="İptal"),0,E800*IFERROR(INDEX(Kanallar!$B$5:$B$19,MATCH(C800,Kanallar!$A$5:$A$19,0)),0)))</f>
        <v/>
      </c>
      <c r="J800" s="16" t="str">
        <f aca="false">IF(I800="","",IF(H800="İptal",0,IF(H800="İade",-G800,E800-I800-F800-G800)))</f>
        <v/>
      </c>
    </row>
    <row r="801" customFormat="false" ht="15" hidden="false" customHeight="false" outlineLevel="0" collapsed="false">
      <c r="A801" s="12"/>
      <c r="B801" s="13"/>
      <c r="C801" s="14"/>
      <c r="D801" s="13"/>
      <c r="E801" s="15"/>
      <c r="F801" s="15"/>
      <c r="G801" s="15"/>
      <c r="H801" s="14"/>
      <c r="I801" s="16" t="str">
        <f aca="false">IF(OR(A801="",C801=""),"",IF(OR(H801="İade",H801="İptal"),0,E801*IFERROR(INDEX(Kanallar!$B$5:$B$19,MATCH(C801,Kanallar!$A$5:$A$19,0)),0)))</f>
        <v/>
      </c>
      <c r="J801" s="16" t="str">
        <f aca="false">IF(I801="","",IF(H801="İptal",0,IF(H801="İade",-G801,E801-I801-F801-G801)))</f>
        <v/>
      </c>
    </row>
    <row r="802" customFormat="false" ht="15" hidden="false" customHeight="false" outlineLevel="0" collapsed="false">
      <c r="A802" s="12"/>
      <c r="B802" s="13"/>
      <c r="C802" s="14"/>
      <c r="D802" s="13"/>
      <c r="E802" s="15"/>
      <c r="F802" s="15"/>
      <c r="G802" s="15"/>
      <c r="H802" s="14"/>
      <c r="I802" s="16" t="str">
        <f aca="false">IF(OR(A802="",C802=""),"",IF(OR(H802="İade",H802="İptal"),0,E802*IFERROR(INDEX(Kanallar!$B$5:$B$19,MATCH(C802,Kanallar!$A$5:$A$19,0)),0)))</f>
        <v/>
      </c>
      <c r="J802" s="16" t="str">
        <f aca="false">IF(I802="","",IF(H802="İptal",0,IF(H802="İade",-G802,E802-I802-F802-G802)))</f>
        <v/>
      </c>
    </row>
    <row r="803" customFormat="false" ht="15" hidden="false" customHeight="false" outlineLevel="0" collapsed="false">
      <c r="A803" s="12"/>
      <c r="B803" s="13"/>
      <c r="C803" s="14"/>
      <c r="D803" s="13"/>
      <c r="E803" s="15"/>
      <c r="F803" s="15"/>
      <c r="G803" s="15"/>
      <c r="H803" s="14"/>
      <c r="I803" s="16" t="str">
        <f aca="false">IF(OR(A803="",C803=""),"",IF(OR(H803="İade",H803="İptal"),0,E803*IFERROR(INDEX(Kanallar!$B$5:$B$19,MATCH(C803,Kanallar!$A$5:$A$19,0)),0)))</f>
        <v/>
      </c>
      <c r="J803" s="16" t="str">
        <f aca="false">IF(I803="","",IF(H803="İptal",0,IF(H803="İade",-G803,E803-I803-F803-G803)))</f>
        <v/>
      </c>
    </row>
    <row r="804" customFormat="false" ht="15" hidden="false" customHeight="false" outlineLevel="0" collapsed="false">
      <c r="A804" s="12"/>
      <c r="B804" s="13"/>
      <c r="C804" s="14"/>
      <c r="D804" s="13"/>
      <c r="E804" s="15"/>
      <c r="F804" s="15"/>
      <c r="G804" s="15"/>
      <c r="H804" s="14"/>
      <c r="I804" s="16" t="str">
        <f aca="false">IF(OR(A804="",C804=""),"",IF(OR(H804="İade",H804="İptal"),0,E804*IFERROR(INDEX(Kanallar!$B$5:$B$19,MATCH(C804,Kanallar!$A$5:$A$19,0)),0)))</f>
        <v/>
      </c>
      <c r="J804" s="16" t="str">
        <f aca="false">IF(I804="","",IF(H804="İptal",0,IF(H804="İade",-G804,E804-I804-F804-G804)))</f>
        <v/>
      </c>
    </row>
    <row r="805" customFormat="false" ht="15" hidden="false" customHeight="false" outlineLevel="0" collapsed="false">
      <c r="A805" s="12"/>
      <c r="B805" s="13"/>
      <c r="C805" s="14"/>
      <c r="D805" s="13"/>
      <c r="E805" s="15"/>
      <c r="F805" s="15"/>
      <c r="G805" s="15"/>
      <c r="H805" s="14"/>
      <c r="I805" s="16" t="str">
        <f aca="false">IF(OR(A805="",C805=""),"",IF(OR(H805="İade",H805="İptal"),0,E805*IFERROR(INDEX(Kanallar!$B$5:$B$19,MATCH(C805,Kanallar!$A$5:$A$19,0)),0)))</f>
        <v/>
      </c>
      <c r="J805" s="16" t="str">
        <f aca="false">IF(I805="","",IF(H805="İptal",0,IF(H805="İade",-G805,E805-I805-F805-G805)))</f>
        <v/>
      </c>
    </row>
    <row r="806" customFormat="false" ht="15" hidden="false" customHeight="false" outlineLevel="0" collapsed="false">
      <c r="A806" s="12"/>
      <c r="B806" s="13"/>
      <c r="C806" s="14"/>
      <c r="D806" s="13"/>
      <c r="E806" s="15"/>
      <c r="F806" s="15"/>
      <c r="G806" s="15"/>
      <c r="H806" s="14"/>
      <c r="I806" s="16" t="str">
        <f aca="false">IF(OR(A806="",C806=""),"",IF(OR(H806="İade",H806="İptal"),0,E806*IFERROR(INDEX(Kanallar!$B$5:$B$19,MATCH(C806,Kanallar!$A$5:$A$19,0)),0)))</f>
        <v/>
      </c>
      <c r="J806" s="16" t="str">
        <f aca="false">IF(I806="","",IF(H806="İptal",0,IF(H806="İade",-G806,E806-I806-F806-G806)))</f>
        <v/>
      </c>
    </row>
    <row r="807" customFormat="false" ht="15" hidden="false" customHeight="false" outlineLevel="0" collapsed="false">
      <c r="A807" s="12"/>
      <c r="B807" s="13"/>
      <c r="C807" s="14"/>
      <c r="D807" s="13"/>
      <c r="E807" s="15"/>
      <c r="F807" s="15"/>
      <c r="G807" s="15"/>
      <c r="H807" s="14"/>
      <c r="I807" s="16" t="str">
        <f aca="false">IF(OR(A807="",C807=""),"",IF(OR(H807="İade",H807="İptal"),0,E807*IFERROR(INDEX(Kanallar!$B$5:$B$19,MATCH(C807,Kanallar!$A$5:$A$19,0)),0)))</f>
        <v/>
      </c>
      <c r="J807" s="16" t="str">
        <f aca="false">IF(I807="","",IF(H807="İptal",0,IF(H807="İade",-G807,E807-I807-F807-G807)))</f>
        <v/>
      </c>
    </row>
    <row r="808" customFormat="false" ht="15" hidden="false" customHeight="false" outlineLevel="0" collapsed="false">
      <c r="A808" s="12"/>
      <c r="B808" s="13"/>
      <c r="C808" s="14"/>
      <c r="D808" s="13"/>
      <c r="E808" s="15"/>
      <c r="F808" s="15"/>
      <c r="G808" s="15"/>
      <c r="H808" s="14"/>
      <c r="I808" s="16" t="str">
        <f aca="false">IF(OR(A808="",C808=""),"",IF(OR(H808="İade",H808="İptal"),0,E808*IFERROR(INDEX(Kanallar!$B$5:$B$19,MATCH(C808,Kanallar!$A$5:$A$19,0)),0)))</f>
        <v/>
      </c>
      <c r="J808" s="16" t="str">
        <f aca="false">IF(I808="","",IF(H808="İptal",0,IF(H808="İade",-G808,E808-I808-F808-G808)))</f>
        <v/>
      </c>
    </row>
    <row r="809" customFormat="false" ht="15" hidden="false" customHeight="false" outlineLevel="0" collapsed="false">
      <c r="A809" s="12"/>
      <c r="B809" s="13"/>
      <c r="C809" s="14"/>
      <c r="D809" s="13"/>
      <c r="E809" s="15"/>
      <c r="F809" s="15"/>
      <c r="G809" s="15"/>
      <c r="H809" s="14"/>
      <c r="I809" s="16" t="str">
        <f aca="false">IF(OR(A809="",C809=""),"",IF(OR(H809="İade",H809="İptal"),0,E809*IFERROR(INDEX(Kanallar!$B$5:$B$19,MATCH(C809,Kanallar!$A$5:$A$19,0)),0)))</f>
        <v/>
      </c>
      <c r="J809" s="16" t="str">
        <f aca="false">IF(I809="","",IF(H809="İptal",0,IF(H809="İade",-G809,E809-I809-F809-G809)))</f>
        <v/>
      </c>
    </row>
    <row r="810" customFormat="false" ht="15" hidden="false" customHeight="false" outlineLevel="0" collapsed="false">
      <c r="A810" s="12"/>
      <c r="B810" s="13"/>
      <c r="C810" s="14"/>
      <c r="D810" s="13"/>
      <c r="E810" s="15"/>
      <c r="F810" s="15"/>
      <c r="G810" s="15"/>
      <c r="H810" s="14"/>
      <c r="I810" s="16" t="str">
        <f aca="false">IF(OR(A810="",C810=""),"",IF(OR(H810="İade",H810="İptal"),0,E810*IFERROR(INDEX(Kanallar!$B$5:$B$19,MATCH(C810,Kanallar!$A$5:$A$19,0)),0)))</f>
        <v/>
      </c>
      <c r="J810" s="16" t="str">
        <f aca="false">IF(I810="","",IF(H810="İptal",0,IF(H810="İade",-G810,E810-I810-F810-G810)))</f>
        <v/>
      </c>
    </row>
    <row r="811" customFormat="false" ht="15" hidden="false" customHeight="false" outlineLevel="0" collapsed="false">
      <c r="A811" s="12"/>
      <c r="B811" s="13"/>
      <c r="C811" s="14"/>
      <c r="D811" s="13"/>
      <c r="E811" s="15"/>
      <c r="F811" s="15"/>
      <c r="G811" s="15"/>
      <c r="H811" s="14"/>
      <c r="I811" s="16" t="str">
        <f aca="false">IF(OR(A811="",C811=""),"",IF(OR(H811="İade",H811="İptal"),0,E811*IFERROR(INDEX(Kanallar!$B$5:$B$19,MATCH(C811,Kanallar!$A$5:$A$19,0)),0)))</f>
        <v/>
      </c>
      <c r="J811" s="16" t="str">
        <f aca="false">IF(I811="","",IF(H811="İptal",0,IF(H811="İade",-G811,E811-I811-F811-G811)))</f>
        <v/>
      </c>
    </row>
    <row r="812" customFormat="false" ht="15" hidden="false" customHeight="false" outlineLevel="0" collapsed="false">
      <c r="A812" s="12"/>
      <c r="B812" s="13"/>
      <c r="C812" s="14"/>
      <c r="D812" s="13"/>
      <c r="E812" s="15"/>
      <c r="F812" s="15"/>
      <c r="G812" s="15"/>
      <c r="H812" s="14"/>
      <c r="I812" s="16" t="str">
        <f aca="false">IF(OR(A812="",C812=""),"",IF(OR(H812="İade",H812="İptal"),0,E812*IFERROR(INDEX(Kanallar!$B$5:$B$19,MATCH(C812,Kanallar!$A$5:$A$19,0)),0)))</f>
        <v/>
      </c>
      <c r="J812" s="16" t="str">
        <f aca="false">IF(I812="","",IF(H812="İptal",0,IF(H812="İade",-G812,E812-I812-F812-G812)))</f>
        <v/>
      </c>
    </row>
    <row r="813" customFormat="false" ht="15" hidden="false" customHeight="false" outlineLevel="0" collapsed="false">
      <c r="A813" s="12"/>
      <c r="B813" s="13"/>
      <c r="C813" s="14"/>
      <c r="D813" s="13"/>
      <c r="E813" s="15"/>
      <c r="F813" s="15"/>
      <c r="G813" s="15"/>
      <c r="H813" s="14"/>
      <c r="I813" s="16" t="str">
        <f aca="false">IF(OR(A813="",C813=""),"",IF(OR(H813="İade",H813="İptal"),0,E813*IFERROR(INDEX(Kanallar!$B$5:$B$19,MATCH(C813,Kanallar!$A$5:$A$19,0)),0)))</f>
        <v/>
      </c>
      <c r="J813" s="16" t="str">
        <f aca="false">IF(I813="","",IF(H813="İptal",0,IF(H813="İade",-G813,E813-I813-F813-G813)))</f>
        <v/>
      </c>
    </row>
    <row r="814" customFormat="false" ht="15" hidden="false" customHeight="false" outlineLevel="0" collapsed="false">
      <c r="A814" s="12"/>
      <c r="B814" s="13"/>
      <c r="C814" s="14"/>
      <c r="D814" s="13"/>
      <c r="E814" s="15"/>
      <c r="F814" s="15"/>
      <c r="G814" s="15"/>
      <c r="H814" s="14"/>
      <c r="I814" s="16" t="str">
        <f aca="false">IF(OR(A814="",C814=""),"",IF(OR(H814="İade",H814="İptal"),0,E814*IFERROR(INDEX(Kanallar!$B$5:$B$19,MATCH(C814,Kanallar!$A$5:$A$19,0)),0)))</f>
        <v/>
      </c>
      <c r="J814" s="16" t="str">
        <f aca="false">IF(I814="","",IF(H814="İptal",0,IF(H814="İade",-G814,E814-I814-F814-G814)))</f>
        <v/>
      </c>
    </row>
    <row r="815" customFormat="false" ht="15" hidden="false" customHeight="false" outlineLevel="0" collapsed="false">
      <c r="A815" s="12"/>
      <c r="B815" s="13"/>
      <c r="C815" s="14"/>
      <c r="D815" s="13"/>
      <c r="E815" s="15"/>
      <c r="F815" s="15"/>
      <c r="G815" s="15"/>
      <c r="H815" s="14"/>
      <c r="I815" s="16" t="str">
        <f aca="false">IF(OR(A815="",C815=""),"",IF(OR(H815="İade",H815="İptal"),0,E815*IFERROR(INDEX(Kanallar!$B$5:$B$19,MATCH(C815,Kanallar!$A$5:$A$19,0)),0)))</f>
        <v/>
      </c>
      <c r="J815" s="16" t="str">
        <f aca="false">IF(I815="","",IF(H815="İptal",0,IF(H815="İade",-G815,E815-I815-F815-G815)))</f>
        <v/>
      </c>
    </row>
    <row r="816" customFormat="false" ht="15" hidden="false" customHeight="false" outlineLevel="0" collapsed="false">
      <c r="A816" s="12"/>
      <c r="B816" s="13"/>
      <c r="C816" s="14"/>
      <c r="D816" s="13"/>
      <c r="E816" s="15"/>
      <c r="F816" s="15"/>
      <c r="G816" s="15"/>
      <c r="H816" s="14"/>
      <c r="I816" s="16" t="str">
        <f aca="false">IF(OR(A816="",C816=""),"",IF(OR(H816="İade",H816="İptal"),0,E816*IFERROR(INDEX(Kanallar!$B$5:$B$19,MATCH(C816,Kanallar!$A$5:$A$19,0)),0)))</f>
        <v/>
      </c>
      <c r="J816" s="16" t="str">
        <f aca="false">IF(I816="","",IF(H816="İptal",0,IF(H816="İade",-G816,E816-I816-F816-G816)))</f>
        <v/>
      </c>
    </row>
    <row r="817" customFormat="false" ht="15" hidden="false" customHeight="false" outlineLevel="0" collapsed="false">
      <c r="A817" s="12"/>
      <c r="B817" s="13"/>
      <c r="C817" s="14"/>
      <c r="D817" s="13"/>
      <c r="E817" s="15"/>
      <c r="F817" s="15"/>
      <c r="G817" s="15"/>
      <c r="H817" s="14"/>
      <c r="I817" s="16" t="str">
        <f aca="false">IF(OR(A817="",C817=""),"",IF(OR(H817="İade",H817="İptal"),0,E817*IFERROR(INDEX(Kanallar!$B$5:$B$19,MATCH(C817,Kanallar!$A$5:$A$19,0)),0)))</f>
        <v/>
      </c>
      <c r="J817" s="16" t="str">
        <f aca="false">IF(I817="","",IF(H817="İptal",0,IF(H817="İade",-G817,E817-I817-F817-G817)))</f>
        <v/>
      </c>
    </row>
    <row r="818" customFormat="false" ht="15" hidden="false" customHeight="false" outlineLevel="0" collapsed="false">
      <c r="A818" s="12"/>
      <c r="B818" s="13"/>
      <c r="C818" s="14"/>
      <c r="D818" s="13"/>
      <c r="E818" s="15"/>
      <c r="F818" s="15"/>
      <c r="G818" s="15"/>
      <c r="H818" s="14"/>
      <c r="I818" s="16" t="str">
        <f aca="false">IF(OR(A818="",C818=""),"",IF(OR(H818="İade",H818="İptal"),0,E818*IFERROR(INDEX(Kanallar!$B$5:$B$19,MATCH(C818,Kanallar!$A$5:$A$19,0)),0)))</f>
        <v/>
      </c>
      <c r="J818" s="16" t="str">
        <f aca="false">IF(I818="","",IF(H818="İptal",0,IF(H818="İade",-G818,E818-I818-F818-G818)))</f>
        <v/>
      </c>
    </row>
    <row r="819" customFormat="false" ht="15" hidden="false" customHeight="false" outlineLevel="0" collapsed="false">
      <c r="A819" s="12"/>
      <c r="B819" s="13"/>
      <c r="C819" s="14"/>
      <c r="D819" s="13"/>
      <c r="E819" s="15"/>
      <c r="F819" s="15"/>
      <c r="G819" s="15"/>
      <c r="H819" s="14"/>
      <c r="I819" s="16" t="str">
        <f aca="false">IF(OR(A819="",C819=""),"",IF(OR(H819="İade",H819="İptal"),0,E819*IFERROR(INDEX(Kanallar!$B$5:$B$19,MATCH(C819,Kanallar!$A$5:$A$19,0)),0)))</f>
        <v/>
      </c>
      <c r="J819" s="16" t="str">
        <f aca="false">IF(I819="","",IF(H819="İptal",0,IF(H819="İade",-G819,E819-I819-F819-G819)))</f>
        <v/>
      </c>
    </row>
    <row r="820" customFormat="false" ht="15" hidden="false" customHeight="false" outlineLevel="0" collapsed="false">
      <c r="A820" s="12"/>
      <c r="B820" s="13"/>
      <c r="C820" s="14"/>
      <c r="D820" s="13"/>
      <c r="E820" s="15"/>
      <c r="F820" s="15"/>
      <c r="G820" s="15"/>
      <c r="H820" s="14"/>
      <c r="I820" s="16" t="str">
        <f aca="false">IF(OR(A820="",C820=""),"",IF(OR(H820="İade",H820="İptal"),0,E820*IFERROR(INDEX(Kanallar!$B$5:$B$19,MATCH(C820,Kanallar!$A$5:$A$19,0)),0)))</f>
        <v/>
      </c>
      <c r="J820" s="16" t="str">
        <f aca="false">IF(I820="","",IF(H820="İptal",0,IF(H820="İade",-G820,E820-I820-F820-G820)))</f>
        <v/>
      </c>
    </row>
    <row r="821" customFormat="false" ht="15" hidden="false" customHeight="false" outlineLevel="0" collapsed="false">
      <c r="A821" s="12"/>
      <c r="B821" s="13"/>
      <c r="C821" s="14"/>
      <c r="D821" s="13"/>
      <c r="E821" s="15"/>
      <c r="F821" s="15"/>
      <c r="G821" s="15"/>
      <c r="H821" s="14"/>
      <c r="I821" s="16" t="str">
        <f aca="false">IF(OR(A821="",C821=""),"",IF(OR(H821="İade",H821="İptal"),0,E821*IFERROR(INDEX(Kanallar!$B$5:$B$19,MATCH(C821,Kanallar!$A$5:$A$19,0)),0)))</f>
        <v/>
      </c>
      <c r="J821" s="16" t="str">
        <f aca="false">IF(I821="","",IF(H821="İptal",0,IF(H821="İade",-G821,E821-I821-F821-G821)))</f>
        <v/>
      </c>
    </row>
    <row r="822" customFormat="false" ht="15" hidden="false" customHeight="false" outlineLevel="0" collapsed="false">
      <c r="A822" s="12"/>
      <c r="B822" s="13"/>
      <c r="C822" s="14"/>
      <c r="D822" s="13"/>
      <c r="E822" s="15"/>
      <c r="F822" s="15"/>
      <c r="G822" s="15"/>
      <c r="H822" s="14"/>
      <c r="I822" s="16" t="str">
        <f aca="false">IF(OR(A822="",C822=""),"",IF(OR(H822="İade",H822="İptal"),0,E822*IFERROR(INDEX(Kanallar!$B$5:$B$19,MATCH(C822,Kanallar!$A$5:$A$19,0)),0)))</f>
        <v/>
      </c>
      <c r="J822" s="16" t="str">
        <f aca="false">IF(I822="","",IF(H822="İptal",0,IF(H822="İade",-G822,E822-I822-F822-G822)))</f>
        <v/>
      </c>
    </row>
    <row r="823" customFormat="false" ht="15" hidden="false" customHeight="false" outlineLevel="0" collapsed="false">
      <c r="A823" s="12"/>
      <c r="B823" s="13"/>
      <c r="C823" s="14"/>
      <c r="D823" s="13"/>
      <c r="E823" s="15"/>
      <c r="F823" s="15"/>
      <c r="G823" s="15"/>
      <c r="H823" s="14"/>
      <c r="I823" s="16" t="str">
        <f aca="false">IF(OR(A823="",C823=""),"",IF(OR(H823="İade",H823="İptal"),0,E823*IFERROR(INDEX(Kanallar!$B$5:$B$19,MATCH(C823,Kanallar!$A$5:$A$19,0)),0)))</f>
        <v/>
      </c>
      <c r="J823" s="16" t="str">
        <f aca="false">IF(I823="","",IF(H823="İptal",0,IF(H823="İade",-G823,E823-I823-F823-G823)))</f>
        <v/>
      </c>
    </row>
    <row r="824" customFormat="false" ht="15" hidden="false" customHeight="false" outlineLevel="0" collapsed="false">
      <c r="A824" s="12"/>
      <c r="B824" s="13"/>
      <c r="C824" s="14"/>
      <c r="D824" s="13"/>
      <c r="E824" s="15"/>
      <c r="F824" s="15"/>
      <c r="G824" s="15"/>
      <c r="H824" s="14"/>
      <c r="I824" s="16" t="str">
        <f aca="false">IF(OR(A824="",C824=""),"",IF(OR(H824="İade",H824="İptal"),0,E824*IFERROR(INDEX(Kanallar!$B$5:$B$19,MATCH(C824,Kanallar!$A$5:$A$19,0)),0)))</f>
        <v/>
      </c>
      <c r="J824" s="16" t="str">
        <f aca="false">IF(I824="","",IF(H824="İptal",0,IF(H824="İade",-G824,E824-I824-F824-G824)))</f>
        <v/>
      </c>
    </row>
    <row r="825" customFormat="false" ht="15" hidden="false" customHeight="false" outlineLevel="0" collapsed="false">
      <c r="A825" s="12"/>
      <c r="B825" s="13"/>
      <c r="C825" s="14"/>
      <c r="D825" s="13"/>
      <c r="E825" s="15"/>
      <c r="F825" s="15"/>
      <c r="G825" s="15"/>
      <c r="H825" s="14"/>
      <c r="I825" s="16" t="str">
        <f aca="false">IF(OR(A825="",C825=""),"",IF(OR(H825="İade",H825="İptal"),0,E825*IFERROR(INDEX(Kanallar!$B$5:$B$19,MATCH(C825,Kanallar!$A$5:$A$19,0)),0)))</f>
        <v/>
      </c>
      <c r="J825" s="16" t="str">
        <f aca="false">IF(I825="","",IF(H825="İptal",0,IF(H825="İade",-G825,E825-I825-F825-G825)))</f>
        <v/>
      </c>
    </row>
    <row r="826" customFormat="false" ht="15" hidden="false" customHeight="false" outlineLevel="0" collapsed="false">
      <c r="A826" s="12"/>
      <c r="B826" s="13"/>
      <c r="C826" s="14"/>
      <c r="D826" s="13"/>
      <c r="E826" s="15"/>
      <c r="F826" s="15"/>
      <c r="G826" s="15"/>
      <c r="H826" s="14"/>
      <c r="I826" s="16" t="str">
        <f aca="false">IF(OR(A826="",C826=""),"",IF(OR(H826="İade",H826="İptal"),0,E826*IFERROR(INDEX(Kanallar!$B$5:$B$19,MATCH(C826,Kanallar!$A$5:$A$19,0)),0)))</f>
        <v/>
      </c>
      <c r="J826" s="16" t="str">
        <f aca="false">IF(I826="","",IF(H826="İptal",0,IF(H826="İade",-G826,E826-I826-F826-G826)))</f>
        <v/>
      </c>
    </row>
    <row r="827" customFormat="false" ht="15" hidden="false" customHeight="false" outlineLevel="0" collapsed="false">
      <c r="A827" s="12"/>
      <c r="B827" s="13"/>
      <c r="C827" s="14"/>
      <c r="D827" s="13"/>
      <c r="E827" s="15"/>
      <c r="F827" s="15"/>
      <c r="G827" s="15"/>
      <c r="H827" s="14"/>
      <c r="I827" s="16" t="str">
        <f aca="false">IF(OR(A827="",C827=""),"",IF(OR(H827="İade",H827="İptal"),0,E827*IFERROR(INDEX(Kanallar!$B$5:$B$19,MATCH(C827,Kanallar!$A$5:$A$19,0)),0)))</f>
        <v/>
      </c>
      <c r="J827" s="16" t="str">
        <f aca="false">IF(I827="","",IF(H827="İptal",0,IF(H827="İade",-G827,E827-I827-F827-G827)))</f>
        <v/>
      </c>
    </row>
    <row r="828" customFormat="false" ht="15" hidden="false" customHeight="false" outlineLevel="0" collapsed="false">
      <c r="A828" s="12"/>
      <c r="B828" s="13"/>
      <c r="C828" s="14"/>
      <c r="D828" s="13"/>
      <c r="E828" s="15"/>
      <c r="F828" s="15"/>
      <c r="G828" s="15"/>
      <c r="H828" s="14"/>
      <c r="I828" s="16" t="str">
        <f aca="false">IF(OR(A828="",C828=""),"",IF(OR(H828="İade",H828="İptal"),0,E828*IFERROR(INDEX(Kanallar!$B$5:$B$19,MATCH(C828,Kanallar!$A$5:$A$19,0)),0)))</f>
        <v/>
      </c>
      <c r="J828" s="16" t="str">
        <f aca="false">IF(I828="","",IF(H828="İptal",0,IF(H828="İade",-G828,E828-I828-F828-G828)))</f>
        <v/>
      </c>
    </row>
    <row r="829" customFormat="false" ht="15" hidden="false" customHeight="false" outlineLevel="0" collapsed="false">
      <c r="A829" s="12"/>
      <c r="B829" s="13"/>
      <c r="C829" s="14"/>
      <c r="D829" s="13"/>
      <c r="E829" s="15"/>
      <c r="F829" s="15"/>
      <c r="G829" s="15"/>
      <c r="H829" s="14"/>
      <c r="I829" s="16" t="str">
        <f aca="false">IF(OR(A829="",C829=""),"",IF(OR(H829="İade",H829="İptal"),0,E829*IFERROR(INDEX(Kanallar!$B$5:$B$19,MATCH(C829,Kanallar!$A$5:$A$19,0)),0)))</f>
        <v/>
      </c>
      <c r="J829" s="16" t="str">
        <f aca="false">IF(I829="","",IF(H829="İptal",0,IF(H829="İade",-G829,E829-I829-F829-G829)))</f>
        <v/>
      </c>
    </row>
    <row r="830" customFormat="false" ht="15" hidden="false" customHeight="false" outlineLevel="0" collapsed="false">
      <c r="A830" s="12"/>
      <c r="B830" s="13"/>
      <c r="C830" s="14"/>
      <c r="D830" s="13"/>
      <c r="E830" s="15"/>
      <c r="F830" s="15"/>
      <c r="G830" s="15"/>
      <c r="H830" s="14"/>
      <c r="I830" s="16" t="str">
        <f aca="false">IF(OR(A830="",C830=""),"",IF(OR(H830="İade",H830="İptal"),0,E830*IFERROR(INDEX(Kanallar!$B$5:$B$19,MATCH(C830,Kanallar!$A$5:$A$19,0)),0)))</f>
        <v/>
      </c>
      <c r="J830" s="16" t="str">
        <f aca="false">IF(I830="","",IF(H830="İptal",0,IF(H830="İade",-G830,E830-I830-F830-G830)))</f>
        <v/>
      </c>
    </row>
    <row r="831" customFormat="false" ht="15" hidden="false" customHeight="false" outlineLevel="0" collapsed="false">
      <c r="A831" s="12"/>
      <c r="B831" s="13"/>
      <c r="C831" s="14"/>
      <c r="D831" s="13"/>
      <c r="E831" s="15"/>
      <c r="F831" s="15"/>
      <c r="G831" s="15"/>
      <c r="H831" s="14"/>
      <c r="I831" s="16" t="str">
        <f aca="false">IF(OR(A831="",C831=""),"",IF(OR(H831="İade",H831="İptal"),0,E831*IFERROR(INDEX(Kanallar!$B$5:$B$19,MATCH(C831,Kanallar!$A$5:$A$19,0)),0)))</f>
        <v/>
      </c>
      <c r="J831" s="16" t="str">
        <f aca="false">IF(I831="","",IF(H831="İptal",0,IF(H831="İade",-G831,E831-I831-F831-G831)))</f>
        <v/>
      </c>
    </row>
    <row r="832" customFormat="false" ht="15" hidden="false" customHeight="false" outlineLevel="0" collapsed="false">
      <c r="A832" s="12"/>
      <c r="B832" s="13"/>
      <c r="C832" s="14"/>
      <c r="D832" s="13"/>
      <c r="E832" s="15"/>
      <c r="F832" s="15"/>
      <c r="G832" s="15"/>
      <c r="H832" s="14"/>
      <c r="I832" s="16" t="str">
        <f aca="false">IF(OR(A832="",C832=""),"",IF(OR(H832="İade",H832="İptal"),0,E832*IFERROR(INDEX(Kanallar!$B$5:$B$19,MATCH(C832,Kanallar!$A$5:$A$19,0)),0)))</f>
        <v/>
      </c>
      <c r="J832" s="16" t="str">
        <f aca="false">IF(I832="","",IF(H832="İptal",0,IF(H832="İade",-G832,E832-I832-F832-G832)))</f>
        <v/>
      </c>
    </row>
    <row r="833" customFormat="false" ht="15" hidden="false" customHeight="false" outlineLevel="0" collapsed="false">
      <c r="A833" s="12"/>
      <c r="B833" s="13"/>
      <c r="C833" s="14"/>
      <c r="D833" s="13"/>
      <c r="E833" s="15"/>
      <c r="F833" s="15"/>
      <c r="G833" s="15"/>
      <c r="H833" s="14"/>
      <c r="I833" s="16" t="str">
        <f aca="false">IF(OR(A833="",C833=""),"",IF(OR(H833="İade",H833="İptal"),0,E833*IFERROR(INDEX(Kanallar!$B$5:$B$19,MATCH(C833,Kanallar!$A$5:$A$19,0)),0)))</f>
        <v/>
      </c>
      <c r="J833" s="16" t="str">
        <f aca="false">IF(I833="","",IF(H833="İptal",0,IF(H833="İade",-G833,E833-I833-F833-G833)))</f>
        <v/>
      </c>
    </row>
    <row r="834" customFormat="false" ht="15" hidden="false" customHeight="false" outlineLevel="0" collapsed="false">
      <c r="A834" s="12"/>
      <c r="B834" s="13"/>
      <c r="C834" s="14"/>
      <c r="D834" s="13"/>
      <c r="E834" s="15"/>
      <c r="F834" s="15"/>
      <c r="G834" s="15"/>
      <c r="H834" s="14"/>
      <c r="I834" s="16" t="str">
        <f aca="false">IF(OR(A834="",C834=""),"",IF(OR(H834="İade",H834="İptal"),0,E834*IFERROR(INDEX(Kanallar!$B$5:$B$19,MATCH(C834,Kanallar!$A$5:$A$19,0)),0)))</f>
        <v/>
      </c>
      <c r="J834" s="16" t="str">
        <f aca="false">IF(I834="","",IF(H834="İptal",0,IF(H834="İade",-G834,E834-I834-F834-G834)))</f>
        <v/>
      </c>
    </row>
    <row r="835" customFormat="false" ht="15" hidden="false" customHeight="false" outlineLevel="0" collapsed="false">
      <c r="A835" s="12"/>
      <c r="B835" s="13"/>
      <c r="C835" s="14"/>
      <c r="D835" s="13"/>
      <c r="E835" s="15"/>
      <c r="F835" s="15"/>
      <c r="G835" s="15"/>
      <c r="H835" s="14"/>
      <c r="I835" s="16" t="str">
        <f aca="false">IF(OR(A835="",C835=""),"",IF(OR(H835="İade",H835="İptal"),0,E835*IFERROR(INDEX(Kanallar!$B$5:$B$19,MATCH(C835,Kanallar!$A$5:$A$19,0)),0)))</f>
        <v/>
      </c>
      <c r="J835" s="16" t="str">
        <f aca="false">IF(I835="","",IF(H835="İptal",0,IF(H835="İade",-G835,E835-I835-F835-G835)))</f>
        <v/>
      </c>
    </row>
    <row r="836" customFormat="false" ht="15" hidden="false" customHeight="false" outlineLevel="0" collapsed="false">
      <c r="A836" s="12"/>
      <c r="B836" s="13"/>
      <c r="C836" s="14"/>
      <c r="D836" s="13"/>
      <c r="E836" s="15"/>
      <c r="F836" s="15"/>
      <c r="G836" s="15"/>
      <c r="H836" s="14"/>
      <c r="I836" s="16" t="str">
        <f aca="false">IF(OR(A836="",C836=""),"",IF(OR(H836="İade",H836="İptal"),0,E836*IFERROR(INDEX(Kanallar!$B$5:$B$19,MATCH(C836,Kanallar!$A$5:$A$19,0)),0)))</f>
        <v/>
      </c>
      <c r="J836" s="16" t="str">
        <f aca="false">IF(I836="","",IF(H836="İptal",0,IF(H836="İade",-G836,E836-I836-F836-G836)))</f>
        <v/>
      </c>
    </row>
    <row r="837" customFormat="false" ht="15" hidden="false" customHeight="false" outlineLevel="0" collapsed="false">
      <c r="A837" s="12"/>
      <c r="B837" s="13"/>
      <c r="C837" s="14"/>
      <c r="D837" s="13"/>
      <c r="E837" s="15"/>
      <c r="F837" s="15"/>
      <c r="G837" s="15"/>
      <c r="H837" s="14"/>
      <c r="I837" s="16" t="str">
        <f aca="false">IF(OR(A837="",C837=""),"",IF(OR(H837="İade",H837="İptal"),0,E837*IFERROR(INDEX(Kanallar!$B$5:$B$19,MATCH(C837,Kanallar!$A$5:$A$19,0)),0)))</f>
        <v/>
      </c>
      <c r="J837" s="16" t="str">
        <f aca="false">IF(I837="","",IF(H837="İptal",0,IF(H837="İade",-G837,E837-I837-F837-G837)))</f>
        <v/>
      </c>
    </row>
    <row r="838" customFormat="false" ht="15" hidden="false" customHeight="false" outlineLevel="0" collapsed="false">
      <c r="A838" s="12"/>
      <c r="B838" s="13"/>
      <c r="C838" s="14"/>
      <c r="D838" s="13"/>
      <c r="E838" s="15"/>
      <c r="F838" s="15"/>
      <c r="G838" s="15"/>
      <c r="H838" s="14"/>
      <c r="I838" s="16" t="str">
        <f aca="false">IF(OR(A838="",C838=""),"",IF(OR(H838="İade",H838="İptal"),0,E838*IFERROR(INDEX(Kanallar!$B$5:$B$19,MATCH(C838,Kanallar!$A$5:$A$19,0)),0)))</f>
        <v/>
      </c>
      <c r="J838" s="16" t="str">
        <f aca="false">IF(I838="","",IF(H838="İptal",0,IF(H838="İade",-G838,E838-I838-F838-G838)))</f>
        <v/>
      </c>
    </row>
    <row r="839" customFormat="false" ht="15" hidden="false" customHeight="false" outlineLevel="0" collapsed="false">
      <c r="A839" s="12"/>
      <c r="B839" s="13"/>
      <c r="C839" s="14"/>
      <c r="D839" s="13"/>
      <c r="E839" s="15"/>
      <c r="F839" s="15"/>
      <c r="G839" s="15"/>
      <c r="H839" s="14"/>
      <c r="I839" s="16" t="str">
        <f aca="false">IF(OR(A839="",C839=""),"",IF(OR(H839="İade",H839="İptal"),0,E839*IFERROR(INDEX(Kanallar!$B$5:$B$19,MATCH(C839,Kanallar!$A$5:$A$19,0)),0)))</f>
        <v/>
      </c>
      <c r="J839" s="16" t="str">
        <f aca="false">IF(I839="","",IF(H839="İptal",0,IF(H839="İade",-G839,E839-I839-F839-G839)))</f>
        <v/>
      </c>
    </row>
    <row r="840" customFormat="false" ht="15" hidden="false" customHeight="false" outlineLevel="0" collapsed="false">
      <c r="A840" s="12"/>
      <c r="B840" s="13"/>
      <c r="C840" s="14"/>
      <c r="D840" s="13"/>
      <c r="E840" s="15"/>
      <c r="F840" s="15"/>
      <c r="G840" s="15"/>
      <c r="H840" s="14"/>
      <c r="I840" s="16" t="str">
        <f aca="false">IF(OR(A840="",C840=""),"",IF(OR(H840="İade",H840="İptal"),0,E840*IFERROR(INDEX(Kanallar!$B$5:$B$19,MATCH(C840,Kanallar!$A$5:$A$19,0)),0)))</f>
        <v/>
      </c>
      <c r="J840" s="16" t="str">
        <f aca="false">IF(I840="","",IF(H840="İptal",0,IF(H840="İade",-G840,E840-I840-F840-G840)))</f>
        <v/>
      </c>
    </row>
    <row r="841" customFormat="false" ht="15" hidden="false" customHeight="false" outlineLevel="0" collapsed="false">
      <c r="A841" s="12"/>
      <c r="B841" s="13"/>
      <c r="C841" s="14"/>
      <c r="D841" s="13"/>
      <c r="E841" s="15"/>
      <c r="F841" s="15"/>
      <c r="G841" s="15"/>
      <c r="H841" s="14"/>
      <c r="I841" s="16" t="str">
        <f aca="false">IF(OR(A841="",C841=""),"",IF(OR(H841="İade",H841="İptal"),0,E841*IFERROR(INDEX(Kanallar!$B$5:$B$19,MATCH(C841,Kanallar!$A$5:$A$19,0)),0)))</f>
        <v/>
      </c>
      <c r="J841" s="16" t="str">
        <f aca="false">IF(I841="","",IF(H841="İptal",0,IF(H841="İade",-G841,E841-I841-F841-G841)))</f>
        <v/>
      </c>
    </row>
    <row r="842" customFormat="false" ht="15" hidden="false" customHeight="false" outlineLevel="0" collapsed="false">
      <c r="A842" s="12"/>
      <c r="B842" s="13"/>
      <c r="C842" s="14"/>
      <c r="D842" s="13"/>
      <c r="E842" s="15"/>
      <c r="F842" s="15"/>
      <c r="G842" s="15"/>
      <c r="H842" s="14"/>
      <c r="I842" s="16" t="str">
        <f aca="false">IF(OR(A842="",C842=""),"",IF(OR(H842="İade",H842="İptal"),0,E842*IFERROR(INDEX(Kanallar!$B$5:$B$19,MATCH(C842,Kanallar!$A$5:$A$19,0)),0)))</f>
        <v/>
      </c>
      <c r="J842" s="16" t="str">
        <f aca="false">IF(I842="","",IF(H842="İptal",0,IF(H842="İade",-G842,E842-I842-F842-G842)))</f>
        <v/>
      </c>
    </row>
    <row r="843" customFormat="false" ht="15" hidden="false" customHeight="false" outlineLevel="0" collapsed="false">
      <c r="A843" s="12"/>
      <c r="B843" s="13"/>
      <c r="C843" s="14"/>
      <c r="D843" s="13"/>
      <c r="E843" s="15"/>
      <c r="F843" s="15"/>
      <c r="G843" s="15"/>
      <c r="H843" s="14"/>
      <c r="I843" s="16" t="str">
        <f aca="false">IF(OR(A843="",C843=""),"",IF(OR(H843="İade",H843="İptal"),0,E843*IFERROR(INDEX(Kanallar!$B$5:$B$19,MATCH(C843,Kanallar!$A$5:$A$19,0)),0)))</f>
        <v/>
      </c>
      <c r="J843" s="16" t="str">
        <f aca="false">IF(I843="","",IF(H843="İptal",0,IF(H843="İade",-G843,E843-I843-F843-G843)))</f>
        <v/>
      </c>
    </row>
    <row r="844" customFormat="false" ht="15" hidden="false" customHeight="false" outlineLevel="0" collapsed="false">
      <c r="A844" s="12"/>
      <c r="B844" s="13"/>
      <c r="C844" s="14"/>
      <c r="D844" s="13"/>
      <c r="E844" s="15"/>
      <c r="F844" s="15"/>
      <c r="G844" s="15"/>
      <c r="H844" s="14"/>
      <c r="I844" s="16" t="str">
        <f aca="false">IF(OR(A844="",C844=""),"",IF(OR(H844="İade",H844="İptal"),0,E844*IFERROR(INDEX(Kanallar!$B$5:$B$19,MATCH(C844,Kanallar!$A$5:$A$19,0)),0)))</f>
        <v/>
      </c>
      <c r="J844" s="16" t="str">
        <f aca="false">IF(I844="","",IF(H844="İptal",0,IF(H844="İade",-G844,E844-I844-F844-G844)))</f>
        <v/>
      </c>
    </row>
    <row r="845" customFormat="false" ht="15" hidden="false" customHeight="false" outlineLevel="0" collapsed="false">
      <c r="A845" s="12"/>
      <c r="B845" s="13"/>
      <c r="C845" s="14"/>
      <c r="D845" s="13"/>
      <c r="E845" s="15"/>
      <c r="F845" s="15"/>
      <c r="G845" s="15"/>
      <c r="H845" s="14"/>
      <c r="I845" s="16" t="str">
        <f aca="false">IF(OR(A845="",C845=""),"",IF(OR(H845="İade",H845="İptal"),0,E845*IFERROR(INDEX(Kanallar!$B$5:$B$19,MATCH(C845,Kanallar!$A$5:$A$19,0)),0)))</f>
        <v/>
      </c>
      <c r="J845" s="16" t="str">
        <f aca="false">IF(I845="","",IF(H845="İptal",0,IF(H845="İade",-G845,E845-I845-F845-G845)))</f>
        <v/>
      </c>
    </row>
    <row r="846" customFormat="false" ht="15" hidden="false" customHeight="false" outlineLevel="0" collapsed="false">
      <c r="A846" s="12"/>
      <c r="B846" s="13"/>
      <c r="C846" s="14"/>
      <c r="D846" s="13"/>
      <c r="E846" s="15"/>
      <c r="F846" s="15"/>
      <c r="G846" s="15"/>
      <c r="H846" s="14"/>
      <c r="I846" s="16" t="str">
        <f aca="false">IF(OR(A846="",C846=""),"",IF(OR(H846="İade",H846="İptal"),0,E846*IFERROR(INDEX(Kanallar!$B$5:$B$19,MATCH(C846,Kanallar!$A$5:$A$19,0)),0)))</f>
        <v/>
      </c>
      <c r="J846" s="16" t="str">
        <f aca="false">IF(I846="","",IF(H846="İptal",0,IF(H846="İade",-G846,E846-I846-F846-G846)))</f>
        <v/>
      </c>
    </row>
    <row r="847" customFormat="false" ht="15" hidden="false" customHeight="false" outlineLevel="0" collapsed="false">
      <c r="A847" s="12"/>
      <c r="B847" s="13"/>
      <c r="C847" s="14"/>
      <c r="D847" s="13"/>
      <c r="E847" s="15"/>
      <c r="F847" s="15"/>
      <c r="G847" s="15"/>
      <c r="H847" s="14"/>
      <c r="I847" s="16" t="str">
        <f aca="false">IF(OR(A847="",C847=""),"",IF(OR(H847="İade",H847="İptal"),0,E847*IFERROR(INDEX(Kanallar!$B$5:$B$19,MATCH(C847,Kanallar!$A$5:$A$19,0)),0)))</f>
        <v/>
      </c>
      <c r="J847" s="16" t="str">
        <f aca="false">IF(I847="","",IF(H847="İptal",0,IF(H847="İade",-G847,E847-I847-F847-G847)))</f>
        <v/>
      </c>
    </row>
    <row r="848" customFormat="false" ht="15" hidden="false" customHeight="false" outlineLevel="0" collapsed="false">
      <c r="A848" s="12"/>
      <c r="B848" s="13"/>
      <c r="C848" s="14"/>
      <c r="D848" s="13"/>
      <c r="E848" s="15"/>
      <c r="F848" s="15"/>
      <c r="G848" s="15"/>
      <c r="H848" s="14"/>
      <c r="I848" s="16" t="str">
        <f aca="false">IF(OR(A848="",C848=""),"",IF(OR(H848="İade",H848="İptal"),0,E848*IFERROR(INDEX(Kanallar!$B$5:$B$19,MATCH(C848,Kanallar!$A$5:$A$19,0)),0)))</f>
        <v/>
      </c>
      <c r="J848" s="16" t="str">
        <f aca="false">IF(I848="","",IF(H848="İptal",0,IF(H848="İade",-G848,E848-I848-F848-G848)))</f>
        <v/>
      </c>
    </row>
    <row r="849" customFormat="false" ht="15" hidden="false" customHeight="false" outlineLevel="0" collapsed="false">
      <c r="A849" s="12"/>
      <c r="B849" s="13"/>
      <c r="C849" s="14"/>
      <c r="D849" s="13"/>
      <c r="E849" s="15"/>
      <c r="F849" s="15"/>
      <c r="G849" s="15"/>
      <c r="H849" s="14"/>
      <c r="I849" s="16" t="str">
        <f aca="false">IF(OR(A849="",C849=""),"",IF(OR(H849="İade",H849="İptal"),0,E849*IFERROR(INDEX(Kanallar!$B$5:$B$19,MATCH(C849,Kanallar!$A$5:$A$19,0)),0)))</f>
        <v/>
      </c>
      <c r="J849" s="16" t="str">
        <f aca="false">IF(I849="","",IF(H849="İptal",0,IF(H849="İade",-G849,E849-I849-F849-G849)))</f>
        <v/>
      </c>
    </row>
    <row r="850" customFormat="false" ht="15" hidden="false" customHeight="false" outlineLevel="0" collapsed="false">
      <c r="A850" s="12"/>
      <c r="B850" s="13"/>
      <c r="C850" s="14"/>
      <c r="D850" s="13"/>
      <c r="E850" s="15"/>
      <c r="F850" s="15"/>
      <c r="G850" s="15"/>
      <c r="H850" s="14"/>
      <c r="I850" s="16" t="str">
        <f aca="false">IF(OR(A850="",C850=""),"",IF(OR(H850="İade",H850="İptal"),0,E850*IFERROR(INDEX(Kanallar!$B$5:$B$19,MATCH(C850,Kanallar!$A$5:$A$19,0)),0)))</f>
        <v/>
      </c>
      <c r="J850" s="16" t="str">
        <f aca="false">IF(I850="","",IF(H850="İptal",0,IF(H850="İade",-G850,E850-I850-F850-G850)))</f>
        <v/>
      </c>
    </row>
    <row r="851" customFormat="false" ht="15" hidden="false" customHeight="false" outlineLevel="0" collapsed="false">
      <c r="A851" s="12"/>
      <c r="B851" s="13"/>
      <c r="C851" s="14"/>
      <c r="D851" s="13"/>
      <c r="E851" s="15"/>
      <c r="F851" s="15"/>
      <c r="G851" s="15"/>
      <c r="H851" s="14"/>
      <c r="I851" s="16" t="str">
        <f aca="false">IF(OR(A851="",C851=""),"",IF(OR(H851="İade",H851="İptal"),0,E851*IFERROR(INDEX(Kanallar!$B$5:$B$19,MATCH(C851,Kanallar!$A$5:$A$19,0)),0)))</f>
        <v/>
      </c>
      <c r="J851" s="16" t="str">
        <f aca="false">IF(I851="","",IF(H851="İptal",0,IF(H851="İade",-G851,E851-I851-F851-G851)))</f>
        <v/>
      </c>
    </row>
    <row r="852" customFormat="false" ht="15" hidden="false" customHeight="false" outlineLevel="0" collapsed="false">
      <c r="A852" s="12"/>
      <c r="B852" s="13"/>
      <c r="C852" s="14"/>
      <c r="D852" s="13"/>
      <c r="E852" s="15"/>
      <c r="F852" s="15"/>
      <c r="G852" s="15"/>
      <c r="H852" s="14"/>
      <c r="I852" s="16" t="str">
        <f aca="false">IF(OR(A852="",C852=""),"",IF(OR(H852="İade",H852="İptal"),0,E852*IFERROR(INDEX(Kanallar!$B$5:$B$19,MATCH(C852,Kanallar!$A$5:$A$19,0)),0)))</f>
        <v/>
      </c>
      <c r="J852" s="16" t="str">
        <f aca="false">IF(I852="","",IF(H852="İptal",0,IF(H852="İade",-G852,E852-I852-F852-G852)))</f>
        <v/>
      </c>
    </row>
    <row r="853" customFormat="false" ht="15" hidden="false" customHeight="false" outlineLevel="0" collapsed="false">
      <c r="A853" s="12"/>
      <c r="B853" s="13"/>
      <c r="C853" s="14"/>
      <c r="D853" s="13"/>
      <c r="E853" s="15"/>
      <c r="F853" s="15"/>
      <c r="G853" s="15"/>
      <c r="H853" s="14"/>
      <c r="I853" s="16" t="str">
        <f aca="false">IF(OR(A853="",C853=""),"",IF(OR(H853="İade",H853="İptal"),0,E853*IFERROR(INDEX(Kanallar!$B$5:$B$19,MATCH(C853,Kanallar!$A$5:$A$19,0)),0)))</f>
        <v/>
      </c>
      <c r="J853" s="16" t="str">
        <f aca="false">IF(I853="","",IF(H853="İptal",0,IF(H853="İade",-G853,E853-I853-F853-G853)))</f>
        <v/>
      </c>
    </row>
    <row r="854" customFormat="false" ht="15" hidden="false" customHeight="false" outlineLevel="0" collapsed="false">
      <c r="A854" s="12"/>
      <c r="B854" s="13"/>
      <c r="C854" s="14"/>
      <c r="D854" s="13"/>
      <c r="E854" s="15"/>
      <c r="F854" s="15"/>
      <c r="G854" s="15"/>
      <c r="H854" s="14"/>
      <c r="I854" s="16" t="str">
        <f aca="false">IF(OR(A854="",C854=""),"",IF(OR(H854="İade",H854="İptal"),0,E854*IFERROR(INDEX(Kanallar!$B$5:$B$19,MATCH(C854,Kanallar!$A$5:$A$19,0)),0)))</f>
        <v/>
      </c>
      <c r="J854" s="16" t="str">
        <f aca="false">IF(I854="","",IF(H854="İptal",0,IF(H854="İade",-G854,E854-I854-F854-G854)))</f>
        <v/>
      </c>
    </row>
    <row r="855" customFormat="false" ht="15" hidden="false" customHeight="false" outlineLevel="0" collapsed="false">
      <c r="A855" s="12"/>
      <c r="B855" s="13"/>
      <c r="C855" s="14"/>
      <c r="D855" s="13"/>
      <c r="E855" s="15"/>
      <c r="F855" s="15"/>
      <c r="G855" s="15"/>
      <c r="H855" s="14"/>
      <c r="I855" s="16" t="str">
        <f aca="false">IF(OR(A855="",C855=""),"",IF(OR(H855="İade",H855="İptal"),0,E855*IFERROR(INDEX(Kanallar!$B$5:$B$19,MATCH(C855,Kanallar!$A$5:$A$19,0)),0)))</f>
        <v/>
      </c>
      <c r="J855" s="16" t="str">
        <f aca="false">IF(I855="","",IF(H855="İptal",0,IF(H855="İade",-G855,E855-I855-F855-G855)))</f>
        <v/>
      </c>
    </row>
    <row r="856" customFormat="false" ht="15" hidden="false" customHeight="false" outlineLevel="0" collapsed="false">
      <c r="A856" s="12"/>
      <c r="B856" s="13"/>
      <c r="C856" s="14"/>
      <c r="D856" s="13"/>
      <c r="E856" s="15"/>
      <c r="F856" s="15"/>
      <c r="G856" s="15"/>
      <c r="H856" s="14"/>
      <c r="I856" s="16" t="str">
        <f aca="false">IF(OR(A856="",C856=""),"",IF(OR(H856="İade",H856="İptal"),0,E856*IFERROR(INDEX(Kanallar!$B$5:$B$19,MATCH(C856,Kanallar!$A$5:$A$19,0)),0)))</f>
        <v/>
      </c>
      <c r="J856" s="16" t="str">
        <f aca="false">IF(I856="","",IF(H856="İptal",0,IF(H856="İade",-G856,E856-I856-F856-G856)))</f>
        <v/>
      </c>
    </row>
    <row r="857" customFormat="false" ht="15" hidden="false" customHeight="false" outlineLevel="0" collapsed="false">
      <c r="A857" s="12"/>
      <c r="B857" s="13"/>
      <c r="C857" s="14"/>
      <c r="D857" s="13"/>
      <c r="E857" s="15"/>
      <c r="F857" s="15"/>
      <c r="G857" s="15"/>
      <c r="H857" s="14"/>
      <c r="I857" s="16" t="str">
        <f aca="false">IF(OR(A857="",C857=""),"",IF(OR(H857="İade",H857="İptal"),0,E857*IFERROR(INDEX(Kanallar!$B$5:$B$19,MATCH(C857,Kanallar!$A$5:$A$19,0)),0)))</f>
        <v/>
      </c>
      <c r="J857" s="16" t="str">
        <f aca="false">IF(I857="","",IF(H857="İptal",0,IF(H857="İade",-G857,E857-I857-F857-G857)))</f>
        <v/>
      </c>
    </row>
    <row r="858" customFormat="false" ht="15" hidden="false" customHeight="false" outlineLevel="0" collapsed="false">
      <c r="A858" s="12"/>
      <c r="B858" s="13"/>
      <c r="C858" s="14"/>
      <c r="D858" s="13"/>
      <c r="E858" s="15"/>
      <c r="F858" s="15"/>
      <c r="G858" s="15"/>
      <c r="H858" s="14"/>
      <c r="I858" s="16" t="str">
        <f aca="false">IF(OR(A858="",C858=""),"",IF(OR(H858="İade",H858="İptal"),0,E858*IFERROR(INDEX(Kanallar!$B$5:$B$19,MATCH(C858,Kanallar!$A$5:$A$19,0)),0)))</f>
        <v/>
      </c>
      <c r="J858" s="16" t="str">
        <f aca="false">IF(I858="","",IF(H858="İptal",0,IF(H858="İade",-G858,E858-I858-F858-G858)))</f>
        <v/>
      </c>
    </row>
    <row r="859" customFormat="false" ht="15" hidden="false" customHeight="false" outlineLevel="0" collapsed="false">
      <c r="A859" s="12"/>
      <c r="B859" s="13"/>
      <c r="C859" s="14"/>
      <c r="D859" s="13"/>
      <c r="E859" s="15"/>
      <c r="F859" s="15"/>
      <c r="G859" s="15"/>
      <c r="H859" s="14"/>
      <c r="I859" s="16" t="str">
        <f aca="false">IF(OR(A859="",C859=""),"",IF(OR(H859="İade",H859="İptal"),0,E859*IFERROR(INDEX(Kanallar!$B$5:$B$19,MATCH(C859,Kanallar!$A$5:$A$19,0)),0)))</f>
        <v/>
      </c>
      <c r="J859" s="16" t="str">
        <f aca="false">IF(I859="","",IF(H859="İptal",0,IF(H859="İade",-G859,E859-I859-F859-G859)))</f>
        <v/>
      </c>
    </row>
    <row r="860" customFormat="false" ht="15" hidden="false" customHeight="false" outlineLevel="0" collapsed="false">
      <c r="A860" s="12"/>
      <c r="B860" s="13"/>
      <c r="C860" s="14"/>
      <c r="D860" s="13"/>
      <c r="E860" s="15"/>
      <c r="F860" s="15"/>
      <c r="G860" s="15"/>
      <c r="H860" s="14"/>
      <c r="I860" s="16" t="str">
        <f aca="false">IF(OR(A860="",C860=""),"",IF(OR(H860="İade",H860="İptal"),0,E860*IFERROR(INDEX(Kanallar!$B$5:$B$19,MATCH(C860,Kanallar!$A$5:$A$19,0)),0)))</f>
        <v/>
      </c>
      <c r="J860" s="16" t="str">
        <f aca="false">IF(I860="","",IF(H860="İptal",0,IF(H860="İade",-G860,E860-I860-F860-G860)))</f>
        <v/>
      </c>
    </row>
    <row r="861" customFormat="false" ht="15" hidden="false" customHeight="false" outlineLevel="0" collapsed="false">
      <c r="A861" s="12"/>
      <c r="B861" s="13"/>
      <c r="C861" s="14"/>
      <c r="D861" s="13"/>
      <c r="E861" s="15"/>
      <c r="F861" s="15"/>
      <c r="G861" s="15"/>
      <c r="H861" s="14"/>
      <c r="I861" s="16" t="str">
        <f aca="false">IF(OR(A861="",C861=""),"",IF(OR(H861="İade",H861="İptal"),0,E861*IFERROR(INDEX(Kanallar!$B$5:$B$19,MATCH(C861,Kanallar!$A$5:$A$19,0)),0)))</f>
        <v/>
      </c>
      <c r="J861" s="16" t="str">
        <f aca="false">IF(I861="","",IF(H861="İptal",0,IF(H861="İade",-G861,E861-I861-F861-G861)))</f>
        <v/>
      </c>
    </row>
    <row r="862" customFormat="false" ht="15" hidden="false" customHeight="false" outlineLevel="0" collapsed="false">
      <c r="A862" s="12"/>
      <c r="B862" s="13"/>
      <c r="C862" s="14"/>
      <c r="D862" s="13"/>
      <c r="E862" s="15"/>
      <c r="F862" s="15"/>
      <c r="G862" s="15"/>
      <c r="H862" s="14"/>
      <c r="I862" s="16" t="str">
        <f aca="false">IF(OR(A862="",C862=""),"",IF(OR(H862="İade",H862="İptal"),0,E862*IFERROR(INDEX(Kanallar!$B$5:$B$19,MATCH(C862,Kanallar!$A$5:$A$19,0)),0)))</f>
        <v/>
      </c>
      <c r="J862" s="16" t="str">
        <f aca="false">IF(I862="","",IF(H862="İptal",0,IF(H862="İade",-G862,E862-I862-F862-G862)))</f>
        <v/>
      </c>
    </row>
    <row r="863" customFormat="false" ht="15" hidden="false" customHeight="false" outlineLevel="0" collapsed="false">
      <c r="A863" s="12"/>
      <c r="B863" s="13"/>
      <c r="C863" s="14"/>
      <c r="D863" s="13"/>
      <c r="E863" s="15"/>
      <c r="F863" s="15"/>
      <c r="G863" s="15"/>
      <c r="H863" s="14"/>
      <c r="I863" s="16" t="str">
        <f aca="false">IF(OR(A863="",C863=""),"",IF(OR(H863="İade",H863="İptal"),0,E863*IFERROR(INDEX(Kanallar!$B$5:$B$19,MATCH(C863,Kanallar!$A$5:$A$19,0)),0)))</f>
        <v/>
      </c>
      <c r="J863" s="16" t="str">
        <f aca="false">IF(I863="","",IF(H863="İptal",0,IF(H863="İade",-G863,E863-I863-F863-G863)))</f>
        <v/>
      </c>
    </row>
    <row r="864" customFormat="false" ht="15" hidden="false" customHeight="false" outlineLevel="0" collapsed="false">
      <c r="A864" s="12"/>
      <c r="B864" s="13"/>
      <c r="C864" s="14"/>
      <c r="D864" s="13"/>
      <c r="E864" s="15"/>
      <c r="F864" s="15"/>
      <c r="G864" s="15"/>
      <c r="H864" s="14"/>
      <c r="I864" s="16" t="str">
        <f aca="false">IF(OR(A864="",C864=""),"",IF(OR(H864="İade",H864="İptal"),0,E864*IFERROR(INDEX(Kanallar!$B$5:$B$19,MATCH(C864,Kanallar!$A$5:$A$19,0)),0)))</f>
        <v/>
      </c>
      <c r="J864" s="16" t="str">
        <f aca="false">IF(I864="","",IF(H864="İptal",0,IF(H864="İade",-G864,E864-I864-F864-G864)))</f>
        <v/>
      </c>
    </row>
    <row r="865" customFormat="false" ht="15" hidden="false" customHeight="false" outlineLevel="0" collapsed="false">
      <c r="A865" s="12"/>
      <c r="B865" s="13"/>
      <c r="C865" s="14"/>
      <c r="D865" s="13"/>
      <c r="E865" s="15"/>
      <c r="F865" s="15"/>
      <c r="G865" s="15"/>
      <c r="H865" s="14"/>
      <c r="I865" s="16" t="str">
        <f aca="false">IF(OR(A865="",C865=""),"",IF(OR(H865="İade",H865="İptal"),0,E865*IFERROR(INDEX(Kanallar!$B$5:$B$19,MATCH(C865,Kanallar!$A$5:$A$19,0)),0)))</f>
        <v/>
      </c>
      <c r="J865" s="16" t="str">
        <f aca="false">IF(I865="","",IF(H865="İptal",0,IF(H865="İade",-G865,E865-I865-F865-G865)))</f>
        <v/>
      </c>
    </row>
    <row r="866" customFormat="false" ht="15" hidden="false" customHeight="false" outlineLevel="0" collapsed="false">
      <c r="A866" s="12"/>
      <c r="B866" s="13"/>
      <c r="C866" s="14"/>
      <c r="D866" s="13"/>
      <c r="E866" s="15"/>
      <c r="F866" s="15"/>
      <c r="G866" s="15"/>
      <c r="H866" s="14"/>
      <c r="I866" s="16" t="str">
        <f aca="false">IF(OR(A866="",C866=""),"",IF(OR(H866="İade",H866="İptal"),0,E866*IFERROR(INDEX(Kanallar!$B$5:$B$19,MATCH(C866,Kanallar!$A$5:$A$19,0)),0)))</f>
        <v/>
      </c>
      <c r="J866" s="16" t="str">
        <f aca="false">IF(I866="","",IF(H866="İptal",0,IF(H866="İade",-G866,E866-I866-F866-G866)))</f>
        <v/>
      </c>
    </row>
    <row r="867" customFormat="false" ht="15" hidden="false" customHeight="false" outlineLevel="0" collapsed="false">
      <c r="A867" s="12"/>
      <c r="B867" s="13"/>
      <c r="C867" s="14"/>
      <c r="D867" s="13"/>
      <c r="E867" s="15"/>
      <c r="F867" s="15"/>
      <c r="G867" s="15"/>
      <c r="H867" s="14"/>
      <c r="I867" s="16" t="str">
        <f aca="false">IF(OR(A867="",C867=""),"",IF(OR(H867="İade",H867="İptal"),0,E867*IFERROR(INDEX(Kanallar!$B$5:$B$19,MATCH(C867,Kanallar!$A$5:$A$19,0)),0)))</f>
        <v/>
      </c>
      <c r="J867" s="16" t="str">
        <f aca="false">IF(I867="","",IF(H867="İptal",0,IF(H867="İade",-G867,E867-I867-F867-G867)))</f>
        <v/>
      </c>
    </row>
    <row r="868" customFormat="false" ht="15" hidden="false" customHeight="false" outlineLevel="0" collapsed="false">
      <c r="A868" s="12"/>
      <c r="B868" s="13"/>
      <c r="C868" s="14"/>
      <c r="D868" s="13"/>
      <c r="E868" s="15"/>
      <c r="F868" s="15"/>
      <c r="G868" s="15"/>
      <c r="H868" s="14"/>
      <c r="I868" s="16" t="str">
        <f aca="false">IF(OR(A868="",C868=""),"",IF(OR(H868="İade",H868="İptal"),0,E868*IFERROR(INDEX(Kanallar!$B$5:$B$19,MATCH(C868,Kanallar!$A$5:$A$19,0)),0)))</f>
        <v/>
      </c>
      <c r="J868" s="16" t="str">
        <f aca="false">IF(I868="","",IF(H868="İptal",0,IF(H868="İade",-G868,E868-I868-F868-G868)))</f>
        <v/>
      </c>
    </row>
    <row r="869" customFormat="false" ht="15" hidden="false" customHeight="false" outlineLevel="0" collapsed="false">
      <c r="A869" s="12"/>
      <c r="B869" s="13"/>
      <c r="C869" s="14"/>
      <c r="D869" s="13"/>
      <c r="E869" s="15"/>
      <c r="F869" s="15"/>
      <c r="G869" s="15"/>
      <c r="H869" s="14"/>
      <c r="I869" s="16" t="str">
        <f aca="false">IF(OR(A869="",C869=""),"",IF(OR(H869="İade",H869="İptal"),0,E869*IFERROR(INDEX(Kanallar!$B$5:$B$19,MATCH(C869,Kanallar!$A$5:$A$19,0)),0)))</f>
        <v/>
      </c>
      <c r="J869" s="16" t="str">
        <f aca="false">IF(I869="","",IF(H869="İptal",0,IF(H869="İade",-G869,E869-I869-F869-G869)))</f>
        <v/>
      </c>
    </row>
    <row r="870" customFormat="false" ht="15" hidden="false" customHeight="false" outlineLevel="0" collapsed="false">
      <c r="A870" s="12"/>
      <c r="B870" s="13"/>
      <c r="C870" s="14"/>
      <c r="D870" s="13"/>
      <c r="E870" s="15"/>
      <c r="F870" s="15"/>
      <c r="G870" s="15"/>
      <c r="H870" s="14"/>
      <c r="I870" s="16" t="str">
        <f aca="false">IF(OR(A870="",C870=""),"",IF(OR(H870="İade",H870="İptal"),0,E870*IFERROR(INDEX(Kanallar!$B$5:$B$19,MATCH(C870,Kanallar!$A$5:$A$19,0)),0)))</f>
        <v/>
      </c>
      <c r="J870" s="16" t="str">
        <f aca="false">IF(I870="","",IF(H870="İptal",0,IF(H870="İade",-G870,E870-I870-F870-G870)))</f>
        <v/>
      </c>
    </row>
    <row r="871" customFormat="false" ht="15" hidden="false" customHeight="false" outlineLevel="0" collapsed="false">
      <c r="A871" s="12"/>
      <c r="B871" s="13"/>
      <c r="C871" s="14"/>
      <c r="D871" s="13"/>
      <c r="E871" s="15"/>
      <c r="F871" s="15"/>
      <c r="G871" s="15"/>
      <c r="H871" s="14"/>
      <c r="I871" s="16" t="str">
        <f aca="false">IF(OR(A871="",C871=""),"",IF(OR(H871="İade",H871="İptal"),0,E871*IFERROR(INDEX(Kanallar!$B$5:$B$19,MATCH(C871,Kanallar!$A$5:$A$19,0)),0)))</f>
        <v/>
      </c>
      <c r="J871" s="16" t="str">
        <f aca="false">IF(I871="","",IF(H871="İptal",0,IF(H871="İade",-G871,E871-I871-F871-G871)))</f>
        <v/>
      </c>
    </row>
    <row r="872" customFormat="false" ht="15" hidden="false" customHeight="false" outlineLevel="0" collapsed="false">
      <c r="A872" s="12"/>
      <c r="B872" s="13"/>
      <c r="C872" s="14"/>
      <c r="D872" s="13"/>
      <c r="E872" s="15"/>
      <c r="F872" s="15"/>
      <c r="G872" s="15"/>
      <c r="H872" s="14"/>
      <c r="I872" s="16" t="str">
        <f aca="false">IF(OR(A872="",C872=""),"",IF(OR(H872="İade",H872="İptal"),0,E872*IFERROR(INDEX(Kanallar!$B$5:$B$19,MATCH(C872,Kanallar!$A$5:$A$19,0)),0)))</f>
        <v/>
      </c>
      <c r="J872" s="16" t="str">
        <f aca="false">IF(I872="","",IF(H872="İptal",0,IF(H872="İade",-G872,E872-I872-F872-G872)))</f>
        <v/>
      </c>
    </row>
    <row r="873" customFormat="false" ht="15" hidden="false" customHeight="false" outlineLevel="0" collapsed="false">
      <c r="A873" s="12"/>
      <c r="B873" s="13"/>
      <c r="C873" s="14"/>
      <c r="D873" s="13"/>
      <c r="E873" s="15"/>
      <c r="F873" s="15"/>
      <c r="G873" s="15"/>
      <c r="H873" s="14"/>
      <c r="I873" s="16" t="str">
        <f aca="false">IF(OR(A873="",C873=""),"",IF(OR(H873="İade",H873="İptal"),0,E873*IFERROR(INDEX(Kanallar!$B$5:$B$19,MATCH(C873,Kanallar!$A$5:$A$19,0)),0)))</f>
        <v/>
      </c>
      <c r="J873" s="16" t="str">
        <f aca="false">IF(I873="","",IF(H873="İptal",0,IF(H873="İade",-G873,E873-I873-F873-G873)))</f>
        <v/>
      </c>
    </row>
    <row r="874" customFormat="false" ht="15" hidden="false" customHeight="false" outlineLevel="0" collapsed="false">
      <c r="A874" s="12"/>
      <c r="B874" s="13"/>
      <c r="C874" s="14"/>
      <c r="D874" s="13"/>
      <c r="E874" s="15"/>
      <c r="F874" s="15"/>
      <c r="G874" s="15"/>
      <c r="H874" s="14"/>
      <c r="I874" s="16" t="str">
        <f aca="false">IF(OR(A874="",C874=""),"",IF(OR(H874="İade",H874="İptal"),0,E874*IFERROR(INDEX(Kanallar!$B$5:$B$19,MATCH(C874,Kanallar!$A$5:$A$19,0)),0)))</f>
        <v/>
      </c>
      <c r="J874" s="16" t="str">
        <f aca="false">IF(I874="","",IF(H874="İptal",0,IF(H874="İade",-G874,E874-I874-F874-G874)))</f>
        <v/>
      </c>
    </row>
    <row r="875" customFormat="false" ht="15" hidden="false" customHeight="false" outlineLevel="0" collapsed="false">
      <c r="A875" s="12"/>
      <c r="B875" s="13"/>
      <c r="C875" s="14"/>
      <c r="D875" s="13"/>
      <c r="E875" s="15"/>
      <c r="F875" s="15"/>
      <c r="G875" s="15"/>
      <c r="H875" s="14"/>
      <c r="I875" s="16" t="str">
        <f aca="false">IF(OR(A875="",C875=""),"",IF(OR(H875="İade",H875="İptal"),0,E875*IFERROR(INDEX(Kanallar!$B$5:$B$19,MATCH(C875,Kanallar!$A$5:$A$19,0)),0)))</f>
        <v/>
      </c>
      <c r="J875" s="16" t="str">
        <f aca="false">IF(I875="","",IF(H875="İptal",0,IF(H875="İade",-G875,E875-I875-F875-G875)))</f>
        <v/>
      </c>
    </row>
    <row r="876" customFormat="false" ht="15" hidden="false" customHeight="false" outlineLevel="0" collapsed="false">
      <c r="A876" s="12"/>
      <c r="B876" s="13"/>
      <c r="C876" s="14"/>
      <c r="D876" s="13"/>
      <c r="E876" s="15"/>
      <c r="F876" s="15"/>
      <c r="G876" s="15"/>
      <c r="H876" s="14"/>
      <c r="I876" s="16" t="str">
        <f aca="false">IF(OR(A876="",C876=""),"",IF(OR(H876="İade",H876="İptal"),0,E876*IFERROR(INDEX(Kanallar!$B$5:$B$19,MATCH(C876,Kanallar!$A$5:$A$19,0)),0)))</f>
        <v/>
      </c>
      <c r="J876" s="16" t="str">
        <f aca="false">IF(I876="","",IF(H876="İptal",0,IF(H876="İade",-G876,E876-I876-F876-G876)))</f>
        <v/>
      </c>
    </row>
    <row r="877" customFormat="false" ht="15" hidden="false" customHeight="false" outlineLevel="0" collapsed="false">
      <c r="A877" s="12"/>
      <c r="B877" s="13"/>
      <c r="C877" s="14"/>
      <c r="D877" s="13"/>
      <c r="E877" s="15"/>
      <c r="F877" s="15"/>
      <c r="G877" s="15"/>
      <c r="H877" s="14"/>
      <c r="I877" s="16" t="str">
        <f aca="false">IF(OR(A877="",C877=""),"",IF(OR(H877="İade",H877="İptal"),0,E877*IFERROR(INDEX(Kanallar!$B$5:$B$19,MATCH(C877,Kanallar!$A$5:$A$19,0)),0)))</f>
        <v/>
      </c>
      <c r="J877" s="16" t="str">
        <f aca="false">IF(I877="","",IF(H877="İptal",0,IF(H877="İade",-G877,E877-I877-F877-G877)))</f>
        <v/>
      </c>
    </row>
    <row r="878" customFormat="false" ht="15" hidden="false" customHeight="false" outlineLevel="0" collapsed="false">
      <c r="A878" s="12"/>
      <c r="B878" s="13"/>
      <c r="C878" s="14"/>
      <c r="D878" s="13"/>
      <c r="E878" s="15"/>
      <c r="F878" s="15"/>
      <c r="G878" s="15"/>
      <c r="H878" s="14"/>
      <c r="I878" s="16" t="str">
        <f aca="false">IF(OR(A878="",C878=""),"",IF(OR(H878="İade",H878="İptal"),0,E878*IFERROR(INDEX(Kanallar!$B$5:$B$19,MATCH(C878,Kanallar!$A$5:$A$19,0)),0)))</f>
        <v/>
      </c>
      <c r="J878" s="16" t="str">
        <f aca="false">IF(I878="","",IF(H878="İptal",0,IF(H878="İade",-G878,E878-I878-F878-G878)))</f>
        <v/>
      </c>
    </row>
    <row r="879" customFormat="false" ht="15" hidden="false" customHeight="false" outlineLevel="0" collapsed="false">
      <c r="A879" s="12"/>
      <c r="B879" s="13"/>
      <c r="C879" s="14"/>
      <c r="D879" s="13"/>
      <c r="E879" s="15"/>
      <c r="F879" s="15"/>
      <c r="G879" s="15"/>
      <c r="H879" s="14"/>
      <c r="I879" s="16" t="str">
        <f aca="false">IF(OR(A879="",C879=""),"",IF(OR(H879="İade",H879="İptal"),0,E879*IFERROR(INDEX(Kanallar!$B$5:$B$19,MATCH(C879,Kanallar!$A$5:$A$19,0)),0)))</f>
        <v/>
      </c>
      <c r="J879" s="16" t="str">
        <f aca="false">IF(I879="","",IF(H879="İptal",0,IF(H879="İade",-G879,E879-I879-F879-G879)))</f>
        <v/>
      </c>
    </row>
    <row r="880" customFormat="false" ht="15" hidden="false" customHeight="false" outlineLevel="0" collapsed="false">
      <c r="A880" s="12"/>
      <c r="B880" s="13"/>
      <c r="C880" s="14"/>
      <c r="D880" s="13"/>
      <c r="E880" s="15"/>
      <c r="F880" s="15"/>
      <c r="G880" s="15"/>
      <c r="H880" s="14"/>
      <c r="I880" s="16" t="str">
        <f aca="false">IF(OR(A880="",C880=""),"",IF(OR(H880="İade",H880="İptal"),0,E880*IFERROR(INDEX(Kanallar!$B$5:$B$19,MATCH(C880,Kanallar!$A$5:$A$19,0)),0)))</f>
        <v/>
      </c>
      <c r="J880" s="16" t="str">
        <f aca="false">IF(I880="","",IF(H880="İptal",0,IF(H880="İade",-G880,E880-I880-F880-G880)))</f>
        <v/>
      </c>
    </row>
    <row r="881" customFormat="false" ht="15" hidden="false" customHeight="false" outlineLevel="0" collapsed="false">
      <c r="A881" s="12"/>
      <c r="B881" s="13"/>
      <c r="C881" s="14"/>
      <c r="D881" s="13"/>
      <c r="E881" s="15"/>
      <c r="F881" s="15"/>
      <c r="G881" s="15"/>
      <c r="H881" s="14"/>
      <c r="I881" s="16" t="str">
        <f aca="false">IF(OR(A881="",C881=""),"",IF(OR(H881="İade",H881="İptal"),0,E881*IFERROR(INDEX(Kanallar!$B$5:$B$19,MATCH(C881,Kanallar!$A$5:$A$19,0)),0)))</f>
        <v/>
      </c>
      <c r="J881" s="16" t="str">
        <f aca="false">IF(I881="","",IF(H881="İptal",0,IF(H881="İade",-G881,E881-I881-F881-G881)))</f>
        <v/>
      </c>
    </row>
    <row r="882" customFormat="false" ht="15" hidden="false" customHeight="false" outlineLevel="0" collapsed="false">
      <c r="A882" s="12"/>
      <c r="B882" s="13"/>
      <c r="C882" s="14"/>
      <c r="D882" s="13"/>
      <c r="E882" s="15"/>
      <c r="F882" s="15"/>
      <c r="G882" s="15"/>
      <c r="H882" s="14"/>
      <c r="I882" s="16" t="str">
        <f aca="false">IF(OR(A882="",C882=""),"",IF(OR(H882="İade",H882="İptal"),0,E882*IFERROR(INDEX(Kanallar!$B$5:$B$19,MATCH(C882,Kanallar!$A$5:$A$19,0)),0)))</f>
        <v/>
      </c>
      <c r="J882" s="16" t="str">
        <f aca="false">IF(I882="","",IF(H882="İptal",0,IF(H882="İade",-G882,E882-I882-F882-G882)))</f>
        <v/>
      </c>
    </row>
    <row r="883" customFormat="false" ht="15" hidden="false" customHeight="false" outlineLevel="0" collapsed="false">
      <c r="A883" s="12"/>
      <c r="B883" s="13"/>
      <c r="C883" s="14"/>
      <c r="D883" s="13"/>
      <c r="E883" s="15"/>
      <c r="F883" s="15"/>
      <c r="G883" s="15"/>
      <c r="H883" s="14"/>
      <c r="I883" s="16" t="str">
        <f aca="false">IF(OR(A883="",C883=""),"",IF(OR(H883="İade",H883="İptal"),0,E883*IFERROR(INDEX(Kanallar!$B$5:$B$19,MATCH(C883,Kanallar!$A$5:$A$19,0)),0)))</f>
        <v/>
      </c>
      <c r="J883" s="16" t="str">
        <f aca="false">IF(I883="","",IF(H883="İptal",0,IF(H883="İade",-G883,E883-I883-F883-G883)))</f>
        <v/>
      </c>
    </row>
    <row r="884" customFormat="false" ht="15" hidden="false" customHeight="false" outlineLevel="0" collapsed="false">
      <c r="A884" s="12"/>
      <c r="B884" s="13"/>
      <c r="C884" s="14"/>
      <c r="D884" s="13"/>
      <c r="E884" s="15"/>
      <c r="F884" s="15"/>
      <c r="G884" s="15"/>
      <c r="H884" s="14"/>
      <c r="I884" s="16" t="str">
        <f aca="false">IF(OR(A884="",C884=""),"",IF(OR(H884="İade",H884="İptal"),0,E884*IFERROR(INDEX(Kanallar!$B$5:$B$19,MATCH(C884,Kanallar!$A$5:$A$19,0)),0)))</f>
        <v/>
      </c>
      <c r="J884" s="16" t="str">
        <f aca="false">IF(I884="","",IF(H884="İptal",0,IF(H884="İade",-G884,E884-I884-F884-G884)))</f>
        <v/>
      </c>
    </row>
    <row r="885" customFormat="false" ht="15" hidden="false" customHeight="false" outlineLevel="0" collapsed="false">
      <c r="A885" s="12"/>
      <c r="B885" s="13"/>
      <c r="C885" s="14"/>
      <c r="D885" s="13"/>
      <c r="E885" s="15"/>
      <c r="F885" s="15"/>
      <c r="G885" s="15"/>
      <c r="H885" s="14"/>
      <c r="I885" s="16" t="str">
        <f aca="false">IF(OR(A885="",C885=""),"",IF(OR(H885="İade",H885="İptal"),0,E885*IFERROR(INDEX(Kanallar!$B$5:$B$19,MATCH(C885,Kanallar!$A$5:$A$19,0)),0)))</f>
        <v/>
      </c>
      <c r="J885" s="16" t="str">
        <f aca="false">IF(I885="","",IF(H885="İptal",0,IF(H885="İade",-G885,E885-I885-F885-G885)))</f>
        <v/>
      </c>
    </row>
    <row r="886" customFormat="false" ht="15" hidden="false" customHeight="false" outlineLevel="0" collapsed="false">
      <c r="A886" s="12"/>
      <c r="B886" s="13"/>
      <c r="C886" s="14"/>
      <c r="D886" s="13"/>
      <c r="E886" s="15"/>
      <c r="F886" s="15"/>
      <c r="G886" s="15"/>
      <c r="H886" s="14"/>
      <c r="I886" s="16" t="str">
        <f aca="false">IF(OR(A886="",C886=""),"",IF(OR(H886="İade",H886="İptal"),0,E886*IFERROR(INDEX(Kanallar!$B$5:$B$19,MATCH(C886,Kanallar!$A$5:$A$19,0)),0)))</f>
        <v/>
      </c>
      <c r="J886" s="16" t="str">
        <f aca="false">IF(I886="","",IF(H886="İptal",0,IF(H886="İade",-G886,E886-I886-F886-G886)))</f>
        <v/>
      </c>
    </row>
    <row r="887" customFormat="false" ht="15" hidden="false" customHeight="false" outlineLevel="0" collapsed="false">
      <c r="A887" s="12"/>
      <c r="B887" s="13"/>
      <c r="C887" s="14"/>
      <c r="D887" s="13"/>
      <c r="E887" s="15"/>
      <c r="F887" s="15"/>
      <c r="G887" s="15"/>
      <c r="H887" s="14"/>
      <c r="I887" s="16" t="str">
        <f aca="false">IF(OR(A887="",C887=""),"",IF(OR(H887="İade",H887="İptal"),0,E887*IFERROR(INDEX(Kanallar!$B$5:$B$19,MATCH(C887,Kanallar!$A$5:$A$19,0)),0)))</f>
        <v/>
      </c>
      <c r="J887" s="16" t="str">
        <f aca="false">IF(I887="","",IF(H887="İptal",0,IF(H887="İade",-G887,E887-I887-F887-G887)))</f>
        <v/>
      </c>
    </row>
    <row r="888" customFormat="false" ht="15" hidden="false" customHeight="false" outlineLevel="0" collapsed="false">
      <c r="A888" s="12"/>
      <c r="B888" s="13"/>
      <c r="C888" s="14"/>
      <c r="D888" s="13"/>
      <c r="E888" s="15"/>
      <c r="F888" s="15"/>
      <c r="G888" s="15"/>
      <c r="H888" s="14"/>
      <c r="I888" s="16" t="str">
        <f aca="false">IF(OR(A888="",C888=""),"",IF(OR(H888="İade",H888="İptal"),0,E888*IFERROR(INDEX(Kanallar!$B$5:$B$19,MATCH(C888,Kanallar!$A$5:$A$19,0)),0)))</f>
        <v/>
      </c>
      <c r="J888" s="16" t="str">
        <f aca="false">IF(I888="","",IF(H888="İptal",0,IF(H888="İade",-G888,E888-I888-F888-G888)))</f>
        <v/>
      </c>
    </row>
    <row r="889" customFormat="false" ht="15" hidden="false" customHeight="false" outlineLevel="0" collapsed="false">
      <c r="A889" s="12"/>
      <c r="B889" s="13"/>
      <c r="C889" s="14"/>
      <c r="D889" s="13"/>
      <c r="E889" s="15"/>
      <c r="F889" s="15"/>
      <c r="G889" s="15"/>
      <c r="H889" s="14"/>
      <c r="I889" s="16" t="str">
        <f aca="false">IF(OR(A889="",C889=""),"",IF(OR(H889="İade",H889="İptal"),0,E889*IFERROR(INDEX(Kanallar!$B$5:$B$19,MATCH(C889,Kanallar!$A$5:$A$19,0)),0)))</f>
        <v/>
      </c>
      <c r="J889" s="16" t="str">
        <f aca="false">IF(I889="","",IF(H889="İptal",0,IF(H889="İade",-G889,E889-I889-F889-G889)))</f>
        <v/>
      </c>
    </row>
    <row r="890" customFormat="false" ht="15" hidden="false" customHeight="false" outlineLevel="0" collapsed="false">
      <c r="A890" s="12"/>
      <c r="B890" s="13"/>
      <c r="C890" s="14"/>
      <c r="D890" s="13"/>
      <c r="E890" s="15"/>
      <c r="F890" s="15"/>
      <c r="G890" s="15"/>
      <c r="H890" s="14"/>
      <c r="I890" s="16" t="str">
        <f aca="false">IF(OR(A890="",C890=""),"",IF(OR(H890="İade",H890="İptal"),0,E890*IFERROR(INDEX(Kanallar!$B$5:$B$19,MATCH(C890,Kanallar!$A$5:$A$19,0)),0)))</f>
        <v/>
      </c>
      <c r="J890" s="16" t="str">
        <f aca="false">IF(I890="","",IF(H890="İptal",0,IF(H890="İade",-G890,E890-I890-F890-G890)))</f>
        <v/>
      </c>
    </row>
    <row r="891" customFormat="false" ht="15" hidden="false" customHeight="false" outlineLevel="0" collapsed="false">
      <c r="A891" s="12"/>
      <c r="B891" s="13"/>
      <c r="C891" s="14"/>
      <c r="D891" s="13"/>
      <c r="E891" s="15"/>
      <c r="F891" s="15"/>
      <c r="G891" s="15"/>
      <c r="H891" s="14"/>
      <c r="I891" s="16" t="str">
        <f aca="false">IF(OR(A891="",C891=""),"",IF(OR(H891="İade",H891="İptal"),0,E891*IFERROR(INDEX(Kanallar!$B$5:$B$19,MATCH(C891,Kanallar!$A$5:$A$19,0)),0)))</f>
        <v/>
      </c>
      <c r="J891" s="16" t="str">
        <f aca="false">IF(I891="","",IF(H891="İptal",0,IF(H891="İade",-G891,E891-I891-F891-G891)))</f>
        <v/>
      </c>
    </row>
    <row r="892" customFormat="false" ht="15" hidden="false" customHeight="false" outlineLevel="0" collapsed="false">
      <c r="A892" s="12"/>
      <c r="B892" s="13"/>
      <c r="C892" s="14"/>
      <c r="D892" s="13"/>
      <c r="E892" s="15"/>
      <c r="F892" s="15"/>
      <c r="G892" s="15"/>
      <c r="H892" s="14"/>
      <c r="I892" s="16" t="str">
        <f aca="false">IF(OR(A892="",C892=""),"",IF(OR(H892="İade",H892="İptal"),0,E892*IFERROR(INDEX(Kanallar!$B$5:$B$19,MATCH(C892,Kanallar!$A$5:$A$19,0)),0)))</f>
        <v/>
      </c>
      <c r="J892" s="16" t="str">
        <f aca="false">IF(I892="","",IF(H892="İptal",0,IF(H892="İade",-G892,E892-I892-F892-G892)))</f>
        <v/>
      </c>
    </row>
    <row r="893" customFormat="false" ht="15" hidden="false" customHeight="false" outlineLevel="0" collapsed="false">
      <c r="A893" s="12"/>
      <c r="B893" s="13"/>
      <c r="C893" s="14"/>
      <c r="D893" s="13"/>
      <c r="E893" s="15"/>
      <c r="F893" s="15"/>
      <c r="G893" s="15"/>
      <c r="H893" s="14"/>
      <c r="I893" s="16" t="str">
        <f aca="false">IF(OR(A893="",C893=""),"",IF(OR(H893="İade",H893="İptal"),0,E893*IFERROR(INDEX(Kanallar!$B$5:$B$19,MATCH(C893,Kanallar!$A$5:$A$19,0)),0)))</f>
        <v/>
      </c>
      <c r="J893" s="16" t="str">
        <f aca="false">IF(I893="","",IF(H893="İptal",0,IF(H893="İade",-G893,E893-I893-F893-G893)))</f>
        <v/>
      </c>
    </row>
    <row r="894" customFormat="false" ht="15" hidden="false" customHeight="false" outlineLevel="0" collapsed="false">
      <c r="A894" s="12"/>
      <c r="B894" s="13"/>
      <c r="C894" s="14"/>
      <c r="D894" s="13"/>
      <c r="E894" s="15"/>
      <c r="F894" s="15"/>
      <c r="G894" s="15"/>
      <c r="H894" s="14"/>
      <c r="I894" s="16" t="str">
        <f aca="false">IF(OR(A894="",C894=""),"",IF(OR(H894="İade",H894="İptal"),0,E894*IFERROR(INDEX(Kanallar!$B$5:$B$19,MATCH(C894,Kanallar!$A$5:$A$19,0)),0)))</f>
        <v/>
      </c>
      <c r="J894" s="16" t="str">
        <f aca="false">IF(I894="","",IF(H894="İptal",0,IF(H894="İade",-G894,E894-I894-F894-G894)))</f>
        <v/>
      </c>
    </row>
    <row r="895" customFormat="false" ht="15" hidden="false" customHeight="false" outlineLevel="0" collapsed="false">
      <c r="A895" s="12"/>
      <c r="B895" s="13"/>
      <c r="C895" s="14"/>
      <c r="D895" s="13"/>
      <c r="E895" s="15"/>
      <c r="F895" s="15"/>
      <c r="G895" s="15"/>
      <c r="H895" s="14"/>
      <c r="I895" s="16" t="str">
        <f aca="false">IF(OR(A895="",C895=""),"",IF(OR(H895="İade",H895="İptal"),0,E895*IFERROR(INDEX(Kanallar!$B$5:$B$19,MATCH(C895,Kanallar!$A$5:$A$19,0)),0)))</f>
        <v/>
      </c>
      <c r="J895" s="16" t="str">
        <f aca="false">IF(I895="","",IF(H895="İptal",0,IF(H895="İade",-G895,E895-I895-F895-G895)))</f>
        <v/>
      </c>
    </row>
    <row r="896" customFormat="false" ht="15" hidden="false" customHeight="false" outlineLevel="0" collapsed="false">
      <c r="A896" s="12"/>
      <c r="B896" s="13"/>
      <c r="C896" s="14"/>
      <c r="D896" s="13"/>
      <c r="E896" s="15"/>
      <c r="F896" s="15"/>
      <c r="G896" s="15"/>
      <c r="H896" s="14"/>
      <c r="I896" s="16" t="str">
        <f aca="false">IF(OR(A896="",C896=""),"",IF(OR(H896="İade",H896="İptal"),0,E896*IFERROR(INDEX(Kanallar!$B$5:$B$19,MATCH(C896,Kanallar!$A$5:$A$19,0)),0)))</f>
        <v/>
      </c>
      <c r="J896" s="16" t="str">
        <f aca="false">IF(I896="","",IF(H896="İptal",0,IF(H896="İade",-G896,E896-I896-F896-G896)))</f>
        <v/>
      </c>
    </row>
    <row r="897" customFormat="false" ht="15" hidden="false" customHeight="false" outlineLevel="0" collapsed="false">
      <c r="A897" s="12"/>
      <c r="B897" s="13"/>
      <c r="C897" s="14"/>
      <c r="D897" s="13"/>
      <c r="E897" s="15"/>
      <c r="F897" s="15"/>
      <c r="G897" s="15"/>
      <c r="H897" s="14"/>
      <c r="I897" s="16" t="str">
        <f aca="false">IF(OR(A897="",C897=""),"",IF(OR(H897="İade",H897="İptal"),0,E897*IFERROR(INDEX(Kanallar!$B$5:$B$19,MATCH(C897,Kanallar!$A$5:$A$19,0)),0)))</f>
        <v/>
      </c>
      <c r="J897" s="16" t="str">
        <f aca="false">IF(I897="","",IF(H897="İptal",0,IF(H897="İade",-G897,E897-I897-F897-G897)))</f>
        <v/>
      </c>
    </row>
    <row r="898" customFormat="false" ht="15" hidden="false" customHeight="false" outlineLevel="0" collapsed="false">
      <c r="A898" s="12"/>
      <c r="B898" s="13"/>
      <c r="C898" s="14"/>
      <c r="D898" s="13"/>
      <c r="E898" s="15"/>
      <c r="F898" s="15"/>
      <c r="G898" s="15"/>
      <c r="H898" s="14"/>
      <c r="I898" s="16" t="str">
        <f aca="false">IF(OR(A898="",C898=""),"",IF(OR(H898="İade",H898="İptal"),0,E898*IFERROR(INDEX(Kanallar!$B$5:$B$19,MATCH(C898,Kanallar!$A$5:$A$19,0)),0)))</f>
        <v/>
      </c>
      <c r="J898" s="16" t="str">
        <f aca="false">IF(I898="","",IF(H898="İptal",0,IF(H898="İade",-G898,E898-I898-F898-G898)))</f>
        <v/>
      </c>
    </row>
    <row r="899" customFormat="false" ht="15" hidden="false" customHeight="false" outlineLevel="0" collapsed="false">
      <c r="A899" s="12"/>
      <c r="B899" s="13"/>
      <c r="C899" s="14"/>
      <c r="D899" s="13"/>
      <c r="E899" s="15"/>
      <c r="F899" s="15"/>
      <c r="G899" s="15"/>
      <c r="H899" s="14"/>
      <c r="I899" s="16" t="str">
        <f aca="false">IF(OR(A899="",C899=""),"",IF(OR(H899="İade",H899="İptal"),0,E899*IFERROR(INDEX(Kanallar!$B$5:$B$19,MATCH(C899,Kanallar!$A$5:$A$19,0)),0)))</f>
        <v/>
      </c>
      <c r="J899" s="16" t="str">
        <f aca="false">IF(I899="","",IF(H899="İptal",0,IF(H899="İade",-G899,E899-I899-F899-G899)))</f>
        <v/>
      </c>
    </row>
    <row r="900" customFormat="false" ht="15" hidden="false" customHeight="false" outlineLevel="0" collapsed="false">
      <c r="A900" s="12"/>
      <c r="B900" s="13"/>
      <c r="C900" s="14"/>
      <c r="D900" s="13"/>
      <c r="E900" s="15"/>
      <c r="F900" s="15"/>
      <c r="G900" s="15"/>
      <c r="H900" s="14"/>
      <c r="I900" s="16" t="str">
        <f aca="false">IF(OR(A900="",C900=""),"",IF(OR(H900="İade",H900="İptal"),0,E900*IFERROR(INDEX(Kanallar!$B$5:$B$19,MATCH(C900,Kanallar!$A$5:$A$19,0)),0)))</f>
        <v/>
      </c>
      <c r="J900" s="16" t="str">
        <f aca="false">IF(I900="","",IF(H900="İptal",0,IF(H900="İade",-G900,E900-I900-F900-G900)))</f>
        <v/>
      </c>
    </row>
    <row r="901" customFormat="false" ht="15" hidden="false" customHeight="false" outlineLevel="0" collapsed="false">
      <c r="A901" s="12"/>
      <c r="B901" s="13"/>
      <c r="C901" s="14"/>
      <c r="D901" s="13"/>
      <c r="E901" s="15"/>
      <c r="F901" s="15"/>
      <c r="G901" s="15"/>
      <c r="H901" s="14"/>
      <c r="I901" s="16" t="str">
        <f aca="false">IF(OR(A901="",C901=""),"",IF(OR(H901="İade",H901="İptal"),0,E901*IFERROR(INDEX(Kanallar!$B$5:$B$19,MATCH(C901,Kanallar!$A$5:$A$19,0)),0)))</f>
        <v/>
      </c>
      <c r="J901" s="16" t="str">
        <f aca="false">IF(I901="","",IF(H901="İptal",0,IF(H901="İade",-G901,E901-I901-F901-G901)))</f>
        <v/>
      </c>
    </row>
    <row r="902" customFormat="false" ht="15" hidden="false" customHeight="false" outlineLevel="0" collapsed="false">
      <c r="A902" s="12"/>
      <c r="B902" s="13"/>
      <c r="C902" s="14"/>
      <c r="D902" s="13"/>
      <c r="E902" s="15"/>
      <c r="F902" s="15"/>
      <c r="G902" s="15"/>
      <c r="H902" s="14"/>
      <c r="I902" s="16" t="str">
        <f aca="false">IF(OR(A902="",C902=""),"",IF(OR(H902="İade",H902="İptal"),0,E902*IFERROR(INDEX(Kanallar!$B$5:$B$19,MATCH(C902,Kanallar!$A$5:$A$19,0)),0)))</f>
        <v/>
      </c>
      <c r="J902" s="16" t="str">
        <f aca="false">IF(I902="","",IF(H902="İptal",0,IF(H902="İade",-G902,E902-I902-F902-G902)))</f>
        <v/>
      </c>
    </row>
    <row r="903" customFormat="false" ht="15" hidden="false" customHeight="false" outlineLevel="0" collapsed="false">
      <c r="A903" s="12"/>
      <c r="B903" s="13"/>
      <c r="C903" s="14"/>
      <c r="D903" s="13"/>
      <c r="E903" s="15"/>
      <c r="F903" s="15"/>
      <c r="G903" s="15"/>
      <c r="H903" s="14"/>
      <c r="I903" s="16" t="str">
        <f aca="false">IF(OR(A903="",C903=""),"",IF(OR(H903="İade",H903="İptal"),0,E903*IFERROR(INDEX(Kanallar!$B$5:$B$19,MATCH(C903,Kanallar!$A$5:$A$19,0)),0)))</f>
        <v/>
      </c>
      <c r="J903" s="16" t="str">
        <f aca="false">IF(I903="","",IF(H903="İptal",0,IF(H903="İade",-G903,E903-I903-F903-G903)))</f>
        <v/>
      </c>
    </row>
    <row r="904" customFormat="false" ht="15" hidden="false" customHeight="false" outlineLevel="0" collapsed="false">
      <c r="A904" s="12"/>
      <c r="B904" s="13"/>
      <c r="C904" s="14"/>
      <c r="D904" s="13"/>
      <c r="E904" s="15"/>
      <c r="F904" s="15"/>
      <c r="G904" s="15"/>
      <c r="H904" s="14"/>
      <c r="I904" s="16" t="str">
        <f aca="false">IF(OR(A904="",C904=""),"",IF(OR(H904="İade",H904="İptal"),0,E904*IFERROR(INDEX(Kanallar!$B$5:$B$19,MATCH(C904,Kanallar!$A$5:$A$19,0)),0)))</f>
        <v/>
      </c>
      <c r="J904" s="16" t="str">
        <f aca="false">IF(I904="","",IF(H904="İptal",0,IF(H904="İade",-G904,E904-I904-F904-G904)))</f>
        <v/>
      </c>
    </row>
    <row r="905" customFormat="false" ht="15" hidden="false" customHeight="false" outlineLevel="0" collapsed="false">
      <c r="A905" s="12"/>
      <c r="B905" s="13"/>
      <c r="C905" s="14"/>
      <c r="D905" s="13"/>
      <c r="E905" s="15"/>
      <c r="F905" s="15"/>
      <c r="G905" s="15"/>
      <c r="H905" s="14"/>
      <c r="I905" s="16" t="str">
        <f aca="false">IF(OR(A905="",C905=""),"",IF(OR(H905="İade",H905="İptal"),0,E905*IFERROR(INDEX(Kanallar!$B$5:$B$19,MATCH(C905,Kanallar!$A$5:$A$19,0)),0)))</f>
        <v/>
      </c>
      <c r="J905" s="16" t="str">
        <f aca="false">IF(I905="","",IF(H905="İptal",0,IF(H905="İade",-G905,E905-I905-F905-G905)))</f>
        <v/>
      </c>
    </row>
    <row r="906" customFormat="false" ht="15" hidden="false" customHeight="false" outlineLevel="0" collapsed="false">
      <c r="A906" s="12"/>
      <c r="B906" s="13"/>
      <c r="C906" s="14"/>
      <c r="D906" s="13"/>
      <c r="E906" s="15"/>
      <c r="F906" s="15"/>
      <c r="G906" s="15"/>
      <c r="H906" s="14"/>
      <c r="I906" s="16" t="str">
        <f aca="false">IF(OR(A906="",C906=""),"",IF(OR(H906="İade",H906="İptal"),0,E906*IFERROR(INDEX(Kanallar!$B$5:$B$19,MATCH(C906,Kanallar!$A$5:$A$19,0)),0)))</f>
        <v/>
      </c>
      <c r="J906" s="16" t="str">
        <f aca="false">IF(I906="","",IF(H906="İptal",0,IF(H906="İade",-G906,E906-I906-F906-G906)))</f>
        <v/>
      </c>
    </row>
    <row r="907" customFormat="false" ht="15" hidden="false" customHeight="false" outlineLevel="0" collapsed="false">
      <c r="A907" s="12"/>
      <c r="B907" s="13"/>
      <c r="C907" s="14"/>
      <c r="D907" s="13"/>
      <c r="E907" s="15"/>
      <c r="F907" s="15"/>
      <c r="G907" s="15"/>
      <c r="H907" s="14"/>
      <c r="I907" s="16" t="str">
        <f aca="false">IF(OR(A907="",C907=""),"",IF(OR(H907="İade",H907="İptal"),0,E907*IFERROR(INDEX(Kanallar!$B$5:$B$19,MATCH(C907,Kanallar!$A$5:$A$19,0)),0)))</f>
        <v/>
      </c>
      <c r="J907" s="16" t="str">
        <f aca="false">IF(I907="","",IF(H907="İptal",0,IF(H907="İade",-G907,E907-I907-F907-G907)))</f>
        <v/>
      </c>
    </row>
    <row r="908" customFormat="false" ht="15" hidden="false" customHeight="false" outlineLevel="0" collapsed="false">
      <c r="A908" s="12"/>
      <c r="B908" s="13"/>
      <c r="C908" s="14"/>
      <c r="D908" s="13"/>
      <c r="E908" s="15"/>
      <c r="F908" s="15"/>
      <c r="G908" s="15"/>
      <c r="H908" s="14"/>
      <c r="I908" s="16" t="str">
        <f aca="false">IF(OR(A908="",C908=""),"",IF(OR(H908="İade",H908="İptal"),0,E908*IFERROR(INDEX(Kanallar!$B$5:$B$19,MATCH(C908,Kanallar!$A$5:$A$19,0)),0)))</f>
        <v/>
      </c>
      <c r="J908" s="16" t="str">
        <f aca="false">IF(I908="","",IF(H908="İptal",0,IF(H908="İade",-G908,E908-I908-F908-G908)))</f>
        <v/>
      </c>
    </row>
    <row r="909" customFormat="false" ht="15" hidden="false" customHeight="false" outlineLevel="0" collapsed="false">
      <c r="A909" s="12"/>
      <c r="B909" s="13"/>
      <c r="C909" s="14"/>
      <c r="D909" s="13"/>
      <c r="E909" s="15"/>
      <c r="F909" s="15"/>
      <c r="G909" s="15"/>
      <c r="H909" s="14"/>
      <c r="I909" s="16" t="str">
        <f aca="false">IF(OR(A909="",C909=""),"",IF(OR(H909="İade",H909="İptal"),0,E909*IFERROR(INDEX(Kanallar!$B$5:$B$19,MATCH(C909,Kanallar!$A$5:$A$19,0)),0)))</f>
        <v/>
      </c>
      <c r="J909" s="16" t="str">
        <f aca="false">IF(I909="","",IF(H909="İptal",0,IF(H909="İade",-G909,E909-I909-F909-G909)))</f>
        <v/>
      </c>
    </row>
    <row r="910" customFormat="false" ht="15" hidden="false" customHeight="false" outlineLevel="0" collapsed="false">
      <c r="A910" s="12"/>
      <c r="B910" s="13"/>
      <c r="C910" s="14"/>
      <c r="D910" s="13"/>
      <c r="E910" s="15"/>
      <c r="F910" s="15"/>
      <c r="G910" s="15"/>
      <c r="H910" s="14"/>
      <c r="I910" s="16" t="str">
        <f aca="false">IF(OR(A910="",C910=""),"",IF(OR(H910="İade",H910="İptal"),0,E910*IFERROR(INDEX(Kanallar!$B$5:$B$19,MATCH(C910,Kanallar!$A$5:$A$19,0)),0)))</f>
        <v/>
      </c>
      <c r="J910" s="16" t="str">
        <f aca="false">IF(I910="","",IF(H910="İptal",0,IF(H910="İade",-G910,E910-I910-F910-G910)))</f>
        <v/>
      </c>
    </row>
    <row r="911" customFormat="false" ht="15" hidden="false" customHeight="false" outlineLevel="0" collapsed="false">
      <c r="A911" s="12"/>
      <c r="B911" s="13"/>
      <c r="C911" s="14"/>
      <c r="D911" s="13"/>
      <c r="E911" s="15"/>
      <c r="F911" s="15"/>
      <c r="G911" s="15"/>
      <c r="H911" s="14"/>
      <c r="I911" s="16" t="str">
        <f aca="false">IF(OR(A911="",C911=""),"",IF(OR(H911="İade",H911="İptal"),0,E911*IFERROR(INDEX(Kanallar!$B$5:$B$19,MATCH(C911,Kanallar!$A$5:$A$19,0)),0)))</f>
        <v/>
      </c>
      <c r="J911" s="16" t="str">
        <f aca="false">IF(I911="","",IF(H911="İptal",0,IF(H911="İade",-G911,E911-I911-F911-G911)))</f>
        <v/>
      </c>
    </row>
    <row r="912" customFormat="false" ht="15" hidden="false" customHeight="false" outlineLevel="0" collapsed="false">
      <c r="A912" s="12"/>
      <c r="B912" s="13"/>
      <c r="C912" s="14"/>
      <c r="D912" s="13"/>
      <c r="E912" s="15"/>
      <c r="F912" s="15"/>
      <c r="G912" s="15"/>
      <c r="H912" s="14"/>
      <c r="I912" s="16" t="str">
        <f aca="false">IF(OR(A912="",C912=""),"",IF(OR(H912="İade",H912="İptal"),0,E912*IFERROR(INDEX(Kanallar!$B$5:$B$19,MATCH(C912,Kanallar!$A$5:$A$19,0)),0)))</f>
        <v/>
      </c>
      <c r="J912" s="16" t="str">
        <f aca="false">IF(I912="","",IF(H912="İptal",0,IF(H912="İade",-G912,E912-I912-F912-G912)))</f>
        <v/>
      </c>
    </row>
    <row r="913" customFormat="false" ht="15" hidden="false" customHeight="false" outlineLevel="0" collapsed="false">
      <c r="A913" s="12"/>
      <c r="B913" s="13"/>
      <c r="C913" s="14"/>
      <c r="D913" s="13"/>
      <c r="E913" s="15"/>
      <c r="F913" s="15"/>
      <c r="G913" s="15"/>
      <c r="H913" s="14"/>
      <c r="I913" s="16" t="str">
        <f aca="false">IF(OR(A913="",C913=""),"",IF(OR(H913="İade",H913="İptal"),0,E913*IFERROR(INDEX(Kanallar!$B$5:$B$19,MATCH(C913,Kanallar!$A$5:$A$19,0)),0)))</f>
        <v/>
      </c>
      <c r="J913" s="16" t="str">
        <f aca="false">IF(I913="","",IF(H913="İptal",0,IF(H913="İade",-G913,E913-I913-F913-G913)))</f>
        <v/>
      </c>
    </row>
    <row r="914" customFormat="false" ht="15" hidden="false" customHeight="false" outlineLevel="0" collapsed="false">
      <c r="A914" s="12"/>
      <c r="B914" s="13"/>
      <c r="C914" s="14"/>
      <c r="D914" s="13"/>
      <c r="E914" s="15"/>
      <c r="F914" s="15"/>
      <c r="G914" s="15"/>
      <c r="H914" s="14"/>
      <c r="I914" s="16" t="str">
        <f aca="false">IF(OR(A914="",C914=""),"",IF(OR(H914="İade",H914="İptal"),0,E914*IFERROR(INDEX(Kanallar!$B$5:$B$19,MATCH(C914,Kanallar!$A$5:$A$19,0)),0)))</f>
        <v/>
      </c>
      <c r="J914" s="16" t="str">
        <f aca="false">IF(I914="","",IF(H914="İptal",0,IF(H914="İade",-G914,E914-I914-F914-G914)))</f>
        <v/>
      </c>
    </row>
    <row r="915" customFormat="false" ht="15" hidden="false" customHeight="false" outlineLevel="0" collapsed="false">
      <c r="A915" s="12"/>
      <c r="B915" s="13"/>
      <c r="C915" s="14"/>
      <c r="D915" s="13"/>
      <c r="E915" s="15"/>
      <c r="F915" s="15"/>
      <c r="G915" s="15"/>
      <c r="H915" s="14"/>
      <c r="I915" s="16" t="str">
        <f aca="false">IF(OR(A915="",C915=""),"",IF(OR(H915="İade",H915="İptal"),0,E915*IFERROR(INDEX(Kanallar!$B$5:$B$19,MATCH(C915,Kanallar!$A$5:$A$19,0)),0)))</f>
        <v/>
      </c>
      <c r="J915" s="16" t="str">
        <f aca="false">IF(I915="","",IF(H915="İptal",0,IF(H915="İade",-G915,E915-I915-F915-G915)))</f>
        <v/>
      </c>
    </row>
    <row r="916" customFormat="false" ht="15" hidden="false" customHeight="false" outlineLevel="0" collapsed="false">
      <c r="A916" s="12"/>
      <c r="B916" s="13"/>
      <c r="C916" s="14"/>
      <c r="D916" s="13"/>
      <c r="E916" s="15"/>
      <c r="F916" s="15"/>
      <c r="G916" s="15"/>
      <c r="H916" s="14"/>
      <c r="I916" s="16" t="str">
        <f aca="false">IF(OR(A916="",C916=""),"",IF(OR(H916="İade",H916="İptal"),0,E916*IFERROR(INDEX(Kanallar!$B$5:$B$19,MATCH(C916,Kanallar!$A$5:$A$19,0)),0)))</f>
        <v/>
      </c>
      <c r="J916" s="16" t="str">
        <f aca="false">IF(I916="","",IF(H916="İptal",0,IF(H916="İade",-G916,E916-I916-F916-G916)))</f>
        <v/>
      </c>
    </row>
    <row r="917" customFormat="false" ht="15" hidden="false" customHeight="false" outlineLevel="0" collapsed="false">
      <c r="A917" s="12"/>
      <c r="B917" s="13"/>
      <c r="C917" s="14"/>
      <c r="D917" s="13"/>
      <c r="E917" s="15"/>
      <c r="F917" s="15"/>
      <c r="G917" s="15"/>
      <c r="H917" s="14"/>
      <c r="I917" s="16" t="str">
        <f aca="false">IF(OR(A917="",C917=""),"",IF(OR(H917="İade",H917="İptal"),0,E917*IFERROR(INDEX(Kanallar!$B$5:$B$19,MATCH(C917,Kanallar!$A$5:$A$19,0)),0)))</f>
        <v/>
      </c>
      <c r="J917" s="16" t="str">
        <f aca="false">IF(I917="","",IF(H917="İptal",0,IF(H917="İade",-G917,E917-I917-F917-G917)))</f>
        <v/>
      </c>
    </row>
    <row r="918" customFormat="false" ht="15" hidden="false" customHeight="false" outlineLevel="0" collapsed="false">
      <c r="A918" s="12"/>
      <c r="B918" s="13"/>
      <c r="C918" s="14"/>
      <c r="D918" s="13"/>
      <c r="E918" s="15"/>
      <c r="F918" s="15"/>
      <c r="G918" s="15"/>
      <c r="H918" s="14"/>
      <c r="I918" s="16" t="str">
        <f aca="false">IF(OR(A918="",C918=""),"",IF(OR(H918="İade",H918="İptal"),0,E918*IFERROR(INDEX(Kanallar!$B$5:$B$19,MATCH(C918,Kanallar!$A$5:$A$19,0)),0)))</f>
        <v/>
      </c>
      <c r="J918" s="16" t="str">
        <f aca="false">IF(I918="","",IF(H918="İptal",0,IF(H918="İade",-G918,E918-I918-F918-G918)))</f>
        <v/>
      </c>
    </row>
    <row r="919" customFormat="false" ht="15" hidden="false" customHeight="false" outlineLevel="0" collapsed="false">
      <c r="A919" s="12"/>
      <c r="B919" s="13"/>
      <c r="C919" s="14"/>
      <c r="D919" s="13"/>
      <c r="E919" s="15"/>
      <c r="F919" s="15"/>
      <c r="G919" s="15"/>
      <c r="H919" s="14"/>
      <c r="I919" s="16" t="str">
        <f aca="false">IF(OR(A919="",C919=""),"",IF(OR(H919="İade",H919="İptal"),0,E919*IFERROR(INDEX(Kanallar!$B$5:$B$19,MATCH(C919,Kanallar!$A$5:$A$19,0)),0)))</f>
        <v/>
      </c>
      <c r="J919" s="16" t="str">
        <f aca="false">IF(I919="","",IF(H919="İptal",0,IF(H919="İade",-G919,E919-I919-F919-G919)))</f>
        <v/>
      </c>
    </row>
    <row r="920" customFormat="false" ht="15" hidden="false" customHeight="false" outlineLevel="0" collapsed="false">
      <c r="A920" s="12"/>
      <c r="B920" s="13"/>
      <c r="C920" s="14"/>
      <c r="D920" s="13"/>
      <c r="E920" s="15"/>
      <c r="F920" s="15"/>
      <c r="G920" s="15"/>
      <c r="H920" s="14"/>
      <c r="I920" s="16" t="str">
        <f aca="false">IF(OR(A920="",C920=""),"",IF(OR(H920="İade",H920="İptal"),0,E920*IFERROR(INDEX(Kanallar!$B$5:$B$19,MATCH(C920,Kanallar!$A$5:$A$19,0)),0)))</f>
        <v/>
      </c>
      <c r="J920" s="16" t="str">
        <f aca="false">IF(I920="","",IF(H920="İptal",0,IF(H920="İade",-G920,E920-I920-F920-G920)))</f>
        <v/>
      </c>
    </row>
    <row r="921" customFormat="false" ht="15" hidden="false" customHeight="false" outlineLevel="0" collapsed="false">
      <c r="A921" s="12"/>
      <c r="B921" s="13"/>
      <c r="C921" s="14"/>
      <c r="D921" s="13"/>
      <c r="E921" s="15"/>
      <c r="F921" s="15"/>
      <c r="G921" s="15"/>
      <c r="H921" s="14"/>
      <c r="I921" s="16" t="str">
        <f aca="false">IF(OR(A921="",C921=""),"",IF(OR(H921="İade",H921="İptal"),0,E921*IFERROR(INDEX(Kanallar!$B$5:$B$19,MATCH(C921,Kanallar!$A$5:$A$19,0)),0)))</f>
        <v/>
      </c>
      <c r="J921" s="16" t="str">
        <f aca="false">IF(I921="","",IF(H921="İptal",0,IF(H921="İade",-G921,E921-I921-F921-G921)))</f>
        <v/>
      </c>
    </row>
    <row r="922" customFormat="false" ht="15" hidden="false" customHeight="false" outlineLevel="0" collapsed="false">
      <c r="A922" s="12"/>
      <c r="B922" s="13"/>
      <c r="C922" s="14"/>
      <c r="D922" s="13"/>
      <c r="E922" s="15"/>
      <c r="F922" s="15"/>
      <c r="G922" s="15"/>
      <c r="H922" s="14"/>
      <c r="I922" s="16" t="str">
        <f aca="false">IF(OR(A922="",C922=""),"",IF(OR(H922="İade",H922="İptal"),0,E922*IFERROR(INDEX(Kanallar!$B$5:$B$19,MATCH(C922,Kanallar!$A$5:$A$19,0)),0)))</f>
        <v/>
      </c>
      <c r="J922" s="16" t="str">
        <f aca="false">IF(I922="","",IF(H922="İptal",0,IF(H922="İade",-G922,E922-I922-F922-G922)))</f>
        <v/>
      </c>
    </row>
    <row r="923" customFormat="false" ht="15" hidden="false" customHeight="false" outlineLevel="0" collapsed="false">
      <c r="A923" s="12"/>
      <c r="B923" s="13"/>
      <c r="C923" s="14"/>
      <c r="D923" s="13"/>
      <c r="E923" s="15"/>
      <c r="F923" s="15"/>
      <c r="G923" s="15"/>
      <c r="H923" s="14"/>
      <c r="I923" s="16" t="str">
        <f aca="false">IF(OR(A923="",C923=""),"",IF(OR(H923="İade",H923="İptal"),0,E923*IFERROR(INDEX(Kanallar!$B$5:$B$19,MATCH(C923,Kanallar!$A$5:$A$19,0)),0)))</f>
        <v/>
      </c>
      <c r="J923" s="16" t="str">
        <f aca="false">IF(I923="","",IF(H923="İptal",0,IF(H923="İade",-G923,E923-I923-F923-G923)))</f>
        <v/>
      </c>
    </row>
    <row r="924" customFormat="false" ht="15" hidden="false" customHeight="false" outlineLevel="0" collapsed="false">
      <c r="A924" s="12"/>
      <c r="B924" s="13"/>
      <c r="C924" s="14"/>
      <c r="D924" s="13"/>
      <c r="E924" s="15"/>
      <c r="F924" s="15"/>
      <c r="G924" s="15"/>
      <c r="H924" s="14"/>
      <c r="I924" s="16" t="str">
        <f aca="false">IF(OR(A924="",C924=""),"",IF(OR(H924="İade",H924="İptal"),0,E924*IFERROR(INDEX(Kanallar!$B$5:$B$19,MATCH(C924,Kanallar!$A$5:$A$19,0)),0)))</f>
        <v/>
      </c>
      <c r="J924" s="16" t="str">
        <f aca="false">IF(I924="","",IF(H924="İptal",0,IF(H924="İade",-G924,E924-I924-F924-G924)))</f>
        <v/>
      </c>
    </row>
    <row r="925" customFormat="false" ht="15" hidden="false" customHeight="false" outlineLevel="0" collapsed="false">
      <c r="A925" s="12"/>
      <c r="B925" s="13"/>
      <c r="C925" s="14"/>
      <c r="D925" s="13"/>
      <c r="E925" s="15"/>
      <c r="F925" s="15"/>
      <c r="G925" s="15"/>
      <c r="H925" s="14"/>
      <c r="I925" s="16" t="str">
        <f aca="false">IF(OR(A925="",C925=""),"",IF(OR(H925="İade",H925="İptal"),0,E925*IFERROR(INDEX(Kanallar!$B$5:$B$19,MATCH(C925,Kanallar!$A$5:$A$19,0)),0)))</f>
        <v/>
      </c>
      <c r="J925" s="16" t="str">
        <f aca="false">IF(I925="","",IF(H925="İptal",0,IF(H925="İade",-G925,E925-I925-F925-G925)))</f>
        <v/>
      </c>
    </row>
    <row r="926" customFormat="false" ht="15" hidden="false" customHeight="false" outlineLevel="0" collapsed="false">
      <c r="A926" s="12"/>
      <c r="B926" s="13"/>
      <c r="C926" s="14"/>
      <c r="D926" s="13"/>
      <c r="E926" s="15"/>
      <c r="F926" s="15"/>
      <c r="G926" s="15"/>
      <c r="H926" s="14"/>
      <c r="I926" s="16" t="str">
        <f aca="false">IF(OR(A926="",C926=""),"",IF(OR(H926="İade",H926="İptal"),0,E926*IFERROR(INDEX(Kanallar!$B$5:$B$19,MATCH(C926,Kanallar!$A$5:$A$19,0)),0)))</f>
        <v/>
      </c>
      <c r="J926" s="16" t="str">
        <f aca="false">IF(I926="","",IF(H926="İptal",0,IF(H926="İade",-G926,E926-I926-F926-G926)))</f>
        <v/>
      </c>
    </row>
    <row r="927" customFormat="false" ht="15" hidden="false" customHeight="false" outlineLevel="0" collapsed="false">
      <c r="A927" s="12"/>
      <c r="B927" s="13"/>
      <c r="C927" s="14"/>
      <c r="D927" s="13"/>
      <c r="E927" s="15"/>
      <c r="F927" s="15"/>
      <c r="G927" s="15"/>
      <c r="H927" s="14"/>
      <c r="I927" s="16" t="str">
        <f aca="false">IF(OR(A927="",C927=""),"",IF(OR(H927="İade",H927="İptal"),0,E927*IFERROR(INDEX(Kanallar!$B$5:$B$19,MATCH(C927,Kanallar!$A$5:$A$19,0)),0)))</f>
        <v/>
      </c>
      <c r="J927" s="16" t="str">
        <f aca="false">IF(I927="","",IF(H927="İptal",0,IF(H927="İade",-G927,E927-I927-F927-G927)))</f>
        <v/>
      </c>
    </row>
    <row r="928" customFormat="false" ht="15" hidden="false" customHeight="false" outlineLevel="0" collapsed="false">
      <c r="A928" s="12"/>
      <c r="B928" s="13"/>
      <c r="C928" s="14"/>
      <c r="D928" s="13"/>
      <c r="E928" s="15"/>
      <c r="F928" s="15"/>
      <c r="G928" s="15"/>
      <c r="H928" s="14"/>
      <c r="I928" s="16" t="str">
        <f aca="false">IF(OR(A928="",C928=""),"",IF(OR(H928="İade",H928="İptal"),0,E928*IFERROR(INDEX(Kanallar!$B$5:$B$19,MATCH(C928,Kanallar!$A$5:$A$19,0)),0)))</f>
        <v/>
      </c>
      <c r="J928" s="16" t="str">
        <f aca="false">IF(I928="","",IF(H928="İptal",0,IF(H928="İade",-G928,E928-I928-F928-G928)))</f>
        <v/>
      </c>
    </row>
    <row r="929" customFormat="false" ht="15" hidden="false" customHeight="false" outlineLevel="0" collapsed="false">
      <c r="A929" s="12"/>
      <c r="B929" s="13"/>
      <c r="C929" s="14"/>
      <c r="D929" s="13"/>
      <c r="E929" s="15"/>
      <c r="F929" s="15"/>
      <c r="G929" s="15"/>
      <c r="H929" s="14"/>
      <c r="I929" s="16" t="str">
        <f aca="false">IF(OR(A929="",C929=""),"",IF(OR(H929="İade",H929="İptal"),0,E929*IFERROR(INDEX(Kanallar!$B$5:$B$19,MATCH(C929,Kanallar!$A$5:$A$19,0)),0)))</f>
        <v/>
      </c>
      <c r="J929" s="16" t="str">
        <f aca="false">IF(I929="","",IF(H929="İptal",0,IF(H929="İade",-G929,E929-I929-F929-G929)))</f>
        <v/>
      </c>
    </row>
    <row r="930" customFormat="false" ht="15" hidden="false" customHeight="false" outlineLevel="0" collapsed="false">
      <c r="A930" s="12"/>
      <c r="B930" s="13"/>
      <c r="C930" s="14"/>
      <c r="D930" s="13"/>
      <c r="E930" s="15"/>
      <c r="F930" s="15"/>
      <c r="G930" s="15"/>
      <c r="H930" s="14"/>
      <c r="I930" s="16" t="str">
        <f aca="false">IF(OR(A930="",C930=""),"",IF(OR(H930="İade",H930="İptal"),0,E930*IFERROR(INDEX(Kanallar!$B$5:$B$19,MATCH(C930,Kanallar!$A$5:$A$19,0)),0)))</f>
        <v/>
      </c>
      <c r="J930" s="16" t="str">
        <f aca="false">IF(I930="","",IF(H930="İptal",0,IF(H930="İade",-G930,E930-I930-F930-G930)))</f>
        <v/>
      </c>
    </row>
    <row r="931" customFormat="false" ht="15" hidden="false" customHeight="false" outlineLevel="0" collapsed="false">
      <c r="A931" s="12"/>
      <c r="B931" s="13"/>
      <c r="C931" s="14"/>
      <c r="D931" s="13"/>
      <c r="E931" s="15"/>
      <c r="F931" s="15"/>
      <c r="G931" s="15"/>
      <c r="H931" s="14"/>
      <c r="I931" s="16" t="str">
        <f aca="false">IF(OR(A931="",C931=""),"",IF(OR(H931="İade",H931="İptal"),0,E931*IFERROR(INDEX(Kanallar!$B$5:$B$19,MATCH(C931,Kanallar!$A$5:$A$19,0)),0)))</f>
        <v/>
      </c>
      <c r="J931" s="16" t="str">
        <f aca="false">IF(I931="","",IF(H931="İptal",0,IF(H931="İade",-G931,E931-I931-F931-G931)))</f>
        <v/>
      </c>
    </row>
    <row r="932" customFormat="false" ht="15" hidden="false" customHeight="false" outlineLevel="0" collapsed="false">
      <c r="A932" s="12"/>
      <c r="B932" s="13"/>
      <c r="C932" s="14"/>
      <c r="D932" s="13"/>
      <c r="E932" s="15"/>
      <c r="F932" s="15"/>
      <c r="G932" s="15"/>
      <c r="H932" s="14"/>
      <c r="I932" s="16" t="str">
        <f aca="false">IF(OR(A932="",C932=""),"",IF(OR(H932="İade",H932="İptal"),0,E932*IFERROR(INDEX(Kanallar!$B$5:$B$19,MATCH(C932,Kanallar!$A$5:$A$19,0)),0)))</f>
        <v/>
      </c>
      <c r="J932" s="16" t="str">
        <f aca="false">IF(I932="","",IF(H932="İptal",0,IF(H932="İade",-G932,E932-I932-F932-G932)))</f>
        <v/>
      </c>
    </row>
    <row r="933" customFormat="false" ht="15" hidden="false" customHeight="false" outlineLevel="0" collapsed="false">
      <c r="A933" s="12"/>
      <c r="B933" s="13"/>
      <c r="C933" s="14"/>
      <c r="D933" s="13"/>
      <c r="E933" s="15"/>
      <c r="F933" s="15"/>
      <c r="G933" s="15"/>
      <c r="H933" s="14"/>
      <c r="I933" s="16" t="str">
        <f aca="false">IF(OR(A933="",C933=""),"",IF(OR(H933="İade",H933="İptal"),0,E933*IFERROR(INDEX(Kanallar!$B$5:$B$19,MATCH(C933,Kanallar!$A$5:$A$19,0)),0)))</f>
        <v/>
      </c>
      <c r="J933" s="16" t="str">
        <f aca="false">IF(I933="","",IF(H933="İptal",0,IF(H933="İade",-G933,E933-I933-F933-G933)))</f>
        <v/>
      </c>
    </row>
    <row r="934" customFormat="false" ht="15" hidden="false" customHeight="false" outlineLevel="0" collapsed="false">
      <c r="A934" s="12"/>
      <c r="B934" s="13"/>
      <c r="C934" s="14"/>
      <c r="D934" s="13"/>
      <c r="E934" s="15"/>
      <c r="F934" s="15"/>
      <c r="G934" s="15"/>
      <c r="H934" s="14"/>
      <c r="I934" s="16" t="str">
        <f aca="false">IF(OR(A934="",C934=""),"",IF(OR(H934="İade",H934="İptal"),0,E934*IFERROR(INDEX(Kanallar!$B$5:$B$19,MATCH(C934,Kanallar!$A$5:$A$19,0)),0)))</f>
        <v/>
      </c>
      <c r="J934" s="16" t="str">
        <f aca="false">IF(I934="","",IF(H934="İptal",0,IF(H934="İade",-G934,E934-I934-F934-G934)))</f>
        <v/>
      </c>
    </row>
    <row r="935" customFormat="false" ht="15" hidden="false" customHeight="false" outlineLevel="0" collapsed="false">
      <c r="A935" s="12"/>
      <c r="B935" s="13"/>
      <c r="C935" s="14"/>
      <c r="D935" s="13"/>
      <c r="E935" s="15"/>
      <c r="F935" s="15"/>
      <c r="G935" s="15"/>
      <c r="H935" s="14"/>
      <c r="I935" s="16" t="str">
        <f aca="false">IF(OR(A935="",C935=""),"",IF(OR(H935="İade",H935="İptal"),0,E935*IFERROR(INDEX(Kanallar!$B$5:$B$19,MATCH(C935,Kanallar!$A$5:$A$19,0)),0)))</f>
        <v/>
      </c>
      <c r="J935" s="16" t="str">
        <f aca="false">IF(I935="","",IF(H935="İptal",0,IF(H935="İade",-G935,E935-I935-F935-G935)))</f>
        <v/>
      </c>
    </row>
    <row r="936" customFormat="false" ht="15" hidden="false" customHeight="false" outlineLevel="0" collapsed="false">
      <c r="A936" s="12"/>
      <c r="B936" s="13"/>
      <c r="C936" s="14"/>
      <c r="D936" s="13"/>
      <c r="E936" s="15"/>
      <c r="F936" s="15"/>
      <c r="G936" s="15"/>
      <c r="H936" s="14"/>
      <c r="I936" s="16" t="str">
        <f aca="false">IF(OR(A936="",C936=""),"",IF(OR(H936="İade",H936="İptal"),0,E936*IFERROR(INDEX(Kanallar!$B$5:$B$19,MATCH(C936,Kanallar!$A$5:$A$19,0)),0)))</f>
        <v/>
      </c>
      <c r="J936" s="16" t="str">
        <f aca="false">IF(I936="","",IF(H936="İptal",0,IF(H936="İade",-G936,E936-I936-F936-G936)))</f>
        <v/>
      </c>
    </row>
    <row r="937" customFormat="false" ht="15" hidden="false" customHeight="false" outlineLevel="0" collapsed="false">
      <c r="A937" s="12"/>
      <c r="B937" s="13"/>
      <c r="C937" s="14"/>
      <c r="D937" s="13"/>
      <c r="E937" s="15"/>
      <c r="F937" s="15"/>
      <c r="G937" s="15"/>
      <c r="H937" s="14"/>
      <c r="I937" s="16" t="str">
        <f aca="false">IF(OR(A937="",C937=""),"",IF(OR(H937="İade",H937="İptal"),0,E937*IFERROR(INDEX(Kanallar!$B$5:$B$19,MATCH(C937,Kanallar!$A$5:$A$19,0)),0)))</f>
        <v/>
      </c>
      <c r="J937" s="16" t="str">
        <f aca="false">IF(I937="","",IF(H937="İptal",0,IF(H937="İade",-G937,E937-I937-F937-G937)))</f>
        <v/>
      </c>
    </row>
    <row r="938" customFormat="false" ht="15" hidden="false" customHeight="false" outlineLevel="0" collapsed="false">
      <c r="A938" s="12"/>
      <c r="B938" s="13"/>
      <c r="C938" s="14"/>
      <c r="D938" s="13"/>
      <c r="E938" s="15"/>
      <c r="F938" s="15"/>
      <c r="G938" s="15"/>
      <c r="H938" s="14"/>
      <c r="I938" s="16" t="str">
        <f aca="false">IF(OR(A938="",C938=""),"",IF(OR(H938="İade",H938="İptal"),0,E938*IFERROR(INDEX(Kanallar!$B$5:$B$19,MATCH(C938,Kanallar!$A$5:$A$19,0)),0)))</f>
        <v/>
      </c>
      <c r="J938" s="16" t="str">
        <f aca="false">IF(I938="","",IF(H938="İptal",0,IF(H938="İade",-G938,E938-I938-F938-G938)))</f>
        <v/>
      </c>
    </row>
    <row r="939" customFormat="false" ht="15" hidden="false" customHeight="false" outlineLevel="0" collapsed="false">
      <c r="A939" s="12"/>
      <c r="B939" s="13"/>
      <c r="C939" s="14"/>
      <c r="D939" s="13"/>
      <c r="E939" s="15"/>
      <c r="F939" s="15"/>
      <c r="G939" s="15"/>
      <c r="H939" s="14"/>
      <c r="I939" s="16" t="str">
        <f aca="false">IF(OR(A939="",C939=""),"",IF(OR(H939="İade",H939="İptal"),0,E939*IFERROR(INDEX(Kanallar!$B$5:$B$19,MATCH(C939,Kanallar!$A$5:$A$19,0)),0)))</f>
        <v/>
      </c>
      <c r="J939" s="16" t="str">
        <f aca="false">IF(I939="","",IF(H939="İptal",0,IF(H939="İade",-G939,E939-I939-F939-G939)))</f>
        <v/>
      </c>
    </row>
    <row r="940" customFormat="false" ht="15" hidden="false" customHeight="false" outlineLevel="0" collapsed="false">
      <c r="A940" s="12"/>
      <c r="B940" s="13"/>
      <c r="C940" s="14"/>
      <c r="D940" s="13"/>
      <c r="E940" s="15"/>
      <c r="F940" s="15"/>
      <c r="G940" s="15"/>
      <c r="H940" s="14"/>
      <c r="I940" s="16" t="str">
        <f aca="false">IF(OR(A940="",C940=""),"",IF(OR(H940="İade",H940="İptal"),0,E940*IFERROR(INDEX(Kanallar!$B$5:$B$19,MATCH(C940,Kanallar!$A$5:$A$19,0)),0)))</f>
        <v/>
      </c>
      <c r="J940" s="16" t="str">
        <f aca="false">IF(I940="","",IF(H940="İptal",0,IF(H940="İade",-G940,E940-I940-F940-G940)))</f>
        <v/>
      </c>
    </row>
    <row r="941" customFormat="false" ht="15" hidden="false" customHeight="false" outlineLevel="0" collapsed="false">
      <c r="A941" s="12"/>
      <c r="B941" s="13"/>
      <c r="C941" s="14"/>
      <c r="D941" s="13"/>
      <c r="E941" s="15"/>
      <c r="F941" s="15"/>
      <c r="G941" s="15"/>
      <c r="H941" s="14"/>
      <c r="I941" s="16" t="str">
        <f aca="false">IF(OR(A941="",C941=""),"",IF(OR(H941="İade",H941="İptal"),0,E941*IFERROR(INDEX(Kanallar!$B$5:$B$19,MATCH(C941,Kanallar!$A$5:$A$19,0)),0)))</f>
        <v/>
      </c>
      <c r="J941" s="16" t="str">
        <f aca="false">IF(I941="","",IF(H941="İptal",0,IF(H941="İade",-G941,E941-I941-F941-G941)))</f>
        <v/>
      </c>
    </row>
    <row r="942" customFormat="false" ht="15" hidden="false" customHeight="false" outlineLevel="0" collapsed="false">
      <c r="A942" s="12"/>
      <c r="B942" s="13"/>
      <c r="C942" s="14"/>
      <c r="D942" s="13"/>
      <c r="E942" s="15"/>
      <c r="F942" s="15"/>
      <c r="G942" s="15"/>
      <c r="H942" s="14"/>
      <c r="I942" s="16" t="str">
        <f aca="false">IF(OR(A942="",C942=""),"",IF(OR(H942="İade",H942="İptal"),0,E942*IFERROR(INDEX(Kanallar!$B$5:$B$19,MATCH(C942,Kanallar!$A$5:$A$19,0)),0)))</f>
        <v/>
      </c>
      <c r="J942" s="16" t="str">
        <f aca="false">IF(I942="","",IF(H942="İptal",0,IF(H942="İade",-G942,E942-I942-F942-G942)))</f>
        <v/>
      </c>
    </row>
    <row r="943" customFormat="false" ht="15" hidden="false" customHeight="false" outlineLevel="0" collapsed="false">
      <c r="A943" s="12"/>
      <c r="B943" s="13"/>
      <c r="C943" s="14"/>
      <c r="D943" s="13"/>
      <c r="E943" s="15"/>
      <c r="F943" s="15"/>
      <c r="G943" s="15"/>
      <c r="H943" s="14"/>
      <c r="I943" s="16" t="str">
        <f aca="false">IF(OR(A943="",C943=""),"",IF(OR(H943="İade",H943="İptal"),0,E943*IFERROR(INDEX(Kanallar!$B$5:$B$19,MATCH(C943,Kanallar!$A$5:$A$19,0)),0)))</f>
        <v/>
      </c>
      <c r="J943" s="16" t="str">
        <f aca="false">IF(I943="","",IF(H943="İptal",0,IF(H943="İade",-G943,E943-I943-F943-G943)))</f>
        <v/>
      </c>
    </row>
    <row r="944" customFormat="false" ht="15" hidden="false" customHeight="false" outlineLevel="0" collapsed="false">
      <c r="A944" s="12"/>
      <c r="B944" s="13"/>
      <c r="C944" s="14"/>
      <c r="D944" s="13"/>
      <c r="E944" s="15"/>
      <c r="F944" s="15"/>
      <c r="G944" s="15"/>
      <c r="H944" s="14"/>
      <c r="I944" s="16" t="str">
        <f aca="false">IF(OR(A944="",C944=""),"",IF(OR(H944="İade",H944="İptal"),0,E944*IFERROR(INDEX(Kanallar!$B$5:$B$19,MATCH(C944,Kanallar!$A$5:$A$19,0)),0)))</f>
        <v/>
      </c>
      <c r="J944" s="16" t="str">
        <f aca="false">IF(I944="","",IF(H944="İptal",0,IF(H944="İade",-G944,E944-I944-F944-G944)))</f>
        <v/>
      </c>
    </row>
    <row r="945" customFormat="false" ht="15" hidden="false" customHeight="false" outlineLevel="0" collapsed="false">
      <c r="A945" s="12"/>
      <c r="B945" s="13"/>
      <c r="C945" s="14"/>
      <c r="D945" s="13"/>
      <c r="E945" s="15"/>
      <c r="F945" s="15"/>
      <c r="G945" s="15"/>
      <c r="H945" s="14"/>
      <c r="I945" s="16" t="str">
        <f aca="false">IF(OR(A945="",C945=""),"",IF(OR(H945="İade",H945="İptal"),0,E945*IFERROR(INDEX(Kanallar!$B$5:$B$19,MATCH(C945,Kanallar!$A$5:$A$19,0)),0)))</f>
        <v/>
      </c>
      <c r="J945" s="16" t="str">
        <f aca="false">IF(I945="","",IF(H945="İptal",0,IF(H945="İade",-G945,E945-I945-F945-G945)))</f>
        <v/>
      </c>
    </row>
    <row r="946" customFormat="false" ht="15" hidden="false" customHeight="false" outlineLevel="0" collapsed="false">
      <c r="A946" s="12"/>
      <c r="B946" s="13"/>
      <c r="C946" s="14"/>
      <c r="D946" s="13"/>
      <c r="E946" s="15"/>
      <c r="F946" s="15"/>
      <c r="G946" s="15"/>
      <c r="H946" s="14"/>
      <c r="I946" s="16" t="str">
        <f aca="false">IF(OR(A946="",C946=""),"",IF(OR(H946="İade",H946="İptal"),0,E946*IFERROR(INDEX(Kanallar!$B$5:$B$19,MATCH(C946,Kanallar!$A$5:$A$19,0)),0)))</f>
        <v/>
      </c>
      <c r="J946" s="16" t="str">
        <f aca="false">IF(I946="","",IF(H946="İptal",0,IF(H946="İade",-G946,E946-I946-F946-G946)))</f>
        <v/>
      </c>
    </row>
    <row r="947" customFormat="false" ht="15" hidden="false" customHeight="false" outlineLevel="0" collapsed="false">
      <c r="A947" s="12"/>
      <c r="B947" s="13"/>
      <c r="C947" s="14"/>
      <c r="D947" s="13"/>
      <c r="E947" s="15"/>
      <c r="F947" s="15"/>
      <c r="G947" s="15"/>
      <c r="H947" s="14"/>
      <c r="I947" s="16" t="str">
        <f aca="false">IF(OR(A947="",C947=""),"",IF(OR(H947="İade",H947="İptal"),0,E947*IFERROR(INDEX(Kanallar!$B$5:$B$19,MATCH(C947,Kanallar!$A$5:$A$19,0)),0)))</f>
        <v/>
      </c>
      <c r="J947" s="16" t="str">
        <f aca="false">IF(I947="","",IF(H947="İptal",0,IF(H947="İade",-G947,E947-I947-F947-G947)))</f>
        <v/>
      </c>
    </row>
    <row r="948" customFormat="false" ht="15" hidden="false" customHeight="false" outlineLevel="0" collapsed="false">
      <c r="A948" s="12"/>
      <c r="B948" s="13"/>
      <c r="C948" s="14"/>
      <c r="D948" s="13"/>
      <c r="E948" s="15"/>
      <c r="F948" s="15"/>
      <c r="G948" s="15"/>
      <c r="H948" s="14"/>
      <c r="I948" s="16" t="str">
        <f aca="false">IF(OR(A948="",C948=""),"",IF(OR(H948="İade",H948="İptal"),0,E948*IFERROR(INDEX(Kanallar!$B$5:$B$19,MATCH(C948,Kanallar!$A$5:$A$19,0)),0)))</f>
        <v/>
      </c>
      <c r="J948" s="16" t="str">
        <f aca="false">IF(I948="","",IF(H948="İptal",0,IF(H948="İade",-G948,E948-I948-F948-G948)))</f>
        <v/>
      </c>
    </row>
    <row r="949" customFormat="false" ht="15" hidden="false" customHeight="false" outlineLevel="0" collapsed="false">
      <c r="A949" s="12"/>
      <c r="B949" s="13"/>
      <c r="C949" s="14"/>
      <c r="D949" s="13"/>
      <c r="E949" s="15"/>
      <c r="F949" s="15"/>
      <c r="G949" s="15"/>
      <c r="H949" s="14"/>
      <c r="I949" s="16" t="str">
        <f aca="false">IF(OR(A949="",C949=""),"",IF(OR(H949="İade",H949="İptal"),0,E949*IFERROR(INDEX(Kanallar!$B$5:$B$19,MATCH(C949,Kanallar!$A$5:$A$19,0)),0)))</f>
        <v/>
      </c>
      <c r="J949" s="16" t="str">
        <f aca="false">IF(I949="","",IF(H949="İptal",0,IF(H949="İade",-G949,E949-I949-F949-G949)))</f>
        <v/>
      </c>
    </row>
    <row r="950" customFormat="false" ht="15" hidden="false" customHeight="false" outlineLevel="0" collapsed="false">
      <c r="A950" s="12"/>
      <c r="B950" s="13"/>
      <c r="C950" s="14"/>
      <c r="D950" s="13"/>
      <c r="E950" s="15"/>
      <c r="F950" s="15"/>
      <c r="G950" s="15"/>
      <c r="H950" s="14"/>
      <c r="I950" s="16" t="str">
        <f aca="false">IF(OR(A950="",C950=""),"",IF(OR(H950="İade",H950="İptal"),0,E950*IFERROR(INDEX(Kanallar!$B$5:$B$19,MATCH(C950,Kanallar!$A$5:$A$19,0)),0)))</f>
        <v/>
      </c>
      <c r="J950" s="16" t="str">
        <f aca="false">IF(I950="","",IF(H950="İptal",0,IF(H950="İade",-G950,E950-I950-F950-G950)))</f>
        <v/>
      </c>
    </row>
    <row r="951" customFormat="false" ht="15" hidden="false" customHeight="false" outlineLevel="0" collapsed="false">
      <c r="A951" s="12"/>
      <c r="B951" s="13"/>
      <c r="C951" s="14"/>
      <c r="D951" s="13"/>
      <c r="E951" s="15"/>
      <c r="F951" s="15"/>
      <c r="G951" s="15"/>
      <c r="H951" s="14"/>
      <c r="I951" s="16" t="str">
        <f aca="false">IF(OR(A951="",C951=""),"",IF(OR(H951="İade",H951="İptal"),0,E951*IFERROR(INDEX(Kanallar!$B$5:$B$19,MATCH(C951,Kanallar!$A$5:$A$19,0)),0)))</f>
        <v/>
      </c>
      <c r="J951" s="16" t="str">
        <f aca="false">IF(I951="","",IF(H951="İptal",0,IF(H951="İade",-G951,E951-I951-F951-G951)))</f>
        <v/>
      </c>
    </row>
    <row r="952" customFormat="false" ht="15" hidden="false" customHeight="false" outlineLevel="0" collapsed="false">
      <c r="A952" s="12"/>
      <c r="B952" s="13"/>
      <c r="C952" s="14"/>
      <c r="D952" s="13"/>
      <c r="E952" s="15"/>
      <c r="F952" s="15"/>
      <c r="G952" s="15"/>
      <c r="H952" s="14"/>
      <c r="I952" s="16" t="str">
        <f aca="false">IF(OR(A952="",C952=""),"",IF(OR(H952="İade",H952="İptal"),0,E952*IFERROR(INDEX(Kanallar!$B$5:$B$19,MATCH(C952,Kanallar!$A$5:$A$19,0)),0)))</f>
        <v/>
      </c>
      <c r="J952" s="16" t="str">
        <f aca="false">IF(I952="","",IF(H952="İptal",0,IF(H952="İade",-G952,E952-I952-F952-G952)))</f>
        <v/>
      </c>
    </row>
    <row r="953" customFormat="false" ht="15" hidden="false" customHeight="false" outlineLevel="0" collapsed="false">
      <c r="A953" s="12"/>
      <c r="B953" s="13"/>
      <c r="C953" s="14"/>
      <c r="D953" s="13"/>
      <c r="E953" s="15"/>
      <c r="F953" s="15"/>
      <c r="G953" s="15"/>
      <c r="H953" s="14"/>
      <c r="I953" s="16" t="str">
        <f aca="false">IF(OR(A953="",C953=""),"",IF(OR(H953="İade",H953="İptal"),0,E953*IFERROR(INDEX(Kanallar!$B$5:$B$19,MATCH(C953,Kanallar!$A$5:$A$19,0)),0)))</f>
        <v/>
      </c>
      <c r="J953" s="16" t="str">
        <f aca="false">IF(I953="","",IF(H953="İptal",0,IF(H953="İade",-G953,E953-I953-F953-G953)))</f>
        <v/>
      </c>
    </row>
    <row r="954" customFormat="false" ht="15" hidden="false" customHeight="false" outlineLevel="0" collapsed="false">
      <c r="A954" s="12"/>
      <c r="B954" s="13"/>
      <c r="C954" s="14"/>
      <c r="D954" s="13"/>
      <c r="E954" s="15"/>
      <c r="F954" s="15"/>
      <c r="G954" s="15"/>
      <c r="H954" s="14"/>
      <c r="I954" s="16" t="str">
        <f aca="false">IF(OR(A954="",C954=""),"",IF(OR(H954="İade",H954="İptal"),0,E954*IFERROR(INDEX(Kanallar!$B$5:$B$19,MATCH(C954,Kanallar!$A$5:$A$19,0)),0)))</f>
        <v/>
      </c>
      <c r="J954" s="16" t="str">
        <f aca="false">IF(I954="","",IF(H954="İptal",0,IF(H954="İade",-G954,E954-I954-F954-G954)))</f>
        <v/>
      </c>
    </row>
    <row r="955" customFormat="false" ht="15" hidden="false" customHeight="false" outlineLevel="0" collapsed="false">
      <c r="A955" s="12"/>
      <c r="B955" s="13"/>
      <c r="C955" s="14"/>
      <c r="D955" s="13"/>
      <c r="E955" s="15"/>
      <c r="F955" s="15"/>
      <c r="G955" s="15"/>
      <c r="H955" s="14"/>
      <c r="I955" s="16" t="str">
        <f aca="false">IF(OR(A955="",C955=""),"",IF(OR(H955="İade",H955="İptal"),0,E955*IFERROR(INDEX(Kanallar!$B$5:$B$19,MATCH(C955,Kanallar!$A$5:$A$19,0)),0)))</f>
        <v/>
      </c>
      <c r="J955" s="16" t="str">
        <f aca="false">IF(I955="","",IF(H955="İptal",0,IF(H955="İade",-G955,E955-I955-F955-G955)))</f>
        <v/>
      </c>
    </row>
    <row r="956" customFormat="false" ht="15" hidden="false" customHeight="false" outlineLevel="0" collapsed="false">
      <c r="A956" s="12"/>
      <c r="B956" s="13"/>
      <c r="C956" s="14"/>
      <c r="D956" s="13"/>
      <c r="E956" s="15"/>
      <c r="F956" s="15"/>
      <c r="G956" s="15"/>
      <c r="H956" s="14"/>
      <c r="I956" s="16" t="str">
        <f aca="false">IF(OR(A956="",C956=""),"",IF(OR(H956="İade",H956="İptal"),0,E956*IFERROR(INDEX(Kanallar!$B$5:$B$19,MATCH(C956,Kanallar!$A$5:$A$19,0)),0)))</f>
        <v/>
      </c>
      <c r="J956" s="16" t="str">
        <f aca="false">IF(I956="","",IF(H956="İptal",0,IF(H956="İade",-G956,E956-I956-F956-G956)))</f>
        <v/>
      </c>
    </row>
    <row r="957" customFormat="false" ht="15" hidden="false" customHeight="false" outlineLevel="0" collapsed="false">
      <c r="A957" s="12"/>
      <c r="B957" s="13"/>
      <c r="C957" s="14"/>
      <c r="D957" s="13"/>
      <c r="E957" s="15"/>
      <c r="F957" s="15"/>
      <c r="G957" s="15"/>
      <c r="H957" s="14"/>
      <c r="I957" s="16" t="str">
        <f aca="false">IF(OR(A957="",C957=""),"",IF(OR(H957="İade",H957="İptal"),0,E957*IFERROR(INDEX(Kanallar!$B$5:$B$19,MATCH(C957,Kanallar!$A$5:$A$19,0)),0)))</f>
        <v/>
      </c>
      <c r="J957" s="16" t="str">
        <f aca="false">IF(I957="","",IF(H957="İptal",0,IF(H957="İade",-G957,E957-I957-F957-G957)))</f>
        <v/>
      </c>
    </row>
    <row r="958" customFormat="false" ht="15" hidden="false" customHeight="false" outlineLevel="0" collapsed="false">
      <c r="A958" s="12"/>
      <c r="B958" s="13"/>
      <c r="C958" s="14"/>
      <c r="D958" s="13"/>
      <c r="E958" s="15"/>
      <c r="F958" s="15"/>
      <c r="G958" s="15"/>
      <c r="H958" s="14"/>
      <c r="I958" s="16" t="str">
        <f aca="false">IF(OR(A958="",C958=""),"",IF(OR(H958="İade",H958="İptal"),0,E958*IFERROR(INDEX(Kanallar!$B$5:$B$19,MATCH(C958,Kanallar!$A$5:$A$19,0)),0)))</f>
        <v/>
      </c>
      <c r="J958" s="16" t="str">
        <f aca="false">IF(I958="","",IF(H958="İptal",0,IF(H958="İade",-G958,E958-I958-F958-G958)))</f>
        <v/>
      </c>
    </row>
    <row r="959" customFormat="false" ht="15" hidden="false" customHeight="false" outlineLevel="0" collapsed="false">
      <c r="A959" s="12"/>
      <c r="B959" s="13"/>
      <c r="C959" s="14"/>
      <c r="D959" s="13"/>
      <c r="E959" s="15"/>
      <c r="F959" s="15"/>
      <c r="G959" s="15"/>
      <c r="H959" s="14"/>
      <c r="I959" s="16" t="str">
        <f aca="false">IF(OR(A959="",C959=""),"",IF(OR(H959="İade",H959="İptal"),0,E959*IFERROR(INDEX(Kanallar!$B$5:$B$19,MATCH(C959,Kanallar!$A$5:$A$19,0)),0)))</f>
        <v/>
      </c>
      <c r="J959" s="16" t="str">
        <f aca="false">IF(I959="","",IF(H959="İptal",0,IF(H959="İade",-G959,E959-I959-F959-G959)))</f>
        <v/>
      </c>
    </row>
    <row r="960" customFormat="false" ht="15" hidden="false" customHeight="false" outlineLevel="0" collapsed="false">
      <c r="A960" s="12"/>
      <c r="B960" s="13"/>
      <c r="C960" s="14"/>
      <c r="D960" s="13"/>
      <c r="E960" s="15"/>
      <c r="F960" s="15"/>
      <c r="G960" s="15"/>
      <c r="H960" s="14"/>
      <c r="I960" s="16" t="str">
        <f aca="false">IF(OR(A960="",C960=""),"",IF(OR(H960="İade",H960="İptal"),0,E960*IFERROR(INDEX(Kanallar!$B$5:$B$19,MATCH(C960,Kanallar!$A$5:$A$19,0)),0)))</f>
        <v/>
      </c>
      <c r="J960" s="16" t="str">
        <f aca="false">IF(I960="","",IF(H960="İptal",0,IF(H960="İade",-G960,E960-I960-F960-G960)))</f>
        <v/>
      </c>
    </row>
    <row r="961" customFormat="false" ht="15" hidden="false" customHeight="false" outlineLevel="0" collapsed="false">
      <c r="A961" s="12"/>
      <c r="B961" s="13"/>
      <c r="C961" s="14"/>
      <c r="D961" s="13"/>
      <c r="E961" s="15"/>
      <c r="F961" s="15"/>
      <c r="G961" s="15"/>
      <c r="H961" s="14"/>
      <c r="I961" s="16" t="str">
        <f aca="false">IF(OR(A961="",C961=""),"",IF(OR(H961="İade",H961="İptal"),0,E961*IFERROR(INDEX(Kanallar!$B$5:$B$19,MATCH(C961,Kanallar!$A$5:$A$19,0)),0)))</f>
        <v/>
      </c>
      <c r="J961" s="16" t="str">
        <f aca="false">IF(I961="","",IF(H961="İptal",0,IF(H961="İade",-G961,E961-I961-F961-G961)))</f>
        <v/>
      </c>
    </row>
    <row r="962" customFormat="false" ht="15" hidden="false" customHeight="false" outlineLevel="0" collapsed="false">
      <c r="A962" s="12"/>
      <c r="B962" s="13"/>
      <c r="C962" s="14"/>
      <c r="D962" s="13"/>
      <c r="E962" s="15"/>
      <c r="F962" s="15"/>
      <c r="G962" s="15"/>
      <c r="H962" s="14"/>
      <c r="I962" s="16" t="str">
        <f aca="false">IF(OR(A962="",C962=""),"",IF(OR(H962="İade",H962="İptal"),0,E962*IFERROR(INDEX(Kanallar!$B$5:$B$19,MATCH(C962,Kanallar!$A$5:$A$19,0)),0)))</f>
        <v/>
      </c>
      <c r="J962" s="16" t="str">
        <f aca="false">IF(I962="","",IF(H962="İptal",0,IF(H962="İade",-G962,E962-I962-F962-G962)))</f>
        <v/>
      </c>
    </row>
    <row r="963" customFormat="false" ht="15" hidden="false" customHeight="false" outlineLevel="0" collapsed="false">
      <c r="A963" s="12"/>
      <c r="B963" s="13"/>
      <c r="C963" s="14"/>
      <c r="D963" s="13"/>
      <c r="E963" s="15"/>
      <c r="F963" s="15"/>
      <c r="G963" s="15"/>
      <c r="H963" s="14"/>
      <c r="I963" s="16" t="str">
        <f aca="false">IF(OR(A963="",C963=""),"",IF(OR(H963="İade",H963="İptal"),0,E963*IFERROR(INDEX(Kanallar!$B$5:$B$19,MATCH(C963,Kanallar!$A$5:$A$19,0)),0)))</f>
        <v/>
      </c>
      <c r="J963" s="16" t="str">
        <f aca="false">IF(I963="","",IF(H963="İptal",0,IF(H963="İade",-G963,E963-I963-F963-G963)))</f>
        <v/>
      </c>
    </row>
    <row r="964" customFormat="false" ht="15" hidden="false" customHeight="false" outlineLevel="0" collapsed="false">
      <c r="A964" s="12"/>
      <c r="B964" s="13"/>
      <c r="C964" s="14"/>
      <c r="D964" s="13"/>
      <c r="E964" s="15"/>
      <c r="F964" s="15"/>
      <c r="G964" s="15"/>
      <c r="H964" s="14"/>
      <c r="I964" s="16" t="str">
        <f aca="false">IF(OR(A964="",C964=""),"",IF(OR(H964="İade",H964="İptal"),0,E964*IFERROR(INDEX(Kanallar!$B$5:$B$19,MATCH(C964,Kanallar!$A$5:$A$19,0)),0)))</f>
        <v/>
      </c>
      <c r="J964" s="16" t="str">
        <f aca="false">IF(I964="","",IF(H964="İptal",0,IF(H964="İade",-G964,E964-I964-F964-G964)))</f>
        <v/>
      </c>
    </row>
    <row r="965" customFormat="false" ht="15" hidden="false" customHeight="false" outlineLevel="0" collapsed="false">
      <c r="A965" s="12"/>
      <c r="B965" s="13"/>
      <c r="C965" s="14"/>
      <c r="D965" s="13"/>
      <c r="E965" s="15"/>
      <c r="F965" s="15"/>
      <c r="G965" s="15"/>
      <c r="H965" s="14"/>
      <c r="I965" s="16" t="str">
        <f aca="false">IF(OR(A965="",C965=""),"",IF(OR(H965="İade",H965="İptal"),0,E965*IFERROR(INDEX(Kanallar!$B$5:$B$19,MATCH(C965,Kanallar!$A$5:$A$19,0)),0)))</f>
        <v/>
      </c>
      <c r="J965" s="16" t="str">
        <f aca="false">IF(I965="","",IF(H965="İptal",0,IF(H965="İade",-G965,E965-I965-F965-G965)))</f>
        <v/>
      </c>
    </row>
    <row r="966" customFormat="false" ht="15" hidden="false" customHeight="false" outlineLevel="0" collapsed="false">
      <c r="A966" s="12"/>
      <c r="B966" s="13"/>
      <c r="C966" s="14"/>
      <c r="D966" s="13"/>
      <c r="E966" s="15"/>
      <c r="F966" s="15"/>
      <c r="G966" s="15"/>
      <c r="H966" s="14"/>
      <c r="I966" s="16" t="str">
        <f aca="false">IF(OR(A966="",C966=""),"",IF(OR(H966="İade",H966="İptal"),0,E966*IFERROR(INDEX(Kanallar!$B$5:$B$19,MATCH(C966,Kanallar!$A$5:$A$19,0)),0)))</f>
        <v/>
      </c>
      <c r="J966" s="16" t="str">
        <f aca="false">IF(I966="","",IF(H966="İptal",0,IF(H966="İade",-G966,E966-I966-F966-G966)))</f>
        <v/>
      </c>
    </row>
    <row r="967" customFormat="false" ht="15" hidden="false" customHeight="false" outlineLevel="0" collapsed="false">
      <c r="A967" s="12"/>
      <c r="B967" s="13"/>
      <c r="C967" s="14"/>
      <c r="D967" s="13"/>
      <c r="E967" s="15"/>
      <c r="F967" s="15"/>
      <c r="G967" s="15"/>
      <c r="H967" s="14"/>
      <c r="I967" s="16" t="str">
        <f aca="false">IF(OR(A967="",C967=""),"",IF(OR(H967="İade",H967="İptal"),0,E967*IFERROR(INDEX(Kanallar!$B$5:$B$19,MATCH(C967,Kanallar!$A$5:$A$19,0)),0)))</f>
        <v/>
      </c>
      <c r="J967" s="16" t="str">
        <f aca="false">IF(I967="","",IF(H967="İptal",0,IF(H967="İade",-G967,E967-I967-F967-G967)))</f>
        <v/>
      </c>
    </row>
    <row r="968" customFormat="false" ht="15" hidden="false" customHeight="false" outlineLevel="0" collapsed="false">
      <c r="A968" s="12"/>
      <c r="B968" s="13"/>
      <c r="C968" s="14"/>
      <c r="D968" s="13"/>
      <c r="E968" s="15"/>
      <c r="F968" s="15"/>
      <c r="G968" s="15"/>
      <c r="H968" s="14"/>
      <c r="I968" s="16" t="str">
        <f aca="false">IF(OR(A968="",C968=""),"",IF(OR(H968="İade",H968="İptal"),0,E968*IFERROR(INDEX(Kanallar!$B$5:$B$19,MATCH(C968,Kanallar!$A$5:$A$19,0)),0)))</f>
        <v/>
      </c>
      <c r="J968" s="16" t="str">
        <f aca="false">IF(I968="","",IF(H968="İptal",0,IF(H968="İade",-G968,E968-I968-F968-G968)))</f>
        <v/>
      </c>
    </row>
    <row r="969" customFormat="false" ht="15" hidden="false" customHeight="false" outlineLevel="0" collapsed="false">
      <c r="A969" s="12"/>
      <c r="B969" s="13"/>
      <c r="C969" s="14"/>
      <c r="D969" s="13"/>
      <c r="E969" s="15"/>
      <c r="F969" s="15"/>
      <c r="G969" s="15"/>
      <c r="H969" s="14"/>
      <c r="I969" s="16" t="str">
        <f aca="false">IF(OR(A969="",C969=""),"",IF(OR(H969="İade",H969="İptal"),0,E969*IFERROR(INDEX(Kanallar!$B$5:$B$19,MATCH(C969,Kanallar!$A$5:$A$19,0)),0)))</f>
        <v/>
      </c>
      <c r="J969" s="16" t="str">
        <f aca="false">IF(I969="","",IF(H969="İptal",0,IF(H969="İade",-G969,E969-I969-F969-G969)))</f>
        <v/>
      </c>
    </row>
    <row r="970" customFormat="false" ht="15" hidden="false" customHeight="false" outlineLevel="0" collapsed="false">
      <c r="A970" s="12"/>
      <c r="B970" s="13"/>
      <c r="C970" s="14"/>
      <c r="D970" s="13"/>
      <c r="E970" s="15"/>
      <c r="F970" s="15"/>
      <c r="G970" s="15"/>
      <c r="H970" s="14"/>
      <c r="I970" s="16" t="str">
        <f aca="false">IF(OR(A970="",C970=""),"",IF(OR(H970="İade",H970="İptal"),0,E970*IFERROR(INDEX(Kanallar!$B$5:$B$19,MATCH(C970,Kanallar!$A$5:$A$19,0)),0)))</f>
        <v/>
      </c>
      <c r="J970" s="16" t="str">
        <f aca="false">IF(I970="","",IF(H970="İptal",0,IF(H970="İade",-G970,E970-I970-F970-G970)))</f>
        <v/>
      </c>
    </row>
    <row r="971" customFormat="false" ht="15" hidden="false" customHeight="false" outlineLevel="0" collapsed="false">
      <c r="A971" s="12"/>
      <c r="B971" s="13"/>
      <c r="C971" s="14"/>
      <c r="D971" s="13"/>
      <c r="E971" s="15"/>
      <c r="F971" s="15"/>
      <c r="G971" s="15"/>
      <c r="H971" s="14"/>
      <c r="I971" s="16" t="str">
        <f aca="false">IF(OR(A971="",C971=""),"",IF(OR(H971="İade",H971="İptal"),0,E971*IFERROR(INDEX(Kanallar!$B$5:$B$19,MATCH(C971,Kanallar!$A$5:$A$19,0)),0)))</f>
        <v/>
      </c>
      <c r="J971" s="16" t="str">
        <f aca="false">IF(I971="","",IF(H971="İptal",0,IF(H971="İade",-G971,E971-I971-F971-G971)))</f>
        <v/>
      </c>
    </row>
    <row r="972" customFormat="false" ht="15" hidden="false" customHeight="false" outlineLevel="0" collapsed="false">
      <c r="A972" s="12"/>
      <c r="B972" s="13"/>
      <c r="C972" s="14"/>
      <c r="D972" s="13"/>
      <c r="E972" s="15"/>
      <c r="F972" s="15"/>
      <c r="G972" s="15"/>
      <c r="H972" s="14"/>
      <c r="I972" s="16" t="str">
        <f aca="false">IF(OR(A972="",C972=""),"",IF(OR(H972="İade",H972="İptal"),0,E972*IFERROR(INDEX(Kanallar!$B$5:$B$19,MATCH(C972,Kanallar!$A$5:$A$19,0)),0)))</f>
        <v/>
      </c>
      <c r="J972" s="16" t="str">
        <f aca="false">IF(I972="","",IF(H972="İptal",0,IF(H972="İade",-G972,E972-I972-F972-G972)))</f>
        <v/>
      </c>
    </row>
    <row r="973" customFormat="false" ht="15" hidden="false" customHeight="false" outlineLevel="0" collapsed="false">
      <c r="A973" s="12"/>
      <c r="B973" s="13"/>
      <c r="C973" s="14"/>
      <c r="D973" s="13"/>
      <c r="E973" s="15"/>
      <c r="F973" s="15"/>
      <c r="G973" s="15"/>
      <c r="H973" s="14"/>
      <c r="I973" s="16" t="str">
        <f aca="false">IF(OR(A973="",C973=""),"",IF(OR(H973="İade",H973="İptal"),0,E973*IFERROR(INDEX(Kanallar!$B$5:$B$19,MATCH(C973,Kanallar!$A$5:$A$19,0)),0)))</f>
        <v/>
      </c>
      <c r="J973" s="16" t="str">
        <f aca="false">IF(I973="","",IF(H973="İptal",0,IF(H973="İade",-G973,E973-I973-F973-G973)))</f>
        <v/>
      </c>
    </row>
    <row r="974" customFormat="false" ht="15" hidden="false" customHeight="false" outlineLevel="0" collapsed="false">
      <c r="A974" s="12"/>
      <c r="B974" s="13"/>
      <c r="C974" s="14"/>
      <c r="D974" s="13"/>
      <c r="E974" s="15"/>
      <c r="F974" s="15"/>
      <c r="G974" s="15"/>
      <c r="H974" s="14"/>
      <c r="I974" s="16" t="str">
        <f aca="false">IF(OR(A974="",C974=""),"",IF(OR(H974="İade",H974="İptal"),0,E974*IFERROR(INDEX(Kanallar!$B$5:$B$19,MATCH(C974,Kanallar!$A$5:$A$19,0)),0)))</f>
        <v/>
      </c>
      <c r="J974" s="16" t="str">
        <f aca="false">IF(I974="","",IF(H974="İptal",0,IF(H974="İade",-G974,E974-I974-F974-G974)))</f>
        <v/>
      </c>
    </row>
    <row r="975" customFormat="false" ht="15" hidden="false" customHeight="false" outlineLevel="0" collapsed="false">
      <c r="A975" s="12"/>
      <c r="B975" s="13"/>
      <c r="C975" s="14"/>
      <c r="D975" s="13"/>
      <c r="E975" s="15"/>
      <c r="F975" s="15"/>
      <c r="G975" s="15"/>
      <c r="H975" s="14"/>
      <c r="I975" s="16" t="str">
        <f aca="false">IF(OR(A975="",C975=""),"",IF(OR(H975="İade",H975="İptal"),0,E975*IFERROR(INDEX(Kanallar!$B$5:$B$19,MATCH(C975,Kanallar!$A$5:$A$19,0)),0)))</f>
        <v/>
      </c>
      <c r="J975" s="16" t="str">
        <f aca="false">IF(I975="","",IF(H975="İptal",0,IF(H975="İade",-G975,E975-I975-F975-G975)))</f>
        <v/>
      </c>
    </row>
    <row r="976" customFormat="false" ht="15" hidden="false" customHeight="false" outlineLevel="0" collapsed="false">
      <c r="A976" s="12"/>
      <c r="B976" s="13"/>
      <c r="C976" s="14"/>
      <c r="D976" s="13"/>
      <c r="E976" s="15"/>
      <c r="F976" s="15"/>
      <c r="G976" s="15"/>
      <c r="H976" s="14"/>
      <c r="I976" s="16" t="str">
        <f aca="false">IF(OR(A976="",C976=""),"",IF(OR(H976="İade",H976="İptal"),0,E976*IFERROR(INDEX(Kanallar!$B$5:$B$19,MATCH(C976,Kanallar!$A$5:$A$19,0)),0)))</f>
        <v/>
      </c>
      <c r="J976" s="16" t="str">
        <f aca="false">IF(I976="","",IF(H976="İptal",0,IF(H976="İade",-G976,E976-I976-F976-G976)))</f>
        <v/>
      </c>
    </row>
    <row r="977" customFormat="false" ht="15" hidden="false" customHeight="false" outlineLevel="0" collapsed="false">
      <c r="A977" s="12"/>
      <c r="B977" s="13"/>
      <c r="C977" s="14"/>
      <c r="D977" s="13"/>
      <c r="E977" s="15"/>
      <c r="F977" s="15"/>
      <c r="G977" s="15"/>
      <c r="H977" s="14"/>
      <c r="I977" s="16" t="str">
        <f aca="false">IF(OR(A977="",C977=""),"",IF(OR(H977="İade",H977="İptal"),0,E977*IFERROR(INDEX(Kanallar!$B$5:$B$19,MATCH(C977,Kanallar!$A$5:$A$19,0)),0)))</f>
        <v/>
      </c>
      <c r="J977" s="16" t="str">
        <f aca="false">IF(I977="","",IF(H977="İptal",0,IF(H977="İade",-G977,E977-I977-F977-G977)))</f>
        <v/>
      </c>
    </row>
    <row r="978" customFormat="false" ht="15" hidden="false" customHeight="false" outlineLevel="0" collapsed="false">
      <c r="A978" s="12"/>
      <c r="B978" s="13"/>
      <c r="C978" s="14"/>
      <c r="D978" s="13"/>
      <c r="E978" s="15"/>
      <c r="F978" s="15"/>
      <c r="G978" s="15"/>
      <c r="H978" s="14"/>
      <c r="I978" s="16" t="str">
        <f aca="false">IF(OR(A978="",C978=""),"",IF(OR(H978="İade",H978="İptal"),0,E978*IFERROR(INDEX(Kanallar!$B$5:$B$19,MATCH(C978,Kanallar!$A$5:$A$19,0)),0)))</f>
        <v/>
      </c>
      <c r="J978" s="16" t="str">
        <f aca="false">IF(I978="","",IF(H978="İptal",0,IF(H978="İade",-G978,E978-I978-F978-G978)))</f>
        <v/>
      </c>
    </row>
    <row r="979" customFormat="false" ht="15" hidden="false" customHeight="false" outlineLevel="0" collapsed="false">
      <c r="A979" s="12"/>
      <c r="B979" s="13"/>
      <c r="C979" s="14"/>
      <c r="D979" s="13"/>
      <c r="E979" s="15"/>
      <c r="F979" s="15"/>
      <c r="G979" s="15"/>
      <c r="H979" s="14"/>
      <c r="I979" s="16" t="str">
        <f aca="false">IF(OR(A979="",C979=""),"",IF(OR(H979="İade",H979="İptal"),0,E979*IFERROR(INDEX(Kanallar!$B$5:$B$19,MATCH(C979,Kanallar!$A$5:$A$19,0)),0)))</f>
        <v/>
      </c>
      <c r="J979" s="16" t="str">
        <f aca="false">IF(I979="","",IF(H979="İptal",0,IF(H979="İade",-G979,E979-I979-F979-G979)))</f>
        <v/>
      </c>
    </row>
    <row r="980" customFormat="false" ht="15" hidden="false" customHeight="false" outlineLevel="0" collapsed="false">
      <c r="A980" s="12"/>
      <c r="B980" s="13"/>
      <c r="C980" s="14"/>
      <c r="D980" s="13"/>
      <c r="E980" s="15"/>
      <c r="F980" s="15"/>
      <c r="G980" s="15"/>
      <c r="H980" s="14"/>
      <c r="I980" s="16" t="str">
        <f aca="false">IF(OR(A980="",C980=""),"",IF(OR(H980="İade",H980="İptal"),0,E980*IFERROR(INDEX(Kanallar!$B$5:$B$19,MATCH(C980,Kanallar!$A$5:$A$19,0)),0)))</f>
        <v/>
      </c>
      <c r="J980" s="16" t="str">
        <f aca="false">IF(I980="","",IF(H980="İptal",0,IF(H980="İade",-G980,E980-I980-F980-G980)))</f>
        <v/>
      </c>
    </row>
    <row r="981" customFormat="false" ht="15" hidden="false" customHeight="false" outlineLevel="0" collapsed="false">
      <c r="A981" s="12"/>
      <c r="B981" s="13"/>
      <c r="C981" s="14"/>
      <c r="D981" s="13"/>
      <c r="E981" s="15"/>
      <c r="F981" s="15"/>
      <c r="G981" s="15"/>
      <c r="H981" s="14"/>
      <c r="I981" s="16" t="str">
        <f aca="false">IF(OR(A981="",C981=""),"",IF(OR(H981="İade",H981="İptal"),0,E981*IFERROR(INDEX(Kanallar!$B$5:$B$19,MATCH(C981,Kanallar!$A$5:$A$19,0)),0)))</f>
        <v/>
      </c>
      <c r="J981" s="16" t="str">
        <f aca="false">IF(I981="","",IF(H981="İptal",0,IF(H981="İade",-G981,E981-I981-F981-G981)))</f>
        <v/>
      </c>
    </row>
    <row r="982" customFormat="false" ht="15" hidden="false" customHeight="false" outlineLevel="0" collapsed="false">
      <c r="A982" s="12"/>
      <c r="B982" s="13"/>
      <c r="C982" s="14"/>
      <c r="D982" s="13"/>
      <c r="E982" s="15"/>
      <c r="F982" s="15"/>
      <c r="G982" s="15"/>
      <c r="H982" s="14"/>
      <c r="I982" s="16" t="str">
        <f aca="false">IF(OR(A982="",C982=""),"",IF(OR(H982="İade",H982="İptal"),0,E982*IFERROR(INDEX(Kanallar!$B$5:$B$19,MATCH(C982,Kanallar!$A$5:$A$19,0)),0)))</f>
        <v/>
      </c>
      <c r="J982" s="16" t="str">
        <f aca="false">IF(I982="","",IF(H982="İptal",0,IF(H982="İade",-G982,E982-I982-F982-G982)))</f>
        <v/>
      </c>
    </row>
    <row r="983" customFormat="false" ht="15" hidden="false" customHeight="false" outlineLevel="0" collapsed="false">
      <c r="A983" s="12"/>
      <c r="B983" s="13"/>
      <c r="C983" s="14"/>
      <c r="D983" s="13"/>
      <c r="E983" s="15"/>
      <c r="F983" s="15"/>
      <c r="G983" s="15"/>
      <c r="H983" s="14"/>
      <c r="I983" s="16" t="str">
        <f aca="false">IF(OR(A983="",C983=""),"",IF(OR(H983="İade",H983="İptal"),0,E983*IFERROR(INDEX(Kanallar!$B$5:$B$19,MATCH(C983,Kanallar!$A$5:$A$19,0)),0)))</f>
        <v/>
      </c>
      <c r="J983" s="16" t="str">
        <f aca="false">IF(I983="","",IF(H983="İptal",0,IF(H983="İade",-G983,E983-I983-F983-G983)))</f>
        <v/>
      </c>
    </row>
    <row r="984" customFormat="false" ht="15" hidden="false" customHeight="false" outlineLevel="0" collapsed="false">
      <c r="A984" s="12"/>
      <c r="B984" s="13"/>
      <c r="C984" s="14"/>
      <c r="D984" s="13"/>
      <c r="E984" s="15"/>
      <c r="F984" s="15"/>
      <c r="G984" s="15"/>
      <c r="H984" s="14"/>
      <c r="I984" s="16" t="str">
        <f aca="false">IF(OR(A984="",C984=""),"",IF(OR(H984="İade",H984="İptal"),0,E984*IFERROR(INDEX(Kanallar!$B$5:$B$19,MATCH(C984,Kanallar!$A$5:$A$19,0)),0)))</f>
        <v/>
      </c>
      <c r="J984" s="16" t="str">
        <f aca="false">IF(I984="","",IF(H984="İptal",0,IF(H984="İade",-G984,E984-I984-F984-G984)))</f>
        <v/>
      </c>
    </row>
    <row r="985" customFormat="false" ht="15" hidden="false" customHeight="false" outlineLevel="0" collapsed="false">
      <c r="A985" s="12"/>
      <c r="B985" s="13"/>
      <c r="C985" s="14"/>
      <c r="D985" s="13"/>
      <c r="E985" s="15"/>
      <c r="F985" s="15"/>
      <c r="G985" s="15"/>
      <c r="H985" s="14"/>
      <c r="I985" s="16" t="str">
        <f aca="false">IF(OR(A985="",C985=""),"",IF(OR(H985="İade",H985="İptal"),0,E985*IFERROR(INDEX(Kanallar!$B$5:$B$19,MATCH(C985,Kanallar!$A$5:$A$19,0)),0)))</f>
        <v/>
      </c>
      <c r="J985" s="16" t="str">
        <f aca="false">IF(I985="","",IF(H985="İptal",0,IF(H985="İade",-G985,E985-I985-F985-G985)))</f>
        <v/>
      </c>
    </row>
    <row r="986" customFormat="false" ht="15" hidden="false" customHeight="false" outlineLevel="0" collapsed="false">
      <c r="A986" s="12"/>
      <c r="B986" s="13"/>
      <c r="C986" s="14"/>
      <c r="D986" s="13"/>
      <c r="E986" s="15"/>
      <c r="F986" s="15"/>
      <c r="G986" s="15"/>
      <c r="H986" s="14"/>
      <c r="I986" s="16" t="str">
        <f aca="false">IF(OR(A986="",C986=""),"",IF(OR(H986="İade",H986="İptal"),0,E986*IFERROR(INDEX(Kanallar!$B$5:$B$19,MATCH(C986,Kanallar!$A$5:$A$19,0)),0)))</f>
        <v/>
      </c>
      <c r="J986" s="16" t="str">
        <f aca="false">IF(I986="","",IF(H986="İptal",0,IF(H986="İade",-G986,E986-I986-F986-G986)))</f>
        <v/>
      </c>
    </row>
    <row r="987" customFormat="false" ht="15" hidden="false" customHeight="false" outlineLevel="0" collapsed="false">
      <c r="A987" s="12"/>
      <c r="B987" s="13"/>
      <c r="C987" s="14"/>
      <c r="D987" s="13"/>
      <c r="E987" s="15"/>
      <c r="F987" s="15"/>
      <c r="G987" s="15"/>
      <c r="H987" s="14"/>
      <c r="I987" s="16" t="str">
        <f aca="false">IF(OR(A987="",C987=""),"",IF(OR(H987="İade",H987="İptal"),0,E987*IFERROR(INDEX(Kanallar!$B$5:$B$19,MATCH(C987,Kanallar!$A$5:$A$19,0)),0)))</f>
        <v/>
      </c>
      <c r="J987" s="16" t="str">
        <f aca="false">IF(I987="","",IF(H987="İptal",0,IF(H987="İade",-G987,E987-I987-F987-G987)))</f>
        <v/>
      </c>
    </row>
    <row r="988" customFormat="false" ht="15" hidden="false" customHeight="false" outlineLevel="0" collapsed="false">
      <c r="A988" s="12"/>
      <c r="B988" s="13"/>
      <c r="C988" s="14"/>
      <c r="D988" s="13"/>
      <c r="E988" s="15"/>
      <c r="F988" s="15"/>
      <c r="G988" s="15"/>
      <c r="H988" s="14"/>
      <c r="I988" s="16" t="str">
        <f aca="false">IF(OR(A988="",C988=""),"",IF(OR(H988="İade",H988="İptal"),0,E988*IFERROR(INDEX(Kanallar!$B$5:$B$19,MATCH(C988,Kanallar!$A$5:$A$19,0)),0)))</f>
        <v/>
      </c>
      <c r="J988" s="16" t="str">
        <f aca="false">IF(I988="","",IF(H988="İptal",0,IF(H988="İade",-G988,E988-I988-F988-G988)))</f>
        <v/>
      </c>
    </row>
    <row r="989" customFormat="false" ht="15" hidden="false" customHeight="false" outlineLevel="0" collapsed="false">
      <c r="A989" s="12"/>
      <c r="B989" s="13"/>
      <c r="C989" s="14"/>
      <c r="D989" s="13"/>
      <c r="E989" s="15"/>
      <c r="F989" s="15"/>
      <c r="G989" s="15"/>
      <c r="H989" s="14"/>
      <c r="I989" s="16" t="str">
        <f aca="false">IF(OR(A989="",C989=""),"",IF(OR(H989="İade",H989="İptal"),0,E989*IFERROR(INDEX(Kanallar!$B$5:$B$19,MATCH(C989,Kanallar!$A$5:$A$19,0)),0)))</f>
        <v/>
      </c>
      <c r="J989" s="16" t="str">
        <f aca="false">IF(I989="","",IF(H989="İptal",0,IF(H989="İade",-G989,E989-I989-F989-G989)))</f>
        <v/>
      </c>
    </row>
    <row r="990" customFormat="false" ht="15" hidden="false" customHeight="false" outlineLevel="0" collapsed="false">
      <c r="A990" s="12"/>
      <c r="B990" s="13"/>
      <c r="C990" s="14"/>
      <c r="D990" s="13"/>
      <c r="E990" s="15"/>
      <c r="F990" s="15"/>
      <c r="G990" s="15"/>
      <c r="H990" s="14"/>
      <c r="I990" s="16" t="str">
        <f aca="false">IF(OR(A990="",C990=""),"",IF(OR(H990="İade",H990="İptal"),0,E990*IFERROR(INDEX(Kanallar!$B$5:$B$19,MATCH(C990,Kanallar!$A$5:$A$19,0)),0)))</f>
        <v/>
      </c>
      <c r="J990" s="16" t="str">
        <f aca="false">IF(I990="","",IF(H990="İptal",0,IF(H990="İade",-G990,E990-I990-F990-G990)))</f>
        <v/>
      </c>
    </row>
    <row r="991" customFormat="false" ht="15" hidden="false" customHeight="false" outlineLevel="0" collapsed="false">
      <c r="A991" s="12"/>
      <c r="B991" s="13"/>
      <c r="C991" s="14"/>
      <c r="D991" s="13"/>
      <c r="E991" s="15"/>
      <c r="F991" s="15"/>
      <c r="G991" s="15"/>
      <c r="H991" s="14"/>
      <c r="I991" s="16" t="str">
        <f aca="false">IF(OR(A991="",C991=""),"",IF(OR(H991="İade",H991="İptal"),0,E991*IFERROR(INDEX(Kanallar!$B$5:$B$19,MATCH(C991,Kanallar!$A$5:$A$19,0)),0)))</f>
        <v/>
      </c>
      <c r="J991" s="16" t="str">
        <f aca="false">IF(I991="","",IF(H991="İptal",0,IF(H991="İade",-G991,E991-I991-F991-G991)))</f>
        <v/>
      </c>
    </row>
    <row r="992" customFormat="false" ht="15" hidden="false" customHeight="false" outlineLevel="0" collapsed="false">
      <c r="A992" s="12"/>
      <c r="B992" s="13"/>
      <c r="C992" s="14"/>
      <c r="D992" s="13"/>
      <c r="E992" s="15"/>
      <c r="F992" s="15"/>
      <c r="G992" s="15"/>
      <c r="H992" s="14"/>
      <c r="I992" s="16" t="str">
        <f aca="false">IF(OR(A992="",C992=""),"",IF(OR(H992="İade",H992="İptal"),0,E992*IFERROR(INDEX(Kanallar!$B$5:$B$19,MATCH(C992,Kanallar!$A$5:$A$19,0)),0)))</f>
        <v/>
      </c>
      <c r="J992" s="16" t="str">
        <f aca="false">IF(I992="","",IF(H992="İptal",0,IF(H992="İade",-G992,E992-I992-F992-G992)))</f>
        <v/>
      </c>
    </row>
    <row r="993" customFormat="false" ht="15" hidden="false" customHeight="false" outlineLevel="0" collapsed="false">
      <c r="A993" s="12"/>
      <c r="B993" s="13"/>
      <c r="C993" s="14"/>
      <c r="D993" s="13"/>
      <c r="E993" s="15"/>
      <c r="F993" s="15"/>
      <c r="G993" s="15"/>
      <c r="H993" s="14"/>
      <c r="I993" s="16" t="str">
        <f aca="false">IF(OR(A993="",C993=""),"",IF(OR(H993="İade",H993="İptal"),0,E993*IFERROR(INDEX(Kanallar!$B$5:$B$19,MATCH(C993,Kanallar!$A$5:$A$19,0)),0)))</f>
        <v/>
      </c>
      <c r="J993" s="16" t="str">
        <f aca="false">IF(I993="","",IF(H993="İptal",0,IF(H993="İade",-G993,E993-I993-F993-G993)))</f>
        <v/>
      </c>
    </row>
    <row r="994" customFormat="false" ht="15" hidden="false" customHeight="false" outlineLevel="0" collapsed="false">
      <c r="A994" s="12"/>
      <c r="B994" s="13"/>
      <c r="C994" s="14"/>
      <c r="D994" s="13"/>
      <c r="E994" s="15"/>
      <c r="F994" s="15"/>
      <c r="G994" s="15"/>
      <c r="H994" s="14"/>
      <c r="I994" s="16" t="str">
        <f aca="false">IF(OR(A994="",C994=""),"",IF(OR(H994="İade",H994="İptal"),0,E994*IFERROR(INDEX(Kanallar!$B$5:$B$19,MATCH(C994,Kanallar!$A$5:$A$19,0)),0)))</f>
        <v/>
      </c>
      <c r="J994" s="16" t="str">
        <f aca="false">IF(I994="","",IF(H994="İptal",0,IF(H994="İade",-G994,E994-I994-F994-G994)))</f>
        <v/>
      </c>
    </row>
    <row r="995" customFormat="false" ht="15" hidden="false" customHeight="false" outlineLevel="0" collapsed="false">
      <c r="A995" s="12"/>
      <c r="B995" s="13"/>
      <c r="C995" s="14"/>
      <c r="D995" s="13"/>
      <c r="E995" s="15"/>
      <c r="F995" s="15"/>
      <c r="G995" s="15"/>
      <c r="H995" s="14"/>
      <c r="I995" s="16" t="str">
        <f aca="false">IF(OR(A995="",C995=""),"",IF(OR(H995="İade",H995="İptal"),0,E995*IFERROR(INDEX(Kanallar!$B$5:$B$19,MATCH(C995,Kanallar!$A$5:$A$19,0)),0)))</f>
        <v/>
      </c>
      <c r="J995" s="16" t="str">
        <f aca="false">IF(I995="","",IF(H995="İptal",0,IF(H995="İade",-G995,E995-I995-F995-G995)))</f>
        <v/>
      </c>
    </row>
    <row r="996" customFormat="false" ht="15" hidden="false" customHeight="false" outlineLevel="0" collapsed="false">
      <c r="A996" s="12"/>
      <c r="B996" s="13"/>
      <c r="C996" s="14"/>
      <c r="D996" s="13"/>
      <c r="E996" s="15"/>
      <c r="F996" s="15"/>
      <c r="G996" s="15"/>
      <c r="H996" s="14"/>
      <c r="I996" s="16" t="str">
        <f aca="false">IF(OR(A996="",C996=""),"",IF(OR(H996="İade",H996="İptal"),0,E996*IFERROR(INDEX(Kanallar!$B$5:$B$19,MATCH(C996,Kanallar!$A$5:$A$19,0)),0)))</f>
        <v/>
      </c>
      <c r="J996" s="16" t="str">
        <f aca="false">IF(I996="","",IF(H996="İptal",0,IF(H996="İade",-G996,E996-I996-F996-G996)))</f>
        <v/>
      </c>
    </row>
    <row r="997" customFormat="false" ht="15" hidden="false" customHeight="false" outlineLevel="0" collapsed="false">
      <c r="A997" s="12"/>
      <c r="B997" s="13"/>
      <c r="C997" s="14"/>
      <c r="D997" s="13"/>
      <c r="E997" s="15"/>
      <c r="F997" s="15"/>
      <c r="G997" s="15"/>
      <c r="H997" s="14"/>
      <c r="I997" s="16" t="str">
        <f aca="false">IF(OR(A997="",C997=""),"",IF(OR(H997="İade",H997="İptal"),0,E997*IFERROR(INDEX(Kanallar!$B$5:$B$19,MATCH(C997,Kanallar!$A$5:$A$19,0)),0)))</f>
        <v/>
      </c>
      <c r="J997" s="16" t="str">
        <f aca="false">IF(I997="","",IF(H997="İptal",0,IF(H997="İade",-G997,E997-I997-F997-G997)))</f>
        <v/>
      </c>
    </row>
    <row r="998" customFormat="false" ht="15" hidden="false" customHeight="false" outlineLevel="0" collapsed="false">
      <c r="A998" s="12"/>
      <c r="B998" s="13"/>
      <c r="C998" s="14"/>
      <c r="D998" s="13"/>
      <c r="E998" s="15"/>
      <c r="F998" s="15"/>
      <c r="G998" s="15"/>
      <c r="H998" s="14"/>
      <c r="I998" s="16" t="str">
        <f aca="false">IF(OR(A998="",C998=""),"",IF(OR(H998="İade",H998="İptal"),0,E998*IFERROR(INDEX(Kanallar!$B$5:$B$19,MATCH(C998,Kanallar!$A$5:$A$19,0)),0)))</f>
        <v/>
      </c>
      <c r="J998" s="16" t="str">
        <f aca="false">IF(I998="","",IF(H998="İptal",0,IF(H998="İade",-G998,E998-I998-F998-G998)))</f>
        <v/>
      </c>
    </row>
    <row r="999" customFormat="false" ht="15" hidden="false" customHeight="false" outlineLevel="0" collapsed="false">
      <c r="A999" s="12"/>
      <c r="B999" s="13"/>
      <c r="C999" s="14"/>
      <c r="D999" s="13"/>
      <c r="E999" s="15"/>
      <c r="F999" s="15"/>
      <c r="G999" s="15"/>
      <c r="H999" s="14"/>
      <c r="I999" s="16" t="str">
        <f aca="false">IF(OR(A999="",C999=""),"",IF(OR(H999="İade",H999="İptal"),0,E999*IFERROR(INDEX(Kanallar!$B$5:$B$19,MATCH(C999,Kanallar!$A$5:$A$19,0)),0)))</f>
        <v/>
      </c>
      <c r="J999" s="16" t="str">
        <f aca="false">IF(I999="","",IF(H999="İptal",0,IF(H999="İade",-G999,E999-I999-F999-G999)))</f>
        <v/>
      </c>
    </row>
    <row r="1000" customFormat="false" ht="15" hidden="false" customHeight="false" outlineLevel="0" collapsed="false">
      <c r="A1000" s="12"/>
      <c r="B1000" s="13"/>
      <c r="C1000" s="14"/>
      <c r="D1000" s="13"/>
      <c r="E1000" s="15"/>
      <c r="F1000" s="15"/>
      <c r="G1000" s="15"/>
      <c r="H1000" s="14"/>
      <c r="I1000" s="16" t="str">
        <f aca="false">IF(OR(A1000="",C1000=""),"",IF(OR(H1000="İade",H1000="İptal"),0,E1000*IFERROR(INDEX(Kanallar!$B$5:$B$19,MATCH(C1000,Kanallar!$A$5:$A$19,0)),0)))</f>
        <v/>
      </c>
      <c r="J1000" s="16" t="str">
        <f aca="false">IF(I1000="","",IF(H1000="İptal",0,IF(H1000="İade",-G1000,E1000-I1000-F1000-G1000)))</f>
        <v/>
      </c>
    </row>
    <row r="1001" customFormat="false" ht="15" hidden="false" customHeight="false" outlineLevel="0" collapsed="false">
      <c r="A1001" s="12"/>
      <c r="B1001" s="13"/>
      <c r="C1001" s="14"/>
      <c r="D1001" s="13"/>
      <c r="E1001" s="15"/>
      <c r="F1001" s="15"/>
      <c r="G1001" s="15"/>
      <c r="H1001" s="14"/>
      <c r="I1001" s="16" t="str">
        <f aca="false">IF(OR(A1001="",C1001=""),"",IF(OR(H1001="İade",H1001="İptal"),0,E1001*IFERROR(INDEX(Kanallar!$B$5:$B$19,MATCH(C1001,Kanallar!$A$5:$A$19,0)),0)))</f>
        <v/>
      </c>
      <c r="J1001" s="16" t="str">
        <f aca="false">IF(I1001="","",IF(H1001="İptal",0,IF(H1001="İade",-G1001,E1001-I1001-F1001-G1001)))</f>
        <v/>
      </c>
    </row>
    <row r="1002" customFormat="false" ht="15" hidden="false" customHeight="false" outlineLevel="0" collapsed="false">
      <c r="A1002" s="12"/>
      <c r="B1002" s="13"/>
      <c r="C1002" s="14"/>
      <c r="D1002" s="13"/>
      <c r="E1002" s="15"/>
      <c r="F1002" s="15"/>
      <c r="G1002" s="15"/>
      <c r="H1002" s="14"/>
      <c r="I1002" s="16" t="str">
        <f aca="false">IF(OR(A1002="",C1002=""),"",IF(OR(H1002="İade",H1002="İptal"),0,E1002*IFERROR(INDEX(Kanallar!$B$5:$B$19,MATCH(C1002,Kanallar!$A$5:$A$19,0)),0)))</f>
        <v/>
      </c>
      <c r="J1002" s="16" t="str">
        <f aca="false">IF(I1002="","",IF(H1002="İptal",0,IF(H1002="İade",-G1002,E1002-I1002-F1002-G1002)))</f>
        <v/>
      </c>
    </row>
    <row r="1003" customFormat="false" ht="15" hidden="false" customHeight="false" outlineLevel="0" collapsed="false">
      <c r="A1003" s="12"/>
      <c r="B1003" s="13"/>
      <c r="C1003" s="14"/>
      <c r="D1003" s="13"/>
      <c r="E1003" s="15"/>
      <c r="F1003" s="15"/>
      <c r="G1003" s="15"/>
      <c r="H1003" s="14"/>
      <c r="I1003" s="16" t="str">
        <f aca="false">IF(OR(A1003="",C1003=""),"",IF(OR(H1003="İade",H1003="İptal"),0,E1003*IFERROR(INDEX(Kanallar!$B$5:$B$19,MATCH(C1003,Kanallar!$A$5:$A$19,0)),0)))</f>
        <v/>
      </c>
      <c r="J1003" s="16" t="str">
        <f aca="false">IF(I1003="","",IF(H1003="İptal",0,IF(H1003="İade",-G1003,E1003-I1003-F1003-G1003)))</f>
        <v/>
      </c>
    </row>
    <row r="1004" customFormat="false" ht="15" hidden="false" customHeight="false" outlineLevel="0" collapsed="false">
      <c r="A1004" s="12"/>
      <c r="B1004" s="13"/>
      <c r="C1004" s="14"/>
      <c r="D1004" s="13"/>
      <c r="E1004" s="15"/>
      <c r="F1004" s="15"/>
      <c r="G1004" s="15"/>
      <c r="H1004" s="14"/>
      <c r="I1004" s="16" t="str">
        <f aca="false">IF(OR(A1004="",C1004=""),"",IF(OR(H1004="İade",H1004="İptal"),0,E1004*IFERROR(INDEX(Kanallar!$B$5:$B$19,MATCH(C1004,Kanallar!$A$5:$A$19,0)),0)))</f>
        <v/>
      </c>
      <c r="J1004" s="16" t="str">
        <f aca="false">IF(I1004="","",IF(H1004="İptal",0,IF(H1004="İade",-G1004,E1004-I1004-F1004-G1004)))</f>
        <v/>
      </c>
    </row>
    <row r="1005" customFormat="false" ht="15" hidden="false" customHeight="false" outlineLevel="0" collapsed="false">
      <c r="A1005" s="12"/>
      <c r="B1005" s="13"/>
      <c r="C1005" s="14"/>
      <c r="D1005" s="13"/>
      <c r="E1005" s="15"/>
      <c r="F1005" s="15"/>
      <c r="G1005" s="15"/>
      <c r="H1005" s="14"/>
      <c r="I1005" s="16" t="str">
        <f aca="false">IF(OR(A1005="",C1005=""),"",IF(OR(H1005="İade",H1005="İptal"),0,E1005*IFERROR(INDEX(Kanallar!$B$5:$B$19,MATCH(C1005,Kanallar!$A$5:$A$19,0)),0)))</f>
        <v/>
      </c>
      <c r="J1005" s="16" t="str">
        <f aca="false">IF(I1005="","",IF(H1005="İptal",0,IF(H1005="İade",-G1005,E1005-I1005-F1005-G1005)))</f>
        <v/>
      </c>
    </row>
    <row r="1006" customFormat="false" ht="15" hidden="false" customHeight="false" outlineLevel="0" collapsed="false">
      <c r="A1006" s="12"/>
      <c r="B1006" s="13"/>
      <c r="C1006" s="14"/>
      <c r="D1006" s="13"/>
      <c r="E1006" s="15"/>
      <c r="F1006" s="15"/>
      <c r="G1006" s="15"/>
      <c r="H1006" s="14"/>
      <c r="I1006" s="16" t="str">
        <f aca="false">IF(OR(A1006="",C1006=""),"",IF(OR(H1006="İade",H1006="İptal"),0,E1006*IFERROR(INDEX(Kanallar!$B$5:$B$19,MATCH(C1006,Kanallar!$A$5:$A$19,0)),0)))</f>
        <v/>
      </c>
      <c r="J1006" s="16" t="str">
        <f aca="false">IF(I1006="","",IF(H1006="İptal",0,IF(H1006="İade",-G1006,E1006-I1006-F1006-G1006)))</f>
        <v/>
      </c>
    </row>
    <row r="1007" customFormat="false" ht="15" hidden="false" customHeight="false" outlineLevel="0" collapsed="false">
      <c r="A1007" s="12"/>
      <c r="B1007" s="13"/>
      <c r="C1007" s="14"/>
      <c r="D1007" s="13"/>
      <c r="E1007" s="15"/>
      <c r="F1007" s="15"/>
      <c r="G1007" s="15"/>
      <c r="H1007" s="14"/>
      <c r="I1007" s="16" t="str">
        <f aca="false">IF(OR(A1007="",C1007=""),"",IF(OR(H1007="İade",H1007="İptal"),0,E1007*IFERROR(INDEX(Kanallar!$B$5:$B$19,MATCH(C1007,Kanallar!$A$5:$A$19,0)),0)))</f>
        <v/>
      </c>
      <c r="J1007" s="16" t="str">
        <f aca="false">IF(I1007="","",IF(H1007="İptal",0,IF(H1007="İade",-G1007,E1007-I1007-F1007-G1007)))</f>
        <v/>
      </c>
    </row>
    <row r="1008" customFormat="false" ht="15" hidden="false" customHeight="false" outlineLevel="0" collapsed="false">
      <c r="A1008" s="12"/>
      <c r="B1008" s="13"/>
      <c r="C1008" s="14"/>
      <c r="D1008" s="13"/>
      <c r="E1008" s="15"/>
      <c r="F1008" s="15"/>
      <c r="G1008" s="15"/>
      <c r="H1008" s="14"/>
      <c r="I1008" s="16" t="str">
        <f aca="false">IF(OR(A1008="",C1008=""),"",IF(OR(H1008="İade",H1008="İptal"),0,E1008*IFERROR(INDEX(Kanallar!$B$5:$B$19,MATCH(C1008,Kanallar!$A$5:$A$19,0)),0)))</f>
        <v/>
      </c>
      <c r="J1008" s="16" t="str">
        <f aca="false">IF(I1008="","",IF(H1008="İptal",0,IF(H1008="İade",-G1008,E1008-I1008-F1008-G1008)))</f>
        <v/>
      </c>
    </row>
    <row r="1009" customFormat="false" ht="15" hidden="false" customHeight="false" outlineLevel="0" collapsed="false">
      <c r="A1009" s="12"/>
      <c r="B1009" s="13"/>
      <c r="C1009" s="14"/>
      <c r="D1009" s="13"/>
      <c r="E1009" s="15"/>
      <c r="F1009" s="15"/>
      <c r="G1009" s="15"/>
      <c r="H1009" s="14"/>
      <c r="I1009" s="16" t="str">
        <f aca="false">IF(OR(A1009="",C1009=""),"",IF(OR(H1009="İade",H1009="İptal"),0,E1009*IFERROR(INDEX(Kanallar!$B$5:$B$19,MATCH(C1009,Kanallar!$A$5:$A$19,0)),0)))</f>
        <v/>
      </c>
      <c r="J1009" s="16" t="str">
        <f aca="false">IF(I1009="","",IF(H1009="İptal",0,IF(H1009="İade",-G1009,E1009-I1009-F1009-G1009)))</f>
        <v/>
      </c>
    </row>
    <row r="1010" customFormat="false" ht="15" hidden="false" customHeight="false" outlineLevel="0" collapsed="false">
      <c r="A1010" s="12"/>
      <c r="B1010" s="13"/>
      <c r="C1010" s="14"/>
      <c r="D1010" s="13"/>
      <c r="E1010" s="15"/>
      <c r="F1010" s="15"/>
      <c r="G1010" s="15"/>
      <c r="H1010" s="14"/>
      <c r="I1010" s="16" t="str">
        <f aca="false">IF(OR(A1010="",C1010=""),"",IF(OR(H1010="İade",H1010="İptal"),0,E1010*IFERROR(INDEX(Kanallar!$B$5:$B$19,MATCH(C1010,Kanallar!$A$5:$A$19,0)),0)))</f>
        <v/>
      </c>
      <c r="J1010" s="16" t="str">
        <f aca="false">IF(I1010="","",IF(H1010="İptal",0,IF(H1010="İade",-G1010,E1010-I1010-F1010-G1010)))</f>
        <v/>
      </c>
    </row>
    <row r="1011" customFormat="false" ht="15" hidden="false" customHeight="false" outlineLevel="0" collapsed="false">
      <c r="A1011" s="12"/>
      <c r="B1011" s="13"/>
      <c r="C1011" s="14"/>
      <c r="D1011" s="13"/>
      <c r="E1011" s="15"/>
      <c r="F1011" s="15"/>
      <c r="G1011" s="15"/>
      <c r="H1011" s="14"/>
      <c r="I1011" s="16" t="str">
        <f aca="false">IF(OR(A1011="",C1011=""),"",IF(OR(H1011="İade",H1011="İptal"),0,E1011*IFERROR(INDEX(Kanallar!$B$5:$B$19,MATCH(C1011,Kanallar!$A$5:$A$19,0)),0)))</f>
        <v/>
      </c>
      <c r="J1011" s="16" t="str">
        <f aca="false">IF(I1011="","",IF(H1011="İptal",0,IF(H1011="İade",-G1011,E1011-I1011-F1011-G1011)))</f>
        <v/>
      </c>
    </row>
    <row r="1012" customFormat="false" ht="15" hidden="false" customHeight="false" outlineLevel="0" collapsed="false">
      <c r="A1012" s="12"/>
      <c r="B1012" s="13"/>
      <c r="C1012" s="14"/>
      <c r="D1012" s="13"/>
      <c r="E1012" s="15"/>
      <c r="F1012" s="15"/>
      <c r="G1012" s="15"/>
      <c r="H1012" s="14"/>
      <c r="I1012" s="16" t="str">
        <f aca="false">IF(OR(A1012="",C1012=""),"",IF(OR(H1012="İade",H1012="İptal"),0,E1012*IFERROR(INDEX(Kanallar!$B$5:$B$19,MATCH(C1012,Kanallar!$A$5:$A$19,0)),0)))</f>
        <v/>
      </c>
      <c r="J1012" s="16" t="str">
        <f aca="false">IF(I1012="","",IF(H1012="İptal",0,IF(H1012="İade",-G1012,E1012-I1012-F1012-G1012)))</f>
        <v/>
      </c>
    </row>
    <row r="1013" customFormat="false" ht="15" hidden="false" customHeight="false" outlineLevel="0" collapsed="false">
      <c r="A1013" s="12"/>
      <c r="B1013" s="13"/>
      <c r="C1013" s="14"/>
      <c r="D1013" s="13"/>
      <c r="E1013" s="15"/>
      <c r="F1013" s="15"/>
      <c r="G1013" s="15"/>
      <c r="H1013" s="14"/>
      <c r="I1013" s="16" t="str">
        <f aca="false">IF(OR(A1013="",C1013=""),"",IF(OR(H1013="İade",H1013="İptal"),0,E1013*IFERROR(INDEX(Kanallar!$B$5:$B$19,MATCH(C1013,Kanallar!$A$5:$A$19,0)),0)))</f>
        <v/>
      </c>
      <c r="J1013" s="16" t="str">
        <f aca="false">IF(I1013="","",IF(H1013="İptal",0,IF(H1013="İade",-G1013,E1013-I1013-F1013-G1013)))</f>
        <v/>
      </c>
    </row>
    <row r="1014" customFormat="false" ht="15" hidden="false" customHeight="false" outlineLevel="0" collapsed="false">
      <c r="A1014" s="12"/>
      <c r="B1014" s="13"/>
      <c r="C1014" s="14"/>
      <c r="D1014" s="13"/>
      <c r="E1014" s="15"/>
      <c r="F1014" s="15"/>
      <c r="G1014" s="15"/>
      <c r="H1014" s="14"/>
      <c r="I1014" s="16" t="str">
        <f aca="false">IF(OR(A1014="",C1014=""),"",IF(OR(H1014="İade",H1014="İptal"),0,E1014*IFERROR(INDEX(Kanallar!$B$5:$B$19,MATCH(C1014,Kanallar!$A$5:$A$19,0)),0)))</f>
        <v/>
      </c>
      <c r="J1014" s="16" t="str">
        <f aca="false">IF(I1014="","",IF(H1014="İptal",0,IF(H1014="İade",-G1014,E1014-I1014-F1014-G1014)))</f>
        <v/>
      </c>
    </row>
    <row r="1015" customFormat="false" ht="15" hidden="false" customHeight="false" outlineLevel="0" collapsed="false">
      <c r="A1015" s="12"/>
      <c r="B1015" s="13"/>
      <c r="C1015" s="14"/>
      <c r="D1015" s="13"/>
      <c r="E1015" s="15"/>
      <c r="F1015" s="15"/>
      <c r="G1015" s="15"/>
      <c r="H1015" s="14"/>
      <c r="I1015" s="16" t="str">
        <f aca="false">IF(OR(A1015="",C1015=""),"",IF(OR(H1015="İade",H1015="İptal"),0,E1015*IFERROR(INDEX(Kanallar!$B$5:$B$19,MATCH(C1015,Kanallar!$A$5:$A$19,0)),0)))</f>
        <v/>
      </c>
      <c r="J1015" s="16" t="str">
        <f aca="false">IF(I1015="","",IF(H1015="İptal",0,IF(H1015="İade",-G1015,E1015-I1015-F1015-G1015)))</f>
        <v/>
      </c>
    </row>
    <row r="1016" customFormat="false" ht="15" hidden="false" customHeight="false" outlineLevel="0" collapsed="false">
      <c r="A1016" s="12"/>
      <c r="B1016" s="13"/>
      <c r="C1016" s="14"/>
      <c r="D1016" s="13"/>
      <c r="E1016" s="15"/>
      <c r="F1016" s="15"/>
      <c r="G1016" s="15"/>
      <c r="H1016" s="14"/>
      <c r="I1016" s="16" t="str">
        <f aca="false">IF(OR(A1016="",C1016=""),"",IF(OR(H1016="İade",H1016="İptal"),0,E1016*IFERROR(INDEX(Kanallar!$B$5:$B$19,MATCH(C1016,Kanallar!$A$5:$A$19,0)),0)))</f>
        <v/>
      </c>
      <c r="J1016" s="16" t="str">
        <f aca="false">IF(I1016="","",IF(H1016="İptal",0,IF(H1016="İade",-G1016,E1016-I1016-F1016-G1016)))</f>
        <v/>
      </c>
    </row>
    <row r="1017" customFormat="false" ht="15" hidden="false" customHeight="false" outlineLevel="0" collapsed="false">
      <c r="A1017" s="12"/>
      <c r="B1017" s="13"/>
      <c r="C1017" s="14"/>
      <c r="D1017" s="13"/>
      <c r="E1017" s="15"/>
      <c r="F1017" s="15"/>
      <c r="G1017" s="15"/>
      <c r="H1017" s="14"/>
      <c r="I1017" s="16" t="str">
        <f aca="false">IF(OR(A1017="",C1017=""),"",IF(OR(H1017="İade",H1017="İptal"),0,E1017*IFERROR(INDEX(Kanallar!$B$5:$B$19,MATCH(C1017,Kanallar!$A$5:$A$19,0)),0)))</f>
        <v/>
      </c>
      <c r="J1017" s="16" t="str">
        <f aca="false">IF(I1017="","",IF(H1017="İptal",0,IF(H1017="İade",-G1017,E1017-I1017-F1017-G1017)))</f>
        <v/>
      </c>
    </row>
    <row r="1018" customFormat="false" ht="15" hidden="false" customHeight="false" outlineLevel="0" collapsed="false">
      <c r="A1018" s="12"/>
      <c r="B1018" s="13"/>
      <c r="C1018" s="14"/>
      <c r="D1018" s="13"/>
      <c r="E1018" s="15"/>
      <c r="F1018" s="15"/>
      <c r="G1018" s="15"/>
      <c r="H1018" s="14"/>
      <c r="I1018" s="16" t="str">
        <f aca="false">IF(OR(A1018="",C1018=""),"",IF(OR(H1018="İade",H1018="İptal"),0,E1018*IFERROR(INDEX(Kanallar!$B$5:$B$19,MATCH(C1018,Kanallar!$A$5:$A$19,0)),0)))</f>
        <v/>
      </c>
      <c r="J1018" s="16" t="str">
        <f aca="false">IF(I1018="","",IF(H1018="İptal",0,IF(H1018="İade",-G1018,E1018-I1018-F1018-G1018)))</f>
        <v/>
      </c>
    </row>
    <row r="1019" customFormat="false" ht="15" hidden="false" customHeight="false" outlineLevel="0" collapsed="false">
      <c r="A1019" s="12"/>
      <c r="B1019" s="13"/>
      <c r="C1019" s="14"/>
      <c r="D1019" s="13"/>
      <c r="E1019" s="15"/>
      <c r="F1019" s="15"/>
      <c r="G1019" s="15"/>
      <c r="H1019" s="14"/>
      <c r="I1019" s="16" t="str">
        <f aca="false">IF(OR(A1019="",C1019=""),"",IF(OR(H1019="İade",H1019="İptal"),0,E1019*IFERROR(INDEX(Kanallar!$B$5:$B$19,MATCH(C1019,Kanallar!$A$5:$A$19,0)),0)))</f>
        <v/>
      </c>
      <c r="J1019" s="16" t="str">
        <f aca="false">IF(I1019="","",IF(H1019="İptal",0,IF(H1019="İade",-G1019,E1019-I1019-F1019-G1019)))</f>
        <v/>
      </c>
    </row>
    <row r="1020" customFormat="false" ht="15" hidden="false" customHeight="false" outlineLevel="0" collapsed="false">
      <c r="A1020" s="12"/>
      <c r="B1020" s="13"/>
      <c r="C1020" s="14"/>
      <c r="D1020" s="13"/>
      <c r="E1020" s="15"/>
      <c r="F1020" s="15"/>
      <c r="G1020" s="15"/>
      <c r="H1020" s="14"/>
      <c r="I1020" s="16" t="str">
        <f aca="false">IF(OR(A1020="",C1020=""),"",IF(OR(H1020="İade",H1020="İptal"),0,E1020*IFERROR(INDEX(Kanallar!$B$5:$B$19,MATCH(C1020,Kanallar!$A$5:$A$19,0)),0)))</f>
        <v/>
      </c>
      <c r="J1020" s="16" t="str">
        <f aca="false">IF(I1020="","",IF(H1020="İptal",0,IF(H1020="İade",-G1020,E1020-I1020-F1020-G1020)))</f>
        <v/>
      </c>
    </row>
    <row r="1021" customFormat="false" ht="15" hidden="false" customHeight="false" outlineLevel="0" collapsed="false">
      <c r="A1021" s="12"/>
      <c r="B1021" s="13"/>
      <c r="C1021" s="14"/>
      <c r="D1021" s="13"/>
      <c r="E1021" s="15"/>
      <c r="F1021" s="15"/>
      <c r="G1021" s="15"/>
      <c r="H1021" s="14"/>
      <c r="I1021" s="16" t="str">
        <f aca="false">IF(OR(A1021="",C1021=""),"",IF(OR(H1021="İade",H1021="İptal"),0,E1021*IFERROR(INDEX(Kanallar!$B$5:$B$19,MATCH(C1021,Kanallar!$A$5:$A$19,0)),0)))</f>
        <v/>
      </c>
      <c r="J1021" s="16" t="str">
        <f aca="false">IF(I1021="","",IF(H1021="İptal",0,IF(H1021="İade",-G1021,E1021-I1021-F1021-G1021)))</f>
        <v/>
      </c>
    </row>
    <row r="1022" customFormat="false" ht="15" hidden="false" customHeight="false" outlineLevel="0" collapsed="false">
      <c r="A1022" s="12"/>
      <c r="B1022" s="13"/>
      <c r="C1022" s="14"/>
      <c r="D1022" s="13"/>
      <c r="E1022" s="15"/>
      <c r="F1022" s="15"/>
      <c r="G1022" s="15"/>
      <c r="H1022" s="14"/>
      <c r="I1022" s="16" t="str">
        <f aca="false">IF(OR(A1022="",C1022=""),"",IF(OR(H1022="İade",H1022="İptal"),0,E1022*IFERROR(INDEX(Kanallar!$B$5:$B$19,MATCH(C1022,Kanallar!$A$5:$A$19,0)),0)))</f>
        <v/>
      </c>
      <c r="J1022" s="16" t="str">
        <f aca="false">IF(I1022="","",IF(H1022="İptal",0,IF(H1022="İade",-G1022,E1022-I1022-F1022-G1022)))</f>
        <v/>
      </c>
    </row>
    <row r="1023" customFormat="false" ht="15" hidden="false" customHeight="false" outlineLevel="0" collapsed="false">
      <c r="A1023" s="12"/>
      <c r="B1023" s="13"/>
      <c r="C1023" s="14"/>
      <c r="D1023" s="13"/>
      <c r="E1023" s="15"/>
      <c r="F1023" s="15"/>
      <c r="G1023" s="15"/>
      <c r="H1023" s="14"/>
      <c r="I1023" s="16" t="str">
        <f aca="false">IF(OR(A1023="",C1023=""),"",IF(OR(H1023="İade",H1023="İptal"),0,E1023*IFERROR(INDEX(Kanallar!$B$5:$B$19,MATCH(C1023,Kanallar!$A$5:$A$19,0)),0)))</f>
        <v/>
      </c>
      <c r="J1023" s="16" t="str">
        <f aca="false">IF(I1023="","",IF(H1023="İptal",0,IF(H1023="İade",-G1023,E1023-I1023-F1023-G1023)))</f>
        <v/>
      </c>
    </row>
    <row r="1024" customFormat="false" ht="15" hidden="false" customHeight="false" outlineLevel="0" collapsed="false">
      <c r="A1024" s="12"/>
      <c r="B1024" s="13"/>
      <c r="C1024" s="14"/>
      <c r="D1024" s="13"/>
      <c r="E1024" s="15"/>
      <c r="F1024" s="15"/>
      <c r="G1024" s="15"/>
      <c r="H1024" s="14"/>
      <c r="I1024" s="16" t="str">
        <f aca="false">IF(OR(A1024="",C1024=""),"",IF(OR(H1024="İade",H1024="İptal"),0,E1024*IFERROR(INDEX(Kanallar!$B$5:$B$19,MATCH(C1024,Kanallar!$A$5:$A$19,0)),0)))</f>
        <v/>
      </c>
      <c r="J1024" s="16" t="str">
        <f aca="false">IF(I1024="","",IF(H1024="İptal",0,IF(H1024="İade",-G1024,E1024-I1024-F1024-G1024)))</f>
        <v/>
      </c>
    </row>
    <row r="1025" customFormat="false" ht="15" hidden="false" customHeight="false" outlineLevel="0" collapsed="false">
      <c r="A1025" s="12"/>
      <c r="B1025" s="13"/>
      <c r="C1025" s="14"/>
      <c r="D1025" s="13"/>
      <c r="E1025" s="15"/>
      <c r="F1025" s="15"/>
      <c r="G1025" s="15"/>
      <c r="H1025" s="14"/>
      <c r="I1025" s="16" t="str">
        <f aca="false">IF(OR(A1025="",C1025=""),"",IF(OR(H1025="İade",H1025="İptal"),0,E1025*IFERROR(INDEX(Kanallar!$B$5:$B$19,MATCH(C1025,Kanallar!$A$5:$A$19,0)),0)))</f>
        <v/>
      </c>
      <c r="J1025" s="16" t="str">
        <f aca="false">IF(I1025="","",IF(H1025="İptal",0,IF(H1025="İade",-G1025,E1025-I1025-F1025-G1025)))</f>
        <v/>
      </c>
    </row>
    <row r="1026" customFormat="false" ht="15" hidden="false" customHeight="false" outlineLevel="0" collapsed="false">
      <c r="A1026" s="12"/>
      <c r="B1026" s="13"/>
      <c r="C1026" s="14"/>
      <c r="D1026" s="13"/>
      <c r="E1026" s="15"/>
      <c r="F1026" s="15"/>
      <c r="G1026" s="15"/>
      <c r="H1026" s="14"/>
      <c r="I1026" s="16" t="str">
        <f aca="false">IF(OR(A1026="",C1026=""),"",IF(OR(H1026="İade",H1026="İptal"),0,E1026*IFERROR(INDEX(Kanallar!$B$5:$B$19,MATCH(C1026,Kanallar!$A$5:$A$19,0)),0)))</f>
        <v/>
      </c>
      <c r="J1026" s="16" t="str">
        <f aca="false">IF(I1026="","",IF(H1026="İptal",0,IF(H1026="İade",-G1026,E1026-I1026-F1026-G1026)))</f>
        <v/>
      </c>
    </row>
    <row r="1027" customFormat="false" ht="15" hidden="false" customHeight="false" outlineLevel="0" collapsed="false">
      <c r="A1027" s="12"/>
      <c r="B1027" s="13"/>
      <c r="C1027" s="14"/>
      <c r="D1027" s="13"/>
      <c r="E1027" s="15"/>
      <c r="F1027" s="15"/>
      <c r="G1027" s="15"/>
      <c r="H1027" s="14"/>
      <c r="I1027" s="16" t="str">
        <f aca="false">IF(OR(A1027="",C1027=""),"",IF(OR(H1027="İade",H1027="İptal"),0,E1027*IFERROR(INDEX(Kanallar!$B$5:$B$19,MATCH(C1027,Kanallar!$A$5:$A$19,0)),0)))</f>
        <v/>
      </c>
      <c r="J1027" s="16" t="str">
        <f aca="false">IF(I1027="","",IF(H1027="İptal",0,IF(H1027="İade",-G1027,E1027-I1027-F1027-G1027)))</f>
        <v/>
      </c>
    </row>
    <row r="1028" customFormat="false" ht="15" hidden="false" customHeight="false" outlineLevel="0" collapsed="false">
      <c r="A1028" s="12"/>
      <c r="B1028" s="13"/>
      <c r="C1028" s="14"/>
      <c r="D1028" s="13"/>
      <c r="E1028" s="15"/>
      <c r="F1028" s="15"/>
      <c r="G1028" s="15"/>
      <c r="H1028" s="14"/>
      <c r="I1028" s="16" t="str">
        <f aca="false">IF(OR(A1028="",C1028=""),"",IF(OR(H1028="İade",H1028="İptal"),0,E1028*IFERROR(INDEX(Kanallar!$B$5:$B$19,MATCH(C1028,Kanallar!$A$5:$A$19,0)),0)))</f>
        <v/>
      </c>
      <c r="J1028" s="16" t="str">
        <f aca="false">IF(I1028="","",IF(H1028="İptal",0,IF(H1028="İade",-G1028,E1028-I1028-F1028-G1028)))</f>
        <v/>
      </c>
    </row>
    <row r="1029" customFormat="false" ht="15" hidden="false" customHeight="false" outlineLevel="0" collapsed="false">
      <c r="A1029" s="12"/>
      <c r="B1029" s="13"/>
      <c r="C1029" s="14"/>
      <c r="D1029" s="13"/>
      <c r="E1029" s="15"/>
      <c r="F1029" s="15"/>
      <c r="G1029" s="15"/>
      <c r="H1029" s="14"/>
      <c r="I1029" s="16" t="str">
        <f aca="false">IF(OR(A1029="",C1029=""),"",IF(OR(H1029="İade",H1029="İptal"),0,E1029*IFERROR(INDEX(Kanallar!$B$5:$B$19,MATCH(C1029,Kanallar!$A$5:$A$19,0)),0)))</f>
        <v/>
      </c>
      <c r="J1029" s="16" t="str">
        <f aca="false">IF(I1029="","",IF(H1029="İptal",0,IF(H1029="İade",-G1029,E1029-I1029-F1029-G1029)))</f>
        <v/>
      </c>
    </row>
    <row r="1030" customFormat="false" ht="15" hidden="false" customHeight="false" outlineLevel="0" collapsed="false">
      <c r="A1030" s="12"/>
      <c r="B1030" s="13"/>
      <c r="C1030" s="14"/>
      <c r="D1030" s="13"/>
      <c r="E1030" s="15"/>
      <c r="F1030" s="15"/>
      <c r="G1030" s="15"/>
      <c r="H1030" s="14"/>
      <c r="I1030" s="16" t="str">
        <f aca="false">IF(OR(A1030="",C1030=""),"",IF(OR(H1030="İade",H1030="İptal"),0,E1030*IFERROR(INDEX(Kanallar!$B$5:$B$19,MATCH(C1030,Kanallar!$A$5:$A$19,0)),0)))</f>
        <v/>
      </c>
      <c r="J1030" s="16" t="str">
        <f aca="false">IF(I1030="","",IF(H1030="İptal",0,IF(H1030="İade",-G1030,E1030-I1030-F1030-G1030)))</f>
        <v/>
      </c>
    </row>
    <row r="1031" customFormat="false" ht="15" hidden="false" customHeight="false" outlineLevel="0" collapsed="false">
      <c r="A1031" s="12"/>
      <c r="B1031" s="13"/>
      <c r="C1031" s="14"/>
      <c r="D1031" s="13"/>
      <c r="E1031" s="15"/>
      <c r="F1031" s="15"/>
      <c r="G1031" s="15"/>
      <c r="H1031" s="14"/>
      <c r="I1031" s="16" t="str">
        <f aca="false">IF(OR(A1031="",C1031=""),"",IF(OR(H1031="İade",H1031="İptal"),0,E1031*IFERROR(INDEX(Kanallar!$B$5:$B$19,MATCH(C1031,Kanallar!$A$5:$A$19,0)),0)))</f>
        <v/>
      </c>
      <c r="J1031" s="16" t="str">
        <f aca="false">IF(I1031="","",IF(H1031="İptal",0,IF(H1031="İade",-G1031,E1031-I1031-F1031-G1031)))</f>
        <v/>
      </c>
    </row>
    <row r="1032" customFormat="false" ht="15" hidden="false" customHeight="false" outlineLevel="0" collapsed="false">
      <c r="A1032" s="12"/>
      <c r="B1032" s="13"/>
      <c r="C1032" s="14"/>
      <c r="D1032" s="13"/>
      <c r="E1032" s="15"/>
      <c r="F1032" s="15"/>
      <c r="G1032" s="15"/>
      <c r="H1032" s="14"/>
      <c r="I1032" s="16" t="str">
        <f aca="false">IF(OR(A1032="",C1032=""),"",IF(OR(H1032="İade",H1032="İptal"),0,E1032*IFERROR(INDEX(Kanallar!$B$5:$B$19,MATCH(C1032,Kanallar!$A$5:$A$19,0)),0)))</f>
        <v/>
      </c>
      <c r="J1032" s="16" t="str">
        <f aca="false">IF(I1032="","",IF(H1032="İptal",0,IF(H1032="İade",-G1032,E1032-I1032-F1032-G1032)))</f>
        <v/>
      </c>
    </row>
    <row r="1033" customFormat="false" ht="15" hidden="false" customHeight="false" outlineLevel="0" collapsed="false">
      <c r="A1033" s="12"/>
      <c r="B1033" s="13"/>
      <c r="C1033" s="14"/>
      <c r="D1033" s="13"/>
      <c r="E1033" s="15"/>
      <c r="F1033" s="15"/>
      <c r="G1033" s="15"/>
      <c r="H1033" s="14"/>
      <c r="I1033" s="16" t="str">
        <f aca="false">IF(OR(A1033="",C1033=""),"",IF(OR(H1033="İade",H1033="İptal"),0,E1033*IFERROR(INDEX(Kanallar!$B$5:$B$19,MATCH(C1033,Kanallar!$A$5:$A$19,0)),0)))</f>
        <v/>
      </c>
      <c r="J1033" s="16" t="str">
        <f aca="false">IF(I1033="","",IF(H1033="İptal",0,IF(H1033="İade",-G1033,E1033-I1033-F1033-G1033)))</f>
        <v/>
      </c>
    </row>
    <row r="1034" customFormat="false" ht="15" hidden="false" customHeight="false" outlineLevel="0" collapsed="false">
      <c r="A1034" s="12"/>
      <c r="B1034" s="13"/>
      <c r="C1034" s="14"/>
      <c r="D1034" s="13"/>
      <c r="E1034" s="15"/>
      <c r="F1034" s="15"/>
      <c r="G1034" s="15"/>
      <c r="H1034" s="14"/>
      <c r="I1034" s="16" t="str">
        <f aca="false">IF(OR(A1034="",C1034=""),"",IF(OR(H1034="İade",H1034="İptal"),0,E1034*IFERROR(INDEX(Kanallar!$B$5:$B$19,MATCH(C1034,Kanallar!$A$5:$A$19,0)),0)))</f>
        <v/>
      </c>
      <c r="J1034" s="16" t="str">
        <f aca="false">IF(I1034="","",IF(H1034="İptal",0,IF(H1034="İade",-G1034,E1034-I1034-F1034-G1034)))</f>
        <v/>
      </c>
    </row>
    <row r="1035" customFormat="false" ht="15" hidden="false" customHeight="false" outlineLevel="0" collapsed="false">
      <c r="A1035" s="12"/>
      <c r="B1035" s="13"/>
      <c r="C1035" s="14"/>
      <c r="D1035" s="13"/>
      <c r="E1035" s="15"/>
      <c r="F1035" s="15"/>
      <c r="G1035" s="15"/>
      <c r="H1035" s="14"/>
      <c r="I1035" s="16" t="str">
        <f aca="false">IF(OR(A1035="",C1035=""),"",IF(OR(H1035="İade",H1035="İptal"),0,E1035*IFERROR(INDEX(Kanallar!$B$5:$B$19,MATCH(C1035,Kanallar!$A$5:$A$19,0)),0)))</f>
        <v/>
      </c>
      <c r="J1035" s="16" t="str">
        <f aca="false">IF(I1035="","",IF(H1035="İptal",0,IF(H1035="İade",-G1035,E1035-I1035-F1035-G1035)))</f>
        <v/>
      </c>
    </row>
    <row r="1036" customFormat="false" ht="15" hidden="false" customHeight="false" outlineLevel="0" collapsed="false">
      <c r="A1036" s="12"/>
      <c r="B1036" s="13"/>
      <c r="C1036" s="14"/>
      <c r="D1036" s="13"/>
      <c r="E1036" s="15"/>
      <c r="F1036" s="15"/>
      <c r="G1036" s="15"/>
      <c r="H1036" s="14"/>
      <c r="I1036" s="16" t="str">
        <f aca="false">IF(OR(A1036="",C1036=""),"",IF(OR(H1036="İade",H1036="İptal"),0,E1036*IFERROR(INDEX(Kanallar!$B$5:$B$19,MATCH(C1036,Kanallar!$A$5:$A$19,0)),0)))</f>
        <v/>
      </c>
      <c r="J1036" s="16" t="str">
        <f aca="false">IF(I1036="","",IF(H1036="İptal",0,IF(H1036="İade",-G1036,E1036-I1036-F1036-G1036)))</f>
        <v/>
      </c>
    </row>
    <row r="1037" customFormat="false" ht="15" hidden="false" customHeight="false" outlineLevel="0" collapsed="false">
      <c r="A1037" s="12"/>
      <c r="B1037" s="13"/>
      <c r="C1037" s="14"/>
      <c r="D1037" s="13"/>
      <c r="E1037" s="15"/>
      <c r="F1037" s="15"/>
      <c r="G1037" s="15"/>
      <c r="H1037" s="14"/>
      <c r="I1037" s="16" t="str">
        <f aca="false">IF(OR(A1037="",C1037=""),"",IF(OR(H1037="İade",H1037="İptal"),0,E1037*IFERROR(INDEX(Kanallar!$B$5:$B$19,MATCH(C1037,Kanallar!$A$5:$A$19,0)),0)))</f>
        <v/>
      </c>
      <c r="J1037" s="16" t="str">
        <f aca="false">IF(I1037="","",IF(H1037="İptal",0,IF(H1037="İade",-G1037,E1037-I1037-F1037-G1037)))</f>
        <v/>
      </c>
    </row>
    <row r="1038" customFormat="false" ht="15" hidden="false" customHeight="false" outlineLevel="0" collapsed="false">
      <c r="A1038" s="12"/>
      <c r="B1038" s="13"/>
      <c r="C1038" s="14"/>
      <c r="D1038" s="13"/>
      <c r="E1038" s="15"/>
      <c r="F1038" s="15"/>
      <c r="G1038" s="15"/>
      <c r="H1038" s="14"/>
      <c r="I1038" s="16" t="str">
        <f aca="false">IF(OR(A1038="",C1038=""),"",IF(OR(H1038="İade",H1038="İptal"),0,E1038*IFERROR(INDEX(Kanallar!$B$5:$B$19,MATCH(C1038,Kanallar!$A$5:$A$19,0)),0)))</f>
        <v/>
      </c>
      <c r="J1038" s="16" t="str">
        <f aca="false">IF(I1038="","",IF(H1038="İptal",0,IF(H1038="İade",-G1038,E1038-I1038-F1038-G1038)))</f>
        <v/>
      </c>
    </row>
    <row r="1039" customFormat="false" ht="15" hidden="false" customHeight="false" outlineLevel="0" collapsed="false">
      <c r="A1039" s="12"/>
      <c r="B1039" s="13"/>
      <c r="C1039" s="14"/>
      <c r="D1039" s="13"/>
      <c r="E1039" s="15"/>
      <c r="F1039" s="15"/>
      <c r="G1039" s="15"/>
      <c r="H1039" s="14"/>
      <c r="I1039" s="16" t="str">
        <f aca="false">IF(OR(A1039="",C1039=""),"",IF(OR(H1039="İade",H1039="İptal"),0,E1039*IFERROR(INDEX(Kanallar!$B$5:$B$19,MATCH(C1039,Kanallar!$A$5:$A$19,0)),0)))</f>
        <v/>
      </c>
      <c r="J1039" s="16" t="str">
        <f aca="false">IF(I1039="","",IF(H1039="İptal",0,IF(H1039="İade",-G1039,E1039-I1039-F1039-G1039)))</f>
        <v/>
      </c>
    </row>
    <row r="1040" customFormat="false" ht="15" hidden="false" customHeight="false" outlineLevel="0" collapsed="false">
      <c r="A1040" s="12"/>
      <c r="B1040" s="13"/>
      <c r="C1040" s="14"/>
      <c r="D1040" s="13"/>
      <c r="E1040" s="15"/>
      <c r="F1040" s="15"/>
      <c r="G1040" s="15"/>
      <c r="H1040" s="14"/>
      <c r="I1040" s="16" t="str">
        <f aca="false">IF(OR(A1040="",C1040=""),"",IF(OR(H1040="İade",H1040="İptal"),0,E1040*IFERROR(INDEX(Kanallar!$B$5:$B$19,MATCH(C1040,Kanallar!$A$5:$A$19,0)),0)))</f>
        <v/>
      </c>
      <c r="J1040" s="16" t="str">
        <f aca="false">IF(I1040="","",IF(H1040="İptal",0,IF(H1040="İade",-G1040,E1040-I1040-F1040-G1040)))</f>
        <v/>
      </c>
    </row>
    <row r="1041" customFormat="false" ht="15" hidden="false" customHeight="false" outlineLevel="0" collapsed="false">
      <c r="A1041" s="12"/>
      <c r="B1041" s="13"/>
      <c r="C1041" s="14"/>
      <c r="D1041" s="13"/>
      <c r="E1041" s="15"/>
      <c r="F1041" s="15"/>
      <c r="G1041" s="15"/>
      <c r="H1041" s="14"/>
      <c r="I1041" s="16" t="str">
        <f aca="false">IF(OR(A1041="",C1041=""),"",IF(OR(H1041="İade",H1041="İptal"),0,E1041*IFERROR(INDEX(Kanallar!$B$5:$B$19,MATCH(C1041,Kanallar!$A$5:$A$19,0)),0)))</f>
        <v/>
      </c>
      <c r="J1041" s="16" t="str">
        <f aca="false">IF(I1041="","",IF(H1041="İptal",0,IF(H1041="İade",-G1041,E1041-I1041-F1041-G1041)))</f>
        <v/>
      </c>
    </row>
    <row r="1042" customFormat="false" ht="15" hidden="false" customHeight="false" outlineLevel="0" collapsed="false">
      <c r="A1042" s="12"/>
      <c r="B1042" s="13"/>
      <c r="C1042" s="14"/>
      <c r="D1042" s="13"/>
      <c r="E1042" s="15"/>
      <c r="F1042" s="15"/>
      <c r="G1042" s="15"/>
      <c r="H1042" s="14"/>
      <c r="I1042" s="16" t="str">
        <f aca="false">IF(OR(A1042="",C1042=""),"",IF(OR(H1042="İade",H1042="İptal"),0,E1042*IFERROR(INDEX(Kanallar!$B$5:$B$19,MATCH(C1042,Kanallar!$A$5:$A$19,0)),0)))</f>
        <v/>
      </c>
      <c r="J1042" s="16" t="str">
        <f aca="false">IF(I1042="","",IF(H1042="İptal",0,IF(H1042="İade",-G1042,E1042-I1042-F1042-G1042)))</f>
        <v/>
      </c>
    </row>
    <row r="1043" customFormat="false" ht="15" hidden="false" customHeight="false" outlineLevel="0" collapsed="false">
      <c r="A1043" s="12"/>
      <c r="B1043" s="13"/>
      <c r="C1043" s="14"/>
      <c r="D1043" s="13"/>
      <c r="E1043" s="15"/>
      <c r="F1043" s="15"/>
      <c r="G1043" s="15"/>
      <c r="H1043" s="14"/>
      <c r="I1043" s="16" t="str">
        <f aca="false">IF(OR(A1043="",C1043=""),"",IF(OR(H1043="İade",H1043="İptal"),0,E1043*IFERROR(INDEX(Kanallar!$B$5:$B$19,MATCH(C1043,Kanallar!$A$5:$A$19,0)),0)))</f>
        <v/>
      </c>
      <c r="J1043" s="16" t="str">
        <f aca="false">IF(I1043="","",IF(H1043="İptal",0,IF(H1043="İade",-G1043,E1043-I1043-F1043-G1043)))</f>
        <v/>
      </c>
    </row>
    <row r="1044" customFormat="false" ht="15" hidden="false" customHeight="false" outlineLevel="0" collapsed="false">
      <c r="A1044" s="12"/>
      <c r="B1044" s="13"/>
      <c r="C1044" s="14"/>
      <c r="D1044" s="13"/>
      <c r="E1044" s="15"/>
      <c r="F1044" s="15"/>
      <c r="G1044" s="15"/>
      <c r="H1044" s="14"/>
      <c r="I1044" s="16" t="str">
        <f aca="false">IF(OR(A1044="",C1044=""),"",IF(OR(H1044="İade",H1044="İptal"),0,E1044*IFERROR(INDEX(Kanallar!$B$5:$B$19,MATCH(C1044,Kanallar!$A$5:$A$19,0)),0)))</f>
        <v/>
      </c>
      <c r="J1044" s="16" t="str">
        <f aca="false">IF(I1044="","",IF(H1044="İptal",0,IF(H1044="İade",-G1044,E1044-I1044-F1044-G1044)))</f>
        <v/>
      </c>
    </row>
    <row r="1045" customFormat="false" ht="15" hidden="false" customHeight="false" outlineLevel="0" collapsed="false">
      <c r="A1045" s="12"/>
      <c r="B1045" s="13"/>
      <c r="C1045" s="14"/>
      <c r="D1045" s="13"/>
      <c r="E1045" s="15"/>
      <c r="F1045" s="15"/>
      <c r="G1045" s="15"/>
      <c r="H1045" s="14"/>
      <c r="I1045" s="16" t="str">
        <f aca="false">IF(OR(A1045="",C1045=""),"",IF(OR(H1045="İade",H1045="İptal"),0,E1045*IFERROR(INDEX(Kanallar!$B$5:$B$19,MATCH(C1045,Kanallar!$A$5:$A$19,0)),0)))</f>
        <v/>
      </c>
      <c r="J1045" s="16" t="str">
        <f aca="false">IF(I1045="","",IF(H1045="İptal",0,IF(H1045="İade",-G1045,E1045-I1045-F1045-G1045)))</f>
        <v/>
      </c>
    </row>
    <row r="1046" customFormat="false" ht="15" hidden="false" customHeight="false" outlineLevel="0" collapsed="false">
      <c r="A1046" s="12"/>
      <c r="B1046" s="13"/>
      <c r="C1046" s="14"/>
      <c r="D1046" s="13"/>
      <c r="E1046" s="15"/>
      <c r="F1046" s="15"/>
      <c r="G1046" s="15"/>
      <c r="H1046" s="14"/>
      <c r="I1046" s="16" t="str">
        <f aca="false">IF(OR(A1046="",C1046=""),"",IF(OR(H1046="İade",H1046="İptal"),0,E1046*IFERROR(INDEX(Kanallar!$B$5:$B$19,MATCH(C1046,Kanallar!$A$5:$A$19,0)),0)))</f>
        <v/>
      </c>
      <c r="J1046" s="16" t="str">
        <f aca="false">IF(I1046="","",IF(H1046="İptal",0,IF(H1046="İade",-G1046,E1046-I1046-F1046-G1046)))</f>
        <v/>
      </c>
    </row>
    <row r="1047" customFormat="false" ht="15" hidden="false" customHeight="false" outlineLevel="0" collapsed="false">
      <c r="A1047" s="12"/>
      <c r="B1047" s="13"/>
      <c r="C1047" s="14"/>
      <c r="D1047" s="13"/>
      <c r="E1047" s="15"/>
      <c r="F1047" s="15"/>
      <c r="G1047" s="15"/>
      <c r="H1047" s="14"/>
      <c r="I1047" s="16" t="str">
        <f aca="false">IF(OR(A1047="",C1047=""),"",IF(OR(H1047="İade",H1047="İptal"),0,E1047*IFERROR(INDEX(Kanallar!$B$5:$B$19,MATCH(C1047,Kanallar!$A$5:$A$19,0)),0)))</f>
        <v/>
      </c>
      <c r="J1047" s="16" t="str">
        <f aca="false">IF(I1047="","",IF(H1047="İptal",0,IF(H1047="İade",-G1047,E1047-I1047-F1047-G1047)))</f>
        <v/>
      </c>
    </row>
    <row r="1048" customFormat="false" ht="15" hidden="false" customHeight="false" outlineLevel="0" collapsed="false">
      <c r="A1048" s="12"/>
      <c r="B1048" s="13"/>
      <c r="C1048" s="14"/>
      <c r="D1048" s="13"/>
      <c r="E1048" s="15"/>
      <c r="F1048" s="15"/>
      <c r="G1048" s="15"/>
      <c r="H1048" s="14"/>
      <c r="I1048" s="16" t="str">
        <f aca="false">IF(OR(A1048="",C1048=""),"",IF(OR(H1048="İade",H1048="İptal"),0,E1048*IFERROR(INDEX(Kanallar!$B$5:$B$19,MATCH(C1048,Kanallar!$A$5:$A$19,0)),0)))</f>
        <v/>
      </c>
      <c r="J1048" s="16" t="str">
        <f aca="false">IF(I1048="","",IF(H1048="İptal",0,IF(H1048="İade",-G1048,E1048-I1048-F1048-G1048)))</f>
        <v/>
      </c>
    </row>
    <row r="1049" customFormat="false" ht="15" hidden="false" customHeight="false" outlineLevel="0" collapsed="false">
      <c r="A1049" s="12"/>
      <c r="B1049" s="13"/>
      <c r="C1049" s="14"/>
      <c r="D1049" s="13"/>
      <c r="E1049" s="15"/>
      <c r="F1049" s="15"/>
      <c r="G1049" s="15"/>
      <c r="H1049" s="14"/>
      <c r="I1049" s="16" t="str">
        <f aca="false">IF(OR(A1049="",C1049=""),"",IF(OR(H1049="İade",H1049="İptal"),0,E1049*IFERROR(INDEX(Kanallar!$B$5:$B$19,MATCH(C1049,Kanallar!$A$5:$A$19,0)),0)))</f>
        <v/>
      </c>
      <c r="J1049" s="16" t="str">
        <f aca="false">IF(I1049="","",IF(H1049="İptal",0,IF(H1049="İade",-G1049,E1049-I1049-F1049-G1049)))</f>
        <v/>
      </c>
    </row>
    <row r="1050" customFormat="false" ht="15" hidden="false" customHeight="false" outlineLevel="0" collapsed="false">
      <c r="A1050" s="12"/>
      <c r="B1050" s="13"/>
      <c r="C1050" s="14"/>
      <c r="D1050" s="13"/>
      <c r="E1050" s="15"/>
      <c r="F1050" s="15"/>
      <c r="G1050" s="15"/>
      <c r="H1050" s="14"/>
      <c r="I1050" s="16" t="str">
        <f aca="false">IF(OR(A1050="",C1050=""),"",IF(OR(H1050="İade",H1050="İptal"),0,E1050*IFERROR(INDEX(Kanallar!$B$5:$B$19,MATCH(C1050,Kanallar!$A$5:$A$19,0)),0)))</f>
        <v/>
      </c>
      <c r="J1050" s="16" t="str">
        <f aca="false">IF(I1050="","",IF(H1050="İptal",0,IF(H1050="İade",-G1050,E1050-I1050-F1050-G1050)))</f>
        <v/>
      </c>
    </row>
    <row r="1051" customFormat="false" ht="15" hidden="false" customHeight="false" outlineLevel="0" collapsed="false">
      <c r="A1051" s="12"/>
      <c r="B1051" s="13"/>
      <c r="C1051" s="14"/>
      <c r="D1051" s="13"/>
      <c r="E1051" s="15"/>
      <c r="F1051" s="15"/>
      <c r="G1051" s="15"/>
      <c r="H1051" s="14"/>
      <c r="I1051" s="16" t="str">
        <f aca="false">IF(OR(A1051="",C1051=""),"",IF(OR(H1051="İade",H1051="İptal"),0,E1051*IFERROR(INDEX(Kanallar!$B$5:$B$19,MATCH(C1051,Kanallar!$A$5:$A$19,0)),0)))</f>
        <v/>
      </c>
      <c r="J1051" s="16" t="str">
        <f aca="false">IF(I1051="","",IF(H1051="İptal",0,IF(H1051="İade",-G1051,E1051-I1051-F1051-G1051)))</f>
        <v/>
      </c>
    </row>
    <row r="1052" customFormat="false" ht="15" hidden="false" customHeight="false" outlineLevel="0" collapsed="false">
      <c r="A1052" s="12"/>
      <c r="B1052" s="13"/>
      <c r="C1052" s="14"/>
      <c r="D1052" s="13"/>
      <c r="E1052" s="15"/>
      <c r="F1052" s="15"/>
      <c r="G1052" s="15"/>
      <c r="H1052" s="14"/>
      <c r="I1052" s="16" t="str">
        <f aca="false">IF(OR(A1052="",C1052=""),"",IF(OR(H1052="İade",H1052="İptal"),0,E1052*IFERROR(INDEX(Kanallar!$B$5:$B$19,MATCH(C1052,Kanallar!$A$5:$A$19,0)),0)))</f>
        <v/>
      </c>
      <c r="J1052" s="16" t="str">
        <f aca="false">IF(I1052="","",IF(H1052="İptal",0,IF(H1052="İade",-G1052,E1052-I1052-F1052-G1052)))</f>
        <v/>
      </c>
    </row>
    <row r="1053" customFormat="false" ht="15" hidden="false" customHeight="false" outlineLevel="0" collapsed="false">
      <c r="A1053" s="12"/>
      <c r="B1053" s="13"/>
      <c r="C1053" s="14"/>
      <c r="D1053" s="13"/>
      <c r="E1053" s="15"/>
      <c r="F1053" s="15"/>
      <c r="G1053" s="15"/>
      <c r="H1053" s="14"/>
      <c r="I1053" s="16" t="str">
        <f aca="false">IF(OR(A1053="",C1053=""),"",IF(OR(H1053="İade",H1053="İptal"),0,E1053*IFERROR(INDEX(Kanallar!$B$5:$B$19,MATCH(C1053,Kanallar!$A$5:$A$19,0)),0)))</f>
        <v/>
      </c>
      <c r="J1053" s="16" t="str">
        <f aca="false">IF(I1053="","",IF(H1053="İptal",0,IF(H1053="İade",-G1053,E1053-I1053-F1053-G1053)))</f>
        <v/>
      </c>
    </row>
    <row r="1054" customFormat="false" ht="15" hidden="false" customHeight="false" outlineLevel="0" collapsed="false">
      <c r="A1054" s="12"/>
      <c r="B1054" s="13"/>
      <c r="C1054" s="14"/>
      <c r="D1054" s="13"/>
      <c r="E1054" s="15"/>
      <c r="F1054" s="15"/>
      <c r="G1054" s="15"/>
      <c r="H1054" s="14"/>
      <c r="I1054" s="16" t="str">
        <f aca="false">IF(OR(A1054="",C1054=""),"",IF(OR(H1054="İade",H1054="İptal"),0,E1054*IFERROR(INDEX(Kanallar!$B$5:$B$19,MATCH(C1054,Kanallar!$A$5:$A$19,0)),0)))</f>
        <v/>
      </c>
      <c r="J1054" s="16" t="str">
        <f aca="false">IF(I1054="","",IF(H1054="İptal",0,IF(H1054="İade",-G1054,E1054-I1054-F1054-G1054)))</f>
        <v/>
      </c>
    </row>
    <row r="1055" customFormat="false" ht="15" hidden="false" customHeight="false" outlineLevel="0" collapsed="false">
      <c r="A1055" s="12"/>
      <c r="B1055" s="13"/>
      <c r="C1055" s="14"/>
      <c r="D1055" s="13"/>
      <c r="E1055" s="15"/>
      <c r="F1055" s="15"/>
      <c r="G1055" s="15"/>
      <c r="H1055" s="14"/>
      <c r="I1055" s="16" t="str">
        <f aca="false">IF(OR(A1055="",C1055=""),"",IF(OR(H1055="İade",H1055="İptal"),0,E1055*IFERROR(INDEX(Kanallar!$B$5:$B$19,MATCH(C1055,Kanallar!$A$5:$A$19,0)),0)))</f>
        <v/>
      </c>
      <c r="J1055" s="16" t="str">
        <f aca="false">IF(I1055="","",IF(H1055="İptal",0,IF(H1055="İade",-G1055,E1055-I1055-F1055-G1055)))</f>
        <v/>
      </c>
    </row>
    <row r="1056" customFormat="false" ht="15" hidden="false" customHeight="false" outlineLevel="0" collapsed="false">
      <c r="A1056" s="12"/>
      <c r="B1056" s="13"/>
      <c r="C1056" s="14"/>
      <c r="D1056" s="13"/>
      <c r="E1056" s="15"/>
      <c r="F1056" s="15"/>
      <c r="G1056" s="15"/>
      <c r="H1056" s="14"/>
      <c r="I1056" s="16" t="str">
        <f aca="false">IF(OR(A1056="",C1056=""),"",IF(OR(H1056="İade",H1056="İptal"),0,E1056*IFERROR(INDEX(Kanallar!$B$5:$B$19,MATCH(C1056,Kanallar!$A$5:$A$19,0)),0)))</f>
        <v/>
      </c>
      <c r="J1056" s="16" t="str">
        <f aca="false">IF(I1056="","",IF(H1056="İptal",0,IF(H1056="İade",-G1056,E1056-I1056-F1056-G1056)))</f>
        <v/>
      </c>
    </row>
    <row r="1057" customFormat="false" ht="15" hidden="false" customHeight="false" outlineLevel="0" collapsed="false">
      <c r="A1057" s="12"/>
      <c r="B1057" s="13"/>
      <c r="C1057" s="14"/>
      <c r="D1057" s="13"/>
      <c r="E1057" s="15"/>
      <c r="F1057" s="15"/>
      <c r="G1057" s="15"/>
      <c r="H1057" s="14"/>
      <c r="I1057" s="16" t="str">
        <f aca="false">IF(OR(A1057="",C1057=""),"",IF(OR(H1057="İade",H1057="İptal"),0,E1057*IFERROR(INDEX(Kanallar!$B$5:$B$19,MATCH(C1057,Kanallar!$A$5:$A$19,0)),0)))</f>
        <v/>
      </c>
      <c r="J1057" s="16" t="str">
        <f aca="false">IF(I1057="","",IF(H1057="İptal",0,IF(H1057="İade",-G1057,E1057-I1057-F1057-G1057)))</f>
        <v/>
      </c>
    </row>
    <row r="1058" customFormat="false" ht="15" hidden="false" customHeight="false" outlineLevel="0" collapsed="false">
      <c r="A1058" s="12"/>
      <c r="B1058" s="13"/>
      <c r="C1058" s="14"/>
      <c r="D1058" s="13"/>
      <c r="E1058" s="15"/>
      <c r="F1058" s="15"/>
      <c r="G1058" s="15"/>
      <c r="H1058" s="14"/>
      <c r="I1058" s="16" t="str">
        <f aca="false">IF(OR(A1058="",C1058=""),"",IF(OR(H1058="İade",H1058="İptal"),0,E1058*IFERROR(INDEX(Kanallar!$B$5:$B$19,MATCH(C1058,Kanallar!$A$5:$A$19,0)),0)))</f>
        <v/>
      </c>
      <c r="J1058" s="16" t="str">
        <f aca="false">IF(I1058="","",IF(H1058="İptal",0,IF(H1058="İade",-G1058,E1058-I1058-F1058-G1058)))</f>
        <v/>
      </c>
    </row>
    <row r="1059" customFormat="false" ht="15" hidden="false" customHeight="false" outlineLevel="0" collapsed="false">
      <c r="A1059" s="12"/>
      <c r="B1059" s="13"/>
      <c r="C1059" s="14"/>
      <c r="D1059" s="13"/>
      <c r="E1059" s="15"/>
      <c r="F1059" s="15"/>
      <c r="G1059" s="15"/>
      <c r="H1059" s="14"/>
      <c r="I1059" s="16" t="str">
        <f aca="false">IF(OR(A1059="",C1059=""),"",IF(OR(H1059="İade",H1059="İptal"),0,E1059*IFERROR(INDEX(Kanallar!$B$5:$B$19,MATCH(C1059,Kanallar!$A$5:$A$19,0)),0)))</f>
        <v/>
      </c>
      <c r="J1059" s="16" t="str">
        <f aca="false">IF(I1059="","",IF(H1059="İptal",0,IF(H1059="İade",-G1059,E1059-I1059-F1059-G1059)))</f>
        <v/>
      </c>
    </row>
    <row r="1060" customFormat="false" ht="15" hidden="false" customHeight="false" outlineLevel="0" collapsed="false">
      <c r="A1060" s="12"/>
      <c r="B1060" s="13"/>
      <c r="C1060" s="14"/>
      <c r="D1060" s="13"/>
      <c r="E1060" s="15"/>
      <c r="F1060" s="15"/>
      <c r="G1060" s="15"/>
      <c r="H1060" s="14"/>
      <c r="I1060" s="16" t="str">
        <f aca="false">IF(OR(A1060="",C1060=""),"",IF(OR(H1060="İade",H1060="İptal"),0,E1060*IFERROR(INDEX(Kanallar!$B$5:$B$19,MATCH(C1060,Kanallar!$A$5:$A$19,0)),0)))</f>
        <v/>
      </c>
      <c r="J1060" s="16" t="str">
        <f aca="false">IF(I1060="","",IF(H1060="İptal",0,IF(H1060="İade",-G1060,E1060-I1060-F1060-G1060)))</f>
        <v/>
      </c>
    </row>
    <row r="1061" customFormat="false" ht="15" hidden="false" customHeight="false" outlineLevel="0" collapsed="false">
      <c r="A1061" s="12"/>
      <c r="B1061" s="13"/>
      <c r="C1061" s="14"/>
      <c r="D1061" s="13"/>
      <c r="E1061" s="15"/>
      <c r="F1061" s="15"/>
      <c r="G1061" s="15"/>
      <c r="H1061" s="14"/>
      <c r="I1061" s="16" t="str">
        <f aca="false">IF(OR(A1061="",C1061=""),"",IF(OR(H1061="İade",H1061="İptal"),0,E1061*IFERROR(INDEX(Kanallar!$B$5:$B$19,MATCH(C1061,Kanallar!$A$5:$A$19,0)),0)))</f>
        <v/>
      </c>
      <c r="J1061" s="16" t="str">
        <f aca="false">IF(I1061="","",IF(H1061="İptal",0,IF(H1061="İade",-G1061,E1061-I1061-F1061-G1061)))</f>
        <v/>
      </c>
    </row>
    <row r="1062" customFormat="false" ht="15" hidden="false" customHeight="false" outlineLevel="0" collapsed="false">
      <c r="A1062" s="12"/>
      <c r="B1062" s="13"/>
      <c r="C1062" s="14"/>
      <c r="D1062" s="13"/>
      <c r="E1062" s="15"/>
      <c r="F1062" s="15"/>
      <c r="G1062" s="15"/>
      <c r="H1062" s="14"/>
      <c r="I1062" s="16" t="str">
        <f aca="false">IF(OR(A1062="",C1062=""),"",IF(OR(H1062="İade",H1062="İptal"),0,E1062*IFERROR(INDEX(Kanallar!$B$5:$B$19,MATCH(C1062,Kanallar!$A$5:$A$19,0)),0)))</f>
        <v/>
      </c>
      <c r="J1062" s="16" t="str">
        <f aca="false">IF(I1062="","",IF(H1062="İptal",0,IF(H1062="İade",-G1062,E1062-I1062-F1062-G1062)))</f>
        <v/>
      </c>
    </row>
    <row r="1063" customFormat="false" ht="15" hidden="false" customHeight="false" outlineLevel="0" collapsed="false">
      <c r="A1063" s="12"/>
      <c r="B1063" s="13"/>
      <c r="C1063" s="14"/>
      <c r="D1063" s="13"/>
      <c r="E1063" s="15"/>
      <c r="F1063" s="15"/>
      <c r="G1063" s="15"/>
      <c r="H1063" s="14"/>
      <c r="I1063" s="16" t="str">
        <f aca="false">IF(OR(A1063="",C1063=""),"",IF(OR(H1063="İade",H1063="İptal"),0,E1063*IFERROR(INDEX(Kanallar!$B$5:$B$19,MATCH(C1063,Kanallar!$A$5:$A$19,0)),0)))</f>
        <v/>
      </c>
      <c r="J1063" s="16" t="str">
        <f aca="false">IF(I1063="","",IF(H1063="İptal",0,IF(H1063="İade",-G1063,E1063-I1063-F1063-G1063)))</f>
        <v/>
      </c>
    </row>
    <row r="1064" customFormat="false" ht="15" hidden="false" customHeight="false" outlineLevel="0" collapsed="false">
      <c r="A1064" s="12"/>
      <c r="B1064" s="13"/>
      <c r="C1064" s="14"/>
      <c r="D1064" s="13"/>
      <c r="E1064" s="15"/>
      <c r="F1064" s="15"/>
      <c r="G1064" s="15"/>
      <c r="H1064" s="14"/>
      <c r="I1064" s="16" t="str">
        <f aca="false">IF(OR(A1064="",C1064=""),"",IF(OR(H1064="İade",H1064="İptal"),0,E1064*IFERROR(INDEX(Kanallar!$B$5:$B$19,MATCH(C1064,Kanallar!$A$5:$A$19,0)),0)))</f>
        <v/>
      </c>
      <c r="J1064" s="16" t="str">
        <f aca="false">IF(I1064="","",IF(H1064="İptal",0,IF(H1064="İade",-G1064,E1064-I1064-F1064-G1064)))</f>
        <v/>
      </c>
    </row>
    <row r="1065" customFormat="false" ht="15" hidden="false" customHeight="false" outlineLevel="0" collapsed="false">
      <c r="A1065" s="12"/>
      <c r="B1065" s="13"/>
      <c r="C1065" s="14"/>
      <c r="D1065" s="13"/>
      <c r="E1065" s="15"/>
      <c r="F1065" s="15"/>
      <c r="G1065" s="15"/>
      <c r="H1065" s="14"/>
      <c r="I1065" s="16" t="str">
        <f aca="false">IF(OR(A1065="",C1065=""),"",IF(OR(H1065="İade",H1065="İptal"),0,E1065*IFERROR(INDEX(Kanallar!$B$5:$B$19,MATCH(C1065,Kanallar!$A$5:$A$19,0)),0)))</f>
        <v/>
      </c>
      <c r="J1065" s="16" t="str">
        <f aca="false">IF(I1065="","",IF(H1065="İptal",0,IF(H1065="İade",-G1065,E1065-I1065-F1065-G1065)))</f>
        <v/>
      </c>
    </row>
    <row r="1066" customFormat="false" ht="15" hidden="false" customHeight="false" outlineLevel="0" collapsed="false">
      <c r="A1066" s="12"/>
      <c r="B1066" s="13"/>
      <c r="C1066" s="14"/>
      <c r="D1066" s="13"/>
      <c r="E1066" s="15"/>
      <c r="F1066" s="15"/>
      <c r="G1066" s="15"/>
      <c r="H1066" s="14"/>
      <c r="I1066" s="16" t="str">
        <f aca="false">IF(OR(A1066="",C1066=""),"",IF(OR(H1066="İade",H1066="İptal"),0,E1066*IFERROR(INDEX(Kanallar!$B$5:$B$19,MATCH(C1066,Kanallar!$A$5:$A$19,0)),0)))</f>
        <v/>
      </c>
      <c r="J1066" s="16" t="str">
        <f aca="false">IF(I1066="","",IF(H1066="İptal",0,IF(H1066="İade",-G1066,E1066-I1066-F1066-G1066)))</f>
        <v/>
      </c>
    </row>
    <row r="1067" customFormat="false" ht="15" hidden="false" customHeight="false" outlineLevel="0" collapsed="false">
      <c r="A1067" s="12"/>
      <c r="B1067" s="13"/>
      <c r="C1067" s="14"/>
      <c r="D1067" s="13"/>
      <c r="E1067" s="15"/>
      <c r="F1067" s="15"/>
      <c r="G1067" s="15"/>
      <c r="H1067" s="14"/>
      <c r="I1067" s="16" t="str">
        <f aca="false">IF(OR(A1067="",C1067=""),"",IF(OR(H1067="İade",H1067="İptal"),0,E1067*IFERROR(INDEX(Kanallar!$B$5:$B$19,MATCH(C1067,Kanallar!$A$5:$A$19,0)),0)))</f>
        <v/>
      </c>
      <c r="J1067" s="16" t="str">
        <f aca="false">IF(I1067="","",IF(H1067="İptal",0,IF(H1067="İade",-G1067,E1067-I1067-F1067-G1067)))</f>
        <v/>
      </c>
    </row>
    <row r="1068" customFormat="false" ht="15" hidden="false" customHeight="false" outlineLevel="0" collapsed="false">
      <c r="A1068" s="12"/>
      <c r="B1068" s="13"/>
      <c r="C1068" s="14"/>
      <c r="D1068" s="13"/>
      <c r="E1068" s="15"/>
      <c r="F1068" s="15"/>
      <c r="G1068" s="15"/>
      <c r="H1068" s="14"/>
      <c r="I1068" s="16" t="str">
        <f aca="false">IF(OR(A1068="",C1068=""),"",IF(OR(H1068="İade",H1068="İptal"),0,E1068*IFERROR(INDEX(Kanallar!$B$5:$B$19,MATCH(C1068,Kanallar!$A$5:$A$19,0)),0)))</f>
        <v/>
      </c>
      <c r="J1068" s="16" t="str">
        <f aca="false">IF(I1068="","",IF(H1068="İptal",0,IF(H1068="İade",-G1068,E1068-I1068-F1068-G1068)))</f>
        <v/>
      </c>
    </row>
    <row r="1069" customFormat="false" ht="15" hidden="false" customHeight="false" outlineLevel="0" collapsed="false">
      <c r="A1069" s="12"/>
      <c r="B1069" s="13"/>
      <c r="C1069" s="14"/>
      <c r="D1069" s="13"/>
      <c r="E1069" s="15"/>
      <c r="F1069" s="15"/>
      <c r="G1069" s="15"/>
      <c r="H1069" s="14"/>
      <c r="I1069" s="16" t="str">
        <f aca="false">IF(OR(A1069="",C1069=""),"",IF(OR(H1069="İade",H1069="İptal"),0,E1069*IFERROR(INDEX(Kanallar!$B$5:$B$19,MATCH(C1069,Kanallar!$A$5:$A$19,0)),0)))</f>
        <v/>
      </c>
      <c r="J1069" s="16" t="str">
        <f aca="false">IF(I1069="","",IF(H1069="İptal",0,IF(H1069="İade",-G1069,E1069-I1069-F1069-G1069)))</f>
        <v/>
      </c>
    </row>
    <row r="1070" customFormat="false" ht="15" hidden="false" customHeight="false" outlineLevel="0" collapsed="false">
      <c r="A1070" s="12"/>
      <c r="B1070" s="13"/>
      <c r="C1070" s="14"/>
      <c r="D1070" s="13"/>
      <c r="E1070" s="15"/>
      <c r="F1070" s="15"/>
      <c r="G1070" s="15"/>
      <c r="H1070" s="14"/>
      <c r="I1070" s="16" t="str">
        <f aca="false">IF(OR(A1070="",C1070=""),"",IF(OR(H1070="İade",H1070="İptal"),0,E1070*IFERROR(INDEX(Kanallar!$B$5:$B$19,MATCH(C1070,Kanallar!$A$5:$A$19,0)),0)))</f>
        <v/>
      </c>
      <c r="J1070" s="16" t="str">
        <f aca="false">IF(I1070="","",IF(H1070="İptal",0,IF(H1070="İade",-G1070,E1070-I1070-F1070-G1070)))</f>
        <v/>
      </c>
    </row>
    <row r="1071" customFormat="false" ht="15" hidden="false" customHeight="false" outlineLevel="0" collapsed="false">
      <c r="A1071" s="12"/>
      <c r="B1071" s="13"/>
      <c r="C1071" s="14"/>
      <c r="D1071" s="13"/>
      <c r="E1071" s="15"/>
      <c r="F1071" s="15"/>
      <c r="G1071" s="15"/>
      <c r="H1071" s="14"/>
      <c r="I1071" s="16" t="str">
        <f aca="false">IF(OR(A1071="",C1071=""),"",IF(OR(H1071="İade",H1071="İptal"),0,E1071*IFERROR(INDEX(Kanallar!$B$5:$B$19,MATCH(C1071,Kanallar!$A$5:$A$19,0)),0)))</f>
        <v/>
      </c>
      <c r="J1071" s="16" t="str">
        <f aca="false">IF(I1071="","",IF(H1071="İptal",0,IF(H1071="İade",-G1071,E1071-I1071-F1071-G1071)))</f>
        <v/>
      </c>
    </row>
    <row r="1072" customFormat="false" ht="15" hidden="false" customHeight="false" outlineLevel="0" collapsed="false">
      <c r="A1072" s="12"/>
      <c r="B1072" s="13"/>
      <c r="C1072" s="14"/>
      <c r="D1072" s="13"/>
      <c r="E1072" s="15"/>
      <c r="F1072" s="15"/>
      <c r="G1072" s="15"/>
      <c r="H1072" s="14"/>
      <c r="I1072" s="16" t="str">
        <f aca="false">IF(OR(A1072="",C1072=""),"",IF(OR(H1072="İade",H1072="İptal"),0,E1072*IFERROR(INDEX(Kanallar!$B$5:$B$19,MATCH(C1072,Kanallar!$A$5:$A$19,0)),0)))</f>
        <v/>
      </c>
      <c r="J1072" s="16" t="str">
        <f aca="false">IF(I1072="","",IF(H1072="İptal",0,IF(H1072="İade",-G1072,E1072-I1072-F1072-G1072)))</f>
        <v/>
      </c>
    </row>
    <row r="1073" customFormat="false" ht="15" hidden="false" customHeight="false" outlineLevel="0" collapsed="false">
      <c r="A1073" s="12"/>
      <c r="B1073" s="13"/>
      <c r="C1073" s="14"/>
      <c r="D1073" s="13"/>
      <c r="E1073" s="15"/>
      <c r="F1073" s="15"/>
      <c r="G1073" s="15"/>
      <c r="H1073" s="14"/>
      <c r="I1073" s="16" t="str">
        <f aca="false">IF(OR(A1073="",C1073=""),"",IF(OR(H1073="İade",H1073="İptal"),0,E1073*IFERROR(INDEX(Kanallar!$B$5:$B$19,MATCH(C1073,Kanallar!$A$5:$A$19,0)),0)))</f>
        <v/>
      </c>
      <c r="J1073" s="16" t="str">
        <f aca="false">IF(I1073="","",IF(H1073="İptal",0,IF(H1073="İade",-G1073,E1073-I1073-F1073-G1073)))</f>
        <v/>
      </c>
    </row>
    <row r="1074" customFormat="false" ht="15" hidden="false" customHeight="false" outlineLevel="0" collapsed="false">
      <c r="A1074" s="12"/>
      <c r="B1074" s="13"/>
      <c r="C1074" s="14"/>
      <c r="D1074" s="13"/>
      <c r="E1074" s="15"/>
      <c r="F1074" s="15"/>
      <c r="G1074" s="15"/>
      <c r="H1074" s="14"/>
      <c r="I1074" s="16" t="str">
        <f aca="false">IF(OR(A1074="",C1074=""),"",IF(OR(H1074="İade",H1074="İptal"),0,E1074*IFERROR(INDEX(Kanallar!$B$5:$B$19,MATCH(C1074,Kanallar!$A$5:$A$19,0)),0)))</f>
        <v/>
      </c>
      <c r="J1074" s="16" t="str">
        <f aca="false">IF(I1074="","",IF(H1074="İptal",0,IF(H1074="İade",-G1074,E1074-I1074-F1074-G1074)))</f>
        <v/>
      </c>
    </row>
    <row r="1075" customFormat="false" ht="15" hidden="false" customHeight="false" outlineLevel="0" collapsed="false">
      <c r="A1075" s="12"/>
      <c r="B1075" s="13"/>
      <c r="C1075" s="14"/>
      <c r="D1075" s="13"/>
      <c r="E1075" s="15"/>
      <c r="F1075" s="15"/>
      <c r="G1075" s="15"/>
      <c r="H1075" s="14"/>
      <c r="I1075" s="16" t="str">
        <f aca="false">IF(OR(A1075="",C1075=""),"",IF(OR(H1075="İade",H1075="İptal"),0,E1075*IFERROR(INDEX(Kanallar!$B$5:$B$19,MATCH(C1075,Kanallar!$A$5:$A$19,0)),0)))</f>
        <v/>
      </c>
      <c r="J1075" s="16" t="str">
        <f aca="false">IF(I1075="","",IF(H1075="İptal",0,IF(H1075="İade",-G1075,E1075-I1075-F1075-G1075)))</f>
        <v/>
      </c>
    </row>
    <row r="1076" customFormat="false" ht="15" hidden="false" customHeight="false" outlineLevel="0" collapsed="false">
      <c r="A1076" s="12"/>
      <c r="B1076" s="13"/>
      <c r="C1076" s="14"/>
      <c r="D1076" s="13"/>
      <c r="E1076" s="15"/>
      <c r="F1076" s="15"/>
      <c r="G1076" s="15"/>
      <c r="H1076" s="14"/>
      <c r="I1076" s="16" t="str">
        <f aca="false">IF(OR(A1076="",C1076=""),"",IF(OR(H1076="İade",H1076="İptal"),0,E1076*IFERROR(INDEX(Kanallar!$B$5:$B$19,MATCH(C1076,Kanallar!$A$5:$A$19,0)),0)))</f>
        <v/>
      </c>
      <c r="J1076" s="16" t="str">
        <f aca="false">IF(I1076="","",IF(H1076="İptal",0,IF(H1076="İade",-G1076,E1076-I1076-F1076-G1076)))</f>
        <v/>
      </c>
    </row>
    <row r="1077" customFormat="false" ht="15" hidden="false" customHeight="false" outlineLevel="0" collapsed="false">
      <c r="A1077" s="12"/>
      <c r="B1077" s="13"/>
      <c r="C1077" s="14"/>
      <c r="D1077" s="13"/>
      <c r="E1077" s="15"/>
      <c r="F1077" s="15"/>
      <c r="G1077" s="15"/>
      <c r="H1077" s="14"/>
      <c r="I1077" s="16" t="str">
        <f aca="false">IF(OR(A1077="",C1077=""),"",IF(OR(H1077="İade",H1077="İptal"),0,E1077*IFERROR(INDEX(Kanallar!$B$5:$B$19,MATCH(C1077,Kanallar!$A$5:$A$19,0)),0)))</f>
        <v/>
      </c>
      <c r="J1077" s="16" t="str">
        <f aca="false">IF(I1077="","",IF(H1077="İptal",0,IF(H1077="İade",-G1077,E1077-I1077-F1077-G1077)))</f>
        <v/>
      </c>
    </row>
    <row r="1078" customFormat="false" ht="15" hidden="false" customHeight="false" outlineLevel="0" collapsed="false">
      <c r="A1078" s="12"/>
      <c r="B1078" s="13"/>
      <c r="C1078" s="14"/>
      <c r="D1078" s="13"/>
      <c r="E1078" s="15"/>
      <c r="F1078" s="15"/>
      <c r="G1078" s="15"/>
      <c r="H1078" s="14"/>
      <c r="I1078" s="16" t="str">
        <f aca="false">IF(OR(A1078="",C1078=""),"",IF(OR(H1078="İade",H1078="İptal"),0,E1078*IFERROR(INDEX(Kanallar!$B$5:$B$19,MATCH(C1078,Kanallar!$A$5:$A$19,0)),0)))</f>
        <v/>
      </c>
      <c r="J1078" s="16" t="str">
        <f aca="false">IF(I1078="","",IF(H1078="İptal",0,IF(H1078="İade",-G1078,E1078-I1078-F1078-G1078)))</f>
        <v/>
      </c>
    </row>
    <row r="1079" customFormat="false" ht="15" hidden="false" customHeight="false" outlineLevel="0" collapsed="false">
      <c r="A1079" s="12"/>
      <c r="B1079" s="13"/>
      <c r="C1079" s="14"/>
      <c r="D1079" s="13"/>
      <c r="E1079" s="15"/>
      <c r="F1079" s="15"/>
      <c r="G1079" s="15"/>
      <c r="H1079" s="14"/>
      <c r="I1079" s="16" t="str">
        <f aca="false">IF(OR(A1079="",C1079=""),"",IF(OR(H1079="İade",H1079="İptal"),0,E1079*IFERROR(INDEX(Kanallar!$B$5:$B$19,MATCH(C1079,Kanallar!$A$5:$A$19,0)),0)))</f>
        <v/>
      </c>
      <c r="J1079" s="16" t="str">
        <f aca="false">IF(I1079="","",IF(H1079="İptal",0,IF(H1079="İade",-G1079,E1079-I1079-F1079-G1079)))</f>
        <v/>
      </c>
    </row>
    <row r="1080" customFormat="false" ht="15" hidden="false" customHeight="false" outlineLevel="0" collapsed="false">
      <c r="A1080" s="12"/>
      <c r="B1080" s="13"/>
      <c r="C1080" s="14"/>
      <c r="D1080" s="13"/>
      <c r="E1080" s="15"/>
      <c r="F1080" s="15"/>
      <c r="G1080" s="15"/>
      <c r="H1080" s="14"/>
      <c r="I1080" s="16" t="str">
        <f aca="false">IF(OR(A1080="",C1080=""),"",IF(OR(H1080="İade",H1080="İptal"),0,E1080*IFERROR(INDEX(Kanallar!$B$5:$B$19,MATCH(C1080,Kanallar!$A$5:$A$19,0)),0)))</f>
        <v/>
      </c>
      <c r="J1080" s="16" t="str">
        <f aca="false">IF(I1080="","",IF(H1080="İptal",0,IF(H1080="İade",-G1080,E1080-I1080-F1080-G1080)))</f>
        <v/>
      </c>
    </row>
    <row r="1081" customFormat="false" ht="15" hidden="false" customHeight="false" outlineLevel="0" collapsed="false">
      <c r="A1081" s="12"/>
      <c r="B1081" s="13"/>
      <c r="C1081" s="14"/>
      <c r="D1081" s="13"/>
      <c r="E1081" s="15"/>
      <c r="F1081" s="15"/>
      <c r="G1081" s="15"/>
      <c r="H1081" s="14"/>
      <c r="I1081" s="16" t="str">
        <f aca="false">IF(OR(A1081="",C1081=""),"",IF(OR(H1081="İade",H1081="İptal"),0,E1081*IFERROR(INDEX(Kanallar!$B$5:$B$19,MATCH(C1081,Kanallar!$A$5:$A$19,0)),0)))</f>
        <v/>
      </c>
      <c r="J1081" s="16" t="str">
        <f aca="false">IF(I1081="","",IF(H1081="İptal",0,IF(H1081="İade",-G1081,E1081-I1081-F1081-G1081)))</f>
        <v/>
      </c>
    </row>
    <row r="1082" customFormat="false" ht="15" hidden="false" customHeight="false" outlineLevel="0" collapsed="false">
      <c r="A1082" s="12"/>
      <c r="B1082" s="13"/>
      <c r="C1082" s="14"/>
      <c r="D1082" s="13"/>
      <c r="E1082" s="15"/>
      <c r="F1082" s="15"/>
      <c r="G1082" s="15"/>
      <c r="H1082" s="14"/>
      <c r="I1082" s="16" t="str">
        <f aca="false">IF(OR(A1082="",C1082=""),"",IF(OR(H1082="İade",H1082="İptal"),0,E1082*IFERROR(INDEX(Kanallar!$B$5:$B$19,MATCH(C1082,Kanallar!$A$5:$A$19,0)),0)))</f>
        <v/>
      </c>
      <c r="J1082" s="16" t="str">
        <f aca="false">IF(I1082="","",IF(H1082="İptal",0,IF(H1082="İade",-G1082,E1082-I1082-F1082-G1082)))</f>
        <v/>
      </c>
    </row>
    <row r="1083" customFormat="false" ht="15" hidden="false" customHeight="false" outlineLevel="0" collapsed="false">
      <c r="A1083" s="12"/>
      <c r="B1083" s="13"/>
      <c r="C1083" s="14"/>
      <c r="D1083" s="13"/>
      <c r="E1083" s="15"/>
      <c r="F1083" s="15"/>
      <c r="G1083" s="15"/>
      <c r="H1083" s="14"/>
      <c r="I1083" s="16" t="str">
        <f aca="false">IF(OR(A1083="",C1083=""),"",IF(OR(H1083="İade",H1083="İptal"),0,E1083*IFERROR(INDEX(Kanallar!$B$5:$B$19,MATCH(C1083,Kanallar!$A$5:$A$19,0)),0)))</f>
        <v/>
      </c>
      <c r="J1083" s="16" t="str">
        <f aca="false">IF(I1083="","",IF(H1083="İptal",0,IF(H1083="İade",-G1083,E1083-I1083-F1083-G1083)))</f>
        <v/>
      </c>
    </row>
    <row r="1084" customFormat="false" ht="15" hidden="false" customHeight="false" outlineLevel="0" collapsed="false">
      <c r="A1084" s="12"/>
      <c r="B1084" s="13"/>
      <c r="C1084" s="14"/>
      <c r="D1084" s="13"/>
      <c r="E1084" s="15"/>
      <c r="F1084" s="15"/>
      <c r="G1084" s="15"/>
      <c r="H1084" s="14"/>
      <c r="I1084" s="16" t="str">
        <f aca="false">IF(OR(A1084="",C1084=""),"",IF(OR(H1084="İade",H1084="İptal"),0,E1084*IFERROR(INDEX(Kanallar!$B$5:$B$19,MATCH(C1084,Kanallar!$A$5:$A$19,0)),0)))</f>
        <v/>
      </c>
      <c r="J1084" s="16" t="str">
        <f aca="false">IF(I1084="","",IF(H1084="İptal",0,IF(H1084="İade",-G1084,E1084-I1084-F1084-G1084)))</f>
        <v/>
      </c>
    </row>
    <row r="1085" customFormat="false" ht="15" hidden="false" customHeight="false" outlineLevel="0" collapsed="false">
      <c r="A1085" s="12"/>
      <c r="B1085" s="13"/>
      <c r="C1085" s="14"/>
      <c r="D1085" s="13"/>
      <c r="E1085" s="15"/>
      <c r="F1085" s="15"/>
      <c r="G1085" s="15"/>
      <c r="H1085" s="14"/>
      <c r="I1085" s="16" t="str">
        <f aca="false">IF(OR(A1085="",C1085=""),"",IF(OR(H1085="İade",H1085="İptal"),0,E1085*IFERROR(INDEX(Kanallar!$B$5:$B$19,MATCH(C1085,Kanallar!$A$5:$A$19,0)),0)))</f>
        <v/>
      </c>
      <c r="J1085" s="16" t="str">
        <f aca="false">IF(I1085="","",IF(H1085="İptal",0,IF(H1085="İade",-G1085,E1085-I1085-F1085-G1085)))</f>
        <v/>
      </c>
    </row>
    <row r="1086" customFormat="false" ht="15" hidden="false" customHeight="false" outlineLevel="0" collapsed="false">
      <c r="A1086" s="12"/>
      <c r="B1086" s="13"/>
      <c r="C1086" s="14"/>
      <c r="D1086" s="13"/>
      <c r="E1086" s="15"/>
      <c r="F1086" s="15"/>
      <c r="G1086" s="15"/>
      <c r="H1086" s="14"/>
      <c r="I1086" s="16" t="str">
        <f aca="false">IF(OR(A1086="",C1086=""),"",IF(OR(H1086="İade",H1086="İptal"),0,E1086*IFERROR(INDEX(Kanallar!$B$5:$B$19,MATCH(C1086,Kanallar!$A$5:$A$19,0)),0)))</f>
        <v/>
      </c>
      <c r="J1086" s="16" t="str">
        <f aca="false">IF(I1086="","",IF(H1086="İptal",0,IF(H1086="İade",-G1086,E1086-I1086-F1086-G1086)))</f>
        <v/>
      </c>
    </row>
    <row r="1087" customFormat="false" ht="15" hidden="false" customHeight="false" outlineLevel="0" collapsed="false">
      <c r="A1087" s="12"/>
      <c r="B1087" s="13"/>
      <c r="C1087" s="14"/>
      <c r="D1087" s="13"/>
      <c r="E1087" s="15"/>
      <c r="F1087" s="15"/>
      <c r="G1087" s="15"/>
      <c r="H1087" s="14"/>
      <c r="I1087" s="16" t="str">
        <f aca="false">IF(OR(A1087="",C1087=""),"",IF(OR(H1087="İade",H1087="İptal"),0,E1087*IFERROR(INDEX(Kanallar!$B$5:$B$19,MATCH(C1087,Kanallar!$A$5:$A$19,0)),0)))</f>
        <v/>
      </c>
      <c r="J1087" s="16" t="str">
        <f aca="false">IF(I1087="","",IF(H1087="İptal",0,IF(H1087="İade",-G1087,E1087-I1087-F1087-G1087)))</f>
        <v/>
      </c>
    </row>
    <row r="1088" customFormat="false" ht="15" hidden="false" customHeight="false" outlineLevel="0" collapsed="false">
      <c r="A1088" s="12"/>
      <c r="B1088" s="13"/>
      <c r="C1088" s="14"/>
      <c r="D1088" s="13"/>
      <c r="E1088" s="15"/>
      <c r="F1088" s="15"/>
      <c r="G1088" s="15"/>
      <c r="H1088" s="14"/>
      <c r="I1088" s="16" t="str">
        <f aca="false">IF(OR(A1088="",C1088=""),"",IF(OR(H1088="İade",H1088="İptal"),0,E1088*IFERROR(INDEX(Kanallar!$B$5:$B$19,MATCH(C1088,Kanallar!$A$5:$A$19,0)),0)))</f>
        <v/>
      </c>
      <c r="J1088" s="16" t="str">
        <f aca="false">IF(I1088="","",IF(H1088="İptal",0,IF(H1088="İade",-G1088,E1088-I1088-F1088-G1088)))</f>
        <v/>
      </c>
    </row>
    <row r="1089" customFormat="false" ht="15" hidden="false" customHeight="false" outlineLevel="0" collapsed="false">
      <c r="A1089" s="12"/>
      <c r="B1089" s="13"/>
      <c r="C1089" s="14"/>
      <c r="D1089" s="13"/>
      <c r="E1089" s="15"/>
      <c r="F1089" s="15"/>
      <c r="G1089" s="15"/>
      <c r="H1089" s="14"/>
      <c r="I1089" s="16" t="str">
        <f aca="false">IF(OR(A1089="",C1089=""),"",IF(OR(H1089="İade",H1089="İptal"),0,E1089*IFERROR(INDEX(Kanallar!$B$5:$B$19,MATCH(C1089,Kanallar!$A$5:$A$19,0)),0)))</f>
        <v/>
      </c>
      <c r="J1089" s="16" t="str">
        <f aca="false">IF(I1089="","",IF(H1089="İptal",0,IF(H1089="İade",-G1089,E1089-I1089-F1089-G1089)))</f>
        <v/>
      </c>
    </row>
    <row r="1090" customFormat="false" ht="15" hidden="false" customHeight="false" outlineLevel="0" collapsed="false">
      <c r="A1090" s="12"/>
      <c r="B1090" s="13"/>
      <c r="C1090" s="14"/>
      <c r="D1090" s="13"/>
      <c r="E1090" s="15"/>
      <c r="F1090" s="15"/>
      <c r="G1090" s="15"/>
      <c r="H1090" s="14"/>
      <c r="I1090" s="16" t="str">
        <f aca="false">IF(OR(A1090="",C1090=""),"",IF(OR(H1090="İade",H1090="İptal"),0,E1090*IFERROR(INDEX(Kanallar!$B$5:$B$19,MATCH(C1090,Kanallar!$A$5:$A$19,0)),0)))</f>
        <v/>
      </c>
      <c r="J1090" s="16" t="str">
        <f aca="false">IF(I1090="","",IF(H1090="İptal",0,IF(H1090="İade",-G1090,E1090-I1090-F1090-G1090)))</f>
        <v/>
      </c>
    </row>
    <row r="1091" customFormat="false" ht="15" hidden="false" customHeight="false" outlineLevel="0" collapsed="false">
      <c r="A1091" s="12"/>
      <c r="B1091" s="13"/>
      <c r="C1091" s="14"/>
      <c r="D1091" s="13"/>
      <c r="E1091" s="15"/>
      <c r="F1091" s="15"/>
      <c r="G1091" s="15"/>
      <c r="H1091" s="14"/>
      <c r="I1091" s="16" t="str">
        <f aca="false">IF(OR(A1091="",C1091=""),"",IF(OR(H1091="İade",H1091="İptal"),0,E1091*IFERROR(INDEX(Kanallar!$B$5:$B$19,MATCH(C1091,Kanallar!$A$5:$A$19,0)),0)))</f>
        <v/>
      </c>
      <c r="J1091" s="16" t="str">
        <f aca="false">IF(I1091="","",IF(H1091="İptal",0,IF(H1091="İade",-G1091,E1091-I1091-F1091-G1091)))</f>
        <v/>
      </c>
    </row>
    <row r="1092" customFormat="false" ht="15" hidden="false" customHeight="false" outlineLevel="0" collapsed="false">
      <c r="A1092" s="12"/>
      <c r="B1092" s="13"/>
      <c r="C1092" s="14"/>
      <c r="D1092" s="13"/>
      <c r="E1092" s="15"/>
      <c r="F1092" s="15"/>
      <c r="G1092" s="15"/>
      <c r="H1092" s="14"/>
      <c r="I1092" s="16" t="str">
        <f aca="false">IF(OR(A1092="",C1092=""),"",IF(OR(H1092="İade",H1092="İptal"),0,E1092*IFERROR(INDEX(Kanallar!$B$5:$B$19,MATCH(C1092,Kanallar!$A$5:$A$19,0)),0)))</f>
        <v/>
      </c>
      <c r="J1092" s="16" t="str">
        <f aca="false">IF(I1092="","",IF(H1092="İptal",0,IF(H1092="İade",-G1092,E1092-I1092-F1092-G1092)))</f>
        <v/>
      </c>
    </row>
    <row r="1093" customFormat="false" ht="15" hidden="false" customHeight="false" outlineLevel="0" collapsed="false">
      <c r="A1093" s="12"/>
      <c r="B1093" s="13"/>
      <c r="C1093" s="14"/>
      <c r="D1093" s="13"/>
      <c r="E1093" s="15"/>
      <c r="F1093" s="15"/>
      <c r="G1093" s="15"/>
      <c r="H1093" s="14"/>
      <c r="I1093" s="16" t="str">
        <f aca="false">IF(OR(A1093="",C1093=""),"",IF(OR(H1093="İade",H1093="İptal"),0,E1093*IFERROR(INDEX(Kanallar!$B$5:$B$19,MATCH(C1093,Kanallar!$A$5:$A$19,0)),0)))</f>
        <v/>
      </c>
      <c r="J1093" s="16" t="str">
        <f aca="false">IF(I1093="","",IF(H1093="İptal",0,IF(H1093="İade",-G1093,E1093-I1093-F1093-G1093)))</f>
        <v/>
      </c>
    </row>
    <row r="1094" customFormat="false" ht="15" hidden="false" customHeight="false" outlineLevel="0" collapsed="false">
      <c r="A1094" s="12"/>
      <c r="B1094" s="13"/>
      <c r="C1094" s="14"/>
      <c r="D1094" s="13"/>
      <c r="E1094" s="15"/>
      <c r="F1094" s="15"/>
      <c r="G1094" s="15"/>
      <c r="H1094" s="14"/>
      <c r="I1094" s="16" t="str">
        <f aca="false">IF(OR(A1094="",C1094=""),"",IF(OR(H1094="İade",H1094="İptal"),0,E1094*IFERROR(INDEX(Kanallar!$B$5:$B$19,MATCH(C1094,Kanallar!$A$5:$A$19,0)),0)))</f>
        <v/>
      </c>
      <c r="J1094" s="16" t="str">
        <f aca="false">IF(I1094="","",IF(H1094="İptal",0,IF(H1094="İade",-G1094,E1094-I1094-F1094-G1094)))</f>
        <v/>
      </c>
    </row>
    <row r="1095" customFormat="false" ht="15" hidden="false" customHeight="false" outlineLevel="0" collapsed="false">
      <c r="A1095" s="12"/>
      <c r="B1095" s="13"/>
      <c r="C1095" s="14"/>
      <c r="D1095" s="13"/>
      <c r="E1095" s="15"/>
      <c r="F1095" s="15"/>
      <c r="G1095" s="15"/>
      <c r="H1095" s="14"/>
      <c r="I1095" s="16" t="str">
        <f aca="false">IF(OR(A1095="",C1095=""),"",IF(OR(H1095="İade",H1095="İptal"),0,E1095*IFERROR(INDEX(Kanallar!$B$5:$B$19,MATCH(C1095,Kanallar!$A$5:$A$19,0)),0)))</f>
        <v/>
      </c>
      <c r="J1095" s="16" t="str">
        <f aca="false">IF(I1095="","",IF(H1095="İptal",0,IF(H1095="İade",-G1095,E1095-I1095-F1095-G1095)))</f>
        <v/>
      </c>
    </row>
    <row r="1096" customFormat="false" ht="15" hidden="false" customHeight="false" outlineLevel="0" collapsed="false">
      <c r="A1096" s="12"/>
      <c r="B1096" s="13"/>
      <c r="C1096" s="14"/>
      <c r="D1096" s="13"/>
      <c r="E1096" s="15"/>
      <c r="F1096" s="15"/>
      <c r="G1096" s="15"/>
      <c r="H1096" s="14"/>
      <c r="I1096" s="16" t="str">
        <f aca="false">IF(OR(A1096="",C1096=""),"",IF(OR(H1096="İade",H1096="İptal"),0,E1096*IFERROR(INDEX(Kanallar!$B$5:$B$19,MATCH(C1096,Kanallar!$A$5:$A$19,0)),0)))</f>
        <v/>
      </c>
      <c r="J1096" s="16" t="str">
        <f aca="false">IF(I1096="","",IF(H1096="İptal",0,IF(H1096="İade",-G1096,E1096-I1096-F1096-G1096)))</f>
        <v/>
      </c>
    </row>
    <row r="1097" customFormat="false" ht="15" hidden="false" customHeight="false" outlineLevel="0" collapsed="false">
      <c r="A1097" s="12"/>
      <c r="B1097" s="13"/>
      <c r="C1097" s="14"/>
      <c r="D1097" s="13"/>
      <c r="E1097" s="15"/>
      <c r="F1097" s="15"/>
      <c r="G1097" s="15"/>
      <c r="H1097" s="14"/>
      <c r="I1097" s="16" t="str">
        <f aca="false">IF(OR(A1097="",C1097=""),"",IF(OR(H1097="İade",H1097="İptal"),0,E1097*IFERROR(INDEX(Kanallar!$B$5:$B$19,MATCH(C1097,Kanallar!$A$5:$A$19,0)),0)))</f>
        <v/>
      </c>
      <c r="J1097" s="16" t="str">
        <f aca="false">IF(I1097="","",IF(H1097="İptal",0,IF(H1097="İade",-G1097,E1097-I1097-F1097-G1097)))</f>
        <v/>
      </c>
    </row>
    <row r="1098" customFormat="false" ht="15" hidden="false" customHeight="false" outlineLevel="0" collapsed="false">
      <c r="A1098" s="12"/>
      <c r="B1098" s="13"/>
      <c r="C1098" s="14"/>
      <c r="D1098" s="13"/>
      <c r="E1098" s="15"/>
      <c r="F1098" s="15"/>
      <c r="G1098" s="15"/>
      <c r="H1098" s="14"/>
      <c r="I1098" s="16" t="str">
        <f aca="false">IF(OR(A1098="",C1098=""),"",IF(OR(H1098="İade",H1098="İptal"),0,E1098*IFERROR(INDEX(Kanallar!$B$5:$B$19,MATCH(C1098,Kanallar!$A$5:$A$19,0)),0)))</f>
        <v/>
      </c>
      <c r="J1098" s="16" t="str">
        <f aca="false">IF(I1098="","",IF(H1098="İptal",0,IF(H1098="İade",-G1098,E1098-I1098-F1098-G1098)))</f>
        <v/>
      </c>
    </row>
    <row r="1099" customFormat="false" ht="15" hidden="false" customHeight="false" outlineLevel="0" collapsed="false">
      <c r="A1099" s="12"/>
      <c r="B1099" s="13"/>
      <c r="C1099" s="14"/>
      <c r="D1099" s="13"/>
      <c r="E1099" s="15"/>
      <c r="F1099" s="15"/>
      <c r="G1099" s="15"/>
      <c r="H1099" s="14"/>
      <c r="I1099" s="16" t="str">
        <f aca="false">IF(OR(A1099="",C1099=""),"",IF(OR(H1099="İade",H1099="İptal"),0,E1099*IFERROR(INDEX(Kanallar!$B$5:$B$19,MATCH(C1099,Kanallar!$A$5:$A$19,0)),0)))</f>
        <v/>
      </c>
      <c r="J1099" s="16" t="str">
        <f aca="false">IF(I1099="","",IF(H1099="İptal",0,IF(H1099="İade",-G1099,E1099-I1099-F1099-G1099)))</f>
        <v/>
      </c>
    </row>
    <row r="1100" customFormat="false" ht="15" hidden="false" customHeight="false" outlineLevel="0" collapsed="false">
      <c r="A1100" s="12"/>
      <c r="B1100" s="13"/>
      <c r="C1100" s="14"/>
      <c r="D1100" s="13"/>
      <c r="E1100" s="15"/>
      <c r="F1100" s="15"/>
      <c r="G1100" s="15"/>
      <c r="H1100" s="14"/>
      <c r="I1100" s="16" t="str">
        <f aca="false">IF(OR(A1100="",C1100=""),"",IF(OR(H1100="İade",H1100="İptal"),0,E1100*IFERROR(INDEX(Kanallar!$B$5:$B$19,MATCH(C1100,Kanallar!$A$5:$A$19,0)),0)))</f>
        <v/>
      </c>
      <c r="J1100" s="16" t="str">
        <f aca="false">IF(I1100="","",IF(H1100="İptal",0,IF(H1100="İade",-G1100,E1100-I1100-F1100-G1100)))</f>
        <v/>
      </c>
    </row>
    <row r="1101" customFormat="false" ht="15" hidden="false" customHeight="false" outlineLevel="0" collapsed="false">
      <c r="A1101" s="12"/>
      <c r="B1101" s="13"/>
      <c r="C1101" s="14"/>
      <c r="D1101" s="13"/>
      <c r="E1101" s="15"/>
      <c r="F1101" s="15"/>
      <c r="G1101" s="15"/>
      <c r="H1101" s="14"/>
      <c r="I1101" s="16" t="str">
        <f aca="false">IF(OR(A1101="",C1101=""),"",IF(OR(H1101="İade",H1101="İptal"),0,E1101*IFERROR(INDEX(Kanallar!$B$5:$B$19,MATCH(C1101,Kanallar!$A$5:$A$19,0)),0)))</f>
        <v/>
      </c>
      <c r="J1101" s="16" t="str">
        <f aca="false">IF(I1101="","",IF(H1101="İptal",0,IF(H1101="İade",-G1101,E1101-I1101-F1101-G1101)))</f>
        <v/>
      </c>
    </row>
    <row r="1102" customFormat="false" ht="15" hidden="false" customHeight="false" outlineLevel="0" collapsed="false">
      <c r="A1102" s="12"/>
      <c r="B1102" s="13"/>
      <c r="C1102" s="14"/>
      <c r="D1102" s="13"/>
      <c r="E1102" s="15"/>
      <c r="F1102" s="15"/>
      <c r="G1102" s="15"/>
      <c r="H1102" s="14"/>
      <c r="I1102" s="16" t="str">
        <f aca="false">IF(OR(A1102="",C1102=""),"",IF(OR(H1102="İade",H1102="İptal"),0,E1102*IFERROR(INDEX(Kanallar!$B$5:$B$19,MATCH(C1102,Kanallar!$A$5:$A$19,0)),0)))</f>
        <v/>
      </c>
      <c r="J1102" s="16" t="str">
        <f aca="false">IF(I1102="","",IF(H1102="İptal",0,IF(H1102="İade",-G1102,E1102-I1102-F1102-G1102)))</f>
        <v/>
      </c>
    </row>
    <row r="1103" customFormat="false" ht="15" hidden="false" customHeight="false" outlineLevel="0" collapsed="false">
      <c r="A1103" s="12"/>
      <c r="B1103" s="13"/>
      <c r="C1103" s="14"/>
      <c r="D1103" s="13"/>
      <c r="E1103" s="15"/>
      <c r="F1103" s="15"/>
      <c r="G1103" s="15"/>
      <c r="H1103" s="14"/>
      <c r="I1103" s="16" t="str">
        <f aca="false">IF(OR(A1103="",C1103=""),"",IF(OR(H1103="İade",H1103="İptal"),0,E1103*IFERROR(INDEX(Kanallar!$B$5:$B$19,MATCH(C1103,Kanallar!$A$5:$A$19,0)),0)))</f>
        <v/>
      </c>
      <c r="J1103" s="16" t="str">
        <f aca="false">IF(I1103="","",IF(H1103="İptal",0,IF(H1103="İade",-G1103,E1103-I1103-F1103-G1103)))</f>
        <v/>
      </c>
    </row>
    <row r="1104" customFormat="false" ht="15" hidden="false" customHeight="false" outlineLevel="0" collapsed="false">
      <c r="A1104" s="12"/>
      <c r="B1104" s="13"/>
      <c r="C1104" s="14"/>
      <c r="D1104" s="13"/>
      <c r="E1104" s="15"/>
      <c r="F1104" s="15"/>
      <c r="G1104" s="15"/>
      <c r="H1104" s="14"/>
      <c r="I1104" s="16" t="str">
        <f aca="false">IF(OR(A1104="",C1104=""),"",IF(OR(H1104="İade",H1104="İptal"),0,E1104*IFERROR(INDEX(Kanallar!$B$5:$B$19,MATCH(C1104,Kanallar!$A$5:$A$19,0)),0)))</f>
        <v/>
      </c>
      <c r="J1104" s="16" t="str">
        <f aca="false">IF(I1104="","",IF(H1104="İptal",0,IF(H1104="İade",-G1104,E1104-I1104-F1104-G1104)))</f>
        <v/>
      </c>
    </row>
    <row r="1105" customFormat="false" ht="15" hidden="false" customHeight="false" outlineLevel="0" collapsed="false">
      <c r="A1105" s="12"/>
      <c r="B1105" s="13"/>
      <c r="C1105" s="14"/>
      <c r="D1105" s="13"/>
      <c r="E1105" s="15"/>
      <c r="F1105" s="15"/>
      <c r="G1105" s="15"/>
      <c r="H1105" s="14"/>
      <c r="I1105" s="16" t="str">
        <f aca="false">IF(OR(A1105="",C1105=""),"",IF(OR(H1105="İade",H1105="İptal"),0,E1105*IFERROR(INDEX(Kanallar!$B$5:$B$19,MATCH(C1105,Kanallar!$A$5:$A$19,0)),0)))</f>
        <v/>
      </c>
      <c r="J1105" s="16" t="str">
        <f aca="false">IF(I1105="","",IF(H1105="İptal",0,IF(H1105="İade",-G1105,E1105-I1105-F1105-G1105)))</f>
        <v/>
      </c>
    </row>
    <row r="1106" customFormat="false" ht="15" hidden="false" customHeight="false" outlineLevel="0" collapsed="false">
      <c r="A1106" s="12"/>
      <c r="B1106" s="13"/>
      <c r="C1106" s="14"/>
      <c r="D1106" s="13"/>
      <c r="E1106" s="15"/>
      <c r="F1106" s="15"/>
      <c r="G1106" s="15"/>
      <c r="H1106" s="14"/>
      <c r="I1106" s="16" t="str">
        <f aca="false">IF(OR(A1106="",C1106=""),"",IF(OR(H1106="İade",H1106="İptal"),0,E1106*IFERROR(INDEX(Kanallar!$B$5:$B$19,MATCH(C1106,Kanallar!$A$5:$A$19,0)),0)))</f>
        <v/>
      </c>
      <c r="J1106" s="16" t="str">
        <f aca="false">IF(I1106="","",IF(H1106="İptal",0,IF(H1106="İade",-G1106,E1106-I1106-F1106-G1106)))</f>
        <v/>
      </c>
    </row>
    <row r="1107" customFormat="false" ht="15" hidden="false" customHeight="false" outlineLevel="0" collapsed="false">
      <c r="A1107" s="12"/>
      <c r="B1107" s="13"/>
      <c r="C1107" s="14"/>
      <c r="D1107" s="13"/>
      <c r="E1107" s="15"/>
      <c r="F1107" s="15"/>
      <c r="G1107" s="15"/>
      <c r="H1107" s="14"/>
      <c r="I1107" s="16" t="str">
        <f aca="false">IF(OR(A1107="",C1107=""),"",IF(OR(H1107="İade",H1107="İptal"),0,E1107*IFERROR(INDEX(Kanallar!$B$5:$B$19,MATCH(C1107,Kanallar!$A$5:$A$19,0)),0)))</f>
        <v/>
      </c>
      <c r="J1107" s="16" t="str">
        <f aca="false">IF(I1107="","",IF(H1107="İptal",0,IF(H1107="İade",-G1107,E1107-I1107-F1107-G1107)))</f>
        <v/>
      </c>
    </row>
    <row r="1108" customFormat="false" ht="15" hidden="false" customHeight="false" outlineLevel="0" collapsed="false">
      <c r="A1108" s="12"/>
      <c r="B1108" s="13"/>
      <c r="C1108" s="14"/>
      <c r="D1108" s="13"/>
      <c r="E1108" s="15"/>
      <c r="F1108" s="15"/>
      <c r="G1108" s="15"/>
      <c r="H1108" s="14"/>
      <c r="I1108" s="16" t="str">
        <f aca="false">IF(OR(A1108="",C1108=""),"",IF(OR(H1108="İade",H1108="İptal"),0,E1108*IFERROR(INDEX(Kanallar!$B$5:$B$19,MATCH(C1108,Kanallar!$A$5:$A$19,0)),0)))</f>
        <v/>
      </c>
      <c r="J1108" s="16" t="str">
        <f aca="false">IF(I1108="","",IF(H1108="İptal",0,IF(H1108="İade",-G1108,E1108-I1108-F1108-G1108)))</f>
        <v/>
      </c>
    </row>
    <row r="1109" customFormat="false" ht="15" hidden="false" customHeight="false" outlineLevel="0" collapsed="false">
      <c r="A1109" s="12"/>
      <c r="B1109" s="13"/>
      <c r="C1109" s="14"/>
      <c r="D1109" s="13"/>
      <c r="E1109" s="15"/>
      <c r="F1109" s="15"/>
      <c r="G1109" s="15"/>
      <c r="H1109" s="14"/>
      <c r="I1109" s="16" t="str">
        <f aca="false">IF(OR(A1109="",C1109=""),"",IF(OR(H1109="İade",H1109="İptal"),0,E1109*IFERROR(INDEX(Kanallar!$B$5:$B$19,MATCH(C1109,Kanallar!$A$5:$A$19,0)),0)))</f>
        <v/>
      </c>
      <c r="J1109" s="16" t="str">
        <f aca="false">IF(I1109="","",IF(H1109="İptal",0,IF(H1109="İade",-G1109,E1109-I1109-F1109-G1109)))</f>
        <v/>
      </c>
    </row>
    <row r="1110" customFormat="false" ht="15" hidden="false" customHeight="false" outlineLevel="0" collapsed="false">
      <c r="A1110" s="12"/>
      <c r="B1110" s="13"/>
      <c r="C1110" s="14"/>
      <c r="D1110" s="13"/>
      <c r="E1110" s="15"/>
      <c r="F1110" s="15"/>
      <c r="G1110" s="15"/>
      <c r="H1110" s="14"/>
      <c r="I1110" s="16" t="str">
        <f aca="false">IF(OR(A1110="",C1110=""),"",IF(OR(H1110="İade",H1110="İptal"),0,E1110*IFERROR(INDEX(Kanallar!$B$5:$B$19,MATCH(C1110,Kanallar!$A$5:$A$19,0)),0)))</f>
        <v/>
      </c>
      <c r="J1110" s="16" t="str">
        <f aca="false">IF(I1110="","",IF(H1110="İptal",0,IF(H1110="İade",-G1110,E1110-I1110-F1110-G1110)))</f>
        <v/>
      </c>
    </row>
    <row r="1111" customFormat="false" ht="15" hidden="false" customHeight="false" outlineLevel="0" collapsed="false">
      <c r="A1111" s="12"/>
      <c r="B1111" s="13"/>
      <c r="C1111" s="14"/>
      <c r="D1111" s="13"/>
      <c r="E1111" s="15"/>
      <c r="F1111" s="15"/>
      <c r="G1111" s="15"/>
      <c r="H1111" s="14"/>
      <c r="I1111" s="16" t="str">
        <f aca="false">IF(OR(A1111="",C1111=""),"",IF(OR(H1111="İade",H1111="İptal"),0,E1111*IFERROR(INDEX(Kanallar!$B$5:$B$19,MATCH(C1111,Kanallar!$A$5:$A$19,0)),0)))</f>
        <v/>
      </c>
      <c r="J1111" s="16" t="str">
        <f aca="false">IF(I1111="","",IF(H1111="İptal",0,IF(H1111="İade",-G1111,E1111-I1111-F1111-G1111)))</f>
        <v/>
      </c>
    </row>
    <row r="1112" customFormat="false" ht="15" hidden="false" customHeight="false" outlineLevel="0" collapsed="false">
      <c r="A1112" s="12"/>
      <c r="B1112" s="13"/>
      <c r="C1112" s="14"/>
      <c r="D1112" s="13"/>
      <c r="E1112" s="15"/>
      <c r="F1112" s="15"/>
      <c r="G1112" s="15"/>
      <c r="H1112" s="14"/>
      <c r="I1112" s="16" t="str">
        <f aca="false">IF(OR(A1112="",C1112=""),"",IF(OR(H1112="İade",H1112="İptal"),0,E1112*IFERROR(INDEX(Kanallar!$B$5:$B$19,MATCH(C1112,Kanallar!$A$5:$A$19,0)),0)))</f>
        <v/>
      </c>
      <c r="J1112" s="16" t="str">
        <f aca="false">IF(I1112="","",IF(H1112="İptal",0,IF(H1112="İade",-G1112,E1112-I1112-F1112-G1112)))</f>
        <v/>
      </c>
    </row>
    <row r="1113" customFormat="false" ht="15" hidden="false" customHeight="false" outlineLevel="0" collapsed="false">
      <c r="A1113" s="12"/>
      <c r="B1113" s="13"/>
      <c r="C1113" s="14"/>
      <c r="D1113" s="13"/>
      <c r="E1113" s="15"/>
      <c r="F1113" s="15"/>
      <c r="G1113" s="15"/>
      <c r="H1113" s="14"/>
      <c r="I1113" s="16" t="str">
        <f aca="false">IF(OR(A1113="",C1113=""),"",IF(OR(H1113="İade",H1113="İptal"),0,E1113*IFERROR(INDEX(Kanallar!$B$5:$B$19,MATCH(C1113,Kanallar!$A$5:$A$19,0)),0)))</f>
        <v/>
      </c>
      <c r="J1113" s="16" t="str">
        <f aca="false">IF(I1113="","",IF(H1113="İptal",0,IF(H1113="İade",-G1113,E1113-I1113-F1113-G1113)))</f>
        <v/>
      </c>
    </row>
    <row r="1114" customFormat="false" ht="15" hidden="false" customHeight="false" outlineLevel="0" collapsed="false">
      <c r="A1114" s="12"/>
      <c r="B1114" s="13"/>
      <c r="C1114" s="14"/>
      <c r="D1114" s="13"/>
      <c r="E1114" s="15"/>
      <c r="F1114" s="15"/>
      <c r="G1114" s="15"/>
      <c r="H1114" s="14"/>
      <c r="I1114" s="16" t="str">
        <f aca="false">IF(OR(A1114="",C1114=""),"",IF(OR(H1114="İade",H1114="İptal"),0,E1114*IFERROR(INDEX(Kanallar!$B$5:$B$19,MATCH(C1114,Kanallar!$A$5:$A$19,0)),0)))</f>
        <v/>
      </c>
      <c r="J1114" s="16" t="str">
        <f aca="false">IF(I1114="","",IF(H1114="İptal",0,IF(H1114="İade",-G1114,E1114-I1114-F1114-G1114)))</f>
        <v/>
      </c>
    </row>
    <row r="1115" customFormat="false" ht="15" hidden="false" customHeight="false" outlineLevel="0" collapsed="false">
      <c r="A1115" s="12"/>
      <c r="B1115" s="13"/>
      <c r="C1115" s="14"/>
      <c r="D1115" s="13"/>
      <c r="E1115" s="15"/>
      <c r="F1115" s="15"/>
      <c r="G1115" s="15"/>
      <c r="H1115" s="14"/>
      <c r="I1115" s="16" t="str">
        <f aca="false">IF(OR(A1115="",C1115=""),"",IF(OR(H1115="İade",H1115="İptal"),0,E1115*IFERROR(INDEX(Kanallar!$B$5:$B$19,MATCH(C1115,Kanallar!$A$5:$A$19,0)),0)))</f>
        <v/>
      </c>
      <c r="J1115" s="16" t="str">
        <f aca="false">IF(I1115="","",IF(H1115="İptal",0,IF(H1115="İade",-G1115,E1115-I1115-F1115-G1115)))</f>
        <v/>
      </c>
    </row>
    <row r="1116" customFormat="false" ht="15" hidden="false" customHeight="false" outlineLevel="0" collapsed="false">
      <c r="A1116" s="12"/>
      <c r="B1116" s="13"/>
      <c r="C1116" s="14"/>
      <c r="D1116" s="13"/>
      <c r="E1116" s="15"/>
      <c r="F1116" s="15"/>
      <c r="G1116" s="15"/>
      <c r="H1116" s="14"/>
      <c r="I1116" s="16" t="str">
        <f aca="false">IF(OR(A1116="",C1116=""),"",IF(OR(H1116="İade",H1116="İptal"),0,E1116*IFERROR(INDEX(Kanallar!$B$5:$B$19,MATCH(C1116,Kanallar!$A$5:$A$19,0)),0)))</f>
        <v/>
      </c>
      <c r="J1116" s="16" t="str">
        <f aca="false">IF(I1116="","",IF(H1116="İptal",0,IF(H1116="İade",-G1116,E1116-I1116-F1116-G1116)))</f>
        <v/>
      </c>
    </row>
    <row r="1117" customFormat="false" ht="15" hidden="false" customHeight="false" outlineLevel="0" collapsed="false">
      <c r="A1117" s="12"/>
      <c r="B1117" s="13"/>
      <c r="C1117" s="14"/>
      <c r="D1117" s="13"/>
      <c r="E1117" s="15"/>
      <c r="F1117" s="15"/>
      <c r="G1117" s="15"/>
      <c r="H1117" s="14"/>
      <c r="I1117" s="16" t="str">
        <f aca="false">IF(OR(A1117="",C1117=""),"",IF(OR(H1117="İade",H1117="İptal"),0,E1117*IFERROR(INDEX(Kanallar!$B$5:$B$19,MATCH(C1117,Kanallar!$A$5:$A$19,0)),0)))</f>
        <v/>
      </c>
      <c r="J1117" s="16" t="str">
        <f aca="false">IF(I1117="","",IF(H1117="İptal",0,IF(H1117="İade",-G1117,E1117-I1117-F1117-G1117)))</f>
        <v/>
      </c>
    </row>
    <row r="1118" customFormat="false" ht="15" hidden="false" customHeight="false" outlineLevel="0" collapsed="false">
      <c r="A1118" s="12"/>
      <c r="B1118" s="13"/>
      <c r="C1118" s="14"/>
      <c r="D1118" s="13"/>
      <c r="E1118" s="15"/>
      <c r="F1118" s="15"/>
      <c r="G1118" s="15"/>
      <c r="H1118" s="14"/>
      <c r="I1118" s="16" t="str">
        <f aca="false">IF(OR(A1118="",C1118=""),"",IF(OR(H1118="İade",H1118="İptal"),0,E1118*IFERROR(INDEX(Kanallar!$B$5:$B$19,MATCH(C1118,Kanallar!$A$5:$A$19,0)),0)))</f>
        <v/>
      </c>
      <c r="J1118" s="16" t="str">
        <f aca="false">IF(I1118="","",IF(H1118="İptal",0,IF(H1118="İade",-G1118,E1118-I1118-F1118-G1118)))</f>
        <v/>
      </c>
    </row>
    <row r="1119" customFormat="false" ht="15" hidden="false" customHeight="false" outlineLevel="0" collapsed="false">
      <c r="A1119" s="12"/>
      <c r="B1119" s="13"/>
      <c r="C1119" s="14"/>
      <c r="D1119" s="13"/>
      <c r="E1119" s="15"/>
      <c r="F1119" s="15"/>
      <c r="G1119" s="15"/>
      <c r="H1119" s="14"/>
      <c r="I1119" s="16" t="str">
        <f aca="false">IF(OR(A1119="",C1119=""),"",IF(OR(H1119="İade",H1119="İptal"),0,E1119*IFERROR(INDEX(Kanallar!$B$5:$B$19,MATCH(C1119,Kanallar!$A$5:$A$19,0)),0)))</f>
        <v/>
      </c>
      <c r="J1119" s="16" t="str">
        <f aca="false">IF(I1119="","",IF(H1119="İptal",0,IF(H1119="İade",-G1119,E1119-I1119-F1119-G1119)))</f>
        <v/>
      </c>
    </row>
    <row r="1120" customFormat="false" ht="15" hidden="false" customHeight="false" outlineLevel="0" collapsed="false">
      <c r="A1120" s="12"/>
      <c r="B1120" s="13"/>
      <c r="C1120" s="14"/>
      <c r="D1120" s="13"/>
      <c r="E1120" s="15"/>
      <c r="F1120" s="15"/>
      <c r="G1120" s="15"/>
      <c r="H1120" s="14"/>
      <c r="I1120" s="16" t="str">
        <f aca="false">IF(OR(A1120="",C1120=""),"",IF(OR(H1120="İade",H1120="İptal"),0,E1120*IFERROR(INDEX(Kanallar!$B$5:$B$19,MATCH(C1120,Kanallar!$A$5:$A$19,0)),0)))</f>
        <v/>
      </c>
      <c r="J1120" s="16" t="str">
        <f aca="false">IF(I1120="","",IF(H1120="İptal",0,IF(H1120="İade",-G1120,E1120-I1120-F1120-G1120)))</f>
        <v/>
      </c>
    </row>
    <row r="1121" customFormat="false" ht="15" hidden="false" customHeight="false" outlineLevel="0" collapsed="false">
      <c r="A1121" s="12"/>
      <c r="B1121" s="13"/>
      <c r="C1121" s="14"/>
      <c r="D1121" s="13"/>
      <c r="E1121" s="15"/>
      <c r="F1121" s="15"/>
      <c r="G1121" s="15"/>
      <c r="H1121" s="14"/>
      <c r="I1121" s="16" t="str">
        <f aca="false">IF(OR(A1121="",C1121=""),"",IF(OR(H1121="İade",H1121="İptal"),0,E1121*IFERROR(INDEX(Kanallar!$B$5:$B$19,MATCH(C1121,Kanallar!$A$5:$A$19,0)),0)))</f>
        <v/>
      </c>
      <c r="J1121" s="16" t="str">
        <f aca="false">IF(I1121="","",IF(H1121="İptal",0,IF(H1121="İade",-G1121,E1121-I1121-F1121-G1121)))</f>
        <v/>
      </c>
    </row>
    <row r="1122" customFormat="false" ht="15" hidden="false" customHeight="false" outlineLevel="0" collapsed="false">
      <c r="A1122" s="12"/>
      <c r="B1122" s="13"/>
      <c r="C1122" s="14"/>
      <c r="D1122" s="13"/>
      <c r="E1122" s="15"/>
      <c r="F1122" s="15"/>
      <c r="G1122" s="15"/>
      <c r="H1122" s="14"/>
      <c r="I1122" s="16" t="str">
        <f aca="false">IF(OR(A1122="",C1122=""),"",IF(OR(H1122="İade",H1122="İptal"),0,E1122*IFERROR(INDEX(Kanallar!$B$5:$B$19,MATCH(C1122,Kanallar!$A$5:$A$19,0)),0)))</f>
        <v/>
      </c>
      <c r="J1122" s="16" t="str">
        <f aca="false">IF(I1122="","",IF(H1122="İptal",0,IF(H1122="İade",-G1122,E1122-I1122-F1122-G1122)))</f>
        <v/>
      </c>
    </row>
    <row r="1123" customFormat="false" ht="15" hidden="false" customHeight="false" outlineLevel="0" collapsed="false">
      <c r="A1123" s="12"/>
      <c r="B1123" s="13"/>
      <c r="C1123" s="14"/>
      <c r="D1123" s="13"/>
      <c r="E1123" s="15"/>
      <c r="F1123" s="15"/>
      <c r="G1123" s="15"/>
      <c r="H1123" s="14"/>
      <c r="I1123" s="16" t="str">
        <f aca="false">IF(OR(A1123="",C1123=""),"",IF(OR(H1123="İade",H1123="İptal"),0,E1123*IFERROR(INDEX(Kanallar!$B$5:$B$19,MATCH(C1123,Kanallar!$A$5:$A$19,0)),0)))</f>
        <v/>
      </c>
      <c r="J1123" s="16" t="str">
        <f aca="false">IF(I1123="","",IF(H1123="İptal",0,IF(H1123="İade",-G1123,E1123-I1123-F1123-G1123)))</f>
        <v/>
      </c>
    </row>
    <row r="1124" customFormat="false" ht="15" hidden="false" customHeight="false" outlineLevel="0" collapsed="false">
      <c r="A1124" s="12"/>
      <c r="B1124" s="13"/>
      <c r="C1124" s="14"/>
      <c r="D1124" s="13"/>
      <c r="E1124" s="15"/>
      <c r="F1124" s="15"/>
      <c r="G1124" s="15"/>
      <c r="H1124" s="14"/>
      <c r="I1124" s="16" t="str">
        <f aca="false">IF(OR(A1124="",C1124=""),"",IF(OR(H1124="İade",H1124="İptal"),0,E1124*IFERROR(INDEX(Kanallar!$B$5:$B$19,MATCH(C1124,Kanallar!$A$5:$A$19,0)),0)))</f>
        <v/>
      </c>
      <c r="J1124" s="16" t="str">
        <f aca="false">IF(I1124="","",IF(H1124="İptal",0,IF(H1124="İade",-G1124,E1124-I1124-F1124-G1124)))</f>
        <v/>
      </c>
    </row>
    <row r="1125" customFormat="false" ht="15" hidden="false" customHeight="false" outlineLevel="0" collapsed="false">
      <c r="A1125" s="12"/>
      <c r="B1125" s="13"/>
      <c r="C1125" s="14"/>
      <c r="D1125" s="13"/>
      <c r="E1125" s="15"/>
      <c r="F1125" s="15"/>
      <c r="G1125" s="15"/>
      <c r="H1125" s="14"/>
      <c r="I1125" s="16" t="str">
        <f aca="false">IF(OR(A1125="",C1125=""),"",IF(OR(H1125="İade",H1125="İptal"),0,E1125*IFERROR(INDEX(Kanallar!$B$5:$B$19,MATCH(C1125,Kanallar!$A$5:$A$19,0)),0)))</f>
        <v/>
      </c>
      <c r="J1125" s="16" t="str">
        <f aca="false">IF(I1125="","",IF(H1125="İptal",0,IF(H1125="İade",-G1125,E1125-I1125-F1125-G1125)))</f>
        <v/>
      </c>
    </row>
    <row r="1126" customFormat="false" ht="15" hidden="false" customHeight="false" outlineLevel="0" collapsed="false">
      <c r="A1126" s="12"/>
      <c r="B1126" s="13"/>
      <c r="C1126" s="14"/>
      <c r="D1126" s="13"/>
      <c r="E1126" s="15"/>
      <c r="F1126" s="15"/>
      <c r="G1126" s="15"/>
      <c r="H1126" s="14"/>
      <c r="I1126" s="16" t="str">
        <f aca="false">IF(OR(A1126="",C1126=""),"",IF(OR(H1126="İade",H1126="İptal"),0,E1126*IFERROR(INDEX(Kanallar!$B$5:$B$19,MATCH(C1126,Kanallar!$A$5:$A$19,0)),0)))</f>
        <v/>
      </c>
      <c r="J1126" s="16" t="str">
        <f aca="false">IF(I1126="","",IF(H1126="İptal",0,IF(H1126="İade",-G1126,E1126-I1126-F1126-G1126)))</f>
        <v/>
      </c>
    </row>
    <row r="1127" customFormat="false" ht="15" hidden="false" customHeight="false" outlineLevel="0" collapsed="false">
      <c r="A1127" s="12"/>
      <c r="B1127" s="13"/>
      <c r="C1127" s="14"/>
      <c r="D1127" s="13"/>
      <c r="E1127" s="15"/>
      <c r="F1127" s="15"/>
      <c r="G1127" s="15"/>
      <c r="H1127" s="14"/>
      <c r="I1127" s="16" t="str">
        <f aca="false">IF(OR(A1127="",C1127=""),"",IF(OR(H1127="İade",H1127="İptal"),0,E1127*IFERROR(INDEX(Kanallar!$B$5:$B$19,MATCH(C1127,Kanallar!$A$5:$A$19,0)),0)))</f>
        <v/>
      </c>
      <c r="J1127" s="16" t="str">
        <f aca="false">IF(I1127="","",IF(H1127="İptal",0,IF(H1127="İade",-G1127,E1127-I1127-F1127-G1127)))</f>
        <v/>
      </c>
    </row>
    <row r="1128" customFormat="false" ht="15" hidden="false" customHeight="false" outlineLevel="0" collapsed="false">
      <c r="A1128" s="12"/>
      <c r="B1128" s="13"/>
      <c r="C1128" s="14"/>
      <c r="D1128" s="13"/>
      <c r="E1128" s="15"/>
      <c r="F1128" s="15"/>
      <c r="G1128" s="15"/>
      <c r="H1128" s="14"/>
      <c r="I1128" s="16" t="str">
        <f aca="false">IF(OR(A1128="",C1128=""),"",IF(OR(H1128="İade",H1128="İptal"),0,E1128*IFERROR(INDEX(Kanallar!$B$5:$B$19,MATCH(C1128,Kanallar!$A$5:$A$19,0)),0)))</f>
        <v/>
      </c>
      <c r="J1128" s="16" t="str">
        <f aca="false">IF(I1128="","",IF(H1128="İptal",0,IF(H1128="İade",-G1128,E1128-I1128-F1128-G1128)))</f>
        <v/>
      </c>
    </row>
    <row r="1129" customFormat="false" ht="15" hidden="false" customHeight="false" outlineLevel="0" collapsed="false">
      <c r="A1129" s="12"/>
      <c r="B1129" s="13"/>
      <c r="C1129" s="14"/>
      <c r="D1129" s="13"/>
      <c r="E1129" s="15"/>
      <c r="F1129" s="15"/>
      <c r="G1129" s="15"/>
      <c r="H1129" s="14"/>
      <c r="I1129" s="16" t="str">
        <f aca="false">IF(OR(A1129="",C1129=""),"",IF(OR(H1129="İade",H1129="İptal"),0,E1129*IFERROR(INDEX(Kanallar!$B$5:$B$19,MATCH(C1129,Kanallar!$A$5:$A$19,0)),0)))</f>
        <v/>
      </c>
      <c r="J1129" s="16" t="str">
        <f aca="false">IF(I1129="","",IF(H1129="İptal",0,IF(H1129="İade",-G1129,E1129-I1129-F1129-G1129)))</f>
        <v/>
      </c>
    </row>
    <row r="1130" customFormat="false" ht="15" hidden="false" customHeight="false" outlineLevel="0" collapsed="false">
      <c r="A1130" s="12"/>
      <c r="B1130" s="13"/>
      <c r="C1130" s="14"/>
      <c r="D1130" s="13"/>
      <c r="E1130" s="15"/>
      <c r="F1130" s="15"/>
      <c r="G1130" s="15"/>
      <c r="H1130" s="14"/>
      <c r="I1130" s="16" t="str">
        <f aca="false">IF(OR(A1130="",C1130=""),"",IF(OR(H1130="İade",H1130="İptal"),0,E1130*IFERROR(INDEX(Kanallar!$B$5:$B$19,MATCH(C1130,Kanallar!$A$5:$A$19,0)),0)))</f>
        <v/>
      </c>
      <c r="J1130" s="16" t="str">
        <f aca="false">IF(I1130="","",IF(H1130="İptal",0,IF(H1130="İade",-G1130,E1130-I1130-F1130-G1130)))</f>
        <v/>
      </c>
    </row>
    <row r="1131" customFormat="false" ht="15" hidden="false" customHeight="false" outlineLevel="0" collapsed="false">
      <c r="A1131" s="12"/>
      <c r="B1131" s="13"/>
      <c r="C1131" s="14"/>
      <c r="D1131" s="13"/>
      <c r="E1131" s="15"/>
      <c r="F1131" s="15"/>
      <c r="G1131" s="15"/>
      <c r="H1131" s="14"/>
      <c r="I1131" s="16" t="str">
        <f aca="false">IF(OR(A1131="",C1131=""),"",IF(OR(H1131="İade",H1131="İptal"),0,E1131*IFERROR(INDEX(Kanallar!$B$5:$B$19,MATCH(C1131,Kanallar!$A$5:$A$19,0)),0)))</f>
        <v/>
      </c>
      <c r="J1131" s="16" t="str">
        <f aca="false">IF(I1131="","",IF(H1131="İptal",0,IF(H1131="İade",-G1131,E1131-I1131-F1131-G1131)))</f>
        <v/>
      </c>
    </row>
    <row r="1132" customFormat="false" ht="15" hidden="false" customHeight="false" outlineLevel="0" collapsed="false">
      <c r="A1132" s="12"/>
      <c r="B1132" s="13"/>
      <c r="C1132" s="14"/>
      <c r="D1132" s="13"/>
      <c r="E1132" s="15"/>
      <c r="F1132" s="15"/>
      <c r="G1132" s="15"/>
      <c r="H1132" s="14"/>
      <c r="I1132" s="16" t="str">
        <f aca="false">IF(OR(A1132="",C1132=""),"",IF(OR(H1132="İade",H1132="İptal"),0,E1132*IFERROR(INDEX(Kanallar!$B$5:$B$19,MATCH(C1132,Kanallar!$A$5:$A$19,0)),0)))</f>
        <v/>
      </c>
      <c r="J1132" s="16" t="str">
        <f aca="false">IF(I1132="","",IF(H1132="İptal",0,IF(H1132="İade",-G1132,E1132-I1132-F1132-G1132)))</f>
        <v/>
      </c>
    </row>
    <row r="1133" customFormat="false" ht="15" hidden="false" customHeight="false" outlineLevel="0" collapsed="false">
      <c r="A1133" s="12"/>
      <c r="B1133" s="13"/>
      <c r="C1133" s="14"/>
      <c r="D1133" s="13"/>
      <c r="E1133" s="15"/>
      <c r="F1133" s="15"/>
      <c r="G1133" s="15"/>
      <c r="H1133" s="14"/>
      <c r="I1133" s="16" t="str">
        <f aca="false">IF(OR(A1133="",C1133=""),"",IF(OR(H1133="İade",H1133="İptal"),0,E1133*IFERROR(INDEX(Kanallar!$B$5:$B$19,MATCH(C1133,Kanallar!$A$5:$A$19,0)),0)))</f>
        <v/>
      </c>
      <c r="J1133" s="16" t="str">
        <f aca="false">IF(I1133="","",IF(H1133="İptal",0,IF(H1133="İade",-G1133,E1133-I1133-F1133-G1133)))</f>
        <v/>
      </c>
    </row>
    <row r="1134" customFormat="false" ht="15" hidden="false" customHeight="false" outlineLevel="0" collapsed="false">
      <c r="A1134" s="12"/>
      <c r="B1134" s="13"/>
      <c r="C1134" s="14"/>
      <c r="D1134" s="13"/>
      <c r="E1134" s="15"/>
      <c r="F1134" s="15"/>
      <c r="G1134" s="15"/>
      <c r="H1134" s="14"/>
      <c r="I1134" s="16" t="str">
        <f aca="false">IF(OR(A1134="",C1134=""),"",IF(OR(H1134="İade",H1134="İptal"),0,E1134*IFERROR(INDEX(Kanallar!$B$5:$B$19,MATCH(C1134,Kanallar!$A$5:$A$19,0)),0)))</f>
        <v/>
      </c>
      <c r="J1134" s="16" t="str">
        <f aca="false">IF(I1134="","",IF(H1134="İptal",0,IF(H1134="İade",-G1134,E1134-I1134-F1134-G1134)))</f>
        <v/>
      </c>
    </row>
    <row r="1135" customFormat="false" ht="15" hidden="false" customHeight="false" outlineLevel="0" collapsed="false">
      <c r="A1135" s="12"/>
      <c r="B1135" s="13"/>
      <c r="C1135" s="14"/>
      <c r="D1135" s="13"/>
      <c r="E1135" s="15"/>
      <c r="F1135" s="15"/>
      <c r="G1135" s="15"/>
      <c r="H1135" s="14"/>
      <c r="I1135" s="16" t="str">
        <f aca="false">IF(OR(A1135="",C1135=""),"",IF(OR(H1135="İade",H1135="İptal"),0,E1135*IFERROR(INDEX(Kanallar!$B$5:$B$19,MATCH(C1135,Kanallar!$A$5:$A$19,0)),0)))</f>
        <v/>
      </c>
      <c r="J1135" s="16" t="str">
        <f aca="false">IF(I1135="","",IF(H1135="İptal",0,IF(H1135="İade",-G1135,E1135-I1135-F1135-G1135)))</f>
        <v/>
      </c>
    </row>
    <row r="1136" customFormat="false" ht="15" hidden="false" customHeight="false" outlineLevel="0" collapsed="false">
      <c r="A1136" s="12"/>
      <c r="B1136" s="13"/>
      <c r="C1136" s="14"/>
      <c r="D1136" s="13"/>
      <c r="E1136" s="15"/>
      <c r="F1136" s="15"/>
      <c r="G1136" s="15"/>
      <c r="H1136" s="14"/>
      <c r="I1136" s="16" t="str">
        <f aca="false">IF(OR(A1136="",C1136=""),"",IF(OR(H1136="İade",H1136="İptal"),0,E1136*IFERROR(INDEX(Kanallar!$B$5:$B$19,MATCH(C1136,Kanallar!$A$5:$A$19,0)),0)))</f>
        <v/>
      </c>
      <c r="J1136" s="16" t="str">
        <f aca="false">IF(I1136="","",IF(H1136="İptal",0,IF(H1136="İade",-G1136,E1136-I1136-F1136-G1136)))</f>
        <v/>
      </c>
    </row>
    <row r="1137" customFormat="false" ht="15" hidden="false" customHeight="false" outlineLevel="0" collapsed="false">
      <c r="A1137" s="12"/>
      <c r="B1137" s="13"/>
      <c r="C1137" s="14"/>
      <c r="D1137" s="13"/>
      <c r="E1137" s="15"/>
      <c r="F1137" s="15"/>
      <c r="G1137" s="15"/>
      <c r="H1137" s="14"/>
      <c r="I1137" s="16" t="str">
        <f aca="false">IF(OR(A1137="",C1137=""),"",IF(OR(H1137="İade",H1137="İptal"),0,E1137*IFERROR(INDEX(Kanallar!$B$5:$B$19,MATCH(C1137,Kanallar!$A$5:$A$19,0)),0)))</f>
        <v/>
      </c>
      <c r="J1137" s="16" t="str">
        <f aca="false">IF(I1137="","",IF(H1137="İptal",0,IF(H1137="İade",-G1137,E1137-I1137-F1137-G1137)))</f>
        <v/>
      </c>
    </row>
    <row r="1138" customFormat="false" ht="15" hidden="false" customHeight="false" outlineLevel="0" collapsed="false">
      <c r="A1138" s="12"/>
      <c r="B1138" s="13"/>
      <c r="C1138" s="14"/>
      <c r="D1138" s="13"/>
      <c r="E1138" s="15"/>
      <c r="F1138" s="15"/>
      <c r="G1138" s="15"/>
      <c r="H1138" s="14"/>
      <c r="I1138" s="16" t="str">
        <f aca="false">IF(OR(A1138="",C1138=""),"",IF(OR(H1138="İade",H1138="İptal"),0,E1138*IFERROR(INDEX(Kanallar!$B$5:$B$19,MATCH(C1138,Kanallar!$A$5:$A$19,0)),0)))</f>
        <v/>
      </c>
      <c r="J1138" s="16" t="str">
        <f aca="false">IF(I1138="","",IF(H1138="İptal",0,IF(H1138="İade",-G1138,E1138-I1138-F1138-G1138)))</f>
        <v/>
      </c>
    </row>
    <row r="1139" customFormat="false" ht="15" hidden="false" customHeight="false" outlineLevel="0" collapsed="false">
      <c r="A1139" s="12"/>
      <c r="B1139" s="13"/>
      <c r="C1139" s="14"/>
      <c r="D1139" s="13"/>
      <c r="E1139" s="15"/>
      <c r="F1139" s="15"/>
      <c r="G1139" s="15"/>
      <c r="H1139" s="14"/>
      <c r="I1139" s="16" t="str">
        <f aca="false">IF(OR(A1139="",C1139=""),"",IF(OR(H1139="İade",H1139="İptal"),0,E1139*IFERROR(INDEX(Kanallar!$B$5:$B$19,MATCH(C1139,Kanallar!$A$5:$A$19,0)),0)))</f>
        <v/>
      </c>
      <c r="J1139" s="16" t="str">
        <f aca="false">IF(I1139="","",IF(H1139="İptal",0,IF(H1139="İade",-G1139,E1139-I1139-F1139-G1139)))</f>
        <v/>
      </c>
    </row>
    <row r="1140" customFormat="false" ht="15" hidden="false" customHeight="false" outlineLevel="0" collapsed="false">
      <c r="A1140" s="12"/>
      <c r="B1140" s="13"/>
      <c r="C1140" s="14"/>
      <c r="D1140" s="13"/>
      <c r="E1140" s="15"/>
      <c r="F1140" s="15"/>
      <c r="G1140" s="15"/>
      <c r="H1140" s="14"/>
      <c r="I1140" s="16" t="str">
        <f aca="false">IF(OR(A1140="",C1140=""),"",IF(OR(H1140="İade",H1140="İptal"),0,E1140*IFERROR(INDEX(Kanallar!$B$5:$B$19,MATCH(C1140,Kanallar!$A$5:$A$19,0)),0)))</f>
        <v/>
      </c>
      <c r="J1140" s="16" t="str">
        <f aca="false">IF(I1140="","",IF(H1140="İptal",0,IF(H1140="İade",-G1140,E1140-I1140-F1140-G1140)))</f>
        <v/>
      </c>
    </row>
    <row r="1141" customFormat="false" ht="15" hidden="false" customHeight="false" outlineLevel="0" collapsed="false">
      <c r="A1141" s="12"/>
      <c r="B1141" s="13"/>
      <c r="C1141" s="14"/>
      <c r="D1141" s="13"/>
      <c r="E1141" s="15"/>
      <c r="F1141" s="15"/>
      <c r="G1141" s="15"/>
      <c r="H1141" s="14"/>
      <c r="I1141" s="16" t="str">
        <f aca="false">IF(OR(A1141="",C1141=""),"",IF(OR(H1141="İade",H1141="İptal"),0,E1141*IFERROR(INDEX(Kanallar!$B$5:$B$19,MATCH(C1141,Kanallar!$A$5:$A$19,0)),0)))</f>
        <v/>
      </c>
      <c r="J1141" s="16" t="str">
        <f aca="false">IF(I1141="","",IF(H1141="İptal",0,IF(H1141="İade",-G1141,E1141-I1141-F1141-G1141)))</f>
        <v/>
      </c>
    </row>
    <row r="1142" customFormat="false" ht="15" hidden="false" customHeight="false" outlineLevel="0" collapsed="false">
      <c r="A1142" s="12"/>
      <c r="B1142" s="13"/>
      <c r="C1142" s="14"/>
      <c r="D1142" s="13"/>
      <c r="E1142" s="15"/>
      <c r="F1142" s="15"/>
      <c r="G1142" s="15"/>
      <c r="H1142" s="14"/>
      <c r="I1142" s="16" t="str">
        <f aca="false">IF(OR(A1142="",C1142=""),"",IF(OR(H1142="İade",H1142="İptal"),0,E1142*IFERROR(INDEX(Kanallar!$B$5:$B$19,MATCH(C1142,Kanallar!$A$5:$A$19,0)),0)))</f>
        <v/>
      </c>
      <c r="J1142" s="16" t="str">
        <f aca="false">IF(I1142="","",IF(H1142="İptal",0,IF(H1142="İade",-G1142,E1142-I1142-F1142-G1142)))</f>
        <v/>
      </c>
    </row>
    <row r="1143" customFormat="false" ht="15" hidden="false" customHeight="false" outlineLevel="0" collapsed="false">
      <c r="A1143" s="12"/>
      <c r="B1143" s="13"/>
      <c r="C1143" s="14"/>
      <c r="D1143" s="13"/>
      <c r="E1143" s="15"/>
      <c r="F1143" s="15"/>
      <c r="G1143" s="15"/>
      <c r="H1143" s="14"/>
      <c r="I1143" s="16" t="str">
        <f aca="false">IF(OR(A1143="",C1143=""),"",IF(OR(H1143="İade",H1143="İptal"),0,E1143*IFERROR(INDEX(Kanallar!$B$5:$B$19,MATCH(C1143,Kanallar!$A$5:$A$19,0)),0)))</f>
        <v/>
      </c>
      <c r="J1143" s="16" t="str">
        <f aca="false">IF(I1143="","",IF(H1143="İptal",0,IF(H1143="İade",-G1143,E1143-I1143-F1143-G1143)))</f>
        <v/>
      </c>
    </row>
    <row r="1144" customFormat="false" ht="15" hidden="false" customHeight="false" outlineLevel="0" collapsed="false">
      <c r="A1144" s="12"/>
      <c r="B1144" s="13"/>
      <c r="C1144" s="14"/>
      <c r="D1144" s="13"/>
      <c r="E1144" s="15"/>
      <c r="F1144" s="15"/>
      <c r="G1144" s="15"/>
      <c r="H1144" s="14"/>
      <c r="I1144" s="16" t="str">
        <f aca="false">IF(OR(A1144="",C1144=""),"",IF(OR(H1144="İade",H1144="İptal"),0,E1144*IFERROR(INDEX(Kanallar!$B$5:$B$19,MATCH(C1144,Kanallar!$A$5:$A$19,0)),0)))</f>
        <v/>
      </c>
      <c r="J1144" s="16" t="str">
        <f aca="false">IF(I1144="","",IF(H1144="İptal",0,IF(H1144="İade",-G1144,E1144-I1144-F1144-G1144)))</f>
        <v/>
      </c>
    </row>
    <row r="1145" customFormat="false" ht="15" hidden="false" customHeight="false" outlineLevel="0" collapsed="false">
      <c r="A1145" s="12"/>
      <c r="B1145" s="13"/>
      <c r="C1145" s="14"/>
      <c r="D1145" s="13"/>
      <c r="E1145" s="15"/>
      <c r="F1145" s="15"/>
      <c r="G1145" s="15"/>
      <c r="H1145" s="14"/>
      <c r="I1145" s="16" t="str">
        <f aca="false">IF(OR(A1145="",C1145=""),"",IF(OR(H1145="İade",H1145="İptal"),0,E1145*IFERROR(INDEX(Kanallar!$B$5:$B$19,MATCH(C1145,Kanallar!$A$5:$A$19,0)),0)))</f>
        <v/>
      </c>
      <c r="J1145" s="16" t="str">
        <f aca="false">IF(I1145="","",IF(H1145="İptal",0,IF(H1145="İade",-G1145,E1145-I1145-F1145-G1145)))</f>
        <v/>
      </c>
    </row>
    <row r="1146" customFormat="false" ht="15" hidden="false" customHeight="false" outlineLevel="0" collapsed="false">
      <c r="A1146" s="12"/>
      <c r="B1146" s="13"/>
      <c r="C1146" s="14"/>
      <c r="D1146" s="13"/>
      <c r="E1146" s="15"/>
      <c r="F1146" s="15"/>
      <c r="G1146" s="15"/>
      <c r="H1146" s="14"/>
      <c r="I1146" s="16" t="str">
        <f aca="false">IF(OR(A1146="",C1146=""),"",IF(OR(H1146="İade",H1146="İptal"),0,E1146*IFERROR(INDEX(Kanallar!$B$5:$B$19,MATCH(C1146,Kanallar!$A$5:$A$19,0)),0)))</f>
        <v/>
      </c>
      <c r="J1146" s="16" t="str">
        <f aca="false">IF(I1146="","",IF(H1146="İptal",0,IF(H1146="İade",-G1146,E1146-I1146-F1146-G1146)))</f>
        <v/>
      </c>
    </row>
    <row r="1147" customFormat="false" ht="15" hidden="false" customHeight="false" outlineLevel="0" collapsed="false">
      <c r="A1147" s="12"/>
      <c r="B1147" s="13"/>
      <c r="C1147" s="14"/>
      <c r="D1147" s="13"/>
      <c r="E1147" s="15"/>
      <c r="F1147" s="15"/>
      <c r="G1147" s="15"/>
      <c r="H1147" s="14"/>
      <c r="I1147" s="16" t="str">
        <f aca="false">IF(OR(A1147="",C1147=""),"",IF(OR(H1147="İade",H1147="İptal"),0,E1147*IFERROR(INDEX(Kanallar!$B$5:$B$19,MATCH(C1147,Kanallar!$A$5:$A$19,0)),0)))</f>
        <v/>
      </c>
      <c r="J1147" s="16" t="str">
        <f aca="false">IF(I1147="","",IF(H1147="İptal",0,IF(H1147="İade",-G1147,E1147-I1147-F1147-G1147)))</f>
        <v/>
      </c>
    </row>
    <row r="1148" customFormat="false" ht="15" hidden="false" customHeight="false" outlineLevel="0" collapsed="false">
      <c r="A1148" s="12"/>
      <c r="B1148" s="13"/>
      <c r="C1148" s="14"/>
      <c r="D1148" s="13"/>
      <c r="E1148" s="15"/>
      <c r="F1148" s="15"/>
      <c r="G1148" s="15"/>
      <c r="H1148" s="14"/>
      <c r="I1148" s="16" t="str">
        <f aca="false">IF(OR(A1148="",C1148=""),"",IF(OR(H1148="İade",H1148="İptal"),0,E1148*IFERROR(INDEX(Kanallar!$B$5:$B$19,MATCH(C1148,Kanallar!$A$5:$A$19,0)),0)))</f>
        <v/>
      </c>
      <c r="J1148" s="16" t="str">
        <f aca="false">IF(I1148="","",IF(H1148="İptal",0,IF(H1148="İade",-G1148,E1148-I1148-F1148-G1148)))</f>
        <v/>
      </c>
    </row>
    <row r="1149" customFormat="false" ht="15" hidden="false" customHeight="false" outlineLevel="0" collapsed="false">
      <c r="A1149" s="12"/>
      <c r="B1149" s="13"/>
      <c r="C1149" s="14"/>
      <c r="D1149" s="13"/>
      <c r="E1149" s="15"/>
      <c r="F1149" s="15"/>
      <c r="G1149" s="15"/>
      <c r="H1149" s="14"/>
      <c r="I1149" s="16" t="str">
        <f aca="false">IF(OR(A1149="",C1149=""),"",IF(OR(H1149="İade",H1149="İptal"),0,E1149*IFERROR(INDEX(Kanallar!$B$5:$B$19,MATCH(C1149,Kanallar!$A$5:$A$19,0)),0)))</f>
        <v/>
      </c>
      <c r="J1149" s="16" t="str">
        <f aca="false">IF(I1149="","",IF(H1149="İptal",0,IF(H1149="İade",-G1149,E1149-I1149-F1149-G1149)))</f>
        <v/>
      </c>
    </row>
    <row r="1150" customFormat="false" ht="15" hidden="false" customHeight="false" outlineLevel="0" collapsed="false">
      <c r="A1150" s="12"/>
      <c r="B1150" s="13"/>
      <c r="C1150" s="14"/>
      <c r="D1150" s="13"/>
      <c r="E1150" s="15"/>
      <c r="F1150" s="15"/>
      <c r="G1150" s="15"/>
      <c r="H1150" s="14"/>
      <c r="I1150" s="16" t="str">
        <f aca="false">IF(OR(A1150="",C1150=""),"",IF(OR(H1150="İade",H1150="İptal"),0,E1150*IFERROR(INDEX(Kanallar!$B$5:$B$19,MATCH(C1150,Kanallar!$A$5:$A$19,0)),0)))</f>
        <v/>
      </c>
      <c r="J1150" s="16" t="str">
        <f aca="false">IF(I1150="","",IF(H1150="İptal",0,IF(H1150="İade",-G1150,E1150-I1150-F1150-G1150)))</f>
        <v/>
      </c>
    </row>
    <row r="1151" customFormat="false" ht="15" hidden="false" customHeight="false" outlineLevel="0" collapsed="false">
      <c r="A1151" s="12"/>
      <c r="B1151" s="13"/>
      <c r="C1151" s="14"/>
      <c r="D1151" s="13"/>
      <c r="E1151" s="15"/>
      <c r="F1151" s="15"/>
      <c r="G1151" s="15"/>
      <c r="H1151" s="14"/>
      <c r="I1151" s="16" t="str">
        <f aca="false">IF(OR(A1151="",C1151=""),"",IF(OR(H1151="İade",H1151="İptal"),0,E1151*IFERROR(INDEX(Kanallar!$B$5:$B$19,MATCH(C1151,Kanallar!$A$5:$A$19,0)),0)))</f>
        <v/>
      </c>
      <c r="J1151" s="16" t="str">
        <f aca="false">IF(I1151="","",IF(H1151="İptal",0,IF(H1151="İade",-G1151,E1151-I1151-F1151-G1151)))</f>
        <v/>
      </c>
    </row>
    <row r="1152" customFormat="false" ht="15" hidden="false" customHeight="false" outlineLevel="0" collapsed="false">
      <c r="A1152" s="12"/>
      <c r="B1152" s="13"/>
      <c r="C1152" s="14"/>
      <c r="D1152" s="13"/>
      <c r="E1152" s="15"/>
      <c r="F1152" s="15"/>
      <c r="G1152" s="15"/>
      <c r="H1152" s="14"/>
      <c r="I1152" s="16" t="str">
        <f aca="false">IF(OR(A1152="",C1152=""),"",IF(OR(H1152="İade",H1152="İptal"),0,E1152*IFERROR(INDEX(Kanallar!$B$5:$B$19,MATCH(C1152,Kanallar!$A$5:$A$19,0)),0)))</f>
        <v/>
      </c>
      <c r="J1152" s="16" t="str">
        <f aca="false">IF(I1152="","",IF(H1152="İptal",0,IF(H1152="İade",-G1152,E1152-I1152-F1152-G1152)))</f>
        <v/>
      </c>
    </row>
    <row r="1153" customFormat="false" ht="15" hidden="false" customHeight="false" outlineLevel="0" collapsed="false">
      <c r="A1153" s="12"/>
      <c r="B1153" s="13"/>
      <c r="C1153" s="14"/>
      <c r="D1153" s="13"/>
      <c r="E1153" s="15"/>
      <c r="F1153" s="15"/>
      <c r="G1153" s="15"/>
      <c r="H1153" s="14"/>
      <c r="I1153" s="16" t="str">
        <f aca="false">IF(OR(A1153="",C1153=""),"",IF(OR(H1153="İade",H1153="İptal"),0,E1153*IFERROR(INDEX(Kanallar!$B$5:$B$19,MATCH(C1153,Kanallar!$A$5:$A$19,0)),0)))</f>
        <v/>
      </c>
      <c r="J1153" s="16" t="str">
        <f aca="false">IF(I1153="","",IF(H1153="İptal",0,IF(H1153="İade",-G1153,E1153-I1153-F1153-G1153)))</f>
        <v/>
      </c>
    </row>
    <row r="1154" customFormat="false" ht="15" hidden="false" customHeight="false" outlineLevel="0" collapsed="false">
      <c r="A1154" s="12"/>
      <c r="B1154" s="13"/>
      <c r="C1154" s="14"/>
      <c r="D1154" s="13"/>
      <c r="E1154" s="15"/>
      <c r="F1154" s="15"/>
      <c r="G1154" s="15"/>
      <c r="H1154" s="14"/>
      <c r="I1154" s="16" t="str">
        <f aca="false">IF(OR(A1154="",C1154=""),"",IF(OR(H1154="İade",H1154="İptal"),0,E1154*IFERROR(INDEX(Kanallar!$B$5:$B$19,MATCH(C1154,Kanallar!$A$5:$A$19,0)),0)))</f>
        <v/>
      </c>
      <c r="J1154" s="16" t="str">
        <f aca="false">IF(I1154="","",IF(H1154="İptal",0,IF(H1154="İade",-G1154,E1154-I1154-F1154-G1154)))</f>
        <v/>
      </c>
    </row>
    <row r="1155" customFormat="false" ht="15" hidden="false" customHeight="false" outlineLevel="0" collapsed="false">
      <c r="A1155" s="12"/>
      <c r="B1155" s="13"/>
      <c r="C1155" s="14"/>
      <c r="D1155" s="13"/>
      <c r="E1155" s="15"/>
      <c r="F1155" s="15"/>
      <c r="G1155" s="15"/>
      <c r="H1155" s="14"/>
      <c r="I1155" s="16" t="str">
        <f aca="false">IF(OR(A1155="",C1155=""),"",IF(OR(H1155="İade",H1155="İptal"),0,E1155*IFERROR(INDEX(Kanallar!$B$5:$B$19,MATCH(C1155,Kanallar!$A$5:$A$19,0)),0)))</f>
        <v/>
      </c>
      <c r="J1155" s="16" t="str">
        <f aca="false">IF(I1155="","",IF(H1155="İptal",0,IF(H1155="İade",-G1155,E1155-I1155-F1155-G1155)))</f>
        <v/>
      </c>
    </row>
    <row r="1156" customFormat="false" ht="15" hidden="false" customHeight="false" outlineLevel="0" collapsed="false">
      <c r="A1156" s="12"/>
      <c r="B1156" s="13"/>
      <c r="C1156" s="14"/>
      <c r="D1156" s="13"/>
      <c r="E1156" s="15"/>
      <c r="F1156" s="15"/>
      <c r="G1156" s="15"/>
      <c r="H1156" s="14"/>
      <c r="I1156" s="16" t="str">
        <f aca="false">IF(OR(A1156="",C1156=""),"",IF(OR(H1156="İade",H1156="İptal"),0,E1156*IFERROR(INDEX(Kanallar!$B$5:$B$19,MATCH(C1156,Kanallar!$A$5:$A$19,0)),0)))</f>
        <v/>
      </c>
      <c r="J1156" s="16" t="str">
        <f aca="false">IF(I1156="","",IF(H1156="İptal",0,IF(H1156="İade",-G1156,E1156-I1156-F1156-G1156)))</f>
        <v/>
      </c>
    </row>
    <row r="1157" customFormat="false" ht="15" hidden="false" customHeight="false" outlineLevel="0" collapsed="false">
      <c r="A1157" s="12"/>
      <c r="B1157" s="13"/>
      <c r="C1157" s="14"/>
      <c r="D1157" s="13"/>
      <c r="E1157" s="15"/>
      <c r="F1157" s="15"/>
      <c r="G1157" s="15"/>
      <c r="H1157" s="14"/>
      <c r="I1157" s="16" t="str">
        <f aca="false">IF(OR(A1157="",C1157=""),"",IF(OR(H1157="İade",H1157="İptal"),0,E1157*IFERROR(INDEX(Kanallar!$B$5:$B$19,MATCH(C1157,Kanallar!$A$5:$A$19,0)),0)))</f>
        <v/>
      </c>
      <c r="J1157" s="16" t="str">
        <f aca="false">IF(I1157="","",IF(H1157="İptal",0,IF(H1157="İade",-G1157,E1157-I1157-F1157-G1157)))</f>
        <v/>
      </c>
    </row>
    <row r="1158" customFormat="false" ht="15" hidden="false" customHeight="false" outlineLevel="0" collapsed="false">
      <c r="A1158" s="12"/>
      <c r="B1158" s="13"/>
      <c r="C1158" s="14"/>
      <c r="D1158" s="13"/>
      <c r="E1158" s="15"/>
      <c r="F1158" s="15"/>
      <c r="G1158" s="15"/>
      <c r="H1158" s="14"/>
      <c r="I1158" s="16" t="str">
        <f aca="false">IF(OR(A1158="",C1158=""),"",IF(OR(H1158="İade",H1158="İptal"),0,E1158*IFERROR(INDEX(Kanallar!$B$5:$B$19,MATCH(C1158,Kanallar!$A$5:$A$19,0)),0)))</f>
        <v/>
      </c>
      <c r="J1158" s="16" t="str">
        <f aca="false">IF(I1158="","",IF(H1158="İptal",0,IF(H1158="İade",-G1158,E1158-I1158-F1158-G1158)))</f>
        <v/>
      </c>
    </row>
    <row r="1159" customFormat="false" ht="15" hidden="false" customHeight="false" outlineLevel="0" collapsed="false">
      <c r="A1159" s="12"/>
      <c r="B1159" s="13"/>
      <c r="C1159" s="14"/>
      <c r="D1159" s="13"/>
      <c r="E1159" s="15"/>
      <c r="F1159" s="15"/>
      <c r="G1159" s="15"/>
      <c r="H1159" s="14"/>
      <c r="I1159" s="16" t="str">
        <f aca="false">IF(OR(A1159="",C1159=""),"",IF(OR(H1159="İade",H1159="İptal"),0,E1159*IFERROR(INDEX(Kanallar!$B$5:$B$19,MATCH(C1159,Kanallar!$A$5:$A$19,0)),0)))</f>
        <v/>
      </c>
      <c r="J1159" s="16" t="str">
        <f aca="false">IF(I1159="","",IF(H1159="İptal",0,IF(H1159="İade",-G1159,E1159-I1159-F1159-G1159)))</f>
        <v/>
      </c>
    </row>
    <row r="1160" customFormat="false" ht="15" hidden="false" customHeight="false" outlineLevel="0" collapsed="false">
      <c r="A1160" s="12"/>
      <c r="B1160" s="13"/>
      <c r="C1160" s="14"/>
      <c r="D1160" s="13"/>
      <c r="E1160" s="15"/>
      <c r="F1160" s="15"/>
      <c r="G1160" s="15"/>
      <c r="H1160" s="14"/>
      <c r="I1160" s="16" t="str">
        <f aca="false">IF(OR(A1160="",C1160=""),"",IF(OR(H1160="İade",H1160="İptal"),0,E1160*IFERROR(INDEX(Kanallar!$B$5:$B$19,MATCH(C1160,Kanallar!$A$5:$A$19,0)),0)))</f>
        <v/>
      </c>
      <c r="J1160" s="16" t="str">
        <f aca="false">IF(I1160="","",IF(H1160="İptal",0,IF(H1160="İade",-G1160,E1160-I1160-F1160-G1160)))</f>
        <v/>
      </c>
    </row>
    <row r="1161" customFormat="false" ht="15" hidden="false" customHeight="false" outlineLevel="0" collapsed="false">
      <c r="A1161" s="12"/>
      <c r="B1161" s="13"/>
      <c r="C1161" s="14"/>
      <c r="D1161" s="13"/>
      <c r="E1161" s="15"/>
      <c r="F1161" s="15"/>
      <c r="G1161" s="15"/>
      <c r="H1161" s="14"/>
      <c r="I1161" s="16" t="str">
        <f aca="false">IF(OR(A1161="",C1161=""),"",IF(OR(H1161="İade",H1161="İptal"),0,E1161*IFERROR(INDEX(Kanallar!$B$5:$B$19,MATCH(C1161,Kanallar!$A$5:$A$19,0)),0)))</f>
        <v/>
      </c>
      <c r="J1161" s="16" t="str">
        <f aca="false">IF(I1161="","",IF(H1161="İptal",0,IF(H1161="İade",-G1161,E1161-I1161-F1161-G1161)))</f>
        <v/>
      </c>
    </row>
    <row r="1162" customFormat="false" ht="15" hidden="false" customHeight="false" outlineLevel="0" collapsed="false">
      <c r="A1162" s="12"/>
      <c r="B1162" s="13"/>
      <c r="C1162" s="14"/>
      <c r="D1162" s="13"/>
      <c r="E1162" s="15"/>
      <c r="F1162" s="15"/>
      <c r="G1162" s="15"/>
      <c r="H1162" s="14"/>
      <c r="I1162" s="16" t="str">
        <f aca="false">IF(OR(A1162="",C1162=""),"",IF(OR(H1162="İade",H1162="İptal"),0,E1162*IFERROR(INDEX(Kanallar!$B$5:$B$19,MATCH(C1162,Kanallar!$A$5:$A$19,0)),0)))</f>
        <v/>
      </c>
      <c r="J1162" s="16" t="str">
        <f aca="false">IF(I1162="","",IF(H1162="İptal",0,IF(H1162="İade",-G1162,E1162-I1162-F1162-G1162)))</f>
        <v/>
      </c>
    </row>
    <row r="1163" customFormat="false" ht="15" hidden="false" customHeight="false" outlineLevel="0" collapsed="false">
      <c r="A1163" s="12"/>
      <c r="B1163" s="13"/>
      <c r="C1163" s="14"/>
      <c r="D1163" s="13"/>
      <c r="E1163" s="15"/>
      <c r="F1163" s="15"/>
      <c r="G1163" s="15"/>
      <c r="H1163" s="14"/>
      <c r="I1163" s="16" t="str">
        <f aca="false">IF(OR(A1163="",C1163=""),"",IF(OR(H1163="İade",H1163="İptal"),0,E1163*IFERROR(INDEX(Kanallar!$B$5:$B$19,MATCH(C1163,Kanallar!$A$5:$A$19,0)),0)))</f>
        <v/>
      </c>
      <c r="J1163" s="16" t="str">
        <f aca="false">IF(I1163="","",IF(H1163="İptal",0,IF(H1163="İade",-G1163,E1163-I1163-F1163-G1163)))</f>
        <v/>
      </c>
    </row>
    <row r="1164" customFormat="false" ht="15" hidden="false" customHeight="false" outlineLevel="0" collapsed="false">
      <c r="A1164" s="12"/>
      <c r="B1164" s="13"/>
      <c r="C1164" s="14"/>
      <c r="D1164" s="13"/>
      <c r="E1164" s="15"/>
      <c r="F1164" s="15"/>
      <c r="G1164" s="15"/>
      <c r="H1164" s="14"/>
      <c r="I1164" s="16" t="str">
        <f aca="false">IF(OR(A1164="",C1164=""),"",IF(OR(H1164="İade",H1164="İptal"),0,E1164*IFERROR(INDEX(Kanallar!$B$5:$B$19,MATCH(C1164,Kanallar!$A$5:$A$19,0)),0)))</f>
        <v/>
      </c>
      <c r="J1164" s="16" t="str">
        <f aca="false">IF(I1164="","",IF(H1164="İptal",0,IF(H1164="İade",-G1164,E1164-I1164-F1164-G1164)))</f>
        <v/>
      </c>
    </row>
    <row r="1165" customFormat="false" ht="15" hidden="false" customHeight="false" outlineLevel="0" collapsed="false">
      <c r="A1165" s="12"/>
      <c r="B1165" s="13"/>
      <c r="C1165" s="14"/>
      <c r="D1165" s="13"/>
      <c r="E1165" s="15"/>
      <c r="F1165" s="15"/>
      <c r="G1165" s="15"/>
      <c r="H1165" s="14"/>
      <c r="I1165" s="16" t="str">
        <f aca="false">IF(OR(A1165="",C1165=""),"",IF(OR(H1165="İade",H1165="İptal"),0,E1165*IFERROR(INDEX(Kanallar!$B$5:$B$19,MATCH(C1165,Kanallar!$A$5:$A$19,0)),0)))</f>
        <v/>
      </c>
      <c r="J1165" s="16" t="str">
        <f aca="false">IF(I1165="","",IF(H1165="İptal",0,IF(H1165="İade",-G1165,E1165-I1165-F1165-G1165)))</f>
        <v/>
      </c>
    </row>
    <row r="1166" customFormat="false" ht="15" hidden="false" customHeight="false" outlineLevel="0" collapsed="false">
      <c r="A1166" s="12"/>
      <c r="B1166" s="13"/>
      <c r="C1166" s="14"/>
      <c r="D1166" s="13"/>
      <c r="E1166" s="15"/>
      <c r="F1166" s="15"/>
      <c r="G1166" s="15"/>
      <c r="H1166" s="14"/>
      <c r="I1166" s="16" t="str">
        <f aca="false">IF(OR(A1166="",C1166=""),"",IF(OR(H1166="İade",H1166="İptal"),0,E1166*IFERROR(INDEX(Kanallar!$B$5:$B$19,MATCH(C1166,Kanallar!$A$5:$A$19,0)),0)))</f>
        <v/>
      </c>
      <c r="J1166" s="16" t="str">
        <f aca="false">IF(I1166="","",IF(H1166="İptal",0,IF(H1166="İade",-G1166,E1166-I1166-F1166-G1166)))</f>
        <v/>
      </c>
    </row>
    <row r="1167" customFormat="false" ht="15" hidden="false" customHeight="false" outlineLevel="0" collapsed="false">
      <c r="A1167" s="12"/>
      <c r="B1167" s="13"/>
      <c r="C1167" s="14"/>
      <c r="D1167" s="13"/>
      <c r="E1167" s="15"/>
      <c r="F1167" s="15"/>
      <c r="G1167" s="15"/>
      <c r="H1167" s="14"/>
      <c r="I1167" s="16" t="str">
        <f aca="false">IF(OR(A1167="",C1167=""),"",IF(OR(H1167="İade",H1167="İptal"),0,E1167*IFERROR(INDEX(Kanallar!$B$5:$B$19,MATCH(C1167,Kanallar!$A$5:$A$19,0)),0)))</f>
        <v/>
      </c>
      <c r="J1167" s="16" t="str">
        <f aca="false">IF(I1167="","",IF(H1167="İptal",0,IF(H1167="İade",-G1167,E1167-I1167-F1167-G1167)))</f>
        <v/>
      </c>
    </row>
    <row r="1168" customFormat="false" ht="15" hidden="false" customHeight="false" outlineLevel="0" collapsed="false">
      <c r="A1168" s="12"/>
      <c r="B1168" s="13"/>
      <c r="C1168" s="14"/>
      <c r="D1168" s="13"/>
      <c r="E1168" s="15"/>
      <c r="F1168" s="15"/>
      <c r="G1168" s="15"/>
      <c r="H1168" s="14"/>
      <c r="I1168" s="16" t="str">
        <f aca="false">IF(OR(A1168="",C1168=""),"",IF(OR(H1168="İade",H1168="İptal"),0,E1168*IFERROR(INDEX(Kanallar!$B$5:$B$19,MATCH(C1168,Kanallar!$A$5:$A$19,0)),0)))</f>
        <v/>
      </c>
      <c r="J1168" s="16" t="str">
        <f aca="false">IF(I1168="","",IF(H1168="İptal",0,IF(H1168="İade",-G1168,E1168-I1168-F1168-G1168)))</f>
        <v/>
      </c>
    </row>
    <row r="1169" customFormat="false" ht="15" hidden="false" customHeight="false" outlineLevel="0" collapsed="false">
      <c r="A1169" s="12"/>
      <c r="B1169" s="13"/>
      <c r="C1169" s="14"/>
      <c r="D1169" s="13"/>
      <c r="E1169" s="15"/>
      <c r="F1169" s="15"/>
      <c r="G1169" s="15"/>
      <c r="H1169" s="14"/>
      <c r="I1169" s="16" t="str">
        <f aca="false">IF(OR(A1169="",C1169=""),"",IF(OR(H1169="İade",H1169="İptal"),0,E1169*IFERROR(INDEX(Kanallar!$B$5:$B$19,MATCH(C1169,Kanallar!$A$5:$A$19,0)),0)))</f>
        <v/>
      </c>
      <c r="J1169" s="16" t="str">
        <f aca="false">IF(I1169="","",IF(H1169="İptal",0,IF(H1169="İade",-G1169,E1169-I1169-F1169-G1169)))</f>
        <v/>
      </c>
    </row>
    <row r="1170" customFormat="false" ht="15" hidden="false" customHeight="false" outlineLevel="0" collapsed="false">
      <c r="A1170" s="12"/>
      <c r="B1170" s="13"/>
      <c r="C1170" s="14"/>
      <c r="D1170" s="13"/>
      <c r="E1170" s="15"/>
      <c r="F1170" s="15"/>
      <c r="G1170" s="15"/>
      <c r="H1170" s="14"/>
      <c r="I1170" s="16" t="str">
        <f aca="false">IF(OR(A1170="",C1170=""),"",IF(OR(H1170="İade",H1170="İptal"),0,E1170*IFERROR(INDEX(Kanallar!$B$5:$B$19,MATCH(C1170,Kanallar!$A$5:$A$19,0)),0)))</f>
        <v/>
      </c>
      <c r="J1170" s="16" t="str">
        <f aca="false">IF(I1170="","",IF(H1170="İptal",0,IF(H1170="İade",-G1170,E1170-I1170-F1170-G1170)))</f>
        <v/>
      </c>
    </row>
    <row r="1171" customFormat="false" ht="15" hidden="false" customHeight="false" outlineLevel="0" collapsed="false">
      <c r="A1171" s="12"/>
      <c r="B1171" s="13"/>
      <c r="C1171" s="14"/>
      <c r="D1171" s="13"/>
      <c r="E1171" s="15"/>
      <c r="F1171" s="15"/>
      <c r="G1171" s="15"/>
      <c r="H1171" s="14"/>
      <c r="I1171" s="16" t="str">
        <f aca="false">IF(OR(A1171="",C1171=""),"",IF(OR(H1171="İade",H1171="İptal"),0,E1171*IFERROR(INDEX(Kanallar!$B$5:$B$19,MATCH(C1171,Kanallar!$A$5:$A$19,0)),0)))</f>
        <v/>
      </c>
      <c r="J1171" s="16" t="str">
        <f aca="false">IF(I1171="","",IF(H1171="İptal",0,IF(H1171="İade",-G1171,E1171-I1171-F1171-G1171)))</f>
        <v/>
      </c>
    </row>
    <row r="1172" customFormat="false" ht="15" hidden="false" customHeight="false" outlineLevel="0" collapsed="false">
      <c r="A1172" s="12"/>
      <c r="B1172" s="13"/>
      <c r="C1172" s="14"/>
      <c r="D1172" s="13"/>
      <c r="E1172" s="15"/>
      <c r="F1172" s="15"/>
      <c r="G1172" s="15"/>
      <c r="H1172" s="14"/>
      <c r="I1172" s="16" t="str">
        <f aca="false">IF(OR(A1172="",C1172=""),"",IF(OR(H1172="İade",H1172="İptal"),0,E1172*IFERROR(INDEX(Kanallar!$B$5:$B$19,MATCH(C1172,Kanallar!$A$5:$A$19,0)),0)))</f>
        <v/>
      </c>
      <c r="J1172" s="16" t="str">
        <f aca="false">IF(I1172="","",IF(H1172="İptal",0,IF(H1172="İade",-G1172,E1172-I1172-F1172-G1172)))</f>
        <v/>
      </c>
    </row>
    <row r="1173" customFormat="false" ht="15" hidden="false" customHeight="false" outlineLevel="0" collapsed="false">
      <c r="A1173" s="12"/>
      <c r="B1173" s="13"/>
      <c r="C1173" s="14"/>
      <c r="D1173" s="13"/>
      <c r="E1173" s="15"/>
      <c r="F1173" s="15"/>
      <c r="G1173" s="15"/>
      <c r="H1173" s="14"/>
      <c r="I1173" s="16" t="str">
        <f aca="false">IF(OR(A1173="",C1173=""),"",IF(OR(H1173="İade",H1173="İptal"),0,E1173*IFERROR(INDEX(Kanallar!$B$5:$B$19,MATCH(C1173,Kanallar!$A$5:$A$19,0)),0)))</f>
        <v/>
      </c>
      <c r="J1173" s="16" t="str">
        <f aca="false">IF(I1173="","",IF(H1173="İptal",0,IF(H1173="İade",-G1173,E1173-I1173-F1173-G1173)))</f>
        <v/>
      </c>
    </row>
    <row r="1174" customFormat="false" ht="15" hidden="false" customHeight="false" outlineLevel="0" collapsed="false">
      <c r="A1174" s="12"/>
      <c r="B1174" s="13"/>
      <c r="C1174" s="14"/>
      <c r="D1174" s="13"/>
      <c r="E1174" s="15"/>
      <c r="F1174" s="15"/>
      <c r="G1174" s="15"/>
      <c r="H1174" s="14"/>
      <c r="I1174" s="16" t="str">
        <f aca="false">IF(OR(A1174="",C1174=""),"",IF(OR(H1174="İade",H1174="İptal"),0,E1174*IFERROR(INDEX(Kanallar!$B$5:$B$19,MATCH(C1174,Kanallar!$A$5:$A$19,0)),0)))</f>
        <v/>
      </c>
      <c r="J1174" s="16" t="str">
        <f aca="false">IF(I1174="","",IF(H1174="İptal",0,IF(H1174="İade",-G1174,E1174-I1174-F1174-G1174)))</f>
        <v/>
      </c>
    </row>
    <row r="1175" customFormat="false" ht="15" hidden="false" customHeight="false" outlineLevel="0" collapsed="false">
      <c r="A1175" s="12"/>
      <c r="B1175" s="13"/>
      <c r="C1175" s="14"/>
      <c r="D1175" s="13"/>
      <c r="E1175" s="15"/>
      <c r="F1175" s="15"/>
      <c r="G1175" s="15"/>
      <c r="H1175" s="14"/>
      <c r="I1175" s="16" t="str">
        <f aca="false">IF(OR(A1175="",C1175=""),"",IF(OR(H1175="İade",H1175="İptal"),0,E1175*IFERROR(INDEX(Kanallar!$B$5:$B$19,MATCH(C1175,Kanallar!$A$5:$A$19,0)),0)))</f>
        <v/>
      </c>
      <c r="J1175" s="16" t="str">
        <f aca="false">IF(I1175="","",IF(H1175="İptal",0,IF(H1175="İade",-G1175,E1175-I1175-F1175-G1175)))</f>
        <v/>
      </c>
    </row>
    <row r="1176" customFormat="false" ht="15" hidden="false" customHeight="false" outlineLevel="0" collapsed="false">
      <c r="A1176" s="12"/>
      <c r="B1176" s="13"/>
      <c r="C1176" s="14"/>
      <c r="D1176" s="13"/>
      <c r="E1176" s="15"/>
      <c r="F1176" s="15"/>
      <c r="G1176" s="15"/>
      <c r="H1176" s="14"/>
      <c r="I1176" s="16" t="str">
        <f aca="false">IF(OR(A1176="",C1176=""),"",IF(OR(H1176="İade",H1176="İptal"),0,E1176*IFERROR(INDEX(Kanallar!$B$5:$B$19,MATCH(C1176,Kanallar!$A$5:$A$19,0)),0)))</f>
        <v/>
      </c>
      <c r="J1176" s="16" t="str">
        <f aca="false">IF(I1176="","",IF(H1176="İptal",0,IF(H1176="İade",-G1176,E1176-I1176-F1176-G1176)))</f>
        <v/>
      </c>
    </row>
    <row r="1177" customFormat="false" ht="15" hidden="false" customHeight="false" outlineLevel="0" collapsed="false">
      <c r="A1177" s="12"/>
      <c r="B1177" s="13"/>
      <c r="C1177" s="14"/>
      <c r="D1177" s="13"/>
      <c r="E1177" s="15"/>
      <c r="F1177" s="15"/>
      <c r="G1177" s="15"/>
      <c r="H1177" s="14"/>
      <c r="I1177" s="16" t="str">
        <f aca="false">IF(OR(A1177="",C1177=""),"",IF(OR(H1177="İade",H1177="İptal"),0,E1177*IFERROR(INDEX(Kanallar!$B$5:$B$19,MATCH(C1177,Kanallar!$A$5:$A$19,0)),0)))</f>
        <v/>
      </c>
      <c r="J1177" s="16" t="str">
        <f aca="false">IF(I1177="","",IF(H1177="İptal",0,IF(H1177="İade",-G1177,E1177-I1177-F1177-G1177)))</f>
        <v/>
      </c>
    </row>
    <row r="1178" customFormat="false" ht="15" hidden="false" customHeight="false" outlineLevel="0" collapsed="false">
      <c r="A1178" s="12"/>
      <c r="B1178" s="13"/>
      <c r="C1178" s="14"/>
      <c r="D1178" s="13"/>
      <c r="E1178" s="15"/>
      <c r="F1178" s="15"/>
      <c r="G1178" s="15"/>
      <c r="H1178" s="14"/>
      <c r="I1178" s="16" t="str">
        <f aca="false">IF(OR(A1178="",C1178=""),"",IF(OR(H1178="İade",H1178="İptal"),0,E1178*IFERROR(INDEX(Kanallar!$B$5:$B$19,MATCH(C1178,Kanallar!$A$5:$A$19,0)),0)))</f>
        <v/>
      </c>
      <c r="J1178" s="16" t="str">
        <f aca="false">IF(I1178="","",IF(H1178="İptal",0,IF(H1178="İade",-G1178,E1178-I1178-F1178-G1178)))</f>
        <v/>
      </c>
    </row>
    <row r="1179" customFormat="false" ht="15" hidden="false" customHeight="false" outlineLevel="0" collapsed="false">
      <c r="A1179" s="12"/>
      <c r="B1179" s="13"/>
      <c r="C1179" s="14"/>
      <c r="D1179" s="13"/>
      <c r="E1179" s="15"/>
      <c r="F1179" s="15"/>
      <c r="G1179" s="15"/>
      <c r="H1179" s="14"/>
      <c r="I1179" s="16" t="str">
        <f aca="false">IF(OR(A1179="",C1179=""),"",IF(OR(H1179="İade",H1179="İptal"),0,E1179*IFERROR(INDEX(Kanallar!$B$5:$B$19,MATCH(C1179,Kanallar!$A$5:$A$19,0)),0)))</f>
        <v/>
      </c>
      <c r="J1179" s="16" t="str">
        <f aca="false">IF(I1179="","",IF(H1179="İptal",0,IF(H1179="İade",-G1179,E1179-I1179-F1179-G1179)))</f>
        <v/>
      </c>
    </row>
    <row r="1180" customFormat="false" ht="15" hidden="false" customHeight="false" outlineLevel="0" collapsed="false">
      <c r="A1180" s="12"/>
      <c r="B1180" s="13"/>
      <c r="C1180" s="14"/>
      <c r="D1180" s="13"/>
      <c r="E1180" s="15"/>
      <c r="F1180" s="15"/>
      <c r="G1180" s="15"/>
      <c r="H1180" s="14"/>
      <c r="I1180" s="16" t="str">
        <f aca="false">IF(OR(A1180="",C1180=""),"",IF(OR(H1180="İade",H1180="İptal"),0,E1180*IFERROR(INDEX(Kanallar!$B$5:$B$19,MATCH(C1180,Kanallar!$A$5:$A$19,0)),0)))</f>
        <v/>
      </c>
      <c r="J1180" s="16" t="str">
        <f aca="false">IF(I1180="","",IF(H1180="İptal",0,IF(H1180="İade",-G1180,E1180-I1180-F1180-G1180)))</f>
        <v/>
      </c>
    </row>
    <row r="1181" customFormat="false" ht="15" hidden="false" customHeight="false" outlineLevel="0" collapsed="false">
      <c r="A1181" s="12"/>
      <c r="B1181" s="13"/>
      <c r="C1181" s="14"/>
      <c r="D1181" s="13"/>
      <c r="E1181" s="15"/>
      <c r="F1181" s="15"/>
      <c r="G1181" s="15"/>
      <c r="H1181" s="14"/>
      <c r="I1181" s="16" t="str">
        <f aca="false">IF(OR(A1181="",C1181=""),"",IF(OR(H1181="İade",H1181="İptal"),0,E1181*IFERROR(INDEX(Kanallar!$B$5:$B$19,MATCH(C1181,Kanallar!$A$5:$A$19,0)),0)))</f>
        <v/>
      </c>
      <c r="J1181" s="16" t="str">
        <f aca="false">IF(I1181="","",IF(H1181="İptal",0,IF(H1181="İade",-G1181,E1181-I1181-F1181-G1181)))</f>
        <v/>
      </c>
    </row>
    <row r="1182" customFormat="false" ht="15" hidden="false" customHeight="false" outlineLevel="0" collapsed="false">
      <c r="A1182" s="12"/>
      <c r="B1182" s="13"/>
      <c r="C1182" s="14"/>
      <c r="D1182" s="13"/>
      <c r="E1182" s="15"/>
      <c r="F1182" s="15"/>
      <c r="G1182" s="15"/>
      <c r="H1182" s="14"/>
      <c r="I1182" s="16" t="str">
        <f aca="false">IF(OR(A1182="",C1182=""),"",IF(OR(H1182="İade",H1182="İptal"),0,E1182*IFERROR(INDEX(Kanallar!$B$5:$B$19,MATCH(C1182,Kanallar!$A$5:$A$19,0)),0)))</f>
        <v/>
      </c>
      <c r="J1182" s="16" t="str">
        <f aca="false">IF(I1182="","",IF(H1182="İptal",0,IF(H1182="İade",-G1182,E1182-I1182-F1182-G1182)))</f>
        <v/>
      </c>
    </row>
    <row r="1183" customFormat="false" ht="15" hidden="false" customHeight="false" outlineLevel="0" collapsed="false">
      <c r="A1183" s="12"/>
      <c r="B1183" s="13"/>
      <c r="C1183" s="14"/>
      <c r="D1183" s="13"/>
      <c r="E1183" s="15"/>
      <c r="F1183" s="15"/>
      <c r="G1183" s="15"/>
      <c r="H1183" s="14"/>
      <c r="I1183" s="16" t="str">
        <f aca="false">IF(OR(A1183="",C1183=""),"",IF(OR(H1183="İade",H1183="İptal"),0,E1183*IFERROR(INDEX(Kanallar!$B$5:$B$19,MATCH(C1183,Kanallar!$A$5:$A$19,0)),0)))</f>
        <v/>
      </c>
      <c r="J1183" s="16" t="str">
        <f aca="false">IF(I1183="","",IF(H1183="İptal",0,IF(H1183="İade",-G1183,E1183-I1183-F1183-G1183)))</f>
        <v/>
      </c>
    </row>
    <row r="1184" customFormat="false" ht="15" hidden="false" customHeight="false" outlineLevel="0" collapsed="false">
      <c r="A1184" s="12"/>
      <c r="B1184" s="13"/>
      <c r="C1184" s="14"/>
      <c r="D1184" s="13"/>
      <c r="E1184" s="15"/>
      <c r="F1184" s="15"/>
      <c r="G1184" s="15"/>
      <c r="H1184" s="14"/>
      <c r="I1184" s="16" t="str">
        <f aca="false">IF(OR(A1184="",C1184=""),"",IF(OR(H1184="İade",H1184="İptal"),0,E1184*IFERROR(INDEX(Kanallar!$B$5:$B$19,MATCH(C1184,Kanallar!$A$5:$A$19,0)),0)))</f>
        <v/>
      </c>
      <c r="J1184" s="16" t="str">
        <f aca="false">IF(I1184="","",IF(H1184="İptal",0,IF(H1184="İade",-G1184,E1184-I1184-F1184-G1184)))</f>
        <v/>
      </c>
    </row>
    <row r="1185" customFormat="false" ht="15" hidden="false" customHeight="false" outlineLevel="0" collapsed="false">
      <c r="A1185" s="12"/>
      <c r="B1185" s="13"/>
      <c r="C1185" s="14"/>
      <c r="D1185" s="13"/>
      <c r="E1185" s="15"/>
      <c r="F1185" s="15"/>
      <c r="G1185" s="15"/>
      <c r="H1185" s="14"/>
      <c r="I1185" s="16" t="str">
        <f aca="false">IF(OR(A1185="",C1185=""),"",IF(OR(H1185="İade",H1185="İptal"),0,E1185*IFERROR(INDEX(Kanallar!$B$5:$B$19,MATCH(C1185,Kanallar!$A$5:$A$19,0)),0)))</f>
        <v/>
      </c>
      <c r="J1185" s="16" t="str">
        <f aca="false">IF(I1185="","",IF(H1185="İptal",0,IF(H1185="İade",-G1185,E1185-I1185-F1185-G1185)))</f>
        <v/>
      </c>
    </row>
    <row r="1186" customFormat="false" ht="15" hidden="false" customHeight="false" outlineLevel="0" collapsed="false">
      <c r="A1186" s="12"/>
      <c r="B1186" s="13"/>
      <c r="C1186" s="14"/>
      <c r="D1186" s="13"/>
      <c r="E1186" s="15"/>
      <c r="F1186" s="15"/>
      <c r="G1186" s="15"/>
      <c r="H1186" s="14"/>
      <c r="I1186" s="16" t="str">
        <f aca="false">IF(OR(A1186="",C1186=""),"",IF(OR(H1186="İade",H1186="İptal"),0,E1186*IFERROR(INDEX(Kanallar!$B$5:$B$19,MATCH(C1186,Kanallar!$A$5:$A$19,0)),0)))</f>
        <v/>
      </c>
      <c r="J1186" s="16" t="str">
        <f aca="false">IF(I1186="","",IF(H1186="İptal",0,IF(H1186="İade",-G1186,E1186-I1186-F1186-G1186)))</f>
        <v/>
      </c>
    </row>
    <row r="1187" customFormat="false" ht="15" hidden="false" customHeight="false" outlineLevel="0" collapsed="false">
      <c r="A1187" s="12"/>
      <c r="B1187" s="13"/>
      <c r="C1187" s="14"/>
      <c r="D1187" s="13"/>
      <c r="E1187" s="15"/>
      <c r="F1187" s="15"/>
      <c r="G1187" s="15"/>
      <c r="H1187" s="14"/>
      <c r="I1187" s="16" t="str">
        <f aca="false">IF(OR(A1187="",C1187=""),"",IF(OR(H1187="İade",H1187="İptal"),0,E1187*IFERROR(INDEX(Kanallar!$B$5:$B$19,MATCH(C1187,Kanallar!$A$5:$A$19,0)),0)))</f>
        <v/>
      </c>
      <c r="J1187" s="16" t="str">
        <f aca="false">IF(I1187="","",IF(H1187="İptal",0,IF(H1187="İade",-G1187,E1187-I1187-F1187-G1187)))</f>
        <v/>
      </c>
    </row>
    <row r="1188" customFormat="false" ht="15" hidden="false" customHeight="false" outlineLevel="0" collapsed="false">
      <c r="A1188" s="12"/>
      <c r="B1188" s="13"/>
      <c r="C1188" s="14"/>
      <c r="D1188" s="13"/>
      <c r="E1188" s="15"/>
      <c r="F1188" s="15"/>
      <c r="G1188" s="15"/>
      <c r="H1188" s="14"/>
      <c r="I1188" s="16" t="str">
        <f aca="false">IF(OR(A1188="",C1188=""),"",IF(OR(H1188="İade",H1188="İptal"),0,E1188*IFERROR(INDEX(Kanallar!$B$5:$B$19,MATCH(C1188,Kanallar!$A$5:$A$19,0)),0)))</f>
        <v/>
      </c>
      <c r="J1188" s="16" t="str">
        <f aca="false">IF(I1188="","",IF(H1188="İptal",0,IF(H1188="İade",-G1188,E1188-I1188-F1188-G1188)))</f>
        <v/>
      </c>
    </row>
    <row r="1189" customFormat="false" ht="15" hidden="false" customHeight="false" outlineLevel="0" collapsed="false">
      <c r="A1189" s="12"/>
      <c r="B1189" s="13"/>
      <c r="C1189" s="14"/>
      <c r="D1189" s="13"/>
      <c r="E1189" s="15"/>
      <c r="F1189" s="15"/>
      <c r="G1189" s="15"/>
      <c r="H1189" s="14"/>
      <c r="I1189" s="16" t="str">
        <f aca="false">IF(OR(A1189="",C1189=""),"",IF(OR(H1189="İade",H1189="İptal"),0,E1189*IFERROR(INDEX(Kanallar!$B$5:$B$19,MATCH(C1189,Kanallar!$A$5:$A$19,0)),0)))</f>
        <v/>
      </c>
      <c r="J1189" s="16" t="str">
        <f aca="false">IF(I1189="","",IF(H1189="İptal",0,IF(H1189="İade",-G1189,E1189-I1189-F1189-G1189)))</f>
        <v/>
      </c>
    </row>
    <row r="1190" customFormat="false" ht="15" hidden="false" customHeight="false" outlineLevel="0" collapsed="false">
      <c r="A1190" s="12"/>
      <c r="B1190" s="13"/>
      <c r="C1190" s="14"/>
      <c r="D1190" s="13"/>
      <c r="E1190" s="15"/>
      <c r="F1190" s="15"/>
      <c r="G1190" s="15"/>
      <c r="H1190" s="14"/>
      <c r="I1190" s="16" t="str">
        <f aca="false">IF(OR(A1190="",C1190=""),"",IF(OR(H1190="İade",H1190="İptal"),0,E1190*IFERROR(INDEX(Kanallar!$B$5:$B$19,MATCH(C1190,Kanallar!$A$5:$A$19,0)),0)))</f>
        <v/>
      </c>
      <c r="J1190" s="16" t="str">
        <f aca="false">IF(I1190="","",IF(H1190="İptal",0,IF(H1190="İade",-G1190,E1190-I1190-F1190-G1190)))</f>
        <v/>
      </c>
    </row>
    <row r="1191" customFormat="false" ht="15" hidden="false" customHeight="false" outlineLevel="0" collapsed="false">
      <c r="A1191" s="12"/>
      <c r="B1191" s="13"/>
      <c r="C1191" s="14"/>
      <c r="D1191" s="13"/>
      <c r="E1191" s="15"/>
      <c r="F1191" s="15"/>
      <c r="G1191" s="15"/>
      <c r="H1191" s="14"/>
      <c r="I1191" s="16" t="str">
        <f aca="false">IF(OR(A1191="",C1191=""),"",IF(OR(H1191="İade",H1191="İptal"),0,E1191*IFERROR(INDEX(Kanallar!$B$5:$B$19,MATCH(C1191,Kanallar!$A$5:$A$19,0)),0)))</f>
        <v/>
      </c>
      <c r="J1191" s="16" t="str">
        <f aca="false">IF(I1191="","",IF(H1191="İptal",0,IF(H1191="İade",-G1191,E1191-I1191-F1191-G1191)))</f>
        <v/>
      </c>
    </row>
    <row r="1192" customFormat="false" ht="15" hidden="false" customHeight="false" outlineLevel="0" collapsed="false">
      <c r="A1192" s="12"/>
      <c r="B1192" s="13"/>
      <c r="C1192" s="14"/>
      <c r="D1192" s="13"/>
      <c r="E1192" s="15"/>
      <c r="F1192" s="15"/>
      <c r="G1192" s="15"/>
      <c r="H1192" s="14"/>
      <c r="I1192" s="16" t="str">
        <f aca="false">IF(OR(A1192="",C1192=""),"",IF(OR(H1192="İade",H1192="İptal"),0,E1192*IFERROR(INDEX(Kanallar!$B$5:$B$19,MATCH(C1192,Kanallar!$A$5:$A$19,0)),0)))</f>
        <v/>
      </c>
      <c r="J1192" s="16" t="str">
        <f aca="false">IF(I1192="","",IF(H1192="İptal",0,IF(H1192="İade",-G1192,E1192-I1192-F1192-G1192)))</f>
        <v/>
      </c>
    </row>
    <row r="1193" customFormat="false" ht="15" hidden="false" customHeight="false" outlineLevel="0" collapsed="false">
      <c r="A1193" s="12"/>
      <c r="B1193" s="13"/>
      <c r="C1193" s="14"/>
      <c r="D1193" s="13"/>
      <c r="E1193" s="15"/>
      <c r="F1193" s="15"/>
      <c r="G1193" s="15"/>
      <c r="H1193" s="14"/>
      <c r="I1193" s="16" t="str">
        <f aca="false">IF(OR(A1193="",C1193=""),"",IF(OR(H1193="İade",H1193="İptal"),0,E1193*IFERROR(INDEX(Kanallar!$B$5:$B$19,MATCH(C1193,Kanallar!$A$5:$A$19,0)),0)))</f>
        <v/>
      </c>
      <c r="J1193" s="16" t="str">
        <f aca="false">IF(I1193="","",IF(H1193="İptal",0,IF(H1193="İade",-G1193,E1193-I1193-F1193-G1193)))</f>
        <v/>
      </c>
    </row>
    <row r="1194" customFormat="false" ht="15" hidden="false" customHeight="false" outlineLevel="0" collapsed="false">
      <c r="A1194" s="12"/>
      <c r="B1194" s="13"/>
      <c r="C1194" s="14"/>
      <c r="D1194" s="13"/>
      <c r="E1194" s="15"/>
      <c r="F1194" s="15"/>
      <c r="G1194" s="15"/>
      <c r="H1194" s="14"/>
      <c r="I1194" s="16" t="str">
        <f aca="false">IF(OR(A1194="",C1194=""),"",IF(OR(H1194="İade",H1194="İptal"),0,E1194*IFERROR(INDEX(Kanallar!$B$5:$B$19,MATCH(C1194,Kanallar!$A$5:$A$19,0)),0)))</f>
        <v/>
      </c>
      <c r="J1194" s="16" t="str">
        <f aca="false">IF(I1194="","",IF(H1194="İptal",0,IF(H1194="İade",-G1194,E1194-I1194-F1194-G1194)))</f>
        <v/>
      </c>
    </row>
    <row r="1195" customFormat="false" ht="15" hidden="false" customHeight="false" outlineLevel="0" collapsed="false">
      <c r="A1195" s="12"/>
      <c r="B1195" s="13"/>
      <c r="C1195" s="14"/>
      <c r="D1195" s="13"/>
      <c r="E1195" s="15"/>
      <c r="F1195" s="15"/>
      <c r="G1195" s="15"/>
      <c r="H1195" s="14"/>
      <c r="I1195" s="16" t="str">
        <f aca="false">IF(OR(A1195="",C1195=""),"",IF(OR(H1195="İade",H1195="İptal"),0,E1195*IFERROR(INDEX(Kanallar!$B$5:$B$19,MATCH(C1195,Kanallar!$A$5:$A$19,0)),0)))</f>
        <v/>
      </c>
      <c r="J1195" s="16" t="str">
        <f aca="false">IF(I1195="","",IF(H1195="İptal",0,IF(H1195="İade",-G1195,E1195-I1195-F1195-G1195)))</f>
        <v/>
      </c>
    </row>
    <row r="1196" customFormat="false" ht="15" hidden="false" customHeight="false" outlineLevel="0" collapsed="false">
      <c r="A1196" s="12"/>
      <c r="B1196" s="13"/>
      <c r="C1196" s="14"/>
      <c r="D1196" s="13"/>
      <c r="E1196" s="15"/>
      <c r="F1196" s="15"/>
      <c r="G1196" s="15"/>
      <c r="H1196" s="14"/>
      <c r="I1196" s="16" t="str">
        <f aca="false">IF(OR(A1196="",C1196=""),"",IF(OR(H1196="İade",H1196="İptal"),0,E1196*IFERROR(INDEX(Kanallar!$B$5:$B$19,MATCH(C1196,Kanallar!$A$5:$A$19,0)),0)))</f>
        <v/>
      </c>
      <c r="J1196" s="16" t="str">
        <f aca="false">IF(I1196="","",IF(H1196="İptal",0,IF(H1196="İade",-G1196,E1196-I1196-F1196-G1196)))</f>
        <v/>
      </c>
    </row>
    <row r="1197" customFormat="false" ht="15" hidden="false" customHeight="false" outlineLevel="0" collapsed="false">
      <c r="A1197" s="12"/>
      <c r="B1197" s="13"/>
      <c r="C1197" s="14"/>
      <c r="D1197" s="13"/>
      <c r="E1197" s="15"/>
      <c r="F1197" s="15"/>
      <c r="G1197" s="15"/>
      <c r="H1197" s="14"/>
      <c r="I1197" s="16" t="str">
        <f aca="false">IF(OR(A1197="",C1197=""),"",IF(OR(H1197="İade",H1197="İptal"),0,E1197*IFERROR(INDEX(Kanallar!$B$5:$B$19,MATCH(C1197,Kanallar!$A$5:$A$19,0)),0)))</f>
        <v/>
      </c>
      <c r="J1197" s="16" t="str">
        <f aca="false">IF(I1197="","",IF(H1197="İptal",0,IF(H1197="İade",-G1197,E1197-I1197-F1197-G1197)))</f>
        <v/>
      </c>
    </row>
    <row r="1198" customFormat="false" ht="15" hidden="false" customHeight="false" outlineLevel="0" collapsed="false">
      <c r="A1198" s="12"/>
      <c r="B1198" s="13"/>
      <c r="C1198" s="14"/>
      <c r="D1198" s="13"/>
      <c r="E1198" s="15"/>
      <c r="F1198" s="15"/>
      <c r="G1198" s="15"/>
      <c r="H1198" s="14"/>
      <c r="I1198" s="16" t="str">
        <f aca="false">IF(OR(A1198="",C1198=""),"",IF(OR(H1198="İade",H1198="İptal"),0,E1198*IFERROR(INDEX(Kanallar!$B$5:$B$19,MATCH(C1198,Kanallar!$A$5:$A$19,0)),0)))</f>
        <v/>
      </c>
      <c r="J1198" s="16" t="str">
        <f aca="false">IF(I1198="","",IF(H1198="İptal",0,IF(H1198="İade",-G1198,E1198-I1198-F1198-G1198)))</f>
        <v/>
      </c>
    </row>
    <row r="1199" customFormat="false" ht="15" hidden="false" customHeight="false" outlineLevel="0" collapsed="false">
      <c r="A1199" s="12"/>
      <c r="B1199" s="13"/>
      <c r="C1199" s="14"/>
      <c r="D1199" s="13"/>
      <c r="E1199" s="15"/>
      <c r="F1199" s="15"/>
      <c r="G1199" s="15"/>
      <c r="H1199" s="14"/>
      <c r="I1199" s="16" t="str">
        <f aca="false">IF(OR(A1199="",C1199=""),"",IF(OR(H1199="İade",H1199="İptal"),0,E1199*IFERROR(INDEX(Kanallar!$B$5:$B$19,MATCH(C1199,Kanallar!$A$5:$A$19,0)),0)))</f>
        <v/>
      </c>
      <c r="J1199" s="16" t="str">
        <f aca="false">IF(I1199="","",IF(H1199="İptal",0,IF(H1199="İade",-G1199,E1199-I1199-F1199-G1199)))</f>
        <v/>
      </c>
    </row>
    <row r="1200" customFormat="false" ht="15" hidden="false" customHeight="false" outlineLevel="0" collapsed="false">
      <c r="A1200" s="12"/>
      <c r="B1200" s="13"/>
      <c r="C1200" s="14"/>
      <c r="D1200" s="13"/>
      <c r="E1200" s="15"/>
      <c r="F1200" s="15"/>
      <c r="G1200" s="15"/>
      <c r="H1200" s="14"/>
      <c r="I1200" s="16" t="str">
        <f aca="false">IF(OR(A1200="",C1200=""),"",IF(OR(H1200="İade",H1200="İptal"),0,E1200*IFERROR(INDEX(Kanallar!$B$5:$B$19,MATCH(C1200,Kanallar!$A$5:$A$19,0)),0)))</f>
        <v/>
      </c>
      <c r="J1200" s="16" t="str">
        <f aca="false">IF(I1200="","",IF(H1200="İptal",0,IF(H1200="İade",-G1200,E1200-I1200-F1200-G1200)))</f>
        <v/>
      </c>
    </row>
    <row r="1201" customFormat="false" ht="15" hidden="false" customHeight="false" outlineLevel="0" collapsed="false">
      <c r="A1201" s="12"/>
      <c r="B1201" s="13"/>
      <c r="C1201" s="14"/>
      <c r="D1201" s="13"/>
      <c r="E1201" s="15"/>
      <c r="F1201" s="15"/>
      <c r="G1201" s="15"/>
      <c r="H1201" s="14"/>
      <c r="I1201" s="16" t="str">
        <f aca="false">IF(OR(A1201="",C1201=""),"",IF(OR(H1201="İade",H1201="İptal"),0,E1201*IFERROR(INDEX(Kanallar!$B$5:$B$19,MATCH(C1201,Kanallar!$A$5:$A$19,0)),0)))</f>
        <v/>
      </c>
      <c r="J1201" s="16" t="str">
        <f aca="false">IF(I1201="","",IF(H1201="İptal",0,IF(H1201="İade",-G1201,E1201-I1201-F1201-G1201)))</f>
        <v/>
      </c>
    </row>
    <row r="1202" customFormat="false" ht="15" hidden="false" customHeight="false" outlineLevel="0" collapsed="false">
      <c r="A1202" s="12"/>
      <c r="B1202" s="13"/>
      <c r="C1202" s="14"/>
      <c r="D1202" s="13"/>
      <c r="E1202" s="15"/>
      <c r="F1202" s="15"/>
      <c r="G1202" s="15"/>
      <c r="H1202" s="14"/>
      <c r="I1202" s="16" t="str">
        <f aca="false">IF(OR(A1202="",C1202=""),"",IF(OR(H1202="İade",H1202="İptal"),0,E1202*IFERROR(INDEX(Kanallar!$B$5:$B$19,MATCH(C1202,Kanallar!$A$5:$A$19,0)),0)))</f>
        <v/>
      </c>
      <c r="J1202" s="16" t="str">
        <f aca="false">IF(I1202="","",IF(H1202="İptal",0,IF(H1202="İade",-G1202,E1202-I1202-F1202-G1202)))</f>
        <v/>
      </c>
    </row>
    <row r="1203" customFormat="false" ht="15" hidden="false" customHeight="false" outlineLevel="0" collapsed="false">
      <c r="A1203" s="12"/>
      <c r="B1203" s="13"/>
      <c r="C1203" s="14"/>
      <c r="D1203" s="13"/>
      <c r="E1203" s="15"/>
      <c r="F1203" s="15"/>
      <c r="G1203" s="15"/>
      <c r="H1203" s="14"/>
      <c r="I1203" s="16" t="str">
        <f aca="false">IF(OR(A1203="",C1203=""),"",IF(OR(H1203="İade",H1203="İptal"),0,E1203*IFERROR(INDEX(Kanallar!$B$5:$B$19,MATCH(C1203,Kanallar!$A$5:$A$19,0)),0)))</f>
        <v/>
      </c>
      <c r="J1203" s="16" t="str">
        <f aca="false">IF(I1203="","",IF(H1203="İptal",0,IF(H1203="İade",-G1203,E1203-I1203-F1203-G1203)))</f>
        <v/>
      </c>
    </row>
    <row r="1204" customFormat="false" ht="15" hidden="false" customHeight="false" outlineLevel="0" collapsed="false">
      <c r="A1204" s="12"/>
      <c r="B1204" s="13"/>
      <c r="C1204" s="14"/>
      <c r="D1204" s="13"/>
      <c r="E1204" s="15"/>
      <c r="F1204" s="15"/>
      <c r="G1204" s="15"/>
      <c r="H1204" s="14"/>
      <c r="I1204" s="16" t="str">
        <f aca="false">IF(OR(A1204="",C1204=""),"",IF(OR(H1204="İade",H1204="İptal"),0,E1204*IFERROR(INDEX(Kanallar!$B$5:$B$19,MATCH(C1204,Kanallar!$A$5:$A$19,0)),0)))</f>
        <v/>
      </c>
      <c r="J1204" s="16" t="str">
        <f aca="false">IF(I1204="","",IF(H1204="İptal",0,IF(H1204="İade",-G1204,E1204-I1204-F1204-G1204)))</f>
        <v/>
      </c>
    </row>
    <row r="1205" customFormat="false" ht="15" hidden="false" customHeight="false" outlineLevel="0" collapsed="false">
      <c r="A1205" s="12"/>
      <c r="B1205" s="13"/>
      <c r="C1205" s="14"/>
      <c r="D1205" s="13"/>
      <c r="E1205" s="15"/>
      <c r="F1205" s="15"/>
      <c r="G1205" s="15"/>
      <c r="H1205" s="14"/>
      <c r="I1205" s="16" t="str">
        <f aca="false">IF(OR(A1205="",C1205=""),"",IF(OR(H1205="İade",H1205="İptal"),0,E1205*IFERROR(INDEX(Kanallar!$B$5:$B$19,MATCH(C1205,Kanallar!$A$5:$A$19,0)),0)))</f>
        <v/>
      </c>
      <c r="J1205" s="16" t="str">
        <f aca="false">IF(I1205="","",IF(H1205="İptal",0,IF(H1205="İade",-G1205,E1205-I1205-F1205-G1205)))</f>
        <v/>
      </c>
    </row>
    <row r="1206" customFormat="false" ht="15" hidden="false" customHeight="false" outlineLevel="0" collapsed="false">
      <c r="A1206" s="12"/>
      <c r="B1206" s="13"/>
      <c r="C1206" s="14"/>
      <c r="D1206" s="13"/>
      <c r="E1206" s="15"/>
      <c r="F1206" s="15"/>
      <c r="G1206" s="15"/>
      <c r="H1206" s="14"/>
      <c r="I1206" s="16" t="str">
        <f aca="false">IF(OR(A1206="",C1206=""),"",IF(OR(H1206="İade",H1206="İptal"),0,E1206*IFERROR(INDEX(Kanallar!$B$5:$B$19,MATCH(C1206,Kanallar!$A$5:$A$19,0)),0)))</f>
        <v/>
      </c>
      <c r="J1206" s="16" t="str">
        <f aca="false">IF(I1206="","",IF(H1206="İptal",0,IF(H1206="İade",-G1206,E1206-I1206-F1206-G1206)))</f>
        <v/>
      </c>
    </row>
    <row r="1207" customFormat="false" ht="15" hidden="false" customHeight="false" outlineLevel="0" collapsed="false">
      <c r="A1207" s="12"/>
      <c r="B1207" s="13"/>
      <c r="C1207" s="14"/>
      <c r="D1207" s="13"/>
      <c r="E1207" s="15"/>
      <c r="F1207" s="15"/>
      <c r="G1207" s="15"/>
      <c r="H1207" s="14"/>
      <c r="I1207" s="16" t="str">
        <f aca="false">IF(OR(A1207="",C1207=""),"",IF(OR(H1207="İade",H1207="İptal"),0,E1207*IFERROR(INDEX(Kanallar!$B$5:$B$19,MATCH(C1207,Kanallar!$A$5:$A$19,0)),0)))</f>
        <v/>
      </c>
      <c r="J1207" s="16" t="str">
        <f aca="false">IF(I1207="","",IF(H1207="İptal",0,IF(H1207="İade",-G1207,E1207-I1207-F1207-G1207)))</f>
        <v/>
      </c>
    </row>
    <row r="1208" customFormat="false" ht="15" hidden="false" customHeight="false" outlineLevel="0" collapsed="false">
      <c r="A1208" s="12"/>
      <c r="B1208" s="13"/>
      <c r="C1208" s="14"/>
      <c r="D1208" s="13"/>
      <c r="E1208" s="15"/>
      <c r="F1208" s="15"/>
      <c r="G1208" s="15"/>
      <c r="H1208" s="14"/>
      <c r="I1208" s="16" t="str">
        <f aca="false">IF(OR(A1208="",C1208=""),"",IF(OR(H1208="İade",H1208="İptal"),0,E1208*IFERROR(INDEX(Kanallar!$B$5:$B$19,MATCH(C1208,Kanallar!$A$5:$A$19,0)),0)))</f>
        <v/>
      </c>
      <c r="J1208" s="16" t="str">
        <f aca="false">IF(I1208="","",IF(H1208="İptal",0,IF(H1208="İade",-G1208,E1208-I1208-F1208-G1208)))</f>
        <v/>
      </c>
    </row>
    <row r="1209" customFormat="false" ht="15" hidden="false" customHeight="false" outlineLevel="0" collapsed="false">
      <c r="A1209" s="12"/>
      <c r="B1209" s="13"/>
      <c r="C1209" s="14"/>
      <c r="D1209" s="13"/>
      <c r="E1209" s="15"/>
      <c r="F1209" s="15"/>
      <c r="G1209" s="15"/>
      <c r="H1209" s="14"/>
      <c r="I1209" s="16" t="str">
        <f aca="false">IF(OR(A1209="",C1209=""),"",IF(OR(H1209="İade",H1209="İptal"),0,E1209*IFERROR(INDEX(Kanallar!$B$5:$B$19,MATCH(C1209,Kanallar!$A$5:$A$19,0)),0)))</f>
        <v/>
      </c>
      <c r="J1209" s="16" t="str">
        <f aca="false">IF(I1209="","",IF(H1209="İptal",0,IF(H1209="İade",-G1209,E1209-I1209-F1209-G1209)))</f>
        <v/>
      </c>
    </row>
    <row r="1210" customFormat="false" ht="15" hidden="false" customHeight="false" outlineLevel="0" collapsed="false">
      <c r="A1210" s="12"/>
      <c r="B1210" s="13"/>
      <c r="C1210" s="14"/>
      <c r="D1210" s="13"/>
      <c r="E1210" s="15"/>
      <c r="F1210" s="15"/>
      <c r="G1210" s="15"/>
      <c r="H1210" s="14"/>
      <c r="I1210" s="16" t="str">
        <f aca="false">IF(OR(A1210="",C1210=""),"",IF(OR(H1210="İade",H1210="İptal"),0,E1210*IFERROR(INDEX(Kanallar!$B$5:$B$19,MATCH(C1210,Kanallar!$A$5:$A$19,0)),0)))</f>
        <v/>
      </c>
      <c r="J1210" s="16" t="str">
        <f aca="false">IF(I1210="","",IF(H1210="İptal",0,IF(H1210="İade",-G1210,E1210-I1210-F1210-G1210)))</f>
        <v/>
      </c>
    </row>
    <row r="1211" customFormat="false" ht="15" hidden="false" customHeight="false" outlineLevel="0" collapsed="false">
      <c r="A1211" s="12"/>
      <c r="B1211" s="13"/>
      <c r="C1211" s="14"/>
      <c r="D1211" s="13"/>
      <c r="E1211" s="15"/>
      <c r="F1211" s="15"/>
      <c r="G1211" s="15"/>
      <c r="H1211" s="14"/>
      <c r="I1211" s="16" t="str">
        <f aca="false">IF(OR(A1211="",C1211=""),"",IF(OR(H1211="İade",H1211="İptal"),0,E1211*IFERROR(INDEX(Kanallar!$B$5:$B$19,MATCH(C1211,Kanallar!$A$5:$A$19,0)),0)))</f>
        <v/>
      </c>
      <c r="J1211" s="16" t="str">
        <f aca="false">IF(I1211="","",IF(H1211="İptal",0,IF(H1211="İade",-G1211,E1211-I1211-F1211-G1211)))</f>
        <v/>
      </c>
    </row>
    <row r="1212" customFormat="false" ht="15" hidden="false" customHeight="false" outlineLevel="0" collapsed="false">
      <c r="A1212" s="12"/>
      <c r="B1212" s="13"/>
      <c r="C1212" s="14"/>
      <c r="D1212" s="13"/>
      <c r="E1212" s="15"/>
      <c r="F1212" s="15"/>
      <c r="G1212" s="15"/>
      <c r="H1212" s="14"/>
      <c r="I1212" s="16" t="str">
        <f aca="false">IF(OR(A1212="",C1212=""),"",IF(OR(H1212="İade",H1212="İptal"),0,E1212*IFERROR(INDEX(Kanallar!$B$5:$B$19,MATCH(C1212,Kanallar!$A$5:$A$19,0)),0)))</f>
        <v/>
      </c>
      <c r="J1212" s="16" t="str">
        <f aca="false">IF(I1212="","",IF(H1212="İptal",0,IF(H1212="İade",-G1212,E1212-I1212-F1212-G1212)))</f>
        <v/>
      </c>
    </row>
    <row r="1213" customFormat="false" ht="15" hidden="false" customHeight="false" outlineLevel="0" collapsed="false">
      <c r="A1213" s="12"/>
      <c r="B1213" s="13"/>
      <c r="C1213" s="14"/>
      <c r="D1213" s="13"/>
      <c r="E1213" s="15"/>
      <c r="F1213" s="15"/>
      <c r="G1213" s="15"/>
      <c r="H1213" s="14"/>
      <c r="I1213" s="16" t="str">
        <f aca="false">IF(OR(A1213="",C1213=""),"",IF(OR(H1213="İade",H1213="İptal"),0,E1213*IFERROR(INDEX(Kanallar!$B$5:$B$19,MATCH(C1213,Kanallar!$A$5:$A$19,0)),0)))</f>
        <v/>
      </c>
      <c r="J1213" s="16" t="str">
        <f aca="false">IF(I1213="","",IF(H1213="İptal",0,IF(H1213="İade",-G1213,E1213-I1213-F1213-G1213)))</f>
        <v/>
      </c>
    </row>
    <row r="1214" customFormat="false" ht="15" hidden="false" customHeight="false" outlineLevel="0" collapsed="false">
      <c r="A1214" s="12"/>
      <c r="B1214" s="13"/>
      <c r="C1214" s="14"/>
      <c r="D1214" s="13"/>
      <c r="E1214" s="15"/>
      <c r="F1214" s="15"/>
      <c r="G1214" s="15"/>
      <c r="H1214" s="14"/>
      <c r="I1214" s="16" t="str">
        <f aca="false">IF(OR(A1214="",C1214=""),"",IF(OR(H1214="İade",H1214="İptal"),0,E1214*IFERROR(INDEX(Kanallar!$B$5:$B$19,MATCH(C1214,Kanallar!$A$5:$A$19,0)),0)))</f>
        <v/>
      </c>
      <c r="J1214" s="16" t="str">
        <f aca="false">IF(I1214="","",IF(H1214="İptal",0,IF(H1214="İade",-G1214,E1214-I1214-F1214-G1214)))</f>
        <v/>
      </c>
    </row>
    <row r="1215" customFormat="false" ht="15" hidden="false" customHeight="false" outlineLevel="0" collapsed="false">
      <c r="A1215" s="12"/>
      <c r="B1215" s="13"/>
      <c r="C1215" s="14"/>
      <c r="D1215" s="13"/>
      <c r="E1215" s="15"/>
      <c r="F1215" s="15"/>
      <c r="G1215" s="15"/>
      <c r="H1215" s="14"/>
      <c r="I1215" s="16" t="str">
        <f aca="false">IF(OR(A1215="",C1215=""),"",IF(OR(H1215="İade",H1215="İptal"),0,E1215*IFERROR(INDEX(Kanallar!$B$5:$B$19,MATCH(C1215,Kanallar!$A$5:$A$19,0)),0)))</f>
        <v/>
      </c>
      <c r="J1215" s="16" t="str">
        <f aca="false">IF(I1215="","",IF(H1215="İptal",0,IF(H1215="İade",-G1215,E1215-I1215-F1215-G1215)))</f>
        <v/>
      </c>
    </row>
    <row r="1216" customFormat="false" ht="15" hidden="false" customHeight="false" outlineLevel="0" collapsed="false">
      <c r="A1216" s="12"/>
      <c r="B1216" s="13"/>
      <c r="C1216" s="14"/>
      <c r="D1216" s="13"/>
      <c r="E1216" s="15"/>
      <c r="F1216" s="15"/>
      <c r="G1216" s="15"/>
      <c r="H1216" s="14"/>
      <c r="I1216" s="16" t="str">
        <f aca="false">IF(OR(A1216="",C1216=""),"",IF(OR(H1216="İade",H1216="İptal"),0,E1216*IFERROR(INDEX(Kanallar!$B$5:$B$19,MATCH(C1216,Kanallar!$A$5:$A$19,0)),0)))</f>
        <v/>
      </c>
      <c r="J1216" s="16" t="str">
        <f aca="false">IF(I1216="","",IF(H1216="İptal",0,IF(H1216="İade",-G1216,E1216-I1216-F1216-G1216)))</f>
        <v/>
      </c>
    </row>
    <row r="1217" customFormat="false" ht="15" hidden="false" customHeight="false" outlineLevel="0" collapsed="false">
      <c r="A1217" s="12"/>
      <c r="B1217" s="13"/>
      <c r="C1217" s="14"/>
      <c r="D1217" s="13"/>
      <c r="E1217" s="15"/>
      <c r="F1217" s="15"/>
      <c r="G1217" s="15"/>
      <c r="H1217" s="14"/>
      <c r="I1217" s="16" t="str">
        <f aca="false">IF(OR(A1217="",C1217=""),"",IF(OR(H1217="İade",H1217="İptal"),0,E1217*IFERROR(INDEX(Kanallar!$B$5:$B$19,MATCH(C1217,Kanallar!$A$5:$A$19,0)),0)))</f>
        <v/>
      </c>
      <c r="J1217" s="16" t="str">
        <f aca="false">IF(I1217="","",IF(H1217="İptal",0,IF(H1217="İade",-G1217,E1217-I1217-F1217-G1217)))</f>
        <v/>
      </c>
    </row>
    <row r="1218" customFormat="false" ht="15" hidden="false" customHeight="false" outlineLevel="0" collapsed="false">
      <c r="A1218" s="12"/>
      <c r="B1218" s="13"/>
      <c r="C1218" s="14"/>
      <c r="D1218" s="13"/>
      <c r="E1218" s="15"/>
      <c r="F1218" s="15"/>
      <c r="G1218" s="15"/>
      <c r="H1218" s="14"/>
      <c r="I1218" s="16" t="str">
        <f aca="false">IF(OR(A1218="",C1218=""),"",IF(OR(H1218="İade",H1218="İptal"),0,E1218*IFERROR(INDEX(Kanallar!$B$5:$B$19,MATCH(C1218,Kanallar!$A$5:$A$19,0)),0)))</f>
        <v/>
      </c>
      <c r="J1218" s="16" t="str">
        <f aca="false">IF(I1218="","",IF(H1218="İptal",0,IF(H1218="İade",-G1218,E1218-I1218-F1218-G1218)))</f>
        <v/>
      </c>
    </row>
    <row r="1219" customFormat="false" ht="15" hidden="false" customHeight="false" outlineLevel="0" collapsed="false">
      <c r="A1219" s="12"/>
      <c r="B1219" s="13"/>
      <c r="C1219" s="14"/>
      <c r="D1219" s="13"/>
      <c r="E1219" s="15"/>
      <c r="F1219" s="15"/>
      <c r="G1219" s="15"/>
      <c r="H1219" s="14"/>
      <c r="I1219" s="16" t="str">
        <f aca="false">IF(OR(A1219="",C1219=""),"",IF(OR(H1219="İade",H1219="İptal"),0,E1219*IFERROR(INDEX(Kanallar!$B$5:$B$19,MATCH(C1219,Kanallar!$A$5:$A$19,0)),0)))</f>
        <v/>
      </c>
      <c r="J1219" s="16" t="str">
        <f aca="false">IF(I1219="","",IF(H1219="İptal",0,IF(H1219="İade",-G1219,E1219-I1219-F1219-G1219)))</f>
        <v/>
      </c>
    </row>
    <row r="1220" customFormat="false" ht="15" hidden="false" customHeight="false" outlineLevel="0" collapsed="false">
      <c r="A1220" s="12"/>
      <c r="B1220" s="13"/>
      <c r="C1220" s="14"/>
      <c r="D1220" s="13"/>
      <c r="E1220" s="15"/>
      <c r="F1220" s="15"/>
      <c r="G1220" s="15"/>
      <c r="H1220" s="14"/>
      <c r="I1220" s="16" t="str">
        <f aca="false">IF(OR(A1220="",C1220=""),"",IF(OR(H1220="İade",H1220="İptal"),0,E1220*IFERROR(INDEX(Kanallar!$B$5:$B$19,MATCH(C1220,Kanallar!$A$5:$A$19,0)),0)))</f>
        <v/>
      </c>
      <c r="J1220" s="16" t="str">
        <f aca="false">IF(I1220="","",IF(H1220="İptal",0,IF(H1220="İade",-G1220,E1220-I1220-F1220-G1220)))</f>
        <v/>
      </c>
    </row>
    <row r="1221" customFormat="false" ht="15" hidden="false" customHeight="false" outlineLevel="0" collapsed="false">
      <c r="A1221" s="12"/>
      <c r="B1221" s="13"/>
      <c r="C1221" s="14"/>
      <c r="D1221" s="13"/>
      <c r="E1221" s="15"/>
      <c r="F1221" s="15"/>
      <c r="G1221" s="15"/>
      <c r="H1221" s="14"/>
      <c r="I1221" s="16" t="str">
        <f aca="false">IF(OR(A1221="",C1221=""),"",IF(OR(H1221="İade",H1221="İptal"),0,E1221*IFERROR(INDEX(Kanallar!$B$5:$B$19,MATCH(C1221,Kanallar!$A$5:$A$19,0)),0)))</f>
        <v/>
      </c>
      <c r="J1221" s="16" t="str">
        <f aca="false">IF(I1221="","",IF(H1221="İptal",0,IF(H1221="İade",-G1221,E1221-I1221-F1221-G1221)))</f>
        <v/>
      </c>
    </row>
    <row r="1222" customFormat="false" ht="15" hidden="false" customHeight="false" outlineLevel="0" collapsed="false">
      <c r="A1222" s="12"/>
      <c r="B1222" s="13"/>
      <c r="C1222" s="14"/>
      <c r="D1222" s="13"/>
      <c r="E1222" s="15"/>
      <c r="F1222" s="15"/>
      <c r="G1222" s="15"/>
      <c r="H1222" s="14"/>
      <c r="I1222" s="16" t="str">
        <f aca="false">IF(OR(A1222="",C1222=""),"",IF(OR(H1222="İade",H1222="İptal"),0,E1222*IFERROR(INDEX(Kanallar!$B$5:$B$19,MATCH(C1222,Kanallar!$A$5:$A$19,0)),0)))</f>
        <v/>
      </c>
      <c r="J1222" s="16" t="str">
        <f aca="false">IF(I1222="","",IF(H1222="İptal",0,IF(H1222="İade",-G1222,E1222-I1222-F1222-G1222)))</f>
        <v/>
      </c>
    </row>
    <row r="1223" customFormat="false" ht="15" hidden="false" customHeight="false" outlineLevel="0" collapsed="false">
      <c r="A1223" s="12"/>
      <c r="B1223" s="13"/>
      <c r="C1223" s="14"/>
      <c r="D1223" s="13"/>
      <c r="E1223" s="15"/>
      <c r="F1223" s="15"/>
      <c r="G1223" s="15"/>
      <c r="H1223" s="14"/>
      <c r="I1223" s="16" t="str">
        <f aca="false">IF(OR(A1223="",C1223=""),"",IF(OR(H1223="İade",H1223="İptal"),0,E1223*IFERROR(INDEX(Kanallar!$B$5:$B$19,MATCH(C1223,Kanallar!$A$5:$A$19,0)),0)))</f>
        <v/>
      </c>
      <c r="J1223" s="16" t="str">
        <f aca="false">IF(I1223="","",IF(H1223="İptal",0,IF(H1223="İade",-G1223,E1223-I1223-F1223-G1223)))</f>
        <v/>
      </c>
    </row>
    <row r="1224" customFormat="false" ht="15" hidden="false" customHeight="false" outlineLevel="0" collapsed="false">
      <c r="A1224" s="12"/>
      <c r="B1224" s="13"/>
      <c r="C1224" s="14"/>
      <c r="D1224" s="13"/>
      <c r="E1224" s="15"/>
      <c r="F1224" s="15"/>
      <c r="G1224" s="15"/>
      <c r="H1224" s="14"/>
      <c r="I1224" s="16" t="str">
        <f aca="false">IF(OR(A1224="",C1224=""),"",IF(OR(H1224="İade",H1224="İptal"),0,E1224*IFERROR(INDEX(Kanallar!$B$5:$B$19,MATCH(C1224,Kanallar!$A$5:$A$19,0)),0)))</f>
        <v/>
      </c>
      <c r="J1224" s="16" t="str">
        <f aca="false">IF(I1224="","",IF(H1224="İptal",0,IF(H1224="İade",-G1224,E1224-I1224-F1224-G1224)))</f>
        <v/>
      </c>
    </row>
    <row r="1225" customFormat="false" ht="15" hidden="false" customHeight="false" outlineLevel="0" collapsed="false">
      <c r="A1225" s="12"/>
      <c r="B1225" s="13"/>
      <c r="C1225" s="14"/>
      <c r="D1225" s="13"/>
      <c r="E1225" s="15"/>
      <c r="F1225" s="15"/>
      <c r="G1225" s="15"/>
      <c r="H1225" s="14"/>
      <c r="I1225" s="16" t="str">
        <f aca="false">IF(OR(A1225="",C1225=""),"",IF(OR(H1225="İade",H1225="İptal"),0,E1225*IFERROR(INDEX(Kanallar!$B$5:$B$19,MATCH(C1225,Kanallar!$A$5:$A$19,0)),0)))</f>
        <v/>
      </c>
      <c r="J1225" s="16" t="str">
        <f aca="false">IF(I1225="","",IF(H1225="İptal",0,IF(H1225="İade",-G1225,E1225-I1225-F1225-G1225)))</f>
        <v/>
      </c>
    </row>
    <row r="1226" customFormat="false" ht="15" hidden="false" customHeight="false" outlineLevel="0" collapsed="false">
      <c r="A1226" s="12"/>
      <c r="B1226" s="13"/>
      <c r="C1226" s="14"/>
      <c r="D1226" s="13"/>
      <c r="E1226" s="15"/>
      <c r="F1226" s="15"/>
      <c r="G1226" s="15"/>
      <c r="H1226" s="14"/>
      <c r="I1226" s="16" t="str">
        <f aca="false">IF(OR(A1226="",C1226=""),"",IF(OR(H1226="İade",H1226="İptal"),0,E1226*IFERROR(INDEX(Kanallar!$B$5:$B$19,MATCH(C1226,Kanallar!$A$5:$A$19,0)),0)))</f>
        <v/>
      </c>
      <c r="J1226" s="16" t="str">
        <f aca="false">IF(I1226="","",IF(H1226="İptal",0,IF(H1226="İade",-G1226,E1226-I1226-F1226-G1226)))</f>
        <v/>
      </c>
    </row>
    <row r="1227" customFormat="false" ht="15" hidden="false" customHeight="false" outlineLevel="0" collapsed="false">
      <c r="A1227" s="12"/>
      <c r="B1227" s="13"/>
      <c r="C1227" s="14"/>
      <c r="D1227" s="13"/>
      <c r="E1227" s="15"/>
      <c r="F1227" s="15"/>
      <c r="G1227" s="15"/>
      <c r="H1227" s="14"/>
      <c r="I1227" s="16" t="str">
        <f aca="false">IF(OR(A1227="",C1227=""),"",IF(OR(H1227="İade",H1227="İptal"),0,E1227*IFERROR(INDEX(Kanallar!$B$5:$B$19,MATCH(C1227,Kanallar!$A$5:$A$19,0)),0)))</f>
        <v/>
      </c>
      <c r="J1227" s="16" t="str">
        <f aca="false">IF(I1227="","",IF(H1227="İptal",0,IF(H1227="İade",-G1227,E1227-I1227-F1227-G1227)))</f>
        <v/>
      </c>
    </row>
    <row r="1228" customFormat="false" ht="15" hidden="false" customHeight="false" outlineLevel="0" collapsed="false">
      <c r="A1228" s="12"/>
      <c r="B1228" s="13"/>
      <c r="C1228" s="14"/>
      <c r="D1228" s="13"/>
      <c r="E1228" s="15"/>
      <c r="F1228" s="15"/>
      <c r="G1228" s="15"/>
      <c r="H1228" s="14"/>
      <c r="I1228" s="16" t="str">
        <f aca="false">IF(OR(A1228="",C1228=""),"",IF(OR(H1228="İade",H1228="İptal"),0,E1228*IFERROR(INDEX(Kanallar!$B$5:$B$19,MATCH(C1228,Kanallar!$A$5:$A$19,0)),0)))</f>
        <v/>
      </c>
      <c r="J1228" s="16" t="str">
        <f aca="false">IF(I1228="","",IF(H1228="İptal",0,IF(H1228="İade",-G1228,E1228-I1228-F1228-G1228)))</f>
        <v/>
      </c>
    </row>
    <row r="1229" customFormat="false" ht="15" hidden="false" customHeight="false" outlineLevel="0" collapsed="false">
      <c r="A1229" s="12"/>
      <c r="B1229" s="13"/>
      <c r="C1229" s="14"/>
      <c r="D1229" s="13"/>
      <c r="E1229" s="15"/>
      <c r="F1229" s="15"/>
      <c r="G1229" s="15"/>
      <c r="H1229" s="14"/>
      <c r="I1229" s="16" t="str">
        <f aca="false">IF(OR(A1229="",C1229=""),"",IF(OR(H1229="İade",H1229="İptal"),0,E1229*IFERROR(INDEX(Kanallar!$B$5:$B$19,MATCH(C1229,Kanallar!$A$5:$A$19,0)),0)))</f>
        <v/>
      </c>
      <c r="J1229" s="16" t="str">
        <f aca="false">IF(I1229="","",IF(H1229="İptal",0,IF(H1229="İade",-G1229,E1229-I1229-F1229-G1229)))</f>
        <v/>
      </c>
    </row>
    <row r="1230" customFormat="false" ht="15" hidden="false" customHeight="false" outlineLevel="0" collapsed="false">
      <c r="A1230" s="12"/>
      <c r="B1230" s="13"/>
      <c r="C1230" s="14"/>
      <c r="D1230" s="13"/>
      <c r="E1230" s="15"/>
      <c r="F1230" s="15"/>
      <c r="G1230" s="15"/>
      <c r="H1230" s="14"/>
      <c r="I1230" s="16" t="str">
        <f aca="false">IF(OR(A1230="",C1230=""),"",IF(OR(H1230="İade",H1230="İptal"),0,E1230*IFERROR(INDEX(Kanallar!$B$5:$B$19,MATCH(C1230,Kanallar!$A$5:$A$19,0)),0)))</f>
        <v/>
      </c>
      <c r="J1230" s="16" t="str">
        <f aca="false">IF(I1230="","",IF(H1230="İptal",0,IF(H1230="İade",-G1230,E1230-I1230-F1230-G1230)))</f>
        <v/>
      </c>
    </row>
    <row r="1231" customFormat="false" ht="15" hidden="false" customHeight="false" outlineLevel="0" collapsed="false">
      <c r="A1231" s="12"/>
      <c r="B1231" s="13"/>
      <c r="C1231" s="14"/>
      <c r="D1231" s="13"/>
      <c r="E1231" s="15"/>
      <c r="F1231" s="15"/>
      <c r="G1231" s="15"/>
      <c r="H1231" s="14"/>
      <c r="I1231" s="16" t="str">
        <f aca="false">IF(OR(A1231="",C1231=""),"",IF(OR(H1231="İade",H1231="İptal"),0,E1231*IFERROR(INDEX(Kanallar!$B$5:$B$19,MATCH(C1231,Kanallar!$A$5:$A$19,0)),0)))</f>
        <v/>
      </c>
      <c r="J1231" s="16" t="str">
        <f aca="false">IF(I1231="","",IF(H1231="İptal",0,IF(H1231="İade",-G1231,E1231-I1231-F1231-G1231)))</f>
        <v/>
      </c>
    </row>
    <row r="1232" customFormat="false" ht="15" hidden="false" customHeight="false" outlineLevel="0" collapsed="false">
      <c r="A1232" s="12"/>
      <c r="B1232" s="13"/>
      <c r="C1232" s="14"/>
      <c r="D1232" s="13"/>
      <c r="E1232" s="15"/>
      <c r="F1232" s="15"/>
      <c r="G1232" s="15"/>
      <c r="H1232" s="14"/>
      <c r="I1232" s="16" t="str">
        <f aca="false">IF(OR(A1232="",C1232=""),"",IF(OR(H1232="İade",H1232="İptal"),0,E1232*IFERROR(INDEX(Kanallar!$B$5:$B$19,MATCH(C1232,Kanallar!$A$5:$A$19,0)),0)))</f>
        <v/>
      </c>
      <c r="J1232" s="16" t="str">
        <f aca="false">IF(I1232="","",IF(H1232="İptal",0,IF(H1232="İade",-G1232,E1232-I1232-F1232-G1232)))</f>
        <v/>
      </c>
    </row>
    <row r="1233" customFormat="false" ht="15" hidden="false" customHeight="false" outlineLevel="0" collapsed="false">
      <c r="A1233" s="12"/>
      <c r="B1233" s="13"/>
      <c r="C1233" s="14"/>
      <c r="D1233" s="13"/>
      <c r="E1233" s="15"/>
      <c r="F1233" s="15"/>
      <c r="G1233" s="15"/>
      <c r="H1233" s="14"/>
      <c r="I1233" s="16" t="str">
        <f aca="false">IF(OR(A1233="",C1233=""),"",IF(OR(H1233="İade",H1233="İptal"),0,E1233*IFERROR(INDEX(Kanallar!$B$5:$B$19,MATCH(C1233,Kanallar!$A$5:$A$19,0)),0)))</f>
        <v/>
      </c>
      <c r="J1233" s="16" t="str">
        <f aca="false">IF(I1233="","",IF(H1233="İptal",0,IF(H1233="İade",-G1233,E1233-I1233-F1233-G1233)))</f>
        <v/>
      </c>
    </row>
    <row r="1234" customFormat="false" ht="15" hidden="false" customHeight="false" outlineLevel="0" collapsed="false">
      <c r="A1234" s="12"/>
      <c r="B1234" s="13"/>
      <c r="C1234" s="14"/>
      <c r="D1234" s="13"/>
      <c r="E1234" s="15"/>
      <c r="F1234" s="15"/>
      <c r="G1234" s="15"/>
      <c r="H1234" s="14"/>
      <c r="I1234" s="16" t="str">
        <f aca="false">IF(OR(A1234="",C1234=""),"",IF(OR(H1234="İade",H1234="İptal"),0,E1234*IFERROR(INDEX(Kanallar!$B$5:$B$19,MATCH(C1234,Kanallar!$A$5:$A$19,0)),0)))</f>
        <v/>
      </c>
      <c r="J1234" s="16" t="str">
        <f aca="false">IF(I1234="","",IF(H1234="İptal",0,IF(H1234="İade",-G1234,E1234-I1234-F1234-G1234)))</f>
        <v/>
      </c>
    </row>
    <row r="1235" customFormat="false" ht="15" hidden="false" customHeight="false" outlineLevel="0" collapsed="false">
      <c r="A1235" s="12"/>
      <c r="B1235" s="13"/>
      <c r="C1235" s="14"/>
      <c r="D1235" s="13"/>
      <c r="E1235" s="15"/>
      <c r="F1235" s="15"/>
      <c r="G1235" s="15"/>
      <c r="H1235" s="14"/>
      <c r="I1235" s="16" t="str">
        <f aca="false">IF(OR(A1235="",C1235=""),"",IF(OR(H1235="İade",H1235="İptal"),0,E1235*IFERROR(INDEX(Kanallar!$B$5:$B$19,MATCH(C1235,Kanallar!$A$5:$A$19,0)),0)))</f>
        <v/>
      </c>
      <c r="J1235" s="16" t="str">
        <f aca="false">IF(I1235="","",IF(H1235="İptal",0,IF(H1235="İade",-G1235,E1235-I1235-F1235-G1235)))</f>
        <v/>
      </c>
    </row>
    <row r="1236" customFormat="false" ht="15" hidden="false" customHeight="false" outlineLevel="0" collapsed="false">
      <c r="A1236" s="12"/>
      <c r="B1236" s="13"/>
      <c r="C1236" s="14"/>
      <c r="D1236" s="13"/>
      <c r="E1236" s="15"/>
      <c r="F1236" s="15"/>
      <c r="G1236" s="15"/>
      <c r="H1236" s="14"/>
      <c r="I1236" s="16" t="str">
        <f aca="false">IF(OR(A1236="",C1236=""),"",IF(OR(H1236="İade",H1236="İptal"),0,E1236*IFERROR(INDEX(Kanallar!$B$5:$B$19,MATCH(C1236,Kanallar!$A$5:$A$19,0)),0)))</f>
        <v/>
      </c>
      <c r="J1236" s="16" t="str">
        <f aca="false">IF(I1236="","",IF(H1236="İptal",0,IF(H1236="İade",-G1236,E1236-I1236-F1236-G1236)))</f>
        <v/>
      </c>
    </row>
    <row r="1237" customFormat="false" ht="15" hidden="false" customHeight="false" outlineLevel="0" collapsed="false">
      <c r="A1237" s="12"/>
      <c r="B1237" s="13"/>
      <c r="C1237" s="14"/>
      <c r="D1237" s="13"/>
      <c r="E1237" s="15"/>
      <c r="F1237" s="15"/>
      <c r="G1237" s="15"/>
      <c r="H1237" s="14"/>
      <c r="I1237" s="16" t="str">
        <f aca="false">IF(OR(A1237="",C1237=""),"",IF(OR(H1237="İade",H1237="İptal"),0,E1237*IFERROR(INDEX(Kanallar!$B$5:$B$19,MATCH(C1237,Kanallar!$A$5:$A$19,0)),0)))</f>
        <v/>
      </c>
      <c r="J1237" s="16" t="str">
        <f aca="false">IF(I1237="","",IF(H1237="İptal",0,IF(H1237="İade",-G1237,E1237-I1237-F1237-G1237)))</f>
        <v/>
      </c>
    </row>
    <row r="1238" customFormat="false" ht="15" hidden="false" customHeight="false" outlineLevel="0" collapsed="false">
      <c r="A1238" s="12"/>
      <c r="B1238" s="13"/>
      <c r="C1238" s="14"/>
      <c r="D1238" s="13"/>
      <c r="E1238" s="15"/>
      <c r="F1238" s="15"/>
      <c r="G1238" s="15"/>
      <c r="H1238" s="14"/>
      <c r="I1238" s="16" t="str">
        <f aca="false">IF(OR(A1238="",C1238=""),"",IF(OR(H1238="İade",H1238="İptal"),0,E1238*IFERROR(INDEX(Kanallar!$B$5:$B$19,MATCH(C1238,Kanallar!$A$5:$A$19,0)),0)))</f>
        <v/>
      </c>
      <c r="J1238" s="16" t="str">
        <f aca="false">IF(I1238="","",IF(H1238="İptal",0,IF(H1238="İade",-G1238,E1238-I1238-F1238-G1238)))</f>
        <v/>
      </c>
    </row>
    <row r="1239" customFormat="false" ht="15" hidden="false" customHeight="false" outlineLevel="0" collapsed="false">
      <c r="A1239" s="12"/>
      <c r="B1239" s="13"/>
      <c r="C1239" s="14"/>
      <c r="D1239" s="13"/>
      <c r="E1239" s="15"/>
      <c r="F1239" s="15"/>
      <c r="G1239" s="15"/>
      <c r="H1239" s="14"/>
      <c r="I1239" s="16" t="str">
        <f aca="false">IF(OR(A1239="",C1239=""),"",IF(OR(H1239="İade",H1239="İptal"),0,E1239*IFERROR(INDEX(Kanallar!$B$5:$B$19,MATCH(C1239,Kanallar!$A$5:$A$19,0)),0)))</f>
        <v/>
      </c>
      <c r="J1239" s="16" t="str">
        <f aca="false">IF(I1239="","",IF(H1239="İptal",0,IF(H1239="İade",-G1239,E1239-I1239-F1239-G1239)))</f>
        <v/>
      </c>
    </row>
    <row r="1240" customFormat="false" ht="15" hidden="false" customHeight="false" outlineLevel="0" collapsed="false">
      <c r="A1240" s="12"/>
      <c r="B1240" s="13"/>
      <c r="C1240" s="14"/>
      <c r="D1240" s="13"/>
      <c r="E1240" s="15"/>
      <c r="F1240" s="15"/>
      <c r="G1240" s="15"/>
      <c r="H1240" s="14"/>
      <c r="I1240" s="16" t="str">
        <f aca="false">IF(OR(A1240="",C1240=""),"",IF(OR(H1240="İade",H1240="İptal"),0,E1240*IFERROR(INDEX(Kanallar!$B$5:$B$19,MATCH(C1240,Kanallar!$A$5:$A$19,0)),0)))</f>
        <v/>
      </c>
      <c r="J1240" s="16" t="str">
        <f aca="false">IF(I1240="","",IF(H1240="İptal",0,IF(H1240="İade",-G1240,E1240-I1240-F1240-G1240)))</f>
        <v/>
      </c>
    </row>
    <row r="1241" customFormat="false" ht="15" hidden="false" customHeight="false" outlineLevel="0" collapsed="false">
      <c r="A1241" s="12"/>
      <c r="B1241" s="13"/>
      <c r="C1241" s="14"/>
      <c r="D1241" s="13"/>
      <c r="E1241" s="15"/>
      <c r="F1241" s="15"/>
      <c r="G1241" s="15"/>
      <c r="H1241" s="14"/>
      <c r="I1241" s="16" t="str">
        <f aca="false">IF(OR(A1241="",C1241=""),"",IF(OR(H1241="İade",H1241="İptal"),0,E1241*IFERROR(INDEX(Kanallar!$B$5:$B$19,MATCH(C1241,Kanallar!$A$5:$A$19,0)),0)))</f>
        <v/>
      </c>
      <c r="J1241" s="16" t="str">
        <f aca="false">IF(I1241="","",IF(H1241="İptal",0,IF(H1241="İade",-G1241,E1241-I1241-F1241-G1241)))</f>
        <v/>
      </c>
    </row>
    <row r="1242" customFormat="false" ht="15" hidden="false" customHeight="false" outlineLevel="0" collapsed="false">
      <c r="A1242" s="12"/>
      <c r="B1242" s="13"/>
      <c r="C1242" s="14"/>
      <c r="D1242" s="13"/>
      <c r="E1242" s="15"/>
      <c r="F1242" s="15"/>
      <c r="G1242" s="15"/>
      <c r="H1242" s="14"/>
      <c r="I1242" s="16" t="str">
        <f aca="false">IF(OR(A1242="",C1242=""),"",IF(OR(H1242="İade",H1242="İptal"),0,E1242*IFERROR(INDEX(Kanallar!$B$5:$B$19,MATCH(C1242,Kanallar!$A$5:$A$19,0)),0)))</f>
        <v/>
      </c>
      <c r="J1242" s="16" t="str">
        <f aca="false">IF(I1242="","",IF(H1242="İptal",0,IF(H1242="İade",-G1242,E1242-I1242-F1242-G1242)))</f>
        <v/>
      </c>
    </row>
    <row r="1243" customFormat="false" ht="15" hidden="false" customHeight="false" outlineLevel="0" collapsed="false">
      <c r="A1243" s="12"/>
      <c r="B1243" s="13"/>
      <c r="C1243" s="14"/>
      <c r="D1243" s="13"/>
      <c r="E1243" s="15"/>
      <c r="F1243" s="15"/>
      <c r="G1243" s="15"/>
      <c r="H1243" s="14"/>
      <c r="I1243" s="16" t="str">
        <f aca="false">IF(OR(A1243="",C1243=""),"",IF(OR(H1243="İade",H1243="İptal"),0,E1243*IFERROR(INDEX(Kanallar!$B$5:$B$19,MATCH(C1243,Kanallar!$A$5:$A$19,0)),0)))</f>
        <v/>
      </c>
      <c r="J1243" s="16" t="str">
        <f aca="false">IF(I1243="","",IF(H1243="İptal",0,IF(H1243="İade",-G1243,E1243-I1243-F1243-G1243)))</f>
        <v/>
      </c>
    </row>
    <row r="1244" customFormat="false" ht="15" hidden="false" customHeight="false" outlineLevel="0" collapsed="false">
      <c r="A1244" s="12"/>
      <c r="B1244" s="13"/>
      <c r="C1244" s="14"/>
      <c r="D1244" s="13"/>
      <c r="E1244" s="15"/>
      <c r="F1244" s="15"/>
      <c r="G1244" s="15"/>
      <c r="H1244" s="14"/>
      <c r="I1244" s="16" t="str">
        <f aca="false">IF(OR(A1244="",C1244=""),"",IF(OR(H1244="İade",H1244="İptal"),0,E1244*IFERROR(INDEX(Kanallar!$B$5:$B$19,MATCH(C1244,Kanallar!$A$5:$A$19,0)),0)))</f>
        <v/>
      </c>
      <c r="J1244" s="16" t="str">
        <f aca="false">IF(I1244="","",IF(H1244="İptal",0,IF(H1244="İade",-G1244,E1244-I1244-F1244-G1244)))</f>
        <v/>
      </c>
    </row>
    <row r="1245" customFormat="false" ht="15" hidden="false" customHeight="false" outlineLevel="0" collapsed="false">
      <c r="A1245" s="12"/>
      <c r="B1245" s="13"/>
      <c r="C1245" s="14"/>
      <c r="D1245" s="13"/>
      <c r="E1245" s="15"/>
      <c r="F1245" s="15"/>
      <c r="G1245" s="15"/>
      <c r="H1245" s="14"/>
      <c r="I1245" s="16" t="str">
        <f aca="false">IF(OR(A1245="",C1245=""),"",IF(OR(H1245="İade",H1245="İptal"),0,E1245*IFERROR(INDEX(Kanallar!$B$5:$B$19,MATCH(C1245,Kanallar!$A$5:$A$19,0)),0)))</f>
        <v/>
      </c>
      <c r="J1245" s="16" t="str">
        <f aca="false">IF(I1245="","",IF(H1245="İptal",0,IF(H1245="İade",-G1245,E1245-I1245-F1245-G1245)))</f>
        <v/>
      </c>
    </row>
    <row r="1246" customFormat="false" ht="15" hidden="false" customHeight="false" outlineLevel="0" collapsed="false">
      <c r="A1246" s="12"/>
      <c r="B1246" s="13"/>
      <c r="C1246" s="14"/>
      <c r="D1246" s="13"/>
      <c r="E1246" s="15"/>
      <c r="F1246" s="15"/>
      <c r="G1246" s="15"/>
      <c r="H1246" s="14"/>
      <c r="I1246" s="16" t="str">
        <f aca="false">IF(OR(A1246="",C1246=""),"",IF(OR(H1246="İade",H1246="İptal"),0,E1246*IFERROR(INDEX(Kanallar!$B$5:$B$19,MATCH(C1246,Kanallar!$A$5:$A$19,0)),0)))</f>
        <v/>
      </c>
      <c r="J1246" s="16" t="str">
        <f aca="false">IF(I1246="","",IF(H1246="İptal",0,IF(H1246="İade",-G1246,E1246-I1246-F1246-G1246)))</f>
        <v/>
      </c>
    </row>
    <row r="1247" customFormat="false" ht="15" hidden="false" customHeight="false" outlineLevel="0" collapsed="false">
      <c r="A1247" s="12"/>
      <c r="B1247" s="13"/>
      <c r="C1247" s="14"/>
      <c r="D1247" s="13"/>
      <c r="E1247" s="15"/>
      <c r="F1247" s="15"/>
      <c r="G1247" s="15"/>
      <c r="H1247" s="14"/>
      <c r="I1247" s="16" t="str">
        <f aca="false">IF(OR(A1247="",C1247=""),"",IF(OR(H1247="İade",H1247="İptal"),0,E1247*IFERROR(INDEX(Kanallar!$B$5:$B$19,MATCH(C1247,Kanallar!$A$5:$A$19,0)),0)))</f>
        <v/>
      </c>
      <c r="J1247" s="16" t="str">
        <f aca="false">IF(I1247="","",IF(H1247="İptal",0,IF(H1247="İade",-G1247,E1247-I1247-F1247-G1247)))</f>
        <v/>
      </c>
    </row>
    <row r="1248" customFormat="false" ht="15" hidden="false" customHeight="false" outlineLevel="0" collapsed="false">
      <c r="A1248" s="12"/>
      <c r="B1248" s="13"/>
      <c r="C1248" s="14"/>
      <c r="D1248" s="13"/>
      <c r="E1248" s="15"/>
      <c r="F1248" s="15"/>
      <c r="G1248" s="15"/>
      <c r="H1248" s="14"/>
      <c r="I1248" s="16" t="str">
        <f aca="false">IF(OR(A1248="",C1248=""),"",IF(OR(H1248="İade",H1248="İptal"),0,E1248*IFERROR(INDEX(Kanallar!$B$5:$B$19,MATCH(C1248,Kanallar!$A$5:$A$19,0)),0)))</f>
        <v/>
      </c>
      <c r="J1248" s="16" t="str">
        <f aca="false">IF(I1248="","",IF(H1248="İptal",0,IF(H1248="İade",-G1248,E1248-I1248-F1248-G1248)))</f>
        <v/>
      </c>
    </row>
    <row r="1249" customFormat="false" ht="15" hidden="false" customHeight="false" outlineLevel="0" collapsed="false">
      <c r="A1249" s="12"/>
      <c r="B1249" s="13"/>
      <c r="C1249" s="14"/>
      <c r="D1249" s="13"/>
      <c r="E1249" s="15"/>
      <c r="F1249" s="15"/>
      <c r="G1249" s="15"/>
      <c r="H1249" s="14"/>
      <c r="I1249" s="16" t="str">
        <f aca="false">IF(OR(A1249="",C1249=""),"",IF(OR(H1249="İade",H1249="İptal"),0,E1249*IFERROR(INDEX(Kanallar!$B$5:$B$19,MATCH(C1249,Kanallar!$A$5:$A$19,0)),0)))</f>
        <v/>
      </c>
      <c r="J1249" s="16" t="str">
        <f aca="false">IF(I1249="","",IF(H1249="İptal",0,IF(H1249="İade",-G1249,E1249-I1249-F1249-G1249)))</f>
        <v/>
      </c>
    </row>
    <row r="1250" customFormat="false" ht="15" hidden="false" customHeight="false" outlineLevel="0" collapsed="false">
      <c r="A1250" s="12"/>
      <c r="B1250" s="13"/>
      <c r="C1250" s="14"/>
      <c r="D1250" s="13"/>
      <c r="E1250" s="15"/>
      <c r="F1250" s="15"/>
      <c r="G1250" s="15"/>
      <c r="H1250" s="14"/>
      <c r="I1250" s="16" t="str">
        <f aca="false">IF(OR(A1250="",C1250=""),"",IF(OR(H1250="İade",H1250="İptal"),0,E1250*IFERROR(INDEX(Kanallar!$B$5:$B$19,MATCH(C1250,Kanallar!$A$5:$A$19,0)),0)))</f>
        <v/>
      </c>
      <c r="J1250" s="16" t="str">
        <f aca="false">IF(I1250="","",IF(H1250="İptal",0,IF(H1250="İade",-G1250,E1250-I1250-F1250-G1250)))</f>
        <v/>
      </c>
    </row>
    <row r="1251" customFormat="false" ht="15" hidden="false" customHeight="false" outlineLevel="0" collapsed="false">
      <c r="A1251" s="12"/>
      <c r="B1251" s="13"/>
      <c r="C1251" s="14"/>
      <c r="D1251" s="13"/>
      <c r="E1251" s="15"/>
      <c r="F1251" s="15"/>
      <c r="G1251" s="15"/>
      <c r="H1251" s="14"/>
      <c r="I1251" s="16" t="str">
        <f aca="false">IF(OR(A1251="",C1251=""),"",IF(OR(H1251="İade",H1251="İptal"),0,E1251*IFERROR(INDEX(Kanallar!$B$5:$B$19,MATCH(C1251,Kanallar!$A$5:$A$19,0)),0)))</f>
        <v/>
      </c>
      <c r="J1251" s="16" t="str">
        <f aca="false">IF(I1251="","",IF(H1251="İptal",0,IF(H1251="İade",-G1251,E1251-I1251-F1251-G1251)))</f>
        <v/>
      </c>
    </row>
    <row r="1252" customFormat="false" ht="15" hidden="false" customHeight="false" outlineLevel="0" collapsed="false">
      <c r="A1252" s="12"/>
      <c r="B1252" s="13"/>
      <c r="C1252" s="14"/>
      <c r="D1252" s="13"/>
      <c r="E1252" s="15"/>
      <c r="F1252" s="15"/>
      <c r="G1252" s="15"/>
      <c r="H1252" s="14"/>
      <c r="I1252" s="16" t="str">
        <f aca="false">IF(OR(A1252="",C1252=""),"",IF(OR(H1252="İade",H1252="İptal"),0,E1252*IFERROR(INDEX(Kanallar!$B$5:$B$19,MATCH(C1252,Kanallar!$A$5:$A$19,0)),0)))</f>
        <v/>
      </c>
      <c r="J1252" s="16" t="str">
        <f aca="false">IF(I1252="","",IF(H1252="İptal",0,IF(H1252="İade",-G1252,E1252-I1252-F1252-G1252)))</f>
        <v/>
      </c>
    </row>
    <row r="1253" customFormat="false" ht="15" hidden="false" customHeight="false" outlineLevel="0" collapsed="false">
      <c r="A1253" s="12"/>
      <c r="B1253" s="13"/>
      <c r="C1253" s="14"/>
      <c r="D1253" s="13"/>
      <c r="E1253" s="15"/>
      <c r="F1253" s="15"/>
      <c r="G1253" s="15"/>
      <c r="H1253" s="14"/>
      <c r="I1253" s="16" t="str">
        <f aca="false">IF(OR(A1253="",C1253=""),"",IF(OR(H1253="İade",H1253="İptal"),0,E1253*IFERROR(INDEX(Kanallar!$B$5:$B$19,MATCH(C1253,Kanallar!$A$5:$A$19,0)),0)))</f>
        <v/>
      </c>
      <c r="J1253" s="16" t="str">
        <f aca="false">IF(I1253="","",IF(H1253="İptal",0,IF(H1253="İade",-G1253,E1253-I1253-F1253-G1253)))</f>
        <v/>
      </c>
    </row>
    <row r="1254" customFormat="false" ht="15" hidden="false" customHeight="false" outlineLevel="0" collapsed="false">
      <c r="A1254" s="12"/>
      <c r="B1254" s="13"/>
      <c r="C1254" s="14"/>
      <c r="D1254" s="13"/>
      <c r="E1254" s="15"/>
      <c r="F1254" s="15"/>
      <c r="G1254" s="15"/>
      <c r="H1254" s="14"/>
      <c r="I1254" s="16" t="str">
        <f aca="false">IF(OR(A1254="",C1254=""),"",IF(OR(H1254="İade",H1254="İptal"),0,E1254*IFERROR(INDEX(Kanallar!$B$5:$B$19,MATCH(C1254,Kanallar!$A$5:$A$19,0)),0)))</f>
        <v/>
      </c>
      <c r="J1254" s="16" t="str">
        <f aca="false">IF(I1254="","",IF(H1254="İptal",0,IF(H1254="İade",-G1254,E1254-I1254-F1254-G1254)))</f>
        <v/>
      </c>
    </row>
    <row r="1255" customFormat="false" ht="15" hidden="false" customHeight="false" outlineLevel="0" collapsed="false">
      <c r="A1255" s="12"/>
      <c r="B1255" s="13"/>
      <c r="C1255" s="14"/>
      <c r="D1255" s="13"/>
      <c r="E1255" s="15"/>
      <c r="F1255" s="15"/>
      <c r="G1255" s="15"/>
      <c r="H1255" s="14"/>
      <c r="I1255" s="16" t="str">
        <f aca="false">IF(OR(A1255="",C1255=""),"",IF(OR(H1255="İade",H1255="İptal"),0,E1255*IFERROR(INDEX(Kanallar!$B$5:$B$19,MATCH(C1255,Kanallar!$A$5:$A$19,0)),0)))</f>
        <v/>
      </c>
      <c r="J1255" s="16" t="str">
        <f aca="false">IF(I1255="","",IF(H1255="İptal",0,IF(H1255="İade",-G1255,E1255-I1255-F1255-G1255)))</f>
        <v/>
      </c>
    </row>
    <row r="1256" customFormat="false" ht="15" hidden="false" customHeight="false" outlineLevel="0" collapsed="false">
      <c r="A1256" s="12"/>
      <c r="B1256" s="13"/>
      <c r="C1256" s="14"/>
      <c r="D1256" s="13"/>
      <c r="E1256" s="15"/>
      <c r="F1256" s="15"/>
      <c r="G1256" s="15"/>
      <c r="H1256" s="14"/>
      <c r="I1256" s="16" t="str">
        <f aca="false">IF(OR(A1256="",C1256=""),"",IF(OR(H1256="İade",H1256="İptal"),0,E1256*IFERROR(INDEX(Kanallar!$B$5:$B$19,MATCH(C1256,Kanallar!$A$5:$A$19,0)),0)))</f>
        <v/>
      </c>
      <c r="J1256" s="16" t="str">
        <f aca="false">IF(I1256="","",IF(H1256="İptal",0,IF(H1256="İade",-G1256,E1256-I1256-F1256-G1256)))</f>
        <v/>
      </c>
    </row>
    <row r="1257" customFormat="false" ht="15" hidden="false" customHeight="false" outlineLevel="0" collapsed="false">
      <c r="A1257" s="12"/>
      <c r="B1257" s="13"/>
      <c r="C1257" s="14"/>
      <c r="D1257" s="13"/>
      <c r="E1257" s="15"/>
      <c r="F1257" s="15"/>
      <c r="G1257" s="15"/>
      <c r="H1257" s="14"/>
      <c r="I1257" s="16" t="str">
        <f aca="false">IF(OR(A1257="",C1257=""),"",IF(OR(H1257="İade",H1257="İptal"),0,E1257*IFERROR(INDEX(Kanallar!$B$5:$B$19,MATCH(C1257,Kanallar!$A$5:$A$19,0)),0)))</f>
        <v/>
      </c>
      <c r="J1257" s="16" t="str">
        <f aca="false">IF(I1257="","",IF(H1257="İptal",0,IF(H1257="İade",-G1257,E1257-I1257-F1257-G1257)))</f>
        <v/>
      </c>
    </row>
    <row r="1258" customFormat="false" ht="15" hidden="false" customHeight="false" outlineLevel="0" collapsed="false">
      <c r="A1258" s="12"/>
      <c r="B1258" s="13"/>
      <c r="C1258" s="14"/>
      <c r="D1258" s="13"/>
      <c r="E1258" s="15"/>
      <c r="F1258" s="15"/>
      <c r="G1258" s="15"/>
      <c r="H1258" s="14"/>
      <c r="I1258" s="16" t="str">
        <f aca="false">IF(OR(A1258="",C1258=""),"",IF(OR(H1258="İade",H1258="İptal"),0,E1258*IFERROR(INDEX(Kanallar!$B$5:$B$19,MATCH(C1258,Kanallar!$A$5:$A$19,0)),0)))</f>
        <v/>
      </c>
      <c r="J1258" s="16" t="str">
        <f aca="false">IF(I1258="","",IF(H1258="İptal",0,IF(H1258="İade",-G1258,E1258-I1258-F1258-G1258)))</f>
        <v/>
      </c>
    </row>
    <row r="1259" customFormat="false" ht="15" hidden="false" customHeight="false" outlineLevel="0" collapsed="false">
      <c r="A1259" s="12"/>
      <c r="B1259" s="13"/>
      <c r="C1259" s="14"/>
      <c r="D1259" s="13"/>
      <c r="E1259" s="15"/>
      <c r="F1259" s="15"/>
      <c r="G1259" s="15"/>
      <c r="H1259" s="14"/>
      <c r="I1259" s="16" t="str">
        <f aca="false">IF(OR(A1259="",C1259=""),"",IF(OR(H1259="İade",H1259="İptal"),0,E1259*IFERROR(INDEX(Kanallar!$B$5:$B$19,MATCH(C1259,Kanallar!$A$5:$A$19,0)),0)))</f>
        <v/>
      </c>
      <c r="J1259" s="16" t="str">
        <f aca="false">IF(I1259="","",IF(H1259="İptal",0,IF(H1259="İade",-G1259,E1259-I1259-F1259-G1259)))</f>
        <v/>
      </c>
    </row>
    <row r="1260" customFormat="false" ht="15" hidden="false" customHeight="false" outlineLevel="0" collapsed="false">
      <c r="A1260" s="12"/>
      <c r="B1260" s="13"/>
      <c r="C1260" s="14"/>
      <c r="D1260" s="13"/>
      <c r="E1260" s="15"/>
      <c r="F1260" s="15"/>
      <c r="G1260" s="15"/>
      <c r="H1260" s="14"/>
      <c r="I1260" s="16" t="str">
        <f aca="false">IF(OR(A1260="",C1260=""),"",IF(OR(H1260="İade",H1260="İptal"),0,E1260*IFERROR(INDEX(Kanallar!$B$5:$B$19,MATCH(C1260,Kanallar!$A$5:$A$19,0)),0)))</f>
        <v/>
      </c>
      <c r="J1260" s="16" t="str">
        <f aca="false">IF(I1260="","",IF(H1260="İptal",0,IF(H1260="İade",-G1260,E1260-I1260-F1260-G1260)))</f>
        <v/>
      </c>
    </row>
    <row r="1261" customFormat="false" ht="15" hidden="false" customHeight="false" outlineLevel="0" collapsed="false">
      <c r="A1261" s="12"/>
      <c r="B1261" s="13"/>
      <c r="C1261" s="14"/>
      <c r="D1261" s="13"/>
      <c r="E1261" s="15"/>
      <c r="F1261" s="15"/>
      <c r="G1261" s="15"/>
      <c r="H1261" s="14"/>
      <c r="I1261" s="16" t="str">
        <f aca="false">IF(OR(A1261="",C1261=""),"",IF(OR(H1261="İade",H1261="İptal"),0,E1261*IFERROR(INDEX(Kanallar!$B$5:$B$19,MATCH(C1261,Kanallar!$A$5:$A$19,0)),0)))</f>
        <v/>
      </c>
      <c r="J1261" s="16" t="str">
        <f aca="false">IF(I1261="","",IF(H1261="İptal",0,IF(H1261="İade",-G1261,E1261-I1261-F1261-G1261)))</f>
        <v/>
      </c>
    </row>
    <row r="1262" customFormat="false" ht="15" hidden="false" customHeight="false" outlineLevel="0" collapsed="false">
      <c r="A1262" s="12"/>
      <c r="B1262" s="13"/>
      <c r="C1262" s="14"/>
      <c r="D1262" s="13"/>
      <c r="E1262" s="15"/>
      <c r="F1262" s="15"/>
      <c r="G1262" s="15"/>
      <c r="H1262" s="14"/>
      <c r="I1262" s="16" t="str">
        <f aca="false">IF(OR(A1262="",C1262=""),"",IF(OR(H1262="İade",H1262="İptal"),0,E1262*IFERROR(INDEX(Kanallar!$B$5:$B$19,MATCH(C1262,Kanallar!$A$5:$A$19,0)),0)))</f>
        <v/>
      </c>
      <c r="J1262" s="16" t="str">
        <f aca="false">IF(I1262="","",IF(H1262="İptal",0,IF(H1262="İade",-G1262,E1262-I1262-F1262-G1262)))</f>
        <v/>
      </c>
    </row>
    <row r="1263" customFormat="false" ht="15" hidden="false" customHeight="false" outlineLevel="0" collapsed="false">
      <c r="A1263" s="12"/>
      <c r="B1263" s="13"/>
      <c r="C1263" s="14"/>
      <c r="D1263" s="13"/>
      <c r="E1263" s="15"/>
      <c r="F1263" s="15"/>
      <c r="G1263" s="15"/>
      <c r="H1263" s="14"/>
      <c r="I1263" s="16" t="str">
        <f aca="false">IF(OR(A1263="",C1263=""),"",IF(OR(H1263="İade",H1263="İptal"),0,E1263*IFERROR(INDEX(Kanallar!$B$5:$B$19,MATCH(C1263,Kanallar!$A$5:$A$19,0)),0)))</f>
        <v/>
      </c>
      <c r="J1263" s="16" t="str">
        <f aca="false">IF(I1263="","",IF(H1263="İptal",0,IF(H1263="İade",-G1263,E1263-I1263-F1263-G1263)))</f>
        <v/>
      </c>
    </row>
    <row r="1264" customFormat="false" ht="15" hidden="false" customHeight="false" outlineLevel="0" collapsed="false">
      <c r="A1264" s="12"/>
      <c r="B1264" s="13"/>
      <c r="C1264" s="14"/>
      <c r="D1264" s="13"/>
      <c r="E1264" s="15"/>
      <c r="F1264" s="15"/>
      <c r="G1264" s="15"/>
      <c r="H1264" s="14"/>
      <c r="I1264" s="16" t="str">
        <f aca="false">IF(OR(A1264="",C1264=""),"",IF(OR(H1264="İade",H1264="İptal"),0,E1264*IFERROR(INDEX(Kanallar!$B$5:$B$19,MATCH(C1264,Kanallar!$A$5:$A$19,0)),0)))</f>
        <v/>
      </c>
      <c r="J1264" s="16" t="str">
        <f aca="false">IF(I1264="","",IF(H1264="İptal",0,IF(H1264="İade",-G1264,E1264-I1264-F1264-G1264)))</f>
        <v/>
      </c>
    </row>
    <row r="1265" customFormat="false" ht="15" hidden="false" customHeight="false" outlineLevel="0" collapsed="false">
      <c r="A1265" s="12"/>
      <c r="B1265" s="13"/>
      <c r="C1265" s="14"/>
      <c r="D1265" s="13"/>
      <c r="E1265" s="15"/>
      <c r="F1265" s="15"/>
      <c r="G1265" s="15"/>
      <c r="H1265" s="14"/>
      <c r="I1265" s="16" t="str">
        <f aca="false">IF(OR(A1265="",C1265=""),"",IF(OR(H1265="İade",H1265="İptal"),0,E1265*IFERROR(INDEX(Kanallar!$B$5:$B$19,MATCH(C1265,Kanallar!$A$5:$A$19,0)),0)))</f>
        <v/>
      </c>
      <c r="J1265" s="16" t="str">
        <f aca="false">IF(I1265="","",IF(H1265="İptal",0,IF(H1265="İade",-G1265,E1265-I1265-F1265-G1265)))</f>
        <v/>
      </c>
    </row>
    <row r="1266" customFormat="false" ht="15" hidden="false" customHeight="false" outlineLevel="0" collapsed="false">
      <c r="A1266" s="12"/>
      <c r="B1266" s="13"/>
      <c r="C1266" s="14"/>
      <c r="D1266" s="13"/>
      <c r="E1266" s="15"/>
      <c r="F1266" s="15"/>
      <c r="G1266" s="15"/>
      <c r="H1266" s="14"/>
      <c r="I1266" s="16" t="str">
        <f aca="false">IF(OR(A1266="",C1266=""),"",IF(OR(H1266="İade",H1266="İptal"),0,E1266*IFERROR(INDEX(Kanallar!$B$5:$B$19,MATCH(C1266,Kanallar!$A$5:$A$19,0)),0)))</f>
        <v/>
      </c>
      <c r="J1266" s="16" t="str">
        <f aca="false">IF(I1266="","",IF(H1266="İptal",0,IF(H1266="İade",-G1266,E1266-I1266-F1266-G1266)))</f>
        <v/>
      </c>
    </row>
    <row r="1267" customFormat="false" ht="15" hidden="false" customHeight="false" outlineLevel="0" collapsed="false">
      <c r="A1267" s="12"/>
      <c r="B1267" s="13"/>
      <c r="C1267" s="14"/>
      <c r="D1267" s="13"/>
      <c r="E1267" s="15"/>
      <c r="F1267" s="15"/>
      <c r="G1267" s="15"/>
      <c r="H1267" s="14"/>
      <c r="I1267" s="16" t="str">
        <f aca="false">IF(OR(A1267="",C1267=""),"",IF(OR(H1267="İade",H1267="İptal"),0,E1267*IFERROR(INDEX(Kanallar!$B$5:$B$19,MATCH(C1267,Kanallar!$A$5:$A$19,0)),0)))</f>
        <v/>
      </c>
      <c r="J1267" s="16" t="str">
        <f aca="false">IF(I1267="","",IF(H1267="İptal",0,IF(H1267="İade",-G1267,E1267-I1267-F1267-G1267)))</f>
        <v/>
      </c>
    </row>
    <row r="1268" customFormat="false" ht="15" hidden="false" customHeight="false" outlineLevel="0" collapsed="false">
      <c r="A1268" s="12"/>
      <c r="B1268" s="13"/>
      <c r="C1268" s="14"/>
      <c r="D1268" s="13"/>
      <c r="E1268" s="15"/>
      <c r="F1268" s="15"/>
      <c r="G1268" s="15"/>
      <c r="H1268" s="14"/>
      <c r="I1268" s="16" t="str">
        <f aca="false">IF(OR(A1268="",C1268=""),"",IF(OR(H1268="İade",H1268="İptal"),0,E1268*IFERROR(INDEX(Kanallar!$B$5:$B$19,MATCH(C1268,Kanallar!$A$5:$A$19,0)),0)))</f>
        <v/>
      </c>
      <c r="J1268" s="16" t="str">
        <f aca="false">IF(I1268="","",IF(H1268="İptal",0,IF(H1268="İade",-G1268,E1268-I1268-F1268-G1268)))</f>
        <v/>
      </c>
    </row>
    <row r="1269" customFormat="false" ht="15" hidden="false" customHeight="false" outlineLevel="0" collapsed="false">
      <c r="A1269" s="12"/>
      <c r="B1269" s="13"/>
      <c r="C1269" s="14"/>
      <c r="D1269" s="13"/>
      <c r="E1269" s="15"/>
      <c r="F1269" s="15"/>
      <c r="G1269" s="15"/>
      <c r="H1269" s="14"/>
      <c r="I1269" s="16" t="str">
        <f aca="false">IF(OR(A1269="",C1269=""),"",IF(OR(H1269="İade",H1269="İptal"),0,E1269*IFERROR(INDEX(Kanallar!$B$5:$B$19,MATCH(C1269,Kanallar!$A$5:$A$19,0)),0)))</f>
        <v/>
      </c>
      <c r="J1269" s="16" t="str">
        <f aca="false">IF(I1269="","",IF(H1269="İptal",0,IF(H1269="İade",-G1269,E1269-I1269-F1269-G1269)))</f>
        <v/>
      </c>
    </row>
    <row r="1270" customFormat="false" ht="15" hidden="false" customHeight="false" outlineLevel="0" collapsed="false">
      <c r="A1270" s="12"/>
      <c r="B1270" s="13"/>
      <c r="C1270" s="14"/>
      <c r="D1270" s="13"/>
      <c r="E1270" s="15"/>
      <c r="F1270" s="15"/>
      <c r="G1270" s="15"/>
      <c r="H1270" s="14"/>
      <c r="I1270" s="16" t="str">
        <f aca="false">IF(OR(A1270="",C1270=""),"",IF(OR(H1270="İade",H1270="İptal"),0,E1270*IFERROR(INDEX(Kanallar!$B$5:$B$19,MATCH(C1270,Kanallar!$A$5:$A$19,0)),0)))</f>
        <v/>
      </c>
      <c r="J1270" s="16" t="str">
        <f aca="false">IF(I1270="","",IF(H1270="İptal",0,IF(H1270="İade",-G1270,E1270-I1270-F1270-G1270)))</f>
        <v/>
      </c>
    </row>
    <row r="1271" customFormat="false" ht="15" hidden="false" customHeight="false" outlineLevel="0" collapsed="false">
      <c r="A1271" s="12"/>
      <c r="B1271" s="13"/>
      <c r="C1271" s="14"/>
      <c r="D1271" s="13"/>
      <c r="E1271" s="15"/>
      <c r="F1271" s="15"/>
      <c r="G1271" s="15"/>
      <c r="H1271" s="14"/>
      <c r="I1271" s="16" t="str">
        <f aca="false">IF(OR(A1271="",C1271=""),"",IF(OR(H1271="İade",H1271="İptal"),0,E1271*IFERROR(INDEX(Kanallar!$B$5:$B$19,MATCH(C1271,Kanallar!$A$5:$A$19,0)),0)))</f>
        <v/>
      </c>
      <c r="J1271" s="16" t="str">
        <f aca="false">IF(I1271="","",IF(H1271="İptal",0,IF(H1271="İade",-G1271,E1271-I1271-F1271-G1271)))</f>
        <v/>
      </c>
    </row>
    <row r="1272" customFormat="false" ht="15" hidden="false" customHeight="false" outlineLevel="0" collapsed="false">
      <c r="A1272" s="12"/>
      <c r="B1272" s="13"/>
      <c r="C1272" s="14"/>
      <c r="D1272" s="13"/>
      <c r="E1272" s="15"/>
      <c r="F1272" s="15"/>
      <c r="G1272" s="15"/>
      <c r="H1272" s="14"/>
      <c r="I1272" s="16" t="str">
        <f aca="false">IF(OR(A1272="",C1272=""),"",IF(OR(H1272="İade",H1272="İptal"),0,E1272*IFERROR(INDEX(Kanallar!$B$5:$B$19,MATCH(C1272,Kanallar!$A$5:$A$19,0)),0)))</f>
        <v/>
      </c>
      <c r="J1272" s="16" t="str">
        <f aca="false">IF(I1272="","",IF(H1272="İptal",0,IF(H1272="İade",-G1272,E1272-I1272-F1272-G1272)))</f>
        <v/>
      </c>
    </row>
    <row r="1273" customFormat="false" ht="15" hidden="false" customHeight="false" outlineLevel="0" collapsed="false">
      <c r="A1273" s="12"/>
      <c r="B1273" s="13"/>
      <c r="C1273" s="14"/>
      <c r="D1273" s="13"/>
      <c r="E1273" s="15"/>
      <c r="F1273" s="15"/>
      <c r="G1273" s="15"/>
      <c r="H1273" s="14"/>
      <c r="I1273" s="16" t="str">
        <f aca="false">IF(OR(A1273="",C1273=""),"",IF(OR(H1273="İade",H1273="İptal"),0,E1273*IFERROR(INDEX(Kanallar!$B$5:$B$19,MATCH(C1273,Kanallar!$A$5:$A$19,0)),0)))</f>
        <v/>
      </c>
      <c r="J1273" s="16" t="str">
        <f aca="false">IF(I1273="","",IF(H1273="İptal",0,IF(H1273="İade",-G1273,E1273-I1273-F1273-G1273)))</f>
        <v/>
      </c>
    </row>
    <row r="1274" customFormat="false" ht="15" hidden="false" customHeight="false" outlineLevel="0" collapsed="false">
      <c r="A1274" s="12"/>
      <c r="B1274" s="13"/>
      <c r="C1274" s="14"/>
      <c r="D1274" s="13"/>
      <c r="E1274" s="15"/>
      <c r="F1274" s="15"/>
      <c r="G1274" s="15"/>
      <c r="H1274" s="14"/>
      <c r="I1274" s="16" t="str">
        <f aca="false">IF(OR(A1274="",C1274=""),"",IF(OR(H1274="İade",H1274="İptal"),0,E1274*IFERROR(INDEX(Kanallar!$B$5:$B$19,MATCH(C1274,Kanallar!$A$5:$A$19,0)),0)))</f>
        <v/>
      </c>
      <c r="J1274" s="16" t="str">
        <f aca="false">IF(I1274="","",IF(H1274="İptal",0,IF(H1274="İade",-G1274,E1274-I1274-F1274-G1274)))</f>
        <v/>
      </c>
    </row>
    <row r="1275" customFormat="false" ht="15" hidden="false" customHeight="false" outlineLevel="0" collapsed="false">
      <c r="A1275" s="12"/>
      <c r="B1275" s="13"/>
      <c r="C1275" s="14"/>
      <c r="D1275" s="13"/>
      <c r="E1275" s="15"/>
      <c r="F1275" s="15"/>
      <c r="G1275" s="15"/>
      <c r="H1275" s="14"/>
      <c r="I1275" s="16" t="str">
        <f aca="false">IF(OR(A1275="",C1275=""),"",IF(OR(H1275="İade",H1275="İptal"),0,E1275*IFERROR(INDEX(Kanallar!$B$5:$B$19,MATCH(C1275,Kanallar!$A$5:$A$19,0)),0)))</f>
        <v/>
      </c>
      <c r="J1275" s="16" t="str">
        <f aca="false">IF(I1275="","",IF(H1275="İptal",0,IF(H1275="İade",-G1275,E1275-I1275-F1275-G1275)))</f>
        <v/>
      </c>
    </row>
    <row r="1276" customFormat="false" ht="15" hidden="false" customHeight="false" outlineLevel="0" collapsed="false">
      <c r="A1276" s="12"/>
      <c r="B1276" s="13"/>
      <c r="C1276" s="14"/>
      <c r="D1276" s="13"/>
      <c r="E1276" s="15"/>
      <c r="F1276" s="15"/>
      <c r="G1276" s="15"/>
      <c r="H1276" s="14"/>
      <c r="I1276" s="16" t="str">
        <f aca="false">IF(OR(A1276="",C1276=""),"",IF(OR(H1276="İade",H1276="İptal"),0,E1276*IFERROR(INDEX(Kanallar!$B$5:$B$19,MATCH(C1276,Kanallar!$A$5:$A$19,0)),0)))</f>
        <v/>
      </c>
      <c r="J1276" s="16" t="str">
        <f aca="false">IF(I1276="","",IF(H1276="İptal",0,IF(H1276="İade",-G1276,E1276-I1276-F1276-G1276)))</f>
        <v/>
      </c>
    </row>
    <row r="1277" customFormat="false" ht="15" hidden="false" customHeight="false" outlineLevel="0" collapsed="false">
      <c r="A1277" s="12"/>
      <c r="B1277" s="13"/>
      <c r="C1277" s="14"/>
      <c r="D1277" s="13"/>
      <c r="E1277" s="15"/>
      <c r="F1277" s="15"/>
      <c r="G1277" s="15"/>
      <c r="H1277" s="14"/>
      <c r="I1277" s="16" t="str">
        <f aca="false">IF(OR(A1277="",C1277=""),"",IF(OR(H1277="İade",H1277="İptal"),0,E1277*IFERROR(INDEX(Kanallar!$B$5:$B$19,MATCH(C1277,Kanallar!$A$5:$A$19,0)),0)))</f>
        <v/>
      </c>
      <c r="J1277" s="16" t="str">
        <f aca="false">IF(I1277="","",IF(H1277="İptal",0,IF(H1277="İade",-G1277,E1277-I1277-F1277-G1277)))</f>
        <v/>
      </c>
    </row>
    <row r="1278" customFormat="false" ht="15" hidden="false" customHeight="false" outlineLevel="0" collapsed="false">
      <c r="A1278" s="12"/>
      <c r="B1278" s="13"/>
      <c r="C1278" s="14"/>
      <c r="D1278" s="13"/>
      <c r="E1278" s="15"/>
      <c r="F1278" s="15"/>
      <c r="G1278" s="15"/>
      <c r="H1278" s="14"/>
      <c r="I1278" s="16" t="str">
        <f aca="false">IF(OR(A1278="",C1278=""),"",IF(OR(H1278="İade",H1278="İptal"),0,E1278*IFERROR(INDEX(Kanallar!$B$5:$B$19,MATCH(C1278,Kanallar!$A$5:$A$19,0)),0)))</f>
        <v/>
      </c>
      <c r="J1278" s="16" t="str">
        <f aca="false">IF(I1278="","",IF(H1278="İptal",0,IF(H1278="İade",-G1278,E1278-I1278-F1278-G1278)))</f>
        <v/>
      </c>
    </row>
    <row r="1279" customFormat="false" ht="15" hidden="false" customHeight="false" outlineLevel="0" collapsed="false">
      <c r="A1279" s="12"/>
      <c r="B1279" s="13"/>
      <c r="C1279" s="14"/>
      <c r="D1279" s="13"/>
      <c r="E1279" s="15"/>
      <c r="F1279" s="15"/>
      <c r="G1279" s="15"/>
      <c r="H1279" s="14"/>
      <c r="I1279" s="16" t="str">
        <f aca="false">IF(OR(A1279="",C1279=""),"",IF(OR(H1279="İade",H1279="İptal"),0,E1279*IFERROR(INDEX(Kanallar!$B$5:$B$19,MATCH(C1279,Kanallar!$A$5:$A$19,0)),0)))</f>
        <v/>
      </c>
      <c r="J1279" s="16" t="str">
        <f aca="false">IF(I1279="","",IF(H1279="İptal",0,IF(H1279="İade",-G1279,E1279-I1279-F1279-G1279)))</f>
        <v/>
      </c>
    </row>
    <row r="1280" customFormat="false" ht="15" hidden="false" customHeight="false" outlineLevel="0" collapsed="false">
      <c r="A1280" s="12"/>
      <c r="B1280" s="13"/>
      <c r="C1280" s="14"/>
      <c r="D1280" s="13"/>
      <c r="E1280" s="15"/>
      <c r="F1280" s="15"/>
      <c r="G1280" s="15"/>
      <c r="H1280" s="14"/>
      <c r="I1280" s="16" t="str">
        <f aca="false">IF(OR(A1280="",C1280=""),"",IF(OR(H1280="İade",H1280="İptal"),0,E1280*IFERROR(INDEX(Kanallar!$B$5:$B$19,MATCH(C1280,Kanallar!$A$5:$A$19,0)),0)))</f>
        <v/>
      </c>
      <c r="J1280" s="16" t="str">
        <f aca="false">IF(I1280="","",IF(H1280="İptal",0,IF(H1280="İade",-G1280,E1280-I1280-F1280-G1280)))</f>
        <v/>
      </c>
    </row>
    <row r="1281" customFormat="false" ht="15" hidden="false" customHeight="false" outlineLevel="0" collapsed="false">
      <c r="A1281" s="12"/>
      <c r="B1281" s="13"/>
      <c r="C1281" s="14"/>
      <c r="D1281" s="13"/>
      <c r="E1281" s="15"/>
      <c r="F1281" s="15"/>
      <c r="G1281" s="15"/>
      <c r="H1281" s="14"/>
      <c r="I1281" s="16" t="str">
        <f aca="false">IF(OR(A1281="",C1281=""),"",IF(OR(H1281="İade",H1281="İptal"),0,E1281*IFERROR(INDEX(Kanallar!$B$5:$B$19,MATCH(C1281,Kanallar!$A$5:$A$19,0)),0)))</f>
        <v/>
      </c>
      <c r="J1281" s="16" t="str">
        <f aca="false">IF(I1281="","",IF(H1281="İptal",0,IF(H1281="İade",-G1281,E1281-I1281-F1281-G1281)))</f>
        <v/>
      </c>
    </row>
    <row r="1282" customFormat="false" ht="15" hidden="false" customHeight="false" outlineLevel="0" collapsed="false">
      <c r="A1282" s="12"/>
      <c r="B1282" s="13"/>
      <c r="C1282" s="14"/>
      <c r="D1282" s="13"/>
      <c r="E1282" s="15"/>
      <c r="F1282" s="15"/>
      <c r="G1282" s="15"/>
      <c r="H1282" s="14"/>
      <c r="I1282" s="16" t="str">
        <f aca="false">IF(OR(A1282="",C1282=""),"",IF(OR(H1282="İade",H1282="İptal"),0,E1282*IFERROR(INDEX(Kanallar!$B$5:$B$19,MATCH(C1282,Kanallar!$A$5:$A$19,0)),0)))</f>
        <v/>
      </c>
      <c r="J1282" s="16" t="str">
        <f aca="false">IF(I1282="","",IF(H1282="İptal",0,IF(H1282="İade",-G1282,E1282-I1282-F1282-G1282)))</f>
        <v/>
      </c>
    </row>
    <row r="1283" customFormat="false" ht="15" hidden="false" customHeight="false" outlineLevel="0" collapsed="false">
      <c r="A1283" s="12"/>
      <c r="B1283" s="13"/>
      <c r="C1283" s="14"/>
      <c r="D1283" s="13"/>
      <c r="E1283" s="15"/>
      <c r="F1283" s="15"/>
      <c r="G1283" s="15"/>
      <c r="H1283" s="14"/>
      <c r="I1283" s="16" t="str">
        <f aca="false">IF(OR(A1283="",C1283=""),"",IF(OR(H1283="İade",H1283="İptal"),0,E1283*IFERROR(INDEX(Kanallar!$B$5:$B$19,MATCH(C1283,Kanallar!$A$5:$A$19,0)),0)))</f>
        <v/>
      </c>
      <c r="J1283" s="16" t="str">
        <f aca="false">IF(I1283="","",IF(H1283="İptal",0,IF(H1283="İade",-G1283,E1283-I1283-F1283-G1283)))</f>
        <v/>
      </c>
    </row>
    <row r="1284" customFormat="false" ht="15" hidden="false" customHeight="false" outlineLevel="0" collapsed="false">
      <c r="A1284" s="12"/>
      <c r="B1284" s="13"/>
      <c r="C1284" s="14"/>
      <c r="D1284" s="13"/>
      <c r="E1284" s="15"/>
      <c r="F1284" s="15"/>
      <c r="G1284" s="15"/>
      <c r="H1284" s="14"/>
      <c r="I1284" s="16" t="str">
        <f aca="false">IF(OR(A1284="",C1284=""),"",IF(OR(H1284="İade",H1284="İptal"),0,E1284*IFERROR(INDEX(Kanallar!$B$5:$B$19,MATCH(C1284,Kanallar!$A$5:$A$19,0)),0)))</f>
        <v/>
      </c>
      <c r="J1284" s="16" t="str">
        <f aca="false">IF(I1284="","",IF(H1284="İptal",0,IF(H1284="İade",-G1284,E1284-I1284-F1284-G1284)))</f>
        <v/>
      </c>
    </row>
    <row r="1285" customFormat="false" ht="15" hidden="false" customHeight="false" outlineLevel="0" collapsed="false">
      <c r="A1285" s="12"/>
      <c r="B1285" s="13"/>
      <c r="C1285" s="14"/>
      <c r="D1285" s="13"/>
      <c r="E1285" s="15"/>
      <c r="F1285" s="15"/>
      <c r="G1285" s="15"/>
      <c r="H1285" s="14"/>
      <c r="I1285" s="16" t="str">
        <f aca="false">IF(OR(A1285="",C1285=""),"",IF(OR(H1285="İade",H1285="İptal"),0,E1285*IFERROR(INDEX(Kanallar!$B$5:$B$19,MATCH(C1285,Kanallar!$A$5:$A$19,0)),0)))</f>
        <v/>
      </c>
      <c r="J1285" s="16" t="str">
        <f aca="false">IF(I1285="","",IF(H1285="İptal",0,IF(H1285="İade",-G1285,E1285-I1285-F1285-G1285)))</f>
        <v/>
      </c>
    </row>
    <row r="1286" customFormat="false" ht="15" hidden="false" customHeight="false" outlineLevel="0" collapsed="false">
      <c r="A1286" s="12"/>
      <c r="B1286" s="13"/>
      <c r="C1286" s="14"/>
      <c r="D1286" s="13"/>
      <c r="E1286" s="15"/>
      <c r="F1286" s="15"/>
      <c r="G1286" s="15"/>
      <c r="H1286" s="14"/>
      <c r="I1286" s="16" t="str">
        <f aca="false">IF(OR(A1286="",C1286=""),"",IF(OR(H1286="İade",H1286="İptal"),0,E1286*IFERROR(INDEX(Kanallar!$B$5:$B$19,MATCH(C1286,Kanallar!$A$5:$A$19,0)),0)))</f>
        <v/>
      </c>
      <c r="J1286" s="16" t="str">
        <f aca="false">IF(I1286="","",IF(H1286="İptal",0,IF(H1286="İade",-G1286,E1286-I1286-F1286-G1286)))</f>
        <v/>
      </c>
    </row>
    <row r="1287" customFormat="false" ht="15" hidden="false" customHeight="false" outlineLevel="0" collapsed="false">
      <c r="A1287" s="12"/>
      <c r="B1287" s="13"/>
      <c r="C1287" s="14"/>
      <c r="D1287" s="13"/>
      <c r="E1287" s="15"/>
      <c r="F1287" s="15"/>
      <c r="G1287" s="15"/>
      <c r="H1287" s="14"/>
      <c r="I1287" s="16" t="str">
        <f aca="false">IF(OR(A1287="",C1287=""),"",IF(OR(H1287="İade",H1287="İptal"),0,E1287*IFERROR(INDEX(Kanallar!$B$5:$B$19,MATCH(C1287,Kanallar!$A$5:$A$19,0)),0)))</f>
        <v/>
      </c>
      <c r="J1287" s="16" t="str">
        <f aca="false">IF(I1287="","",IF(H1287="İptal",0,IF(H1287="İade",-G1287,E1287-I1287-F1287-G1287)))</f>
        <v/>
      </c>
    </row>
    <row r="1288" customFormat="false" ht="15" hidden="false" customHeight="false" outlineLevel="0" collapsed="false">
      <c r="A1288" s="12"/>
      <c r="B1288" s="13"/>
      <c r="C1288" s="14"/>
      <c r="D1288" s="13"/>
      <c r="E1288" s="15"/>
      <c r="F1288" s="15"/>
      <c r="G1288" s="15"/>
      <c r="H1288" s="14"/>
      <c r="I1288" s="16" t="str">
        <f aca="false">IF(OR(A1288="",C1288=""),"",IF(OR(H1288="İade",H1288="İptal"),0,E1288*IFERROR(INDEX(Kanallar!$B$5:$B$19,MATCH(C1288,Kanallar!$A$5:$A$19,0)),0)))</f>
        <v/>
      </c>
      <c r="J1288" s="16" t="str">
        <f aca="false">IF(I1288="","",IF(H1288="İptal",0,IF(H1288="İade",-G1288,E1288-I1288-F1288-G1288)))</f>
        <v/>
      </c>
    </row>
    <row r="1289" customFormat="false" ht="15" hidden="false" customHeight="false" outlineLevel="0" collapsed="false">
      <c r="A1289" s="12"/>
      <c r="B1289" s="13"/>
      <c r="C1289" s="14"/>
      <c r="D1289" s="13"/>
      <c r="E1289" s="15"/>
      <c r="F1289" s="15"/>
      <c r="G1289" s="15"/>
      <c r="H1289" s="14"/>
      <c r="I1289" s="16" t="str">
        <f aca="false">IF(OR(A1289="",C1289=""),"",IF(OR(H1289="İade",H1289="İptal"),0,E1289*IFERROR(INDEX(Kanallar!$B$5:$B$19,MATCH(C1289,Kanallar!$A$5:$A$19,0)),0)))</f>
        <v/>
      </c>
      <c r="J1289" s="16" t="str">
        <f aca="false">IF(I1289="","",IF(H1289="İptal",0,IF(H1289="İade",-G1289,E1289-I1289-F1289-G1289)))</f>
        <v/>
      </c>
    </row>
    <row r="1290" customFormat="false" ht="15" hidden="false" customHeight="false" outlineLevel="0" collapsed="false">
      <c r="A1290" s="12"/>
      <c r="B1290" s="13"/>
      <c r="C1290" s="14"/>
      <c r="D1290" s="13"/>
      <c r="E1290" s="15"/>
      <c r="F1290" s="15"/>
      <c r="G1290" s="15"/>
      <c r="H1290" s="14"/>
      <c r="I1290" s="16" t="str">
        <f aca="false">IF(OR(A1290="",C1290=""),"",IF(OR(H1290="İade",H1290="İptal"),0,E1290*IFERROR(INDEX(Kanallar!$B$5:$B$19,MATCH(C1290,Kanallar!$A$5:$A$19,0)),0)))</f>
        <v/>
      </c>
      <c r="J1290" s="16" t="str">
        <f aca="false">IF(I1290="","",IF(H1290="İptal",0,IF(H1290="İade",-G1290,E1290-I1290-F1290-G1290)))</f>
        <v/>
      </c>
    </row>
    <row r="1291" customFormat="false" ht="15" hidden="false" customHeight="false" outlineLevel="0" collapsed="false">
      <c r="A1291" s="12"/>
      <c r="B1291" s="13"/>
      <c r="C1291" s="14"/>
      <c r="D1291" s="13"/>
      <c r="E1291" s="15"/>
      <c r="F1291" s="15"/>
      <c r="G1291" s="15"/>
      <c r="H1291" s="14"/>
      <c r="I1291" s="16" t="str">
        <f aca="false">IF(OR(A1291="",C1291=""),"",IF(OR(H1291="İade",H1291="İptal"),0,E1291*IFERROR(INDEX(Kanallar!$B$5:$B$19,MATCH(C1291,Kanallar!$A$5:$A$19,0)),0)))</f>
        <v/>
      </c>
      <c r="J1291" s="16" t="str">
        <f aca="false">IF(I1291="","",IF(H1291="İptal",0,IF(H1291="İade",-G1291,E1291-I1291-F1291-G1291)))</f>
        <v/>
      </c>
    </row>
    <row r="1292" customFormat="false" ht="15" hidden="false" customHeight="false" outlineLevel="0" collapsed="false">
      <c r="A1292" s="12"/>
      <c r="B1292" s="13"/>
      <c r="C1292" s="14"/>
      <c r="D1292" s="13"/>
      <c r="E1292" s="15"/>
      <c r="F1292" s="15"/>
      <c r="G1292" s="15"/>
      <c r="H1292" s="14"/>
      <c r="I1292" s="16" t="str">
        <f aca="false">IF(OR(A1292="",C1292=""),"",IF(OR(H1292="İade",H1292="İptal"),0,E1292*IFERROR(INDEX(Kanallar!$B$5:$B$19,MATCH(C1292,Kanallar!$A$5:$A$19,0)),0)))</f>
        <v/>
      </c>
      <c r="J1292" s="16" t="str">
        <f aca="false">IF(I1292="","",IF(H1292="İptal",0,IF(H1292="İade",-G1292,E1292-I1292-F1292-G1292)))</f>
        <v/>
      </c>
    </row>
    <row r="1293" customFormat="false" ht="15" hidden="false" customHeight="false" outlineLevel="0" collapsed="false">
      <c r="A1293" s="12"/>
      <c r="B1293" s="13"/>
      <c r="C1293" s="14"/>
      <c r="D1293" s="13"/>
      <c r="E1293" s="15"/>
      <c r="F1293" s="15"/>
      <c r="G1293" s="15"/>
      <c r="H1293" s="14"/>
      <c r="I1293" s="16" t="str">
        <f aca="false">IF(OR(A1293="",C1293=""),"",IF(OR(H1293="İade",H1293="İptal"),0,E1293*IFERROR(INDEX(Kanallar!$B$5:$B$19,MATCH(C1293,Kanallar!$A$5:$A$19,0)),0)))</f>
        <v/>
      </c>
      <c r="J1293" s="16" t="str">
        <f aca="false">IF(I1293="","",IF(H1293="İptal",0,IF(H1293="İade",-G1293,E1293-I1293-F1293-G1293)))</f>
        <v/>
      </c>
    </row>
    <row r="1294" customFormat="false" ht="15" hidden="false" customHeight="false" outlineLevel="0" collapsed="false">
      <c r="A1294" s="12"/>
      <c r="B1294" s="13"/>
      <c r="C1294" s="14"/>
      <c r="D1294" s="13"/>
      <c r="E1294" s="15"/>
      <c r="F1294" s="15"/>
      <c r="G1294" s="15"/>
      <c r="H1294" s="14"/>
      <c r="I1294" s="16" t="str">
        <f aca="false">IF(OR(A1294="",C1294=""),"",IF(OR(H1294="İade",H1294="İptal"),0,E1294*IFERROR(INDEX(Kanallar!$B$5:$B$19,MATCH(C1294,Kanallar!$A$5:$A$19,0)),0)))</f>
        <v/>
      </c>
      <c r="J1294" s="16" t="str">
        <f aca="false">IF(I1294="","",IF(H1294="İptal",0,IF(H1294="İade",-G1294,E1294-I1294-F1294-G1294)))</f>
        <v/>
      </c>
    </row>
    <row r="1295" customFormat="false" ht="15" hidden="false" customHeight="false" outlineLevel="0" collapsed="false">
      <c r="A1295" s="12"/>
      <c r="B1295" s="13"/>
      <c r="C1295" s="14"/>
      <c r="D1295" s="13"/>
      <c r="E1295" s="15"/>
      <c r="F1295" s="15"/>
      <c r="G1295" s="15"/>
      <c r="H1295" s="14"/>
      <c r="I1295" s="16" t="str">
        <f aca="false">IF(OR(A1295="",C1295=""),"",IF(OR(H1295="İade",H1295="İptal"),0,E1295*IFERROR(INDEX(Kanallar!$B$5:$B$19,MATCH(C1295,Kanallar!$A$5:$A$19,0)),0)))</f>
        <v/>
      </c>
      <c r="J1295" s="16" t="str">
        <f aca="false">IF(I1295="","",IF(H1295="İptal",0,IF(H1295="İade",-G1295,E1295-I1295-F1295-G1295)))</f>
        <v/>
      </c>
    </row>
    <row r="1296" customFormat="false" ht="15" hidden="false" customHeight="false" outlineLevel="0" collapsed="false">
      <c r="A1296" s="12"/>
      <c r="B1296" s="13"/>
      <c r="C1296" s="14"/>
      <c r="D1296" s="13"/>
      <c r="E1296" s="15"/>
      <c r="F1296" s="15"/>
      <c r="G1296" s="15"/>
      <c r="H1296" s="14"/>
      <c r="I1296" s="16" t="str">
        <f aca="false">IF(OR(A1296="",C1296=""),"",IF(OR(H1296="İade",H1296="İptal"),0,E1296*IFERROR(INDEX(Kanallar!$B$5:$B$19,MATCH(C1296,Kanallar!$A$5:$A$19,0)),0)))</f>
        <v/>
      </c>
      <c r="J1296" s="16" t="str">
        <f aca="false">IF(I1296="","",IF(H1296="İptal",0,IF(H1296="İade",-G1296,E1296-I1296-F1296-G1296)))</f>
        <v/>
      </c>
    </row>
    <row r="1297" customFormat="false" ht="15" hidden="false" customHeight="false" outlineLevel="0" collapsed="false">
      <c r="A1297" s="12"/>
      <c r="B1297" s="13"/>
      <c r="C1297" s="14"/>
      <c r="D1297" s="13"/>
      <c r="E1297" s="15"/>
      <c r="F1297" s="15"/>
      <c r="G1297" s="15"/>
      <c r="H1297" s="14"/>
      <c r="I1297" s="16" t="str">
        <f aca="false">IF(OR(A1297="",C1297=""),"",IF(OR(H1297="İade",H1297="İptal"),0,E1297*IFERROR(INDEX(Kanallar!$B$5:$B$19,MATCH(C1297,Kanallar!$A$5:$A$19,0)),0)))</f>
        <v/>
      </c>
      <c r="J1297" s="16" t="str">
        <f aca="false">IF(I1297="","",IF(H1297="İptal",0,IF(H1297="İade",-G1297,E1297-I1297-F1297-G1297)))</f>
        <v/>
      </c>
    </row>
    <row r="1298" customFormat="false" ht="15" hidden="false" customHeight="false" outlineLevel="0" collapsed="false">
      <c r="A1298" s="12"/>
      <c r="B1298" s="13"/>
      <c r="C1298" s="14"/>
      <c r="D1298" s="13"/>
      <c r="E1298" s="15"/>
      <c r="F1298" s="15"/>
      <c r="G1298" s="15"/>
      <c r="H1298" s="14"/>
      <c r="I1298" s="16" t="str">
        <f aca="false">IF(OR(A1298="",C1298=""),"",IF(OR(H1298="İade",H1298="İptal"),0,E1298*IFERROR(INDEX(Kanallar!$B$5:$B$19,MATCH(C1298,Kanallar!$A$5:$A$19,0)),0)))</f>
        <v/>
      </c>
      <c r="J1298" s="16" t="str">
        <f aca="false">IF(I1298="","",IF(H1298="İptal",0,IF(H1298="İade",-G1298,E1298-I1298-F1298-G1298)))</f>
        <v/>
      </c>
    </row>
    <row r="1299" customFormat="false" ht="15" hidden="false" customHeight="false" outlineLevel="0" collapsed="false">
      <c r="A1299" s="12"/>
      <c r="B1299" s="13"/>
      <c r="C1299" s="14"/>
      <c r="D1299" s="13"/>
      <c r="E1299" s="15"/>
      <c r="F1299" s="15"/>
      <c r="G1299" s="15"/>
      <c r="H1299" s="14"/>
      <c r="I1299" s="16" t="str">
        <f aca="false">IF(OR(A1299="",C1299=""),"",IF(OR(H1299="İade",H1299="İptal"),0,E1299*IFERROR(INDEX(Kanallar!$B$5:$B$19,MATCH(C1299,Kanallar!$A$5:$A$19,0)),0)))</f>
        <v/>
      </c>
      <c r="J1299" s="16" t="str">
        <f aca="false">IF(I1299="","",IF(H1299="İptal",0,IF(H1299="İade",-G1299,E1299-I1299-F1299-G1299)))</f>
        <v/>
      </c>
    </row>
    <row r="1300" customFormat="false" ht="15" hidden="false" customHeight="false" outlineLevel="0" collapsed="false">
      <c r="A1300" s="12"/>
      <c r="B1300" s="13"/>
      <c r="C1300" s="14"/>
      <c r="D1300" s="13"/>
      <c r="E1300" s="15"/>
      <c r="F1300" s="15"/>
      <c r="G1300" s="15"/>
      <c r="H1300" s="14"/>
      <c r="I1300" s="16" t="str">
        <f aca="false">IF(OR(A1300="",C1300=""),"",IF(OR(H1300="İade",H1300="İptal"),0,E1300*IFERROR(INDEX(Kanallar!$B$5:$B$19,MATCH(C1300,Kanallar!$A$5:$A$19,0)),0)))</f>
        <v/>
      </c>
      <c r="J1300" s="16" t="str">
        <f aca="false">IF(I1300="","",IF(H1300="İptal",0,IF(H1300="İade",-G1300,E1300-I1300-F1300-G1300)))</f>
        <v/>
      </c>
    </row>
    <row r="1301" customFormat="false" ht="15" hidden="false" customHeight="false" outlineLevel="0" collapsed="false">
      <c r="A1301" s="12"/>
      <c r="B1301" s="13"/>
      <c r="C1301" s="14"/>
      <c r="D1301" s="13"/>
      <c r="E1301" s="15"/>
      <c r="F1301" s="15"/>
      <c r="G1301" s="15"/>
      <c r="H1301" s="14"/>
      <c r="I1301" s="16" t="str">
        <f aca="false">IF(OR(A1301="",C1301=""),"",IF(OR(H1301="İade",H1301="İptal"),0,E1301*IFERROR(INDEX(Kanallar!$B$5:$B$19,MATCH(C1301,Kanallar!$A$5:$A$19,0)),0)))</f>
        <v/>
      </c>
      <c r="J1301" s="16" t="str">
        <f aca="false">IF(I1301="","",IF(H1301="İptal",0,IF(H1301="İade",-G1301,E1301-I1301-F1301-G1301)))</f>
        <v/>
      </c>
    </row>
    <row r="1302" customFormat="false" ht="15" hidden="false" customHeight="false" outlineLevel="0" collapsed="false">
      <c r="A1302" s="12"/>
      <c r="B1302" s="13"/>
      <c r="C1302" s="14"/>
      <c r="D1302" s="13"/>
      <c r="E1302" s="15"/>
      <c r="F1302" s="15"/>
      <c r="G1302" s="15"/>
      <c r="H1302" s="14"/>
      <c r="I1302" s="16" t="str">
        <f aca="false">IF(OR(A1302="",C1302=""),"",IF(OR(H1302="İade",H1302="İptal"),0,E1302*IFERROR(INDEX(Kanallar!$B$5:$B$19,MATCH(C1302,Kanallar!$A$5:$A$19,0)),0)))</f>
        <v/>
      </c>
      <c r="J1302" s="16" t="str">
        <f aca="false">IF(I1302="","",IF(H1302="İptal",0,IF(H1302="İade",-G1302,E1302-I1302-F1302-G1302)))</f>
        <v/>
      </c>
    </row>
    <row r="1303" customFormat="false" ht="15" hidden="false" customHeight="false" outlineLevel="0" collapsed="false">
      <c r="A1303" s="12"/>
      <c r="B1303" s="13"/>
      <c r="C1303" s="14"/>
      <c r="D1303" s="13"/>
      <c r="E1303" s="15"/>
      <c r="F1303" s="15"/>
      <c r="G1303" s="15"/>
      <c r="H1303" s="14"/>
      <c r="I1303" s="16" t="str">
        <f aca="false">IF(OR(A1303="",C1303=""),"",IF(OR(H1303="İade",H1303="İptal"),0,E1303*IFERROR(INDEX(Kanallar!$B$5:$B$19,MATCH(C1303,Kanallar!$A$5:$A$19,0)),0)))</f>
        <v/>
      </c>
      <c r="J1303" s="16" t="str">
        <f aca="false">IF(I1303="","",IF(H1303="İptal",0,IF(H1303="İade",-G1303,E1303-I1303-F1303-G1303)))</f>
        <v/>
      </c>
    </row>
    <row r="1304" customFormat="false" ht="15" hidden="false" customHeight="false" outlineLevel="0" collapsed="false">
      <c r="A1304" s="12"/>
      <c r="B1304" s="13"/>
      <c r="C1304" s="14"/>
      <c r="D1304" s="13"/>
      <c r="E1304" s="15"/>
      <c r="F1304" s="15"/>
      <c r="G1304" s="15"/>
      <c r="H1304" s="14"/>
      <c r="I1304" s="16" t="str">
        <f aca="false">IF(OR(A1304="",C1304=""),"",IF(OR(H1304="İade",H1304="İptal"),0,E1304*IFERROR(INDEX(Kanallar!$B$5:$B$19,MATCH(C1304,Kanallar!$A$5:$A$19,0)),0)))</f>
        <v/>
      </c>
      <c r="J1304" s="16" t="str">
        <f aca="false">IF(I1304="","",IF(H1304="İptal",0,IF(H1304="İade",-G1304,E1304-I1304-F1304-G1304)))</f>
        <v/>
      </c>
    </row>
    <row r="1305" customFormat="false" ht="15" hidden="false" customHeight="false" outlineLevel="0" collapsed="false">
      <c r="A1305" s="12"/>
      <c r="B1305" s="13"/>
      <c r="C1305" s="14"/>
      <c r="D1305" s="13"/>
      <c r="E1305" s="15"/>
      <c r="F1305" s="15"/>
      <c r="G1305" s="15"/>
      <c r="H1305" s="14"/>
      <c r="I1305" s="16" t="str">
        <f aca="false">IF(OR(A1305="",C1305=""),"",IF(OR(H1305="İade",H1305="İptal"),0,E1305*IFERROR(INDEX(Kanallar!$B$5:$B$19,MATCH(C1305,Kanallar!$A$5:$A$19,0)),0)))</f>
        <v/>
      </c>
      <c r="J1305" s="16" t="str">
        <f aca="false">IF(I1305="","",IF(H1305="İptal",0,IF(H1305="İade",-G1305,E1305-I1305-F1305-G1305)))</f>
        <v/>
      </c>
    </row>
    <row r="1306" customFormat="false" ht="15" hidden="false" customHeight="false" outlineLevel="0" collapsed="false">
      <c r="A1306" s="12"/>
      <c r="B1306" s="13"/>
      <c r="C1306" s="14"/>
      <c r="D1306" s="13"/>
      <c r="E1306" s="15"/>
      <c r="F1306" s="15"/>
      <c r="G1306" s="15"/>
      <c r="H1306" s="14"/>
      <c r="I1306" s="16" t="str">
        <f aca="false">IF(OR(A1306="",C1306=""),"",IF(OR(H1306="İade",H1306="İptal"),0,E1306*IFERROR(INDEX(Kanallar!$B$5:$B$19,MATCH(C1306,Kanallar!$A$5:$A$19,0)),0)))</f>
        <v/>
      </c>
      <c r="J1306" s="16" t="str">
        <f aca="false">IF(I1306="","",IF(H1306="İptal",0,IF(H1306="İade",-G1306,E1306-I1306-F1306-G1306)))</f>
        <v/>
      </c>
    </row>
    <row r="1307" customFormat="false" ht="15" hidden="false" customHeight="false" outlineLevel="0" collapsed="false">
      <c r="A1307" s="12"/>
      <c r="B1307" s="13"/>
      <c r="C1307" s="14"/>
      <c r="D1307" s="13"/>
      <c r="E1307" s="15"/>
      <c r="F1307" s="15"/>
      <c r="G1307" s="15"/>
      <c r="H1307" s="14"/>
      <c r="I1307" s="16" t="str">
        <f aca="false">IF(OR(A1307="",C1307=""),"",IF(OR(H1307="İade",H1307="İptal"),0,E1307*IFERROR(INDEX(Kanallar!$B$5:$B$19,MATCH(C1307,Kanallar!$A$5:$A$19,0)),0)))</f>
        <v/>
      </c>
      <c r="J1307" s="16" t="str">
        <f aca="false">IF(I1307="","",IF(H1307="İptal",0,IF(H1307="İade",-G1307,E1307-I1307-F1307-G1307)))</f>
        <v/>
      </c>
    </row>
    <row r="1308" customFormat="false" ht="15" hidden="false" customHeight="false" outlineLevel="0" collapsed="false">
      <c r="A1308" s="12"/>
      <c r="B1308" s="13"/>
      <c r="C1308" s="14"/>
      <c r="D1308" s="13"/>
      <c r="E1308" s="15"/>
      <c r="F1308" s="15"/>
      <c r="G1308" s="15"/>
      <c r="H1308" s="14"/>
      <c r="I1308" s="16" t="str">
        <f aca="false">IF(OR(A1308="",C1308=""),"",IF(OR(H1308="İade",H1308="İptal"),0,E1308*IFERROR(INDEX(Kanallar!$B$5:$B$19,MATCH(C1308,Kanallar!$A$5:$A$19,0)),0)))</f>
        <v/>
      </c>
      <c r="J1308" s="16" t="str">
        <f aca="false">IF(I1308="","",IF(H1308="İptal",0,IF(H1308="İade",-G1308,E1308-I1308-F1308-G1308)))</f>
        <v/>
      </c>
    </row>
    <row r="1309" customFormat="false" ht="15" hidden="false" customHeight="false" outlineLevel="0" collapsed="false">
      <c r="A1309" s="12"/>
      <c r="B1309" s="13"/>
      <c r="C1309" s="14"/>
      <c r="D1309" s="13"/>
      <c r="E1309" s="15"/>
      <c r="F1309" s="15"/>
      <c r="G1309" s="15"/>
      <c r="H1309" s="14"/>
      <c r="I1309" s="16" t="str">
        <f aca="false">IF(OR(A1309="",C1309=""),"",IF(OR(H1309="İade",H1309="İptal"),0,E1309*IFERROR(INDEX(Kanallar!$B$5:$B$19,MATCH(C1309,Kanallar!$A$5:$A$19,0)),0)))</f>
        <v/>
      </c>
      <c r="J1309" s="16" t="str">
        <f aca="false">IF(I1309="","",IF(H1309="İptal",0,IF(H1309="İade",-G1309,E1309-I1309-F1309-G1309)))</f>
        <v/>
      </c>
    </row>
    <row r="1310" customFormat="false" ht="15" hidden="false" customHeight="false" outlineLevel="0" collapsed="false">
      <c r="A1310" s="12"/>
      <c r="B1310" s="13"/>
      <c r="C1310" s="14"/>
      <c r="D1310" s="13"/>
      <c r="E1310" s="15"/>
      <c r="F1310" s="15"/>
      <c r="G1310" s="15"/>
      <c r="H1310" s="14"/>
      <c r="I1310" s="16" t="str">
        <f aca="false">IF(OR(A1310="",C1310=""),"",IF(OR(H1310="İade",H1310="İptal"),0,E1310*IFERROR(INDEX(Kanallar!$B$5:$B$19,MATCH(C1310,Kanallar!$A$5:$A$19,0)),0)))</f>
        <v/>
      </c>
      <c r="J1310" s="16" t="str">
        <f aca="false">IF(I1310="","",IF(H1310="İptal",0,IF(H1310="İade",-G1310,E1310-I1310-F1310-G1310)))</f>
        <v/>
      </c>
    </row>
    <row r="1311" customFormat="false" ht="15" hidden="false" customHeight="false" outlineLevel="0" collapsed="false">
      <c r="A1311" s="12"/>
      <c r="B1311" s="13"/>
      <c r="C1311" s="14"/>
      <c r="D1311" s="13"/>
      <c r="E1311" s="15"/>
      <c r="F1311" s="15"/>
      <c r="G1311" s="15"/>
      <c r="H1311" s="14"/>
      <c r="I1311" s="16" t="str">
        <f aca="false">IF(OR(A1311="",C1311=""),"",IF(OR(H1311="İade",H1311="İptal"),0,E1311*IFERROR(INDEX(Kanallar!$B$5:$B$19,MATCH(C1311,Kanallar!$A$5:$A$19,0)),0)))</f>
        <v/>
      </c>
      <c r="J1311" s="16" t="str">
        <f aca="false">IF(I1311="","",IF(H1311="İptal",0,IF(H1311="İade",-G1311,E1311-I1311-F1311-G1311)))</f>
        <v/>
      </c>
    </row>
    <row r="1312" customFormat="false" ht="15" hidden="false" customHeight="false" outlineLevel="0" collapsed="false">
      <c r="A1312" s="12"/>
      <c r="B1312" s="13"/>
      <c r="C1312" s="14"/>
      <c r="D1312" s="13"/>
      <c r="E1312" s="15"/>
      <c r="F1312" s="15"/>
      <c r="G1312" s="15"/>
      <c r="H1312" s="14"/>
      <c r="I1312" s="16" t="str">
        <f aca="false">IF(OR(A1312="",C1312=""),"",IF(OR(H1312="İade",H1312="İptal"),0,E1312*IFERROR(INDEX(Kanallar!$B$5:$B$19,MATCH(C1312,Kanallar!$A$5:$A$19,0)),0)))</f>
        <v/>
      </c>
      <c r="J1312" s="16" t="str">
        <f aca="false">IF(I1312="","",IF(H1312="İptal",0,IF(H1312="İade",-G1312,E1312-I1312-F1312-G1312)))</f>
        <v/>
      </c>
    </row>
    <row r="1313" customFormat="false" ht="15" hidden="false" customHeight="false" outlineLevel="0" collapsed="false">
      <c r="A1313" s="12"/>
      <c r="B1313" s="13"/>
      <c r="C1313" s="14"/>
      <c r="D1313" s="13"/>
      <c r="E1313" s="15"/>
      <c r="F1313" s="15"/>
      <c r="G1313" s="15"/>
      <c r="H1313" s="14"/>
      <c r="I1313" s="16" t="str">
        <f aca="false">IF(OR(A1313="",C1313=""),"",IF(OR(H1313="İade",H1313="İptal"),0,E1313*IFERROR(INDEX(Kanallar!$B$5:$B$19,MATCH(C1313,Kanallar!$A$5:$A$19,0)),0)))</f>
        <v/>
      </c>
      <c r="J1313" s="16" t="str">
        <f aca="false">IF(I1313="","",IF(H1313="İptal",0,IF(H1313="İade",-G1313,E1313-I1313-F1313-G1313)))</f>
        <v/>
      </c>
    </row>
    <row r="1314" customFormat="false" ht="15" hidden="false" customHeight="false" outlineLevel="0" collapsed="false">
      <c r="A1314" s="12"/>
      <c r="B1314" s="13"/>
      <c r="C1314" s="14"/>
      <c r="D1314" s="13"/>
      <c r="E1314" s="15"/>
      <c r="F1314" s="15"/>
      <c r="G1314" s="15"/>
      <c r="H1314" s="14"/>
      <c r="I1314" s="16" t="str">
        <f aca="false">IF(OR(A1314="",C1314=""),"",IF(OR(H1314="İade",H1314="İptal"),0,E1314*IFERROR(INDEX(Kanallar!$B$5:$B$19,MATCH(C1314,Kanallar!$A$5:$A$19,0)),0)))</f>
        <v/>
      </c>
      <c r="J1314" s="16" t="str">
        <f aca="false">IF(I1314="","",IF(H1314="İptal",0,IF(H1314="İade",-G1314,E1314-I1314-F1314-G1314)))</f>
        <v/>
      </c>
    </row>
    <row r="1315" customFormat="false" ht="15" hidden="false" customHeight="false" outlineLevel="0" collapsed="false">
      <c r="A1315" s="12"/>
      <c r="B1315" s="13"/>
      <c r="C1315" s="14"/>
      <c r="D1315" s="13"/>
      <c r="E1315" s="15"/>
      <c r="F1315" s="15"/>
      <c r="G1315" s="15"/>
      <c r="H1315" s="14"/>
      <c r="I1315" s="16" t="str">
        <f aca="false">IF(OR(A1315="",C1315=""),"",IF(OR(H1315="İade",H1315="İptal"),0,E1315*IFERROR(INDEX(Kanallar!$B$5:$B$19,MATCH(C1315,Kanallar!$A$5:$A$19,0)),0)))</f>
        <v/>
      </c>
      <c r="J1315" s="16" t="str">
        <f aca="false">IF(I1315="","",IF(H1315="İptal",0,IF(H1315="İade",-G1315,E1315-I1315-F1315-G1315)))</f>
        <v/>
      </c>
    </row>
    <row r="1316" customFormat="false" ht="15" hidden="false" customHeight="false" outlineLevel="0" collapsed="false">
      <c r="A1316" s="12"/>
      <c r="B1316" s="13"/>
      <c r="C1316" s="14"/>
      <c r="D1316" s="13"/>
      <c r="E1316" s="15"/>
      <c r="F1316" s="15"/>
      <c r="G1316" s="15"/>
      <c r="H1316" s="14"/>
      <c r="I1316" s="16" t="str">
        <f aca="false">IF(OR(A1316="",C1316=""),"",IF(OR(H1316="İade",H1316="İptal"),0,E1316*IFERROR(INDEX(Kanallar!$B$5:$B$19,MATCH(C1316,Kanallar!$A$5:$A$19,0)),0)))</f>
        <v/>
      </c>
      <c r="J1316" s="16" t="str">
        <f aca="false">IF(I1316="","",IF(H1316="İptal",0,IF(H1316="İade",-G1316,E1316-I1316-F1316-G1316)))</f>
        <v/>
      </c>
    </row>
    <row r="1317" customFormat="false" ht="15" hidden="false" customHeight="false" outlineLevel="0" collapsed="false">
      <c r="A1317" s="12"/>
      <c r="B1317" s="13"/>
      <c r="C1317" s="14"/>
      <c r="D1317" s="13"/>
      <c r="E1317" s="15"/>
      <c r="F1317" s="15"/>
      <c r="G1317" s="15"/>
      <c r="H1317" s="14"/>
      <c r="I1317" s="16" t="str">
        <f aca="false">IF(OR(A1317="",C1317=""),"",IF(OR(H1317="İade",H1317="İptal"),0,E1317*IFERROR(INDEX(Kanallar!$B$5:$B$19,MATCH(C1317,Kanallar!$A$5:$A$19,0)),0)))</f>
        <v/>
      </c>
      <c r="J1317" s="16" t="str">
        <f aca="false">IF(I1317="","",IF(H1317="İptal",0,IF(H1317="İade",-G1317,E1317-I1317-F1317-G1317)))</f>
        <v/>
      </c>
    </row>
    <row r="1318" customFormat="false" ht="15" hidden="false" customHeight="false" outlineLevel="0" collapsed="false">
      <c r="A1318" s="12"/>
      <c r="B1318" s="13"/>
      <c r="C1318" s="14"/>
      <c r="D1318" s="13"/>
      <c r="E1318" s="15"/>
      <c r="F1318" s="15"/>
      <c r="G1318" s="15"/>
      <c r="H1318" s="14"/>
      <c r="I1318" s="16" t="str">
        <f aca="false">IF(OR(A1318="",C1318=""),"",IF(OR(H1318="İade",H1318="İptal"),0,E1318*IFERROR(INDEX(Kanallar!$B$5:$B$19,MATCH(C1318,Kanallar!$A$5:$A$19,0)),0)))</f>
        <v/>
      </c>
      <c r="J1318" s="16" t="str">
        <f aca="false">IF(I1318="","",IF(H1318="İptal",0,IF(H1318="İade",-G1318,E1318-I1318-F1318-G1318)))</f>
        <v/>
      </c>
    </row>
    <row r="1319" customFormat="false" ht="15" hidden="false" customHeight="false" outlineLevel="0" collapsed="false">
      <c r="A1319" s="12"/>
      <c r="B1319" s="13"/>
      <c r="C1319" s="14"/>
      <c r="D1319" s="13"/>
      <c r="E1319" s="15"/>
      <c r="F1319" s="15"/>
      <c r="G1319" s="15"/>
      <c r="H1319" s="14"/>
      <c r="I1319" s="16" t="str">
        <f aca="false">IF(OR(A1319="",C1319=""),"",IF(OR(H1319="İade",H1319="İptal"),0,E1319*IFERROR(INDEX(Kanallar!$B$5:$B$19,MATCH(C1319,Kanallar!$A$5:$A$19,0)),0)))</f>
        <v/>
      </c>
      <c r="J1319" s="16" t="str">
        <f aca="false">IF(I1319="","",IF(H1319="İptal",0,IF(H1319="İade",-G1319,E1319-I1319-F1319-G1319)))</f>
        <v/>
      </c>
    </row>
    <row r="1320" customFormat="false" ht="15" hidden="false" customHeight="false" outlineLevel="0" collapsed="false">
      <c r="A1320" s="12"/>
      <c r="B1320" s="13"/>
      <c r="C1320" s="14"/>
      <c r="D1320" s="13"/>
      <c r="E1320" s="15"/>
      <c r="F1320" s="15"/>
      <c r="G1320" s="15"/>
      <c r="H1320" s="14"/>
      <c r="I1320" s="16" t="str">
        <f aca="false">IF(OR(A1320="",C1320=""),"",IF(OR(H1320="İade",H1320="İptal"),0,E1320*IFERROR(INDEX(Kanallar!$B$5:$B$19,MATCH(C1320,Kanallar!$A$5:$A$19,0)),0)))</f>
        <v/>
      </c>
      <c r="J1320" s="16" t="str">
        <f aca="false">IF(I1320="","",IF(H1320="İptal",0,IF(H1320="İade",-G1320,E1320-I1320-F1320-G1320)))</f>
        <v/>
      </c>
    </row>
    <row r="1321" customFormat="false" ht="15" hidden="false" customHeight="false" outlineLevel="0" collapsed="false">
      <c r="A1321" s="12"/>
      <c r="B1321" s="13"/>
      <c r="C1321" s="14"/>
      <c r="D1321" s="13"/>
      <c r="E1321" s="15"/>
      <c r="F1321" s="15"/>
      <c r="G1321" s="15"/>
      <c r="H1321" s="14"/>
      <c r="I1321" s="16" t="str">
        <f aca="false">IF(OR(A1321="",C1321=""),"",IF(OR(H1321="İade",H1321="İptal"),0,E1321*IFERROR(INDEX(Kanallar!$B$5:$B$19,MATCH(C1321,Kanallar!$A$5:$A$19,0)),0)))</f>
        <v/>
      </c>
      <c r="J1321" s="16" t="str">
        <f aca="false">IF(I1321="","",IF(H1321="İptal",0,IF(H1321="İade",-G1321,E1321-I1321-F1321-G1321)))</f>
        <v/>
      </c>
    </row>
    <row r="1322" customFormat="false" ht="15" hidden="false" customHeight="false" outlineLevel="0" collapsed="false">
      <c r="A1322" s="12"/>
      <c r="B1322" s="13"/>
      <c r="C1322" s="14"/>
      <c r="D1322" s="13"/>
      <c r="E1322" s="15"/>
      <c r="F1322" s="15"/>
      <c r="G1322" s="15"/>
      <c r="H1322" s="14"/>
      <c r="I1322" s="16" t="str">
        <f aca="false">IF(OR(A1322="",C1322=""),"",IF(OR(H1322="İade",H1322="İptal"),0,E1322*IFERROR(INDEX(Kanallar!$B$5:$B$19,MATCH(C1322,Kanallar!$A$5:$A$19,0)),0)))</f>
        <v/>
      </c>
      <c r="J1322" s="16" t="str">
        <f aca="false">IF(I1322="","",IF(H1322="İptal",0,IF(H1322="İade",-G1322,E1322-I1322-F1322-G1322)))</f>
        <v/>
      </c>
    </row>
    <row r="1323" customFormat="false" ht="15" hidden="false" customHeight="false" outlineLevel="0" collapsed="false">
      <c r="A1323" s="12"/>
      <c r="B1323" s="13"/>
      <c r="C1323" s="14"/>
      <c r="D1323" s="13"/>
      <c r="E1323" s="15"/>
      <c r="F1323" s="15"/>
      <c r="G1323" s="15"/>
      <c r="H1323" s="14"/>
      <c r="I1323" s="16" t="str">
        <f aca="false">IF(OR(A1323="",C1323=""),"",IF(OR(H1323="İade",H1323="İptal"),0,E1323*IFERROR(INDEX(Kanallar!$B$5:$B$19,MATCH(C1323,Kanallar!$A$5:$A$19,0)),0)))</f>
        <v/>
      </c>
      <c r="J1323" s="16" t="str">
        <f aca="false">IF(I1323="","",IF(H1323="İptal",0,IF(H1323="İade",-G1323,E1323-I1323-F1323-G1323)))</f>
        <v/>
      </c>
    </row>
    <row r="1324" customFormat="false" ht="15" hidden="false" customHeight="false" outlineLevel="0" collapsed="false">
      <c r="A1324" s="12"/>
      <c r="B1324" s="13"/>
      <c r="C1324" s="14"/>
      <c r="D1324" s="13"/>
      <c r="E1324" s="15"/>
      <c r="F1324" s="15"/>
      <c r="G1324" s="15"/>
      <c r="H1324" s="14"/>
      <c r="I1324" s="16" t="str">
        <f aca="false">IF(OR(A1324="",C1324=""),"",IF(OR(H1324="İade",H1324="İptal"),0,E1324*IFERROR(INDEX(Kanallar!$B$5:$B$19,MATCH(C1324,Kanallar!$A$5:$A$19,0)),0)))</f>
        <v/>
      </c>
      <c r="J1324" s="16" t="str">
        <f aca="false">IF(I1324="","",IF(H1324="İptal",0,IF(H1324="İade",-G1324,E1324-I1324-F1324-G1324)))</f>
        <v/>
      </c>
    </row>
    <row r="1325" customFormat="false" ht="15" hidden="false" customHeight="false" outlineLevel="0" collapsed="false">
      <c r="A1325" s="12"/>
      <c r="B1325" s="13"/>
      <c r="C1325" s="14"/>
      <c r="D1325" s="13"/>
      <c r="E1325" s="15"/>
      <c r="F1325" s="15"/>
      <c r="G1325" s="15"/>
      <c r="H1325" s="14"/>
      <c r="I1325" s="16" t="str">
        <f aca="false">IF(OR(A1325="",C1325=""),"",IF(OR(H1325="İade",H1325="İptal"),0,E1325*IFERROR(INDEX(Kanallar!$B$5:$B$19,MATCH(C1325,Kanallar!$A$5:$A$19,0)),0)))</f>
        <v/>
      </c>
      <c r="J1325" s="16" t="str">
        <f aca="false">IF(I1325="","",IF(H1325="İptal",0,IF(H1325="İade",-G1325,E1325-I1325-F1325-G1325)))</f>
        <v/>
      </c>
    </row>
    <row r="1326" customFormat="false" ht="15" hidden="false" customHeight="false" outlineLevel="0" collapsed="false">
      <c r="A1326" s="12"/>
      <c r="B1326" s="13"/>
      <c r="C1326" s="14"/>
      <c r="D1326" s="13"/>
      <c r="E1326" s="15"/>
      <c r="F1326" s="15"/>
      <c r="G1326" s="15"/>
      <c r="H1326" s="14"/>
      <c r="I1326" s="16" t="str">
        <f aca="false">IF(OR(A1326="",C1326=""),"",IF(OR(H1326="İade",H1326="İptal"),0,E1326*IFERROR(INDEX(Kanallar!$B$5:$B$19,MATCH(C1326,Kanallar!$A$5:$A$19,0)),0)))</f>
        <v/>
      </c>
      <c r="J1326" s="16" t="str">
        <f aca="false">IF(I1326="","",IF(H1326="İptal",0,IF(H1326="İade",-G1326,E1326-I1326-F1326-G1326)))</f>
        <v/>
      </c>
    </row>
    <row r="1327" customFormat="false" ht="15" hidden="false" customHeight="false" outlineLevel="0" collapsed="false">
      <c r="A1327" s="12"/>
      <c r="B1327" s="13"/>
      <c r="C1327" s="14"/>
      <c r="D1327" s="13"/>
      <c r="E1327" s="15"/>
      <c r="F1327" s="15"/>
      <c r="G1327" s="15"/>
      <c r="H1327" s="14"/>
      <c r="I1327" s="16" t="str">
        <f aca="false">IF(OR(A1327="",C1327=""),"",IF(OR(H1327="İade",H1327="İptal"),0,E1327*IFERROR(INDEX(Kanallar!$B$5:$B$19,MATCH(C1327,Kanallar!$A$5:$A$19,0)),0)))</f>
        <v/>
      </c>
      <c r="J1327" s="16" t="str">
        <f aca="false">IF(I1327="","",IF(H1327="İptal",0,IF(H1327="İade",-G1327,E1327-I1327-F1327-G1327)))</f>
        <v/>
      </c>
    </row>
    <row r="1328" customFormat="false" ht="15" hidden="false" customHeight="false" outlineLevel="0" collapsed="false">
      <c r="A1328" s="12"/>
      <c r="B1328" s="13"/>
      <c r="C1328" s="14"/>
      <c r="D1328" s="13"/>
      <c r="E1328" s="15"/>
      <c r="F1328" s="15"/>
      <c r="G1328" s="15"/>
      <c r="H1328" s="14"/>
      <c r="I1328" s="16" t="str">
        <f aca="false">IF(OR(A1328="",C1328=""),"",IF(OR(H1328="İade",H1328="İptal"),0,E1328*IFERROR(INDEX(Kanallar!$B$5:$B$19,MATCH(C1328,Kanallar!$A$5:$A$19,0)),0)))</f>
        <v/>
      </c>
      <c r="J1328" s="16" t="str">
        <f aca="false">IF(I1328="","",IF(H1328="İptal",0,IF(H1328="İade",-G1328,E1328-I1328-F1328-G1328)))</f>
        <v/>
      </c>
    </row>
    <row r="1329" customFormat="false" ht="15" hidden="false" customHeight="false" outlineLevel="0" collapsed="false">
      <c r="A1329" s="12"/>
      <c r="B1329" s="13"/>
      <c r="C1329" s="14"/>
      <c r="D1329" s="13"/>
      <c r="E1329" s="15"/>
      <c r="F1329" s="15"/>
      <c r="G1329" s="15"/>
      <c r="H1329" s="14"/>
      <c r="I1329" s="16" t="str">
        <f aca="false">IF(OR(A1329="",C1329=""),"",IF(OR(H1329="İade",H1329="İptal"),0,E1329*IFERROR(INDEX(Kanallar!$B$5:$B$19,MATCH(C1329,Kanallar!$A$5:$A$19,0)),0)))</f>
        <v/>
      </c>
      <c r="J1329" s="16" t="str">
        <f aca="false">IF(I1329="","",IF(H1329="İptal",0,IF(H1329="İade",-G1329,E1329-I1329-F1329-G1329)))</f>
        <v/>
      </c>
    </row>
    <row r="1330" customFormat="false" ht="15" hidden="false" customHeight="false" outlineLevel="0" collapsed="false">
      <c r="A1330" s="12"/>
      <c r="B1330" s="13"/>
      <c r="C1330" s="14"/>
      <c r="D1330" s="13"/>
      <c r="E1330" s="15"/>
      <c r="F1330" s="15"/>
      <c r="G1330" s="15"/>
      <c r="H1330" s="14"/>
      <c r="I1330" s="16" t="str">
        <f aca="false">IF(OR(A1330="",C1330=""),"",IF(OR(H1330="İade",H1330="İptal"),0,E1330*IFERROR(INDEX(Kanallar!$B$5:$B$19,MATCH(C1330,Kanallar!$A$5:$A$19,0)),0)))</f>
        <v/>
      </c>
      <c r="J1330" s="16" t="str">
        <f aca="false">IF(I1330="","",IF(H1330="İptal",0,IF(H1330="İade",-G1330,E1330-I1330-F1330-G1330)))</f>
        <v/>
      </c>
    </row>
    <row r="1331" customFormat="false" ht="15" hidden="false" customHeight="false" outlineLevel="0" collapsed="false">
      <c r="A1331" s="12"/>
      <c r="B1331" s="13"/>
      <c r="C1331" s="14"/>
      <c r="D1331" s="13"/>
      <c r="E1331" s="15"/>
      <c r="F1331" s="15"/>
      <c r="G1331" s="15"/>
      <c r="H1331" s="14"/>
      <c r="I1331" s="16" t="str">
        <f aca="false">IF(OR(A1331="",C1331=""),"",IF(OR(H1331="İade",H1331="İptal"),0,E1331*IFERROR(INDEX(Kanallar!$B$5:$B$19,MATCH(C1331,Kanallar!$A$5:$A$19,0)),0)))</f>
        <v/>
      </c>
      <c r="J1331" s="16" t="str">
        <f aca="false">IF(I1331="","",IF(H1331="İptal",0,IF(H1331="İade",-G1331,E1331-I1331-F1331-G1331)))</f>
        <v/>
      </c>
    </row>
    <row r="1332" customFormat="false" ht="15" hidden="false" customHeight="false" outlineLevel="0" collapsed="false">
      <c r="A1332" s="12"/>
      <c r="B1332" s="13"/>
      <c r="C1332" s="14"/>
      <c r="D1332" s="13"/>
      <c r="E1332" s="15"/>
      <c r="F1332" s="15"/>
      <c r="G1332" s="15"/>
      <c r="H1332" s="14"/>
      <c r="I1332" s="16" t="str">
        <f aca="false">IF(OR(A1332="",C1332=""),"",IF(OR(H1332="İade",H1332="İptal"),0,E1332*IFERROR(INDEX(Kanallar!$B$5:$B$19,MATCH(C1332,Kanallar!$A$5:$A$19,0)),0)))</f>
        <v/>
      </c>
      <c r="J1332" s="16" t="str">
        <f aca="false">IF(I1332="","",IF(H1332="İptal",0,IF(H1332="İade",-G1332,E1332-I1332-F1332-G1332)))</f>
        <v/>
      </c>
    </row>
    <row r="1333" customFormat="false" ht="15" hidden="false" customHeight="false" outlineLevel="0" collapsed="false">
      <c r="A1333" s="12"/>
      <c r="B1333" s="13"/>
      <c r="C1333" s="14"/>
      <c r="D1333" s="13"/>
      <c r="E1333" s="15"/>
      <c r="F1333" s="15"/>
      <c r="G1333" s="15"/>
      <c r="H1333" s="14"/>
      <c r="I1333" s="16" t="str">
        <f aca="false">IF(OR(A1333="",C1333=""),"",IF(OR(H1333="İade",H1333="İptal"),0,E1333*IFERROR(INDEX(Kanallar!$B$5:$B$19,MATCH(C1333,Kanallar!$A$5:$A$19,0)),0)))</f>
        <v/>
      </c>
      <c r="J1333" s="16" t="str">
        <f aca="false">IF(I1333="","",IF(H1333="İptal",0,IF(H1333="İade",-G1333,E1333-I1333-F1333-G1333)))</f>
        <v/>
      </c>
    </row>
    <row r="1334" customFormat="false" ht="15" hidden="false" customHeight="false" outlineLevel="0" collapsed="false">
      <c r="A1334" s="12"/>
      <c r="B1334" s="13"/>
      <c r="C1334" s="14"/>
      <c r="D1334" s="13"/>
      <c r="E1334" s="15"/>
      <c r="F1334" s="15"/>
      <c r="G1334" s="15"/>
      <c r="H1334" s="14"/>
      <c r="I1334" s="16" t="str">
        <f aca="false">IF(OR(A1334="",C1334=""),"",IF(OR(H1334="İade",H1334="İptal"),0,E1334*IFERROR(INDEX(Kanallar!$B$5:$B$19,MATCH(C1334,Kanallar!$A$5:$A$19,0)),0)))</f>
        <v/>
      </c>
      <c r="J1334" s="16" t="str">
        <f aca="false">IF(I1334="","",IF(H1334="İptal",0,IF(H1334="İade",-G1334,E1334-I1334-F1334-G1334)))</f>
        <v/>
      </c>
    </row>
    <row r="1335" customFormat="false" ht="15" hidden="false" customHeight="false" outlineLevel="0" collapsed="false">
      <c r="A1335" s="12"/>
      <c r="B1335" s="13"/>
      <c r="C1335" s="14"/>
      <c r="D1335" s="13"/>
      <c r="E1335" s="15"/>
      <c r="F1335" s="15"/>
      <c r="G1335" s="15"/>
      <c r="H1335" s="14"/>
      <c r="I1335" s="16" t="str">
        <f aca="false">IF(OR(A1335="",C1335=""),"",IF(OR(H1335="İade",H1335="İptal"),0,E1335*IFERROR(INDEX(Kanallar!$B$5:$B$19,MATCH(C1335,Kanallar!$A$5:$A$19,0)),0)))</f>
        <v/>
      </c>
      <c r="J1335" s="16" t="str">
        <f aca="false">IF(I1335="","",IF(H1335="İptal",0,IF(H1335="İade",-G1335,E1335-I1335-F1335-G1335)))</f>
        <v/>
      </c>
    </row>
    <row r="1336" customFormat="false" ht="15" hidden="false" customHeight="false" outlineLevel="0" collapsed="false">
      <c r="A1336" s="12"/>
      <c r="B1336" s="13"/>
      <c r="C1336" s="14"/>
      <c r="D1336" s="13"/>
      <c r="E1336" s="15"/>
      <c r="F1336" s="15"/>
      <c r="G1336" s="15"/>
      <c r="H1336" s="14"/>
      <c r="I1336" s="16" t="str">
        <f aca="false">IF(OR(A1336="",C1336=""),"",IF(OR(H1336="İade",H1336="İptal"),0,E1336*IFERROR(INDEX(Kanallar!$B$5:$B$19,MATCH(C1336,Kanallar!$A$5:$A$19,0)),0)))</f>
        <v/>
      </c>
      <c r="J1336" s="16" t="str">
        <f aca="false">IF(I1336="","",IF(H1336="İptal",0,IF(H1336="İade",-G1336,E1336-I1336-F1336-G1336)))</f>
        <v/>
      </c>
    </row>
    <row r="1337" customFormat="false" ht="15" hidden="false" customHeight="false" outlineLevel="0" collapsed="false">
      <c r="A1337" s="12"/>
      <c r="B1337" s="13"/>
      <c r="C1337" s="14"/>
      <c r="D1337" s="13"/>
      <c r="E1337" s="15"/>
      <c r="F1337" s="15"/>
      <c r="G1337" s="15"/>
      <c r="H1337" s="14"/>
      <c r="I1337" s="16" t="str">
        <f aca="false">IF(OR(A1337="",C1337=""),"",IF(OR(H1337="İade",H1337="İptal"),0,E1337*IFERROR(INDEX(Kanallar!$B$5:$B$19,MATCH(C1337,Kanallar!$A$5:$A$19,0)),0)))</f>
        <v/>
      </c>
      <c r="J1337" s="16" t="str">
        <f aca="false">IF(I1337="","",IF(H1337="İptal",0,IF(H1337="İade",-G1337,E1337-I1337-F1337-G1337)))</f>
        <v/>
      </c>
    </row>
    <row r="1338" customFormat="false" ht="15" hidden="false" customHeight="false" outlineLevel="0" collapsed="false">
      <c r="A1338" s="12"/>
      <c r="B1338" s="13"/>
      <c r="C1338" s="14"/>
      <c r="D1338" s="13"/>
      <c r="E1338" s="15"/>
      <c r="F1338" s="15"/>
      <c r="G1338" s="15"/>
      <c r="H1338" s="14"/>
      <c r="I1338" s="16" t="str">
        <f aca="false">IF(OR(A1338="",C1338=""),"",IF(OR(H1338="İade",H1338="İptal"),0,E1338*IFERROR(INDEX(Kanallar!$B$5:$B$19,MATCH(C1338,Kanallar!$A$5:$A$19,0)),0)))</f>
        <v/>
      </c>
      <c r="J1338" s="16" t="str">
        <f aca="false">IF(I1338="","",IF(H1338="İptal",0,IF(H1338="İade",-G1338,E1338-I1338-F1338-G1338)))</f>
        <v/>
      </c>
    </row>
    <row r="1339" customFormat="false" ht="15" hidden="false" customHeight="false" outlineLevel="0" collapsed="false">
      <c r="A1339" s="12"/>
      <c r="B1339" s="13"/>
      <c r="C1339" s="14"/>
      <c r="D1339" s="13"/>
      <c r="E1339" s="15"/>
      <c r="F1339" s="15"/>
      <c r="G1339" s="15"/>
      <c r="H1339" s="14"/>
      <c r="I1339" s="16" t="str">
        <f aca="false">IF(OR(A1339="",C1339=""),"",IF(OR(H1339="İade",H1339="İptal"),0,E1339*IFERROR(INDEX(Kanallar!$B$5:$B$19,MATCH(C1339,Kanallar!$A$5:$A$19,0)),0)))</f>
        <v/>
      </c>
      <c r="J1339" s="16" t="str">
        <f aca="false">IF(I1339="","",IF(H1339="İptal",0,IF(H1339="İade",-G1339,E1339-I1339-F1339-G1339)))</f>
        <v/>
      </c>
    </row>
    <row r="1340" customFormat="false" ht="15" hidden="false" customHeight="false" outlineLevel="0" collapsed="false">
      <c r="A1340" s="12"/>
      <c r="B1340" s="13"/>
      <c r="C1340" s="14"/>
      <c r="D1340" s="13"/>
      <c r="E1340" s="15"/>
      <c r="F1340" s="15"/>
      <c r="G1340" s="15"/>
      <c r="H1340" s="14"/>
      <c r="I1340" s="16" t="str">
        <f aca="false">IF(OR(A1340="",C1340=""),"",IF(OR(H1340="İade",H1340="İptal"),0,E1340*IFERROR(INDEX(Kanallar!$B$5:$B$19,MATCH(C1340,Kanallar!$A$5:$A$19,0)),0)))</f>
        <v/>
      </c>
      <c r="J1340" s="16" t="str">
        <f aca="false">IF(I1340="","",IF(H1340="İptal",0,IF(H1340="İade",-G1340,E1340-I1340-F1340-G1340)))</f>
        <v/>
      </c>
    </row>
    <row r="1341" customFormat="false" ht="15" hidden="false" customHeight="false" outlineLevel="0" collapsed="false">
      <c r="A1341" s="12"/>
      <c r="B1341" s="13"/>
      <c r="C1341" s="14"/>
      <c r="D1341" s="13"/>
      <c r="E1341" s="15"/>
      <c r="F1341" s="15"/>
      <c r="G1341" s="15"/>
      <c r="H1341" s="14"/>
      <c r="I1341" s="16" t="str">
        <f aca="false">IF(OR(A1341="",C1341=""),"",IF(OR(H1341="İade",H1341="İptal"),0,E1341*IFERROR(INDEX(Kanallar!$B$5:$B$19,MATCH(C1341,Kanallar!$A$5:$A$19,0)),0)))</f>
        <v/>
      </c>
      <c r="J1341" s="16" t="str">
        <f aca="false">IF(I1341="","",IF(H1341="İptal",0,IF(H1341="İade",-G1341,E1341-I1341-F1341-G1341)))</f>
        <v/>
      </c>
    </row>
    <row r="1342" customFormat="false" ht="15" hidden="false" customHeight="false" outlineLevel="0" collapsed="false">
      <c r="A1342" s="12"/>
      <c r="B1342" s="13"/>
      <c r="C1342" s="14"/>
      <c r="D1342" s="13"/>
      <c r="E1342" s="15"/>
      <c r="F1342" s="15"/>
      <c r="G1342" s="15"/>
      <c r="H1342" s="14"/>
      <c r="I1342" s="16" t="str">
        <f aca="false">IF(OR(A1342="",C1342=""),"",IF(OR(H1342="İade",H1342="İptal"),0,E1342*IFERROR(INDEX(Kanallar!$B$5:$B$19,MATCH(C1342,Kanallar!$A$5:$A$19,0)),0)))</f>
        <v/>
      </c>
      <c r="J1342" s="16" t="str">
        <f aca="false">IF(I1342="","",IF(H1342="İptal",0,IF(H1342="İade",-G1342,E1342-I1342-F1342-G1342)))</f>
        <v/>
      </c>
    </row>
    <row r="1343" customFormat="false" ht="15" hidden="false" customHeight="false" outlineLevel="0" collapsed="false">
      <c r="A1343" s="12"/>
      <c r="B1343" s="13"/>
      <c r="C1343" s="14"/>
      <c r="D1343" s="13"/>
      <c r="E1343" s="15"/>
      <c r="F1343" s="15"/>
      <c r="G1343" s="15"/>
      <c r="H1343" s="14"/>
      <c r="I1343" s="16" t="str">
        <f aca="false">IF(OR(A1343="",C1343=""),"",IF(OR(H1343="İade",H1343="İptal"),0,E1343*IFERROR(INDEX(Kanallar!$B$5:$B$19,MATCH(C1343,Kanallar!$A$5:$A$19,0)),0)))</f>
        <v/>
      </c>
      <c r="J1343" s="16" t="str">
        <f aca="false">IF(I1343="","",IF(H1343="İptal",0,IF(H1343="İade",-G1343,E1343-I1343-F1343-G1343)))</f>
        <v/>
      </c>
    </row>
    <row r="1344" customFormat="false" ht="15" hidden="false" customHeight="false" outlineLevel="0" collapsed="false">
      <c r="A1344" s="12"/>
      <c r="B1344" s="13"/>
      <c r="C1344" s="14"/>
      <c r="D1344" s="13"/>
      <c r="E1344" s="15"/>
      <c r="F1344" s="15"/>
      <c r="G1344" s="15"/>
      <c r="H1344" s="14"/>
      <c r="I1344" s="16" t="str">
        <f aca="false">IF(OR(A1344="",C1344=""),"",IF(OR(H1344="İade",H1344="İptal"),0,E1344*IFERROR(INDEX(Kanallar!$B$5:$B$19,MATCH(C1344,Kanallar!$A$5:$A$19,0)),0)))</f>
        <v/>
      </c>
      <c r="J1344" s="16" t="str">
        <f aca="false">IF(I1344="","",IF(H1344="İptal",0,IF(H1344="İade",-G1344,E1344-I1344-F1344-G1344)))</f>
        <v/>
      </c>
    </row>
    <row r="1345" customFormat="false" ht="15" hidden="false" customHeight="false" outlineLevel="0" collapsed="false">
      <c r="A1345" s="12"/>
      <c r="B1345" s="13"/>
      <c r="C1345" s="14"/>
      <c r="D1345" s="13"/>
      <c r="E1345" s="15"/>
      <c r="F1345" s="15"/>
      <c r="G1345" s="15"/>
      <c r="H1345" s="14"/>
      <c r="I1345" s="16" t="str">
        <f aca="false">IF(OR(A1345="",C1345=""),"",IF(OR(H1345="İade",H1345="İptal"),0,E1345*IFERROR(INDEX(Kanallar!$B$5:$B$19,MATCH(C1345,Kanallar!$A$5:$A$19,0)),0)))</f>
        <v/>
      </c>
      <c r="J1345" s="16" t="str">
        <f aca="false">IF(I1345="","",IF(H1345="İptal",0,IF(H1345="İade",-G1345,E1345-I1345-F1345-G1345)))</f>
        <v/>
      </c>
    </row>
    <row r="1346" customFormat="false" ht="15" hidden="false" customHeight="false" outlineLevel="0" collapsed="false">
      <c r="A1346" s="12"/>
      <c r="B1346" s="13"/>
      <c r="C1346" s="14"/>
      <c r="D1346" s="13"/>
      <c r="E1346" s="15"/>
      <c r="F1346" s="15"/>
      <c r="G1346" s="15"/>
      <c r="H1346" s="14"/>
      <c r="I1346" s="16" t="str">
        <f aca="false">IF(OR(A1346="",C1346=""),"",IF(OR(H1346="İade",H1346="İptal"),0,E1346*IFERROR(INDEX(Kanallar!$B$5:$B$19,MATCH(C1346,Kanallar!$A$5:$A$19,0)),0)))</f>
        <v/>
      </c>
      <c r="J1346" s="16" t="str">
        <f aca="false">IF(I1346="","",IF(H1346="İptal",0,IF(H1346="İade",-G1346,E1346-I1346-F1346-G1346)))</f>
        <v/>
      </c>
    </row>
    <row r="1347" customFormat="false" ht="15" hidden="false" customHeight="false" outlineLevel="0" collapsed="false">
      <c r="A1347" s="12"/>
      <c r="B1347" s="13"/>
      <c r="C1347" s="14"/>
      <c r="D1347" s="13"/>
      <c r="E1347" s="15"/>
      <c r="F1347" s="15"/>
      <c r="G1347" s="15"/>
      <c r="H1347" s="14"/>
      <c r="I1347" s="16" t="str">
        <f aca="false">IF(OR(A1347="",C1347=""),"",IF(OR(H1347="İade",H1347="İptal"),0,E1347*IFERROR(INDEX(Kanallar!$B$5:$B$19,MATCH(C1347,Kanallar!$A$5:$A$19,0)),0)))</f>
        <v/>
      </c>
      <c r="J1347" s="16" t="str">
        <f aca="false">IF(I1347="","",IF(H1347="İptal",0,IF(H1347="İade",-G1347,E1347-I1347-F1347-G1347)))</f>
        <v/>
      </c>
    </row>
    <row r="1348" customFormat="false" ht="15" hidden="false" customHeight="false" outlineLevel="0" collapsed="false">
      <c r="A1348" s="12"/>
      <c r="B1348" s="13"/>
      <c r="C1348" s="14"/>
      <c r="D1348" s="13"/>
      <c r="E1348" s="15"/>
      <c r="F1348" s="15"/>
      <c r="G1348" s="15"/>
      <c r="H1348" s="14"/>
      <c r="I1348" s="16" t="str">
        <f aca="false">IF(OR(A1348="",C1348=""),"",IF(OR(H1348="İade",H1348="İptal"),0,E1348*IFERROR(INDEX(Kanallar!$B$5:$B$19,MATCH(C1348,Kanallar!$A$5:$A$19,0)),0)))</f>
        <v/>
      </c>
      <c r="J1348" s="16" t="str">
        <f aca="false">IF(I1348="","",IF(H1348="İptal",0,IF(H1348="İade",-G1348,E1348-I1348-F1348-G1348)))</f>
        <v/>
      </c>
    </row>
    <row r="1349" customFormat="false" ht="15" hidden="false" customHeight="false" outlineLevel="0" collapsed="false">
      <c r="A1349" s="12"/>
      <c r="B1349" s="13"/>
      <c r="C1349" s="14"/>
      <c r="D1349" s="13"/>
      <c r="E1349" s="15"/>
      <c r="F1349" s="15"/>
      <c r="G1349" s="15"/>
      <c r="H1349" s="14"/>
      <c r="I1349" s="16" t="str">
        <f aca="false">IF(OR(A1349="",C1349=""),"",IF(OR(H1349="İade",H1349="İptal"),0,E1349*IFERROR(INDEX(Kanallar!$B$5:$B$19,MATCH(C1349,Kanallar!$A$5:$A$19,0)),0)))</f>
        <v/>
      </c>
      <c r="J1349" s="16" t="str">
        <f aca="false">IF(I1349="","",IF(H1349="İptal",0,IF(H1349="İade",-G1349,E1349-I1349-F1349-G1349)))</f>
        <v/>
      </c>
    </row>
    <row r="1350" customFormat="false" ht="15" hidden="false" customHeight="false" outlineLevel="0" collapsed="false">
      <c r="A1350" s="12"/>
      <c r="B1350" s="13"/>
      <c r="C1350" s="14"/>
      <c r="D1350" s="13"/>
      <c r="E1350" s="15"/>
      <c r="F1350" s="15"/>
      <c r="G1350" s="15"/>
      <c r="H1350" s="14"/>
      <c r="I1350" s="16" t="str">
        <f aca="false">IF(OR(A1350="",C1350=""),"",IF(OR(H1350="İade",H1350="İptal"),0,E1350*IFERROR(INDEX(Kanallar!$B$5:$B$19,MATCH(C1350,Kanallar!$A$5:$A$19,0)),0)))</f>
        <v/>
      </c>
      <c r="J1350" s="16" t="str">
        <f aca="false">IF(I1350="","",IF(H1350="İptal",0,IF(H1350="İade",-G1350,E1350-I1350-F1350-G1350)))</f>
        <v/>
      </c>
    </row>
    <row r="1351" customFormat="false" ht="15" hidden="false" customHeight="false" outlineLevel="0" collapsed="false">
      <c r="A1351" s="12"/>
      <c r="B1351" s="13"/>
      <c r="C1351" s="14"/>
      <c r="D1351" s="13"/>
      <c r="E1351" s="15"/>
      <c r="F1351" s="15"/>
      <c r="G1351" s="15"/>
      <c r="H1351" s="14"/>
      <c r="I1351" s="16" t="str">
        <f aca="false">IF(OR(A1351="",C1351=""),"",IF(OR(H1351="İade",H1351="İptal"),0,E1351*IFERROR(INDEX(Kanallar!$B$5:$B$19,MATCH(C1351,Kanallar!$A$5:$A$19,0)),0)))</f>
        <v/>
      </c>
      <c r="J1351" s="16" t="str">
        <f aca="false">IF(I1351="","",IF(H1351="İptal",0,IF(H1351="İade",-G1351,E1351-I1351-F1351-G1351)))</f>
        <v/>
      </c>
    </row>
    <row r="1352" customFormat="false" ht="15" hidden="false" customHeight="false" outlineLevel="0" collapsed="false">
      <c r="A1352" s="12"/>
      <c r="B1352" s="13"/>
      <c r="C1352" s="14"/>
      <c r="D1352" s="13"/>
      <c r="E1352" s="15"/>
      <c r="F1352" s="15"/>
      <c r="G1352" s="15"/>
      <c r="H1352" s="14"/>
      <c r="I1352" s="16" t="str">
        <f aca="false">IF(OR(A1352="",C1352=""),"",IF(OR(H1352="İade",H1352="İptal"),0,E1352*IFERROR(INDEX(Kanallar!$B$5:$B$19,MATCH(C1352,Kanallar!$A$5:$A$19,0)),0)))</f>
        <v/>
      </c>
      <c r="J1352" s="16" t="str">
        <f aca="false">IF(I1352="","",IF(H1352="İptal",0,IF(H1352="İade",-G1352,E1352-I1352-F1352-G1352)))</f>
        <v/>
      </c>
    </row>
    <row r="1353" customFormat="false" ht="15" hidden="false" customHeight="false" outlineLevel="0" collapsed="false">
      <c r="A1353" s="12"/>
      <c r="B1353" s="13"/>
      <c r="C1353" s="14"/>
      <c r="D1353" s="13"/>
      <c r="E1353" s="15"/>
      <c r="F1353" s="15"/>
      <c r="G1353" s="15"/>
      <c r="H1353" s="14"/>
      <c r="I1353" s="16" t="str">
        <f aca="false">IF(OR(A1353="",C1353=""),"",IF(OR(H1353="İade",H1353="İptal"),0,E1353*IFERROR(INDEX(Kanallar!$B$5:$B$19,MATCH(C1353,Kanallar!$A$5:$A$19,0)),0)))</f>
        <v/>
      </c>
      <c r="J1353" s="16" t="str">
        <f aca="false">IF(I1353="","",IF(H1353="İptal",0,IF(H1353="İade",-G1353,E1353-I1353-F1353-G1353)))</f>
        <v/>
      </c>
    </row>
    <row r="1354" customFormat="false" ht="15" hidden="false" customHeight="false" outlineLevel="0" collapsed="false">
      <c r="A1354" s="12"/>
      <c r="B1354" s="13"/>
      <c r="C1354" s="14"/>
      <c r="D1354" s="13"/>
      <c r="E1354" s="15"/>
      <c r="F1354" s="15"/>
      <c r="G1354" s="15"/>
      <c r="H1354" s="14"/>
      <c r="I1354" s="16" t="str">
        <f aca="false">IF(OR(A1354="",C1354=""),"",IF(OR(H1354="İade",H1354="İptal"),0,E1354*IFERROR(INDEX(Kanallar!$B$5:$B$19,MATCH(C1354,Kanallar!$A$5:$A$19,0)),0)))</f>
        <v/>
      </c>
      <c r="J1354" s="16" t="str">
        <f aca="false">IF(I1354="","",IF(H1354="İptal",0,IF(H1354="İade",-G1354,E1354-I1354-F1354-G1354)))</f>
        <v/>
      </c>
    </row>
    <row r="1355" customFormat="false" ht="15" hidden="false" customHeight="false" outlineLevel="0" collapsed="false">
      <c r="A1355" s="12"/>
      <c r="B1355" s="13"/>
      <c r="C1355" s="14"/>
      <c r="D1355" s="13"/>
      <c r="E1355" s="15"/>
      <c r="F1355" s="15"/>
      <c r="G1355" s="15"/>
      <c r="H1355" s="14"/>
      <c r="I1355" s="16" t="str">
        <f aca="false">IF(OR(A1355="",C1355=""),"",IF(OR(H1355="İade",H1355="İptal"),0,E1355*IFERROR(INDEX(Kanallar!$B$5:$B$19,MATCH(C1355,Kanallar!$A$5:$A$19,0)),0)))</f>
        <v/>
      </c>
      <c r="J1355" s="16" t="str">
        <f aca="false">IF(I1355="","",IF(H1355="İptal",0,IF(H1355="İade",-G1355,E1355-I1355-F1355-G1355)))</f>
        <v/>
      </c>
    </row>
    <row r="1356" customFormat="false" ht="15" hidden="false" customHeight="false" outlineLevel="0" collapsed="false">
      <c r="A1356" s="12"/>
      <c r="B1356" s="13"/>
      <c r="C1356" s="14"/>
      <c r="D1356" s="13"/>
      <c r="E1356" s="15"/>
      <c r="F1356" s="15"/>
      <c r="G1356" s="15"/>
      <c r="H1356" s="14"/>
      <c r="I1356" s="16" t="str">
        <f aca="false">IF(OR(A1356="",C1356=""),"",IF(OR(H1356="İade",H1356="İptal"),0,E1356*IFERROR(INDEX(Kanallar!$B$5:$B$19,MATCH(C1356,Kanallar!$A$5:$A$19,0)),0)))</f>
        <v/>
      </c>
      <c r="J1356" s="16" t="str">
        <f aca="false">IF(I1356="","",IF(H1356="İptal",0,IF(H1356="İade",-G1356,E1356-I1356-F1356-G1356)))</f>
        <v/>
      </c>
    </row>
    <row r="1357" customFormat="false" ht="15" hidden="false" customHeight="false" outlineLevel="0" collapsed="false">
      <c r="A1357" s="12"/>
      <c r="B1357" s="13"/>
      <c r="C1357" s="14"/>
      <c r="D1357" s="13"/>
      <c r="E1357" s="15"/>
      <c r="F1357" s="15"/>
      <c r="G1357" s="15"/>
      <c r="H1357" s="14"/>
      <c r="I1357" s="16" t="str">
        <f aca="false">IF(OR(A1357="",C1357=""),"",IF(OR(H1357="İade",H1357="İptal"),0,E1357*IFERROR(INDEX(Kanallar!$B$5:$B$19,MATCH(C1357,Kanallar!$A$5:$A$19,0)),0)))</f>
        <v/>
      </c>
      <c r="J1357" s="16" t="str">
        <f aca="false">IF(I1357="","",IF(H1357="İptal",0,IF(H1357="İade",-G1357,E1357-I1357-F1357-G1357)))</f>
        <v/>
      </c>
    </row>
    <row r="1358" customFormat="false" ht="15" hidden="false" customHeight="false" outlineLevel="0" collapsed="false">
      <c r="A1358" s="12"/>
      <c r="B1358" s="13"/>
      <c r="C1358" s="14"/>
      <c r="D1358" s="13"/>
      <c r="E1358" s="15"/>
      <c r="F1358" s="15"/>
      <c r="G1358" s="15"/>
      <c r="H1358" s="14"/>
      <c r="I1358" s="16" t="str">
        <f aca="false">IF(OR(A1358="",C1358=""),"",IF(OR(H1358="İade",H1358="İptal"),0,E1358*IFERROR(INDEX(Kanallar!$B$5:$B$19,MATCH(C1358,Kanallar!$A$5:$A$19,0)),0)))</f>
        <v/>
      </c>
      <c r="J1358" s="16" t="str">
        <f aca="false">IF(I1358="","",IF(H1358="İptal",0,IF(H1358="İade",-G1358,E1358-I1358-F1358-G1358)))</f>
        <v/>
      </c>
    </row>
    <row r="1359" customFormat="false" ht="15" hidden="false" customHeight="false" outlineLevel="0" collapsed="false">
      <c r="A1359" s="12"/>
      <c r="B1359" s="13"/>
      <c r="C1359" s="14"/>
      <c r="D1359" s="13"/>
      <c r="E1359" s="15"/>
      <c r="F1359" s="15"/>
      <c r="G1359" s="15"/>
      <c r="H1359" s="14"/>
      <c r="I1359" s="16" t="str">
        <f aca="false">IF(OR(A1359="",C1359=""),"",IF(OR(H1359="İade",H1359="İptal"),0,E1359*IFERROR(INDEX(Kanallar!$B$5:$B$19,MATCH(C1359,Kanallar!$A$5:$A$19,0)),0)))</f>
        <v/>
      </c>
      <c r="J1359" s="16" t="str">
        <f aca="false">IF(I1359="","",IF(H1359="İptal",0,IF(H1359="İade",-G1359,E1359-I1359-F1359-G1359)))</f>
        <v/>
      </c>
    </row>
    <row r="1360" customFormat="false" ht="15" hidden="false" customHeight="false" outlineLevel="0" collapsed="false">
      <c r="A1360" s="12"/>
      <c r="B1360" s="13"/>
      <c r="C1360" s="14"/>
      <c r="D1360" s="13"/>
      <c r="E1360" s="15"/>
      <c r="F1360" s="15"/>
      <c r="G1360" s="15"/>
      <c r="H1360" s="14"/>
      <c r="I1360" s="16" t="str">
        <f aca="false">IF(OR(A1360="",C1360=""),"",IF(OR(H1360="İade",H1360="İptal"),0,E1360*IFERROR(INDEX(Kanallar!$B$5:$B$19,MATCH(C1360,Kanallar!$A$5:$A$19,0)),0)))</f>
        <v/>
      </c>
      <c r="J1360" s="16" t="str">
        <f aca="false">IF(I1360="","",IF(H1360="İptal",0,IF(H1360="İade",-G1360,E1360-I1360-F1360-G1360)))</f>
        <v/>
      </c>
    </row>
    <row r="1361" customFormat="false" ht="15" hidden="false" customHeight="false" outlineLevel="0" collapsed="false">
      <c r="A1361" s="12"/>
      <c r="B1361" s="13"/>
      <c r="C1361" s="14"/>
      <c r="D1361" s="13"/>
      <c r="E1361" s="15"/>
      <c r="F1361" s="15"/>
      <c r="G1361" s="15"/>
      <c r="H1361" s="14"/>
      <c r="I1361" s="16" t="str">
        <f aca="false">IF(OR(A1361="",C1361=""),"",IF(OR(H1361="İade",H1361="İptal"),0,E1361*IFERROR(INDEX(Kanallar!$B$5:$B$19,MATCH(C1361,Kanallar!$A$5:$A$19,0)),0)))</f>
        <v/>
      </c>
      <c r="J1361" s="16" t="str">
        <f aca="false">IF(I1361="","",IF(H1361="İptal",0,IF(H1361="İade",-G1361,E1361-I1361-F1361-G1361)))</f>
        <v/>
      </c>
    </row>
    <row r="1362" customFormat="false" ht="15" hidden="false" customHeight="false" outlineLevel="0" collapsed="false">
      <c r="A1362" s="12"/>
      <c r="B1362" s="13"/>
      <c r="C1362" s="14"/>
      <c r="D1362" s="13"/>
      <c r="E1362" s="15"/>
      <c r="F1362" s="15"/>
      <c r="G1362" s="15"/>
      <c r="H1362" s="14"/>
      <c r="I1362" s="16" t="str">
        <f aca="false">IF(OR(A1362="",C1362=""),"",IF(OR(H1362="İade",H1362="İptal"),0,E1362*IFERROR(INDEX(Kanallar!$B$5:$B$19,MATCH(C1362,Kanallar!$A$5:$A$19,0)),0)))</f>
        <v/>
      </c>
      <c r="J1362" s="16" t="str">
        <f aca="false">IF(I1362="","",IF(H1362="İptal",0,IF(H1362="İade",-G1362,E1362-I1362-F1362-G1362)))</f>
        <v/>
      </c>
    </row>
    <row r="1363" customFormat="false" ht="15" hidden="false" customHeight="false" outlineLevel="0" collapsed="false">
      <c r="A1363" s="12"/>
      <c r="B1363" s="13"/>
      <c r="C1363" s="14"/>
      <c r="D1363" s="13"/>
      <c r="E1363" s="15"/>
      <c r="F1363" s="15"/>
      <c r="G1363" s="15"/>
      <c r="H1363" s="14"/>
      <c r="I1363" s="16" t="str">
        <f aca="false">IF(OR(A1363="",C1363=""),"",IF(OR(H1363="İade",H1363="İptal"),0,E1363*IFERROR(INDEX(Kanallar!$B$5:$B$19,MATCH(C1363,Kanallar!$A$5:$A$19,0)),0)))</f>
        <v/>
      </c>
      <c r="J1363" s="16" t="str">
        <f aca="false">IF(I1363="","",IF(H1363="İptal",0,IF(H1363="İade",-G1363,E1363-I1363-F1363-G1363)))</f>
        <v/>
      </c>
    </row>
    <row r="1364" customFormat="false" ht="15" hidden="false" customHeight="false" outlineLevel="0" collapsed="false">
      <c r="A1364" s="12"/>
      <c r="B1364" s="13"/>
      <c r="C1364" s="14"/>
      <c r="D1364" s="13"/>
      <c r="E1364" s="15"/>
      <c r="F1364" s="15"/>
      <c r="G1364" s="15"/>
      <c r="H1364" s="14"/>
      <c r="I1364" s="16" t="str">
        <f aca="false">IF(OR(A1364="",C1364=""),"",IF(OR(H1364="İade",H1364="İptal"),0,E1364*IFERROR(INDEX(Kanallar!$B$5:$B$19,MATCH(C1364,Kanallar!$A$5:$A$19,0)),0)))</f>
        <v/>
      </c>
      <c r="J1364" s="16" t="str">
        <f aca="false">IF(I1364="","",IF(H1364="İptal",0,IF(H1364="İade",-G1364,E1364-I1364-F1364-G1364)))</f>
        <v/>
      </c>
    </row>
    <row r="1365" customFormat="false" ht="15" hidden="false" customHeight="false" outlineLevel="0" collapsed="false">
      <c r="A1365" s="12"/>
      <c r="B1365" s="13"/>
      <c r="C1365" s="14"/>
      <c r="D1365" s="13"/>
      <c r="E1365" s="15"/>
      <c r="F1365" s="15"/>
      <c r="G1365" s="15"/>
      <c r="H1365" s="14"/>
      <c r="I1365" s="16" t="str">
        <f aca="false">IF(OR(A1365="",C1365=""),"",IF(OR(H1365="İade",H1365="İptal"),0,E1365*IFERROR(INDEX(Kanallar!$B$5:$B$19,MATCH(C1365,Kanallar!$A$5:$A$19,0)),0)))</f>
        <v/>
      </c>
      <c r="J1365" s="16" t="str">
        <f aca="false">IF(I1365="","",IF(H1365="İptal",0,IF(H1365="İade",-G1365,E1365-I1365-F1365-G1365)))</f>
        <v/>
      </c>
    </row>
    <row r="1366" customFormat="false" ht="15" hidden="false" customHeight="false" outlineLevel="0" collapsed="false">
      <c r="A1366" s="12"/>
      <c r="B1366" s="13"/>
      <c r="C1366" s="14"/>
      <c r="D1366" s="13"/>
      <c r="E1366" s="15"/>
      <c r="F1366" s="15"/>
      <c r="G1366" s="15"/>
      <c r="H1366" s="14"/>
      <c r="I1366" s="16" t="str">
        <f aca="false">IF(OR(A1366="",C1366=""),"",IF(OR(H1366="İade",H1366="İptal"),0,E1366*IFERROR(INDEX(Kanallar!$B$5:$B$19,MATCH(C1366,Kanallar!$A$5:$A$19,0)),0)))</f>
        <v/>
      </c>
      <c r="J1366" s="16" t="str">
        <f aca="false">IF(I1366="","",IF(H1366="İptal",0,IF(H1366="İade",-G1366,E1366-I1366-F1366-G1366)))</f>
        <v/>
      </c>
    </row>
    <row r="1367" customFormat="false" ht="15" hidden="false" customHeight="false" outlineLevel="0" collapsed="false">
      <c r="A1367" s="12"/>
      <c r="B1367" s="13"/>
      <c r="C1367" s="14"/>
      <c r="D1367" s="13"/>
      <c r="E1367" s="15"/>
      <c r="F1367" s="15"/>
      <c r="G1367" s="15"/>
      <c r="H1367" s="14"/>
      <c r="I1367" s="16" t="str">
        <f aca="false">IF(OR(A1367="",C1367=""),"",IF(OR(H1367="İade",H1367="İptal"),0,E1367*IFERROR(INDEX(Kanallar!$B$5:$B$19,MATCH(C1367,Kanallar!$A$5:$A$19,0)),0)))</f>
        <v/>
      </c>
      <c r="J1367" s="16" t="str">
        <f aca="false">IF(I1367="","",IF(H1367="İptal",0,IF(H1367="İade",-G1367,E1367-I1367-F1367-G1367)))</f>
        <v/>
      </c>
    </row>
    <row r="1368" customFormat="false" ht="15" hidden="false" customHeight="false" outlineLevel="0" collapsed="false">
      <c r="A1368" s="12"/>
      <c r="B1368" s="13"/>
      <c r="C1368" s="14"/>
      <c r="D1368" s="13"/>
      <c r="E1368" s="15"/>
      <c r="F1368" s="15"/>
      <c r="G1368" s="15"/>
      <c r="H1368" s="14"/>
      <c r="I1368" s="16" t="str">
        <f aca="false">IF(OR(A1368="",C1368=""),"",IF(OR(H1368="İade",H1368="İptal"),0,E1368*IFERROR(INDEX(Kanallar!$B$5:$B$19,MATCH(C1368,Kanallar!$A$5:$A$19,0)),0)))</f>
        <v/>
      </c>
      <c r="J1368" s="16" t="str">
        <f aca="false">IF(I1368="","",IF(H1368="İptal",0,IF(H1368="İade",-G1368,E1368-I1368-F1368-G1368)))</f>
        <v/>
      </c>
    </row>
    <row r="1369" customFormat="false" ht="15" hidden="false" customHeight="false" outlineLevel="0" collapsed="false">
      <c r="A1369" s="12"/>
      <c r="B1369" s="13"/>
      <c r="C1369" s="14"/>
      <c r="D1369" s="13"/>
      <c r="E1369" s="15"/>
      <c r="F1369" s="15"/>
      <c r="G1369" s="15"/>
      <c r="H1369" s="14"/>
      <c r="I1369" s="16" t="str">
        <f aca="false">IF(OR(A1369="",C1369=""),"",IF(OR(H1369="İade",H1369="İptal"),0,E1369*IFERROR(INDEX(Kanallar!$B$5:$B$19,MATCH(C1369,Kanallar!$A$5:$A$19,0)),0)))</f>
        <v/>
      </c>
      <c r="J1369" s="16" t="str">
        <f aca="false">IF(I1369="","",IF(H1369="İptal",0,IF(H1369="İade",-G1369,E1369-I1369-F1369-G1369)))</f>
        <v/>
      </c>
    </row>
    <row r="1370" customFormat="false" ht="15" hidden="false" customHeight="false" outlineLevel="0" collapsed="false">
      <c r="A1370" s="12"/>
      <c r="B1370" s="13"/>
      <c r="C1370" s="14"/>
      <c r="D1370" s="13"/>
      <c r="E1370" s="15"/>
      <c r="F1370" s="15"/>
      <c r="G1370" s="15"/>
      <c r="H1370" s="14"/>
      <c r="I1370" s="16" t="str">
        <f aca="false">IF(OR(A1370="",C1370=""),"",IF(OR(H1370="İade",H1370="İptal"),0,E1370*IFERROR(INDEX(Kanallar!$B$5:$B$19,MATCH(C1370,Kanallar!$A$5:$A$19,0)),0)))</f>
        <v/>
      </c>
      <c r="J1370" s="16" t="str">
        <f aca="false">IF(I1370="","",IF(H1370="İptal",0,IF(H1370="İade",-G1370,E1370-I1370-F1370-G1370)))</f>
        <v/>
      </c>
    </row>
    <row r="1371" customFormat="false" ht="15" hidden="false" customHeight="false" outlineLevel="0" collapsed="false">
      <c r="A1371" s="12"/>
      <c r="B1371" s="13"/>
      <c r="C1371" s="14"/>
      <c r="D1371" s="13"/>
      <c r="E1371" s="15"/>
      <c r="F1371" s="15"/>
      <c r="G1371" s="15"/>
      <c r="H1371" s="14"/>
      <c r="I1371" s="16" t="str">
        <f aca="false">IF(OR(A1371="",C1371=""),"",IF(OR(H1371="İade",H1371="İptal"),0,E1371*IFERROR(INDEX(Kanallar!$B$5:$B$19,MATCH(C1371,Kanallar!$A$5:$A$19,0)),0)))</f>
        <v/>
      </c>
      <c r="J1371" s="16" t="str">
        <f aca="false">IF(I1371="","",IF(H1371="İptal",0,IF(H1371="İade",-G1371,E1371-I1371-F1371-G1371)))</f>
        <v/>
      </c>
    </row>
    <row r="1372" customFormat="false" ht="15" hidden="false" customHeight="false" outlineLevel="0" collapsed="false">
      <c r="A1372" s="12"/>
      <c r="B1372" s="13"/>
      <c r="C1372" s="14"/>
      <c r="D1372" s="13"/>
      <c r="E1372" s="15"/>
      <c r="F1372" s="15"/>
      <c r="G1372" s="15"/>
      <c r="H1372" s="14"/>
      <c r="I1372" s="16" t="str">
        <f aca="false">IF(OR(A1372="",C1372=""),"",IF(OR(H1372="İade",H1372="İptal"),0,E1372*IFERROR(INDEX(Kanallar!$B$5:$B$19,MATCH(C1372,Kanallar!$A$5:$A$19,0)),0)))</f>
        <v/>
      </c>
      <c r="J1372" s="16" t="str">
        <f aca="false">IF(I1372="","",IF(H1372="İptal",0,IF(H1372="İade",-G1372,E1372-I1372-F1372-G1372)))</f>
        <v/>
      </c>
    </row>
    <row r="1373" customFormat="false" ht="15" hidden="false" customHeight="false" outlineLevel="0" collapsed="false">
      <c r="A1373" s="12"/>
      <c r="B1373" s="13"/>
      <c r="C1373" s="14"/>
      <c r="D1373" s="13"/>
      <c r="E1373" s="15"/>
      <c r="F1373" s="15"/>
      <c r="G1373" s="15"/>
      <c r="H1373" s="14"/>
      <c r="I1373" s="16" t="str">
        <f aca="false">IF(OR(A1373="",C1373=""),"",IF(OR(H1373="İade",H1373="İptal"),0,E1373*IFERROR(INDEX(Kanallar!$B$5:$B$19,MATCH(C1373,Kanallar!$A$5:$A$19,0)),0)))</f>
        <v/>
      </c>
      <c r="J1373" s="16" t="str">
        <f aca="false">IF(I1373="","",IF(H1373="İptal",0,IF(H1373="İade",-G1373,E1373-I1373-F1373-G1373)))</f>
        <v/>
      </c>
    </row>
    <row r="1374" customFormat="false" ht="15" hidden="false" customHeight="false" outlineLevel="0" collapsed="false">
      <c r="A1374" s="12"/>
      <c r="B1374" s="13"/>
      <c r="C1374" s="14"/>
      <c r="D1374" s="13"/>
      <c r="E1374" s="15"/>
      <c r="F1374" s="15"/>
      <c r="G1374" s="15"/>
      <c r="H1374" s="14"/>
      <c r="I1374" s="16" t="str">
        <f aca="false">IF(OR(A1374="",C1374=""),"",IF(OR(H1374="İade",H1374="İptal"),0,E1374*IFERROR(INDEX(Kanallar!$B$5:$B$19,MATCH(C1374,Kanallar!$A$5:$A$19,0)),0)))</f>
        <v/>
      </c>
      <c r="J1374" s="16" t="str">
        <f aca="false">IF(I1374="","",IF(H1374="İptal",0,IF(H1374="İade",-G1374,E1374-I1374-F1374-G1374)))</f>
        <v/>
      </c>
    </row>
    <row r="1375" customFormat="false" ht="15" hidden="false" customHeight="false" outlineLevel="0" collapsed="false">
      <c r="A1375" s="12"/>
      <c r="B1375" s="13"/>
      <c r="C1375" s="14"/>
      <c r="D1375" s="13"/>
      <c r="E1375" s="15"/>
      <c r="F1375" s="15"/>
      <c r="G1375" s="15"/>
      <c r="H1375" s="14"/>
      <c r="I1375" s="16" t="str">
        <f aca="false">IF(OR(A1375="",C1375=""),"",IF(OR(H1375="İade",H1375="İptal"),0,E1375*IFERROR(INDEX(Kanallar!$B$5:$B$19,MATCH(C1375,Kanallar!$A$5:$A$19,0)),0)))</f>
        <v/>
      </c>
      <c r="J1375" s="16" t="str">
        <f aca="false">IF(I1375="","",IF(H1375="İptal",0,IF(H1375="İade",-G1375,E1375-I1375-F1375-G1375)))</f>
        <v/>
      </c>
    </row>
    <row r="1376" customFormat="false" ht="15" hidden="false" customHeight="false" outlineLevel="0" collapsed="false">
      <c r="A1376" s="12"/>
      <c r="B1376" s="13"/>
      <c r="C1376" s="14"/>
      <c r="D1376" s="13"/>
      <c r="E1376" s="15"/>
      <c r="F1376" s="15"/>
      <c r="G1376" s="15"/>
      <c r="H1376" s="14"/>
      <c r="I1376" s="16" t="str">
        <f aca="false">IF(OR(A1376="",C1376=""),"",IF(OR(H1376="İade",H1376="İptal"),0,E1376*IFERROR(INDEX(Kanallar!$B$5:$B$19,MATCH(C1376,Kanallar!$A$5:$A$19,0)),0)))</f>
        <v/>
      </c>
      <c r="J1376" s="16" t="str">
        <f aca="false">IF(I1376="","",IF(H1376="İptal",0,IF(H1376="İade",-G1376,E1376-I1376-F1376-G1376)))</f>
        <v/>
      </c>
    </row>
    <row r="1377" customFormat="false" ht="15" hidden="false" customHeight="false" outlineLevel="0" collapsed="false">
      <c r="A1377" s="12"/>
      <c r="B1377" s="13"/>
      <c r="C1377" s="14"/>
      <c r="D1377" s="13"/>
      <c r="E1377" s="15"/>
      <c r="F1377" s="15"/>
      <c r="G1377" s="15"/>
      <c r="H1377" s="14"/>
      <c r="I1377" s="16" t="str">
        <f aca="false">IF(OR(A1377="",C1377=""),"",IF(OR(H1377="İade",H1377="İptal"),0,E1377*IFERROR(INDEX(Kanallar!$B$5:$B$19,MATCH(C1377,Kanallar!$A$5:$A$19,0)),0)))</f>
        <v/>
      </c>
      <c r="J1377" s="16" t="str">
        <f aca="false">IF(I1377="","",IF(H1377="İptal",0,IF(H1377="İade",-G1377,E1377-I1377-F1377-G1377)))</f>
        <v/>
      </c>
    </row>
    <row r="1378" customFormat="false" ht="15" hidden="false" customHeight="false" outlineLevel="0" collapsed="false">
      <c r="A1378" s="12"/>
      <c r="B1378" s="13"/>
      <c r="C1378" s="14"/>
      <c r="D1378" s="13"/>
      <c r="E1378" s="15"/>
      <c r="F1378" s="15"/>
      <c r="G1378" s="15"/>
      <c r="H1378" s="14"/>
      <c r="I1378" s="16" t="str">
        <f aca="false">IF(OR(A1378="",C1378=""),"",IF(OR(H1378="İade",H1378="İptal"),0,E1378*IFERROR(INDEX(Kanallar!$B$5:$B$19,MATCH(C1378,Kanallar!$A$5:$A$19,0)),0)))</f>
        <v/>
      </c>
      <c r="J1378" s="16" t="str">
        <f aca="false">IF(I1378="","",IF(H1378="İptal",0,IF(H1378="İade",-G1378,E1378-I1378-F1378-G1378)))</f>
        <v/>
      </c>
    </row>
    <row r="1379" customFormat="false" ht="15" hidden="false" customHeight="false" outlineLevel="0" collapsed="false">
      <c r="A1379" s="12"/>
      <c r="B1379" s="13"/>
      <c r="C1379" s="14"/>
      <c r="D1379" s="13"/>
      <c r="E1379" s="15"/>
      <c r="F1379" s="15"/>
      <c r="G1379" s="15"/>
      <c r="H1379" s="14"/>
      <c r="I1379" s="16" t="str">
        <f aca="false">IF(OR(A1379="",C1379=""),"",IF(OR(H1379="İade",H1379="İptal"),0,E1379*IFERROR(INDEX(Kanallar!$B$5:$B$19,MATCH(C1379,Kanallar!$A$5:$A$19,0)),0)))</f>
        <v/>
      </c>
      <c r="J1379" s="16" t="str">
        <f aca="false">IF(I1379="","",IF(H1379="İptal",0,IF(H1379="İade",-G1379,E1379-I1379-F1379-G1379)))</f>
        <v/>
      </c>
    </row>
    <row r="1380" customFormat="false" ht="15" hidden="false" customHeight="false" outlineLevel="0" collapsed="false">
      <c r="A1380" s="12"/>
      <c r="B1380" s="13"/>
      <c r="C1380" s="14"/>
      <c r="D1380" s="13"/>
      <c r="E1380" s="15"/>
      <c r="F1380" s="15"/>
      <c r="G1380" s="15"/>
      <c r="H1380" s="14"/>
      <c r="I1380" s="16" t="str">
        <f aca="false">IF(OR(A1380="",C1380=""),"",IF(OR(H1380="İade",H1380="İptal"),0,E1380*IFERROR(INDEX(Kanallar!$B$5:$B$19,MATCH(C1380,Kanallar!$A$5:$A$19,0)),0)))</f>
        <v/>
      </c>
      <c r="J1380" s="16" t="str">
        <f aca="false">IF(I1380="","",IF(H1380="İptal",0,IF(H1380="İade",-G1380,E1380-I1380-F1380-G1380)))</f>
        <v/>
      </c>
    </row>
    <row r="1381" customFormat="false" ht="15" hidden="false" customHeight="false" outlineLevel="0" collapsed="false">
      <c r="A1381" s="12"/>
      <c r="B1381" s="13"/>
      <c r="C1381" s="14"/>
      <c r="D1381" s="13"/>
      <c r="E1381" s="15"/>
      <c r="F1381" s="15"/>
      <c r="G1381" s="15"/>
      <c r="H1381" s="14"/>
      <c r="I1381" s="16" t="str">
        <f aca="false">IF(OR(A1381="",C1381=""),"",IF(OR(H1381="İade",H1381="İptal"),0,E1381*IFERROR(INDEX(Kanallar!$B$5:$B$19,MATCH(C1381,Kanallar!$A$5:$A$19,0)),0)))</f>
        <v/>
      </c>
      <c r="J1381" s="16" t="str">
        <f aca="false">IF(I1381="","",IF(H1381="İptal",0,IF(H1381="İade",-G1381,E1381-I1381-F1381-G1381)))</f>
        <v/>
      </c>
    </row>
    <row r="1382" customFormat="false" ht="15" hidden="false" customHeight="false" outlineLevel="0" collapsed="false">
      <c r="A1382" s="12"/>
      <c r="B1382" s="13"/>
      <c r="C1382" s="14"/>
      <c r="D1382" s="13"/>
      <c r="E1382" s="15"/>
      <c r="F1382" s="15"/>
      <c r="G1382" s="15"/>
      <c r="H1382" s="14"/>
      <c r="I1382" s="16" t="str">
        <f aca="false">IF(OR(A1382="",C1382=""),"",IF(OR(H1382="İade",H1382="İptal"),0,E1382*IFERROR(INDEX(Kanallar!$B$5:$B$19,MATCH(C1382,Kanallar!$A$5:$A$19,0)),0)))</f>
        <v/>
      </c>
      <c r="J1382" s="16" t="str">
        <f aca="false">IF(I1382="","",IF(H1382="İptal",0,IF(H1382="İade",-G1382,E1382-I1382-F1382-G1382)))</f>
        <v/>
      </c>
    </row>
    <row r="1383" customFormat="false" ht="15" hidden="false" customHeight="false" outlineLevel="0" collapsed="false">
      <c r="A1383" s="12"/>
      <c r="B1383" s="13"/>
      <c r="C1383" s="14"/>
      <c r="D1383" s="13"/>
      <c r="E1383" s="15"/>
      <c r="F1383" s="15"/>
      <c r="G1383" s="15"/>
      <c r="H1383" s="14"/>
      <c r="I1383" s="16" t="str">
        <f aca="false">IF(OR(A1383="",C1383=""),"",IF(OR(H1383="İade",H1383="İptal"),0,E1383*IFERROR(INDEX(Kanallar!$B$5:$B$19,MATCH(C1383,Kanallar!$A$5:$A$19,0)),0)))</f>
        <v/>
      </c>
      <c r="J1383" s="16" t="str">
        <f aca="false">IF(I1383="","",IF(H1383="İptal",0,IF(H1383="İade",-G1383,E1383-I1383-F1383-G1383)))</f>
        <v/>
      </c>
    </row>
    <row r="1384" customFormat="false" ht="15" hidden="false" customHeight="false" outlineLevel="0" collapsed="false">
      <c r="A1384" s="12"/>
      <c r="B1384" s="13"/>
      <c r="C1384" s="14"/>
      <c r="D1384" s="13"/>
      <c r="E1384" s="15"/>
      <c r="F1384" s="15"/>
      <c r="G1384" s="15"/>
      <c r="H1384" s="14"/>
      <c r="I1384" s="16" t="str">
        <f aca="false">IF(OR(A1384="",C1384=""),"",IF(OR(H1384="İade",H1384="İptal"),0,E1384*IFERROR(INDEX(Kanallar!$B$5:$B$19,MATCH(C1384,Kanallar!$A$5:$A$19,0)),0)))</f>
        <v/>
      </c>
      <c r="J1384" s="16" t="str">
        <f aca="false">IF(I1384="","",IF(H1384="İptal",0,IF(H1384="İade",-G1384,E1384-I1384-F1384-G1384)))</f>
        <v/>
      </c>
    </row>
    <row r="1385" customFormat="false" ht="15" hidden="false" customHeight="false" outlineLevel="0" collapsed="false">
      <c r="A1385" s="12"/>
      <c r="B1385" s="13"/>
      <c r="C1385" s="14"/>
      <c r="D1385" s="13"/>
      <c r="E1385" s="15"/>
      <c r="F1385" s="15"/>
      <c r="G1385" s="15"/>
      <c r="H1385" s="14"/>
      <c r="I1385" s="16" t="str">
        <f aca="false">IF(OR(A1385="",C1385=""),"",IF(OR(H1385="İade",H1385="İptal"),0,E1385*IFERROR(INDEX(Kanallar!$B$5:$B$19,MATCH(C1385,Kanallar!$A$5:$A$19,0)),0)))</f>
        <v/>
      </c>
      <c r="J1385" s="16" t="str">
        <f aca="false">IF(I1385="","",IF(H1385="İptal",0,IF(H1385="İade",-G1385,E1385-I1385-F1385-G1385)))</f>
        <v/>
      </c>
    </row>
    <row r="1386" customFormat="false" ht="15" hidden="false" customHeight="false" outlineLevel="0" collapsed="false">
      <c r="A1386" s="12"/>
      <c r="B1386" s="13"/>
      <c r="C1386" s="14"/>
      <c r="D1386" s="13"/>
      <c r="E1386" s="15"/>
      <c r="F1386" s="15"/>
      <c r="G1386" s="15"/>
      <c r="H1386" s="14"/>
      <c r="I1386" s="16" t="str">
        <f aca="false">IF(OR(A1386="",C1386=""),"",IF(OR(H1386="İade",H1386="İptal"),0,E1386*IFERROR(INDEX(Kanallar!$B$5:$B$19,MATCH(C1386,Kanallar!$A$5:$A$19,0)),0)))</f>
        <v/>
      </c>
      <c r="J1386" s="16" t="str">
        <f aca="false">IF(I1386="","",IF(H1386="İptal",0,IF(H1386="İade",-G1386,E1386-I1386-F1386-G1386)))</f>
        <v/>
      </c>
    </row>
    <row r="1387" customFormat="false" ht="15" hidden="false" customHeight="false" outlineLevel="0" collapsed="false">
      <c r="A1387" s="12"/>
      <c r="B1387" s="13"/>
      <c r="C1387" s="14"/>
      <c r="D1387" s="13"/>
      <c r="E1387" s="15"/>
      <c r="F1387" s="15"/>
      <c r="G1387" s="15"/>
      <c r="H1387" s="14"/>
      <c r="I1387" s="16" t="str">
        <f aca="false">IF(OR(A1387="",C1387=""),"",IF(OR(H1387="İade",H1387="İptal"),0,E1387*IFERROR(INDEX(Kanallar!$B$5:$B$19,MATCH(C1387,Kanallar!$A$5:$A$19,0)),0)))</f>
        <v/>
      </c>
      <c r="J1387" s="16" t="str">
        <f aca="false">IF(I1387="","",IF(H1387="İptal",0,IF(H1387="İade",-G1387,E1387-I1387-F1387-G1387)))</f>
        <v/>
      </c>
    </row>
    <row r="1388" customFormat="false" ht="15" hidden="false" customHeight="false" outlineLevel="0" collapsed="false">
      <c r="A1388" s="12"/>
      <c r="B1388" s="13"/>
      <c r="C1388" s="14"/>
      <c r="D1388" s="13"/>
      <c r="E1388" s="15"/>
      <c r="F1388" s="15"/>
      <c r="G1388" s="15"/>
      <c r="H1388" s="14"/>
      <c r="I1388" s="16" t="str">
        <f aca="false">IF(OR(A1388="",C1388=""),"",IF(OR(H1388="İade",H1388="İptal"),0,E1388*IFERROR(INDEX(Kanallar!$B$5:$B$19,MATCH(C1388,Kanallar!$A$5:$A$19,0)),0)))</f>
        <v/>
      </c>
      <c r="J1388" s="16" t="str">
        <f aca="false">IF(I1388="","",IF(H1388="İptal",0,IF(H1388="İade",-G1388,E1388-I1388-F1388-G1388)))</f>
        <v/>
      </c>
    </row>
    <row r="1389" customFormat="false" ht="15" hidden="false" customHeight="false" outlineLevel="0" collapsed="false">
      <c r="A1389" s="12"/>
      <c r="B1389" s="13"/>
      <c r="C1389" s="14"/>
      <c r="D1389" s="13"/>
      <c r="E1389" s="15"/>
      <c r="F1389" s="15"/>
      <c r="G1389" s="15"/>
      <c r="H1389" s="14"/>
      <c r="I1389" s="16" t="str">
        <f aca="false">IF(OR(A1389="",C1389=""),"",IF(OR(H1389="İade",H1389="İptal"),0,E1389*IFERROR(INDEX(Kanallar!$B$5:$B$19,MATCH(C1389,Kanallar!$A$5:$A$19,0)),0)))</f>
        <v/>
      </c>
      <c r="J1389" s="16" t="str">
        <f aca="false">IF(I1389="","",IF(H1389="İptal",0,IF(H1389="İade",-G1389,E1389-I1389-F1389-G1389)))</f>
        <v/>
      </c>
    </row>
    <row r="1390" customFormat="false" ht="15" hidden="false" customHeight="false" outlineLevel="0" collapsed="false">
      <c r="A1390" s="12"/>
      <c r="B1390" s="13"/>
      <c r="C1390" s="14"/>
      <c r="D1390" s="13"/>
      <c r="E1390" s="15"/>
      <c r="F1390" s="15"/>
      <c r="G1390" s="15"/>
      <c r="H1390" s="14"/>
      <c r="I1390" s="16" t="str">
        <f aca="false">IF(OR(A1390="",C1390=""),"",IF(OR(H1390="İade",H1390="İptal"),0,E1390*IFERROR(INDEX(Kanallar!$B$5:$B$19,MATCH(C1390,Kanallar!$A$5:$A$19,0)),0)))</f>
        <v/>
      </c>
      <c r="J1390" s="16" t="str">
        <f aca="false">IF(I1390="","",IF(H1390="İptal",0,IF(H1390="İade",-G1390,E1390-I1390-F1390-G1390)))</f>
        <v/>
      </c>
    </row>
    <row r="1391" customFormat="false" ht="15" hidden="false" customHeight="false" outlineLevel="0" collapsed="false">
      <c r="A1391" s="12"/>
      <c r="B1391" s="13"/>
      <c r="C1391" s="14"/>
      <c r="D1391" s="13"/>
      <c r="E1391" s="15"/>
      <c r="F1391" s="15"/>
      <c r="G1391" s="15"/>
      <c r="H1391" s="14"/>
      <c r="I1391" s="16" t="str">
        <f aca="false">IF(OR(A1391="",C1391=""),"",IF(OR(H1391="İade",H1391="İptal"),0,E1391*IFERROR(INDEX(Kanallar!$B$5:$B$19,MATCH(C1391,Kanallar!$A$5:$A$19,0)),0)))</f>
        <v/>
      </c>
      <c r="J1391" s="16" t="str">
        <f aca="false">IF(I1391="","",IF(H1391="İptal",0,IF(H1391="İade",-G1391,E1391-I1391-F1391-G1391)))</f>
        <v/>
      </c>
    </row>
    <row r="1392" customFormat="false" ht="15" hidden="false" customHeight="false" outlineLevel="0" collapsed="false">
      <c r="A1392" s="12"/>
      <c r="B1392" s="13"/>
      <c r="C1392" s="14"/>
      <c r="D1392" s="13"/>
      <c r="E1392" s="15"/>
      <c r="F1392" s="15"/>
      <c r="G1392" s="15"/>
      <c r="H1392" s="14"/>
      <c r="I1392" s="16" t="str">
        <f aca="false">IF(OR(A1392="",C1392=""),"",IF(OR(H1392="İade",H1392="İptal"),0,E1392*IFERROR(INDEX(Kanallar!$B$5:$B$19,MATCH(C1392,Kanallar!$A$5:$A$19,0)),0)))</f>
        <v/>
      </c>
      <c r="J1392" s="16" t="str">
        <f aca="false">IF(I1392="","",IF(H1392="İptal",0,IF(H1392="İade",-G1392,E1392-I1392-F1392-G1392)))</f>
        <v/>
      </c>
    </row>
    <row r="1393" customFormat="false" ht="15" hidden="false" customHeight="false" outlineLevel="0" collapsed="false">
      <c r="A1393" s="12"/>
      <c r="B1393" s="13"/>
      <c r="C1393" s="14"/>
      <c r="D1393" s="13"/>
      <c r="E1393" s="15"/>
      <c r="F1393" s="15"/>
      <c r="G1393" s="15"/>
      <c r="H1393" s="14"/>
      <c r="I1393" s="16" t="str">
        <f aca="false">IF(OR(A1393="",C1393=""),"",IF(OR(H1393="İade",H1393="İptal"),0,E1393*IFERROR(INDEX(Kanallar!$B$5:$B$19,MATCH(C1393,Kanallar!$A$5:$A$19,0)),0)))</f>
        <v/>
      </c>
      <c r="J1393" s="16" t="str">
        <f aca="false">IF(I1393="","",IF(H1393="İptal",0,IF(H1393="İade",-G1393,E1393-I1393-F1393-G1393)))</f>
        <v/>
      </c>
    </row>
    <row r="1394" customFormat="false" ht="15" hidden="false" customHeight="false" outlineLevel="0" collapsed="false">
      <c r="A1394" s="12"/>
      <c r="B1394" s="13"/>
      <c r="C1394" s="14"/>
      <c r="D1394" s="13"/>
      <c r="E1394" s="15"/>
      <c r="F1394" s="15"/>
      <c r="G1394" s="15"/>
      <c r="H1394" s="14"/>
      <c r="I1394" s="16" t="str">
        <f aca="false">IF(OR(A1394="",C1394=""),"",IF(OR(H1394="İade",H1394="İptal"),0,E1394*IFERROR(INDEX(Kanallar!$B$5:$B$19,MATCH(C1394,Kanallar!$A$5:$A$19,0)),0)))</f>
        <v/>
      </c>
      <c r="J1394" s="16" t="str">
        <f aca="false">IF(I1394="","",IF(H1394="İptal",0,IF(H1394="İade",-G1394,E1394-I1394-F1394-G1394)))</f>
        <v/>
      </c>
    </row>
    <row r="1395" customFormat="false" ht="15" hidden="false" customHeight="false" outlineLevel="0" collapsed="false">
      <c r="A1395" s="12"/>
      <c r="B1395" s="13"/>
      <c r="C1395" s="14"/>
      <c r="D1395" s="13"/>
      <c r="E1395" s="15"/>
      <c r="F1395" s="15"/>
      <c r="G1395" s="15"/>
      <c r="H1395" s="14"/>
      <c r="I1395" s="16" t="str">
        <f aca="false">IF(OR(A1395="",C1395=""),"",IF(OR(H1395="İade",H1395="İptal"),0,E1395*IFERROR(INDEX(Kanallar!$B$5:$B$19,MATCH(C1395,Kanallar!$A$5:$A$19,0)),0)))</f>
        <v/>
      </c>
      <c r="J1395" s="16" t="str">
        <f aca="false">IF(I1395="","",IF(H1395="İptal",0,IF(H1395="İade",-G1395,E1395-I1395-F1395-G1395)))</f>
        <v/>
      </c>
    </row>
    <row r="1396" customFormat="false" ht="15" hidden="false" customHeight="false" outlineLevel="0" collapsed="false">
      <c r="A1396" s="12"/>
      <c r="B1396" s="13"/>
      <c r="C1396" s="14"/>
      <c r="D1396" s="13"/>
      <c r="E1396" s="15"/>
      <c r="F1396" s="15"/>
      <c r="G1396" s="15"/>
      <c r="H1396" s="14"/>
      <c r="I1396" s="16" t="str">
        <f aca="false">IF(OR(A1396="",C1396=""),"",IF(OR(H1396="İade",H1396="İptal"),0,E1396*IFERROR(INDEX(Kanallar!$B$5:$B$19,MATCH(C1396,Kanallar!$A$5:$A$19,0)),0)))</f>
        <v/>
      </c>
      <c r="J1396" s="16" t="str">
        <f aca="false">IF(I1396="","",IF(H1396="İptal",0,IF(H1396="İade",-G1396,E1396-I1396-F1396-G1396)))</f>
        <v/>
      </c>
    </row>
    <row r="1397" customFormat="false" ht="15" hidden="false" customHeight="false" outlineLevel="0" collapsed="false">
      <c r="A1397" s="12"/>
      <c r="B1397" s="13"/>
      <c r="C1397" s="14"/>
      <c r="D1397" s="13"/>
      <c r="E1397" s="15"/>
      <c r="F1397" s="15"/>
      <c r="G1397" s="15"/>
      <c r="H1397" s="14"/>
      <c r="I1397" s="16" t="str">
        <f aca="false">IF(OR(A1397="",C1397=""),"",IF(OR(H1397="İade",H1397="İptal"),0,E1397*IFERROR(INDEX(Kanallar!$B$5:$B$19,MATCH(C1397,Kanallar!$A$5:$A$19,0)),0)))</f>
        <v/>
      </c>
      <c r="J1397" s="16" t="str">
        <f aca="false">IF(I1397="","",IF(H1397="İptal",0,IF(H1397="İade",-G1397,E1397-I1397-F1397-G1397)))</f>
        <v/>
      </c>
    </row>
    <row r="1398" customFormat="false" ht="15" hidden="false" customHeight="false" outlineLevel="0" collapsed="false">
      <c r="A1398" s="12"/>
      <c r="B1398" s="13"/>
      <c r="C1398" s="14"/>
      <c r="D1398" s="13"/>
      <c r="E1398" s="15"/>
      <c r="F1398" s="15"/>
      <c r="G1398" s="15"/>
      <c r="H1398" s="14"/>
      <c r="I1398" s="16" t="str">
        <f aca="false">IF(OR(A1398="",C1398=""),"",IF(OR(H1398="İade",H1398="İptal"),0,E1398*IFERROR(INDEX(Kanallar!$B$5:$B$19,MATCH(C1398,Kanallar!$A$5:$A$19,0)),0)))</f>
        <v/>
      </c>
      <c r="J1398" s="16" t="str">
        <f aca="false">IF(I1398="","",IF(H1398="İptal",0,IF(H1398="İade",-G1398,E1398-I1398-F1398-G1398)))</f>
        <v/>
      </c>
    </row>
    <row r="1399" customFormat="false" ht="15" hidden="false" customHeight="false" outlineLevel="0" collapsed="false">
      <c r="A1399" s="12"/>
      <c r="B1399" s="13"/>
      <c r="C1399" s="14"/>
      <c r="D1399" s="13"/>
      <c r="E1399" s="15"/>
      <c r="F1399" s="15"/>
      <c r="G1399" s="15"/>
      <c r="H1399" s="14"/>
      <c r="I1399" s="16" t="str">
        <f aca="false">IF(OR(A1399="",C1399=""),"",IF(OR(H1399="İade",H1399="İptal"),0,E1399*IFERROR(INDEX(Kanallar!$B$5:$B$19,MATCH(C1399,Kanallar!$A$5:$A$19,0)),0)))</f>
        <v/>
      </c>
      <c r="J1399" s="16" t="str">
        <f aca="false">IF(I1399="","",IF(H1399="İptal",0,IF(H1399="İade",-G1399,E1399-I1399-F1399-G1399)))</f>
        <v/>
      </c>
    </row>
    <row r="1400" customFormat="false" ht="15" hidden="false" customHeight="false" outlineLevel="0" collapsed="false">
      <c r="A1400" s="12"/>
      <c r="B1400" s="13"/>
      <c r="C1400" s="14"/>
      <c r="D1400" s="13"/>
      <c r="E1400" s="15"/>
      <c r="F1400" s="15"/>
      <c r="G1400" s="15"/>
      <c r="H1400" s="14"/>
      <c r="I1400" s="16" t="str">
        <f aca="false">IF(OR(A1400="",C1400=""),"",IF(OR(H1400="İade",H1400="İptal"),0,E1400*IFERROR(INDEX(Kanallar!$B$5:$B$19,MATCH(C1400,Kanallar!$A$5:$A$19,0)),0)))</f>
        <v/>
      </c>
      <c r="J1400" s="16" t="str">
        <f aca="false">IF(I1400="","",IF(H1400="İptal",0,IF(H1400="İade",-G1400,E1400-I1400-F1400-G1400)))</f>
        <v/>
      </c>
    </row>
    <row r="1401" customFormat="false" ht="15" hidden="false" customHeight="false" outlineLevel="0" collapsed="false">
      <c r="A1401" s="12"/>
      <c r="B1401" s="13"/>
      <c r="C1401" s="14"/>
      <c r="D1401" s="13"/>
      <c r="E1401" s="15"/>
      <c r="F1401" s="15"/>
      <c r="G1401" s="15"/>
      <c r="H1401" s="14"/>
      <c r="I1401" s="16" t="str">
        <f aca="false">IF(OR(A1401="",C1401=""),"",IF(OR(H1401="İade",H1401="İptal"),0,E1401*IFERROR(INDEX(Kanallar!$B$5:$B$19,MATCH(C1401,Kanallar!$A$5:$A$19,0)),0)))</f>
        <v/>
      </c>
      <c r="J1401" s="16" t="str">
        <f aca="false">IF(I1401="","",IF(H1401="İptal",0,IF(H1401="İade",-G1401,E1401-I1401-F1401-G1401)))</f>
        <v/>
      </c>
    </row>
    <row r="1402" customFormat="false" ht="15" hidden="false" customHeight="false" outlineLevel="0" collapsed="false">
      <c r="A1402" s="12"/>
      <c r="B1402" s="13"/>
      <c r="C1402" s="14"/>
      <c r="D1402" s="13"/>
      <c r="E1402" s="15"/>
      <c r="F1402" s="15"/>
      <c r="G1402" s="15"/>
      <c r="H1402" s="14"/>
      <c r="I1402" s="16" t="str">
        <f aca="false">IF(OR(A1402="",C1402=""),"",IF(OR(H1402="İade",H1402="İptal"),0,E1402*IFERROR(INDEX(Kanallar!$B$5:$B$19,MATCH(C1402,Kanallar!$A$5:$A$19,0)),0)))</f>
        <v/>
      </c>
      <c r="J1402" s="16" t="str">
        <f aca="false">IF(I1402="","",IF(H1402="İptal",0,IF(H1402="İade",-G1402,E1402-I1402-F1402-G1402)))</f>
        <v/>
      </c>
    </row>
    <row r="1403" customFormat="false" ht="15" hidden="false" customHeight="false" outlineLevel="0" collapsed="false">
      <c r="A1403" s="12"/>
      <c r="B1403" s="13"/>
      <c r="C1403" s="14"/>
      <c r="D1403" s="13"/>
      <c r="E1403" s="15"/>
      <c r="F1403" s="15"/>
      <c r="G1403" s="15"/>
      <c r="H1403" s="14"/>
      <c r="I1403" s="16" t="str">
        <f aca="false">IF(OR(A1403="",C1403=""),"",IF(OR(H1403="İade",H1403="İptal"),0,E1403*IFERROR(INDEX(Kanallar!$B$5:$B$19,MATCH(C1403,Kanallar!$A$5:$A$19,0)),0)))</f>
        <v/>
      </c>
      <c r="J1403" s="16" t="str">
        <f aca="false">IF(I1403="","",IF(H1403="İptal",0,IF(H1403="İade",-G1403,E1403-I1403-F1403-G1403)))</f>
        <v/>
      </c>
    </row>
    <row r="1404" customFormat="false" ht="15" hidden="false" customHeight="false" outlineLevel="0" collapsed="false">
      <c r="A1404" s="12"/>
      <c r="B1404" s="13"/>
      <c r="C1404" s="14"/>
      <c r="D1404" s="13"/>
      <c r="E1404" s="15"/>
      <c r="F1404" s="15"/>
      <c r="G1404" s="15"/>
      <c r="H1404" s="14"/>
      <c r="I1404" s="16" t="str">
        <f aca="false">IF(OR(A1404="",C1404=""),"",IF(OR(H1404="İade",H1404="İptal"),0,E1404*IFERROR(INDEX(Kanallar!$B$5:$B$19,MATCH(C1404,Kanallar!$A$5:$A$19,0)),0)))</f>
        <v/>
      </c>
      <c r="J1404" s="16" t="str">
        <f aca="false">IF(I1404="","",IF(H1404="İptal",0,IF(H1404="İade",-G1404,E1404-I1404-F1404-G1404)))</f>
        <v/>
      </c>
    </row>
    <row r="1405" customFormat="false" ht="15" hidden="false" customHeight="false" outlineLevel="0" collapsed="false">
      <c r="A1405" s="12"/>
      <c r="B1405" s="13"/>
      <c r="C1405" s="14"/>
      <c r="D1405" s="13"/>
      <c r="E1405" s="15"/>
      <c r="F1405" s="15"/>
      <c r="G1405" s="15"/>
      <c r="H1405" s="14"/>
      <c r="I1405" s="16" t="str">
        <f aca="false">IF(OR(A1405="",C1405=""),"",IF(OR(H1405="İade",H1405="İptal"),0,E1405*IFERROR(INDEX(Kanallar!$B$5:$B$19,MATCH(C1405,Kanallar!$A$5:$A$19,0)),0)))</f>
        <v/>
      </c>
      <c r="J1405" s="16" t="str">
        <f aca="false">IF(I1405="","",IF(H1405="İptal",0,IF(H1405="İade",-G1405,E1405-I1405-F1405-G1405)))</f>
        <v/>
      </c>
    </row>
    <row r="1406" customFormat="false" ht="15" hidden="false" customHeight="false" outlineLevel="0" collapsed="false">
      <c r="A1406" s="12"/>
      <c r="B1406" s="13"/>
      <c r="C1406" s="14"/>
      <c r="D1406" s="13"/>
      <c r="E1406" s="15"/>
      <c r="F1406" s="15"/>
      <c r="G1406" s="15"/>
      <c r="H1406" s="14"/>
      <c r="I1406" s="16" t="str">
        <f aca="false">IF(OR(A1406="",C1406=""),"",IF(OR(H1406="İade",H1406="İptal"),0,E1406*IFERROR(INDEX(Kanallar!$B$5:$B$19,MATCH(C1406,Kanallar!$A$5:$A$19,0)),0)))</f>
        <v/>
      </c>
      <c r="J1406" s="16" t="str">
        <f aca="false">IF(I1406="","",IF(H1406="İptal",0,IF(H1406="İade",-G1406,E1406-I1406-F1406-G1406)))</f>
        <v/>
      </c>
    </row>
    <row r="1407" customFormat="false" ht="15" hidden="false" customHeight="false" outlineLevel="0" collapsed="false">
      <c r="A1407" s="12"/>
      <c r="B1407" s="13"/>
      <c r="C1407" s="14"/>
      <c r="D1407" s="13"/>
      <c r="E1407" s="15"/>
      <c r="F1407" s="15"/>
      <c r="G1407" s="15"/>
      <c r="H1407" s="14"/>
      <c r="I1407" s="16" t="str">
        <f aca="false">IF(OR(A1407="",C1407=""),"",IF(OR(H1407="İade",H1407="İptal"),0,E1407*IFERROR(INDEX(Kanallar!$B$5:$B$19,MATCH(C1407,Kanallar!$A$5:$A$19,0)),0)))</f>
        <v/>
      </c>
      <c r="J1407" s="16" t="str">
        <f aca="false">IF(I1407="","",IF(H1407="İptal",0,IF(H1407="İade",-G1407,E1407-I1407-F1407-G1407)))</f>
        <v/>
      </c>
    </row>
    <row r="1408" customFormat="false" ht="15" hidden="false" customHeight="false" outlineLevel="0" collapsed="false">
      <c r="A1408" s="12"/>
      <c r="B1408" s="13"/>
      <c r="C1408" s="14"/>
      <c r="D1408" s="13"/>
      <c r="E1408" s="15"/>
      <c r="F1408" s="15"/>
      <c r="G1408" s="15"/>
      <c r="H1408" s="14"/>
      <c r="I1408" s="16" t="str">
        <f aca="false">IF(OR(A1408="",C1408=""),"",IF(OR(H1408="İade",H1408="İptal"),0,E1408*IFERROR(INDEX(Kanallar!$B$5:$B$19,MATCH(C1408,Kanallar!$A$5:$A$19,0)),0)))</f>
        <v/>
      </c>
      <c r="J1408" s="16" t="str">
        <f aca="false">IF(I1408="","",IF(H1408="İptal",0,IF(H1408="İade",-G1408,E1408-I1408-F1408-G1408)))</f>
        <v/>
      </c>
    </row>
    <row r="1409" customFormat="false" ht="15" hidden="false" customHeight="false" outlineLevel="0" collapsed="false">
      <c r="A1409" s="12"/>
      <c r="B1409" s="13"/>
      <c r="C1409" s="14"/>
      <c r="D1409" s="13"/>
      <c r="E1409" s="15"/>
      <c r="F1409" s="15"/>
      <c r="G1409" s="15"/>
      <c r="H1409" s="14"/>
      <c r="I1409" s="16" t="str">
        <f aca="false">IF(OR(A1409="",C1409=""),"",IF(OR(H1409="İade",H1409="İptal"),0,E1409*IFERROR(INDEX(Kanallar!$B$5:$B$19,MATCH(C1409,Kanallar!$A$5:$A$19,0)),0)))</f>
        <v/>
      </c>
      <c r="J1409" s="16" t="str">
        <f aca="false">IF(I1409="","",IF(H1409="İptal",0,IF(H1409="İade",-G1409,E1409-I1409-F1409-G1409)))</f>
        <v/>
      </c>
    </row>
    <row r="1410" customFormat="false" ht="15" hidden="false" customHeight="false" outlineLevel="0" collapsed="false">
      <c r="A1410" s="12"/>
      <c r="B1410" s="13"/>
      <c r="C1410" s="14"/>
      <c r="D1410" s="13"/>
      <c r="E1410" s="15"/>
      <c r="F1410" s="15"/>
      <c r="G1410" s="15"/>
      <c r="H1410" s="14"/>
      <c r="I1410" s="16" t="str">
        <f aca="false">IF(OR(A1410="",C1410=""),"",IF(OR(H1410="İade",H1410="İptal"),0,E1410*IFERROR(INDEX(Kanallar!$B$5:$B$19,MATCH(C1410,Kanallar!$A$5:$A$19,0)),0)))</f>
        <v/>
      </c>
      <c r="J1410" s="16" t="str">
        <f aca="false">IF(I1410="","",IF(H1410="İptal",0,IF(H1410="İade",-G1410,E1410-I1410-F1410-G1410)))</f>
        <v/>
      </c>
    </row>
    <row r="1411" customFormat="false" ht="15" hidden="false" customHeight="false" outlineLevel="0" collapsed="false">
      <c r="A1411" s="12"/>
      <c r="B1411" s="13"/>
      <c r="C1411" s="14"/>
      <c r="D1411" s="13"/>
      <c r="E1411" s="15"/>
      <c r="F1411" s="15"/>
      <c r="G1411" s="15"/>
      <c r="H1411" s="14"/>
      <c r="I1411" s="16" t="str">
        <f aca="false">IF(OR(A1411="",C1411=""),"",IF(OR(H1411="İade",H1411="İptal"),0,E1411*IFERROR(INDEX(Kanallar!$B$5:$B$19,MATCH(C1411,Kanallar!$A$5:$A$19,0)),0)))</f>
        <v/>
      </c>
      <c r="J1411" s="16" t="str">
        <f aca="false">IF(I1411="","",IF(H1411="İptal",0,IF(H1411="İade",-G1411,E1411-I1411-F1411-G1411)))</f>
        <v/>
      </c>
    </row>
    <row r="1412" customFormat="false" ht="15" hidden="false" customHeight="false" outlineLevel="0" collapsed="false">
      <c r="A1412" s="12"/>
      <c r="B1412" s="13"/>
      <c r="C1412" s="14"/>
      <c r="D1412" s="13"/>
      <c r="E1412" s="15"/>
      <c r="F1412" s="15"/>
      <c r="G1412" s="15"/>
      <c r="H1412" s="14"/>
      <c r="I1412" s="16" t="str">
        <f aca="false">IF(OR(A1412="",C1412=""),"",IF(OR(H1412="İade",H1412="İptal"),0,E1412*IFERROR(INDEX(Kanallar!$B$5:$B$19,MATCH(C1412,Kanallar!$A$5:$A$19,0)),0)))</f>
        <v/>
      </c>
      <c r="J1412" s="16" t="str">
        <f aca="false">IF(I1412="","",IF(H1412="İptal",0,IF(H1412="İade",-G1412,E1412-I1412-F1412-G1412)))</f>
        <v/>
      </c>
    </row>
    <row r="1413" customFormat="false" ht="15" hidden="false" customHeight="false" outlineLevel="0" collapsed="false">
      <c r="A1413" s="12"/>
      <c r="B1413" s="13"/>
      <c r="C1413" s="14"/>
      <c r="D1413" s="13"/>
      <c r="E1413" s="15"/>
      <c r="F1413" s="15"/>
      <c r="G1413" s="15"/>
      <c r="H1413" s="14"/>
      <c r="I1413" s="16" t="str">
        <f aca="false">IF(OR(A1413="",C1413=""),"",IF(OR(H1413="İade",H1413="İptal"),0,E1413*IFERROR(INDEX(Kanallar!$B$5:$B$19,MATCH(C1413,Kanallar!$A$5:$A$19,0)),0)))</f>
        <v/>
      </c>
      <c r="J1413" s="16" t="str">
        <f aca="false">IF(I1413="","",IF(H1413="İptal",0,IF(H1413="İade",-G1413,E1413-I1413-F1413-G1413)))</f>
        <v/>
      </c>
    </row>
    <row r="1414" customFormat="false" ht="15" hidden="false" customHeight="false" outlineLevel="0" collapsed="false">
      <c r="A1414" s="12"/>
      <c r="B1414" s="13"/>
      <c r="C1414" s="14"/>
      <c r="D1414" s="13"/>
      <c r="E1414" s="15"/>
      <c r="F1414" s="15"/>
      <c r="G1414" s="15"/>
      <c r="H1414" s="14"/>
      <c r="I1414" s="16" t="str">
        <f aca="false">IF(OR(A1414="",C1414=""),"",IF(OR(H1414="İade",H1414="İptal"),0,E1414*IFERROR(INDEX(Kanallar!$B$5:$B$19,MATCH(C1414,Kanallar!$A$5:$A$19,0)),0)))</f>
        <v/>
      </c>
      <c r="J1414" s="16" t="str">
        <f aca="false">IF(I1414="","",IF(H1414="İptal",0,IF(H1414="İade",-G1414,E1414-I1414-F1414-G1414)))</f>
        <v/>
      </c>
    </row>
    <row r="1415" customFormat="false" ht="15" hidden="false" customHeight="false" outlineLevel="0" collapsed="false">
      <c r="A1415" s="12"/>
      <c r="B1415" s="13"/>
      <c r="C1415" s="14"/>
      <c r="D1415" s="13"/>
      <c r="E1415" s="15"/>
      <c r="F1415" s="15"/>
      <c r="G1415" s="15"/>
      <c r="H1415" s="14"/>
      <c r="I1415" s="16" t="str">
        <f aca="false">IF(OR(A1415="",C1415=""),"",IF(OR(H1415="İade",H1415="İptal"),0,E1415*IFERROR(INDEX(Kanallar!$B$5:$B$19,MATCH(C1415,Kanallar!$A$5:$A$19,0)),0)))</f>
        <v/>
      </c>
      <c r="J1415" s="16" t="str">
        <f aca="false">IF(I1415="","",IF(H1415="İptal",0,IF(H1415="İade",-G1415,E1415-I1415-F1415-G1415)))</f>
        <v/>
      </c>
    </row>
    <row r="1416" customFormat="false" ht="15" hidden="false" customHeight="false" outlineLevel="0" collapsed="false">
      <c r="A1416" s="12"/>
      <c r="B1416" s="13"/>
      <c r="C1416" s="14"/>
      <c r="D1416" s="13"/>
      <c r="E1416" s="15"/>
      <c r="F1416" s="15"/>
      <c r="G1416" s="15"/>
      <c r="H1416" s="14"/>
      <c r="I1416" s="16" t="str">
        <f aca="false">IF(OR(A1416="",C1416=""),"",IF(OR(H1416="İade",H1416="İptal"),0,E1416*IFERROR(INDEX(Kanallar!$B$5:$B$19,MATCH(C1416,Kanallar!$A$5:$A$19,0)),0)))</f>
        <v/>
      </c>
      <c r="J1416" s="16" t="str">
        <f aca="false">IF(I1416="","",IF(H1416="İptal",0,IF(H1416="İade",-G1416,E1416-I1416-F1416-G1416)))</f>
        <v/>
      </c>
    </row>
    <row r="1417" customFormat="false" ht="15" hidden="false" customHeight="false" outlineLevel="0" collapsed="false">
      <c r="A1417" s="12"/>
      <c r="B1417" s="13"/>
      <c r="C1417" s="14"/>
      <c r="D1417" s="13"/>
      <c r="E1417" s="15"/>
      <c r="F1417" s="15"/>
      <c r="G1417" s="15"/>
      <c r="H1417" s="14"/>
      <c r="I1417" s="16" t="str">
        <f aca="false">IF(OR(A1417="",C1417=""),"",IF(OR(H1417="İade",H1417="İptal"),0,E1417*IFERROR(INDEX(Kanallar!$B$5:$B$19,MATCH(C1417,Kanallar!$A$5:$A$19,0)),0)))</f>
        <v/>
      </c>
      <c r="J1417" s="16" t="str">
        <f aca="false">IF(I1417="","",IF(H1417="İptal",0,IF(H1417="İade",-G1417,E1417-I1417-F1417-G1417)))</f>
        <v/>
      </c>
    </row>
    <row r="1418" customFormat="false" ht="15" hidden="false" customHeight="false" outlineLevel="0" collapsed="false">
      <c r="A1418" s="12"/>
      <c r="B1418" s="13"/>
      <c r="C1418" s="14"/>
      <c r="D1418" s="13"/>
      <c r="E1418" s="15"/>
      <c r="F1418" s="15"/>
      <c r="G1418" s="15"/>
      <c r="H1418" s="14"/>
      <c r="I1418" s="16" t="str">
        <f aca="false">IF(OR(A1418="",C1418=""),"",IF(OR(H1418="İade",H1418="İptal"),0,E1418*IFERROR(INDEX(Kanallar!$B$5:$B$19,MATCH(C1418,Kanallar!$A$5:$A$19,0)),0)))</f>
        <v/>
      </c>
      <c r="J1418" s="16" t="str">
        <f aca="false">IF(I1418="","",IF(H1418="İptal",0,IF(H1418="İade",-G1418,E1418-I1418-F1418-G1418)))</f>
        <v/>
      </c>
    </row>
    <row r="1419" customFormat="false" ht="15" hidden="false" customHeight="false" outlineLevel="0" collapsed="false">
      <c r="A1419" s="12"/>
      <c r="B1419" s="13"/>
      <c r="C1419" s="14"/>
      <c r="D1419" s="13"/>
      <c r="E1419" s="15"/>
      <c r="F1419" s="15"/>
      <c r="G1419" s="15"/>
      <c r="H1419" s="14"/>
      <c r="I1419" s="16" t="str">
        <f aca="false">IF(OR(A1419="",C1419=""),"",IF(OR(H1419="İade",H1419="İptal"),0,E1419*IFERROR(INDEX(Kanallar!$B$5:$B$19,MATCH(C1419,Kanallar!$A$5:$A$19,0)),0)))</f>
        <v/>
      </c>
      <c r="J1419" s="16" t="str">
        <f aca="false">IF(I1419="","",IF(H1419="İptal",0,IF(H1419="İade",-G1419,E1419-I1419-F1419-G1419)))</f>
        <v/>
      </c>
    </row>
    <row r="1420" customFormat="false" ht="15" hidden="false" customHeight="false" outlineLevel="0" collapsed="false">
      <c r="A1420" s="12"/>
      <c r="B1420" s="13"/>
      <c r="C1420" s="14"/>
      <c r="D1420" s="13"/>
      <c r="E1420" s="15"/>
      <c r="F1420" s="15"/>
      <c r="G1420" s="15"/>
      <c r="H1420" s="14"/>
      <c r="I1420" s="16" t="str">
        <f aca="false">IF(OR(A1420="",C1420=""),"",IF(OR(H1420="İade",H1420="İptal"),0,E1420*IFERROR(INDEX(Kanallar!$B$5:$B$19,MATCH(C1420,Kanallar!$A$5:$A$19,0)),0)))</f>
        <v/>
      </c>
      <c r="J1420" s="16" t="str">
        <f aca="false">IF(I1420="","",IF(H1420="İptal",0,IF(H1420="İade",-G1420,E1420-I1420-F1420-G1420)))</f>
        <v/>
      </c>
    </row>
    <row r="1421" customFormat="false" ht="15" hidden="false" customHeight="false" outlineLevel="0" collapsed="false">
      <c r="A1421" s="12"/>
      <c r="B1421" s="13"/>
      <c r="C1421" s="14"/>
      <c r="D1421" s="13"/>
      <c r="E1421" s="15"/>
      <c r="F1421" s="15"/>
      <c r="G1421" s="15"/>
      <c r="H1421" s="14"/>
      <c r="I1421" s="16" t="str">
        <f aca="false">IF(OR(A1421="",C1421=""),"",IF(OR(H1421="İade",H1421="İptal"),0,E1421*IFERROR(INDEX(Kanallar!$B$5:$B$19,MATCH(C1421,Kanallar!$A$5:$A$19,0)),0)))</f>
        <v/>
      </c>
      <c r="J1421" s="16" t="str">
        <f aca="false">IF(I1421="","",IF(H1421="İptal",0,IF(H1421="İade",-G1421,E1421-I1421-F1421-G1421)))</f>
        <v/>
      </c>
    </row>
    <row r="1422" customFormat="false" ht="15" hidden="false" customHeight="false" outlineLevel="0" collapsed="false">
      <c r="A1422" s="12"/>
      <c r="B1422" s="13"/>
      <c r="C1422" s="14"/>
      <c r="D1422" s="13"/>
      <c r="E1422" s="15"/>
      <c r="F1422" s="15"/>
      <c r="G1422" s="15"/>
      <c r="H1422" s="14"/>
      <c r="I1422" s="16" t="str">
        <f aca="false">IF(OR(A1422="",C1422=""),"",IF(OR(H1422="İade",H1422="İptal"),0,E1422*IFERROR(INDEX(Kanallar!$B$5:$B$19,MATCH(C1422,Kanallar!$A$5:$A$19,0)),0)))</f>
        <v/>
      </c>
      <c r="J1422" s="16" t="str">
        <f aca="false">IF(I1422="","",IF(H1422="İptal",0,IF(H1422="İade",-G1422,E1422-I1422-F1422-G1422)))</f>
        <v/>
      </c>
    </row>
    <row r="1423" customFormat="false" ht="15" hidden="false" customHeight="false" outlineLevel="0" collapsed="false">
      <c r="A1423" s="12"/>
      <c r="B1423" s="13"/>
      <c r="C1423" s="14"/>
      <c r="D1423" s="13"/>
      <c r="E1423" s="15"/>
      <c r="F1423" s="15"/>
      <c r="G1423" s="15"/>
      <c r="H1423" s="14"/>
      <c r="I1423" s="16" t="str">
        <f aca="false">IF(OR(A1423="",C1423=""),"",IF(OR(H1423="İade",H1423="İptal"),0,E1423*IFERROR(INDEX(Kanallar!$B$5:$B$19,MATCH(C1423,Kanallar!$A$5:$A$19,0)),0)))</f>
        <v/>
      </c>
      <c r="J1423" s="16" t="str">
        <f aca="false">IF(I1423="","",IF(H1423="İptal",0,IF(H1423="İade",-G1423,E1423-I1423-F1423-G1423)))</f>
        <v/>
      </c>
    </row>
    <row r="1424" customFormat="false" ht="15" hidden="false" customHeight="false" outlineLevel="0" collapsed="false">
      <c r="A1424" s="12"/>
      <c r="B1424" s="13"/>
      <c r="C1424" s="14"/>
      <c r="D1424" s="13"/>
      <c r="E1424" s="15"/>
      <c r="F1424" s="15"/>
      <c r="G1424" s="15"/>
      <c r="H1424" s="14"/>
      <c r="I1424" s="16" t="str">
        <f aca="false">IF(OR(A1424="",C1424=""),"",IF(OR(H1424="İade",H1424="İptal"),0,E1424*IFERROR(INDEX(Kanallar!$B$5:$B$19,MATCH(C1424,Kanallar!$A$5:$A$19,0)),0)))</f>
        <v/>
      </c>
      <c r="J1424" s="16" t="str">
        <f aca="false">IF(I1424="","",IF(H1424="İptal",0,IF(H1424="İade",-G1424,E1424-I1424-F1424-G1424)))</f>
        <v/>
      </c>
    </row>
    <row r="1425" customFormat="false" ht="15" hidden="false" customHeight="false" outlineLevel="0" collapsed="false">
      <c r="A1425" s="12"/>
      <c r="B1425" s="13"/>
      <c r="C1425" s="14"/>
      <c r="D1425" s="13"/>
      <c r="E1425" s="15"/>
      <c r="F1425" s="15"/>
      <c r="G1425" s="15"/>
      <c r="H1425" s="14"/>
      <c r="I1425" s="16" t="str">
        <f aca="false">IF(OR(A1425="",C1425=""),"",IF(OR(H1425="İade",H1425="İptal"),0,E1425*IFERROR(INDEX(Kanallar!$B$5:$B$19,MATCH(C1425,Kanallar!$A$5:$A$19,0)),0)))</f>
        <v/>
      </c>
      <c r="J1425" s="16" t="str">
        <f aca="false">IF(I1425="","",IF(H1425="İptal",0,IF(H1425="İade",-G1425,E1425-I1425-F1425-G1425)))</f>
        <v/>
      </c>
    </row>
    <row r="1426" customFormat="false" ht="15" hidden="false" customHeight="false" outlineLevel="0" collapsed="false">
      <c r="A1426" s="12"/>
      <c r="B1426" s="13"/>
      <c r="C1426" s="14"/>
      <c r="D1426" s="13"/>
      <c r="E1426" s="15"/>
      <c r="F1426" s="15"/>
      <c r="G1426" s="15"/>
      <c r="H1426" s="14"/>
      <c r="I1426" s="16" t="str">
        <f aca="false">IF(OR(A1426="",C1426=""),"",IF(OR(H1426="İade",H1426="İptal"),0,E1426*IFERROR(INDEX(Kanallar!$B$5:$B$19,MATCH(C1426,Kanallar!$A$5:$A$19,0)),0)))</f>
        <v/>
      </c>
      <c r="J1426" s="16" t="str">
        <f aca="false">IF(I1426="","",IF(H1426="İptal",0,IF(H1426="İade",-G1426,E1426-I1426-F1426-G1426)))</f>
        <v/>
      </c>
    </row>
    <row r="1427" customFormat="false" ht="15" hidden="false" customHeight="false" outlineLevel="0" collapsed="false">
      <c r="A1427" s="12"/>
      <c r="B1427" s="13"/>
      <c r="C1427" s="14"/>
      <c r="D1427" s="13"/>
      <c r="E1427" s="15"/>
      <c r="F1427" s="15"/>
      <c r="G1427" s="15"/>
      <c r="H1427" s="14"/>
      <c r="I1427" s="16" t="str">
        <f aca="false">IF(OR(A1427="",C1427=""),"",IF(OR(H1427="İade",H1427="İptal"),0,E1427*IFERROR(INDEX(Kanallar!$B$5:$B$19,MATCH(C1427,Kanallar!$A$5:$A$19,0)),0)))</f>
        <v/>
      </c>
      <c r="J1427" s="16" t="str">
        <f aca="false">IF(I1427="","",IF(H1427="İptal",0,IF(H1427="İade",-G1427,E1427-I1427-F1427-G1427)))</f>
        <v/>
      </c>
    </row>
    <row r="1428" customFormat="false" ht="15" hidden="false" customHeight="false" outlineLevel="0" collapsed="false">
      <c r="A1428" s="12"/>
      <c r="B1428" s="13"/>
      <c r="C1428" s="14"/>
      <c r="D1428" s="13"/>
      <c r="E1428" s="15"/>
      <c r="F1428" s="15"/>
      <c r="G1428" s="15"/>
      <c r="H1428" s="14"/>
      <c r="I1428" s="16" t="str">
        <f aca="false">IF(OR(A1428="",C1428=""),"",IF(OR(H1428="İade",H1428="İptal"),0,E1428*IFERROR(INDEX(Kanallar!$B$5:$B$19,MATCH(C1428,Kanallar!$A$5:$A$19,0)),0)))</f>
        <v/>
      </c>
      <c r="J1428" s="16" t="str">
        <f aca="false">IF(I1428="","",IF(H1428="İptal",0,IF(H1428="İade",-G1428,E1428-I1428-F1428-G1428)))</f>
        <v/>
      </c>
    </row>
    <row r="1429" customFormat="false" ht="15" hidden="false" customHeight="false" outlineLevel="0" collapsed="false">
      <c r="A1429" s="12"/>
      <c r="B1429" s="13"/>
      <c r="C1429" s="14"/>
      <c r="D1429" s="13"/>
      <c r="E1429" s="15"/>
      <c r="F1429" s="15"/>
      <c r="G1429" s="15"/>
      <c r="H1429" s="14"/>
      <c r="I1429" s="16" t="str">
        <f aca="false">IF(OR(A1429="",C1429=""),"",IF(OR(H1429="İade",H1429="İptal"),0,E1429*IFERROR(INDEX(Kanallar!$B$5:$B$19,MATCH(C1429,Kanallar!$A$5:$A$19,0)),0)))</f>
        <v/>
      </c>
      <c r="J1429" s="16" t="str">
        <f aca="false">IF(I1429="","",IF(H1429="İptal",0,IF(H1429="İade",-G1429,E1429-I1429-F1429-G1429)))</f>
        <v/>
      </c>
    </row>
    <row r="1430" customFormat="false" ht="15" hidden="false" customHeight="false" outlineLevel="0" collapsed="false">
      <c r="A1430" s="12"/>
      <c r="B1430" s="13"/>
      <c r="C1430" s="14"/>
      <c r="D1430" s="13"/>
      <c r="E1430" s="15"/>
      <c r="F1430" s="15"/>
      <c r="G1430" s="15"/>
      <c r="H1430" s="14"/>
      <c r="I1430" s="16" t="str">
        <f aca="false">IF(OR(A1430="",C1430=""),"",IF(OR(H1430="İade",H1430="İptal"),0,E1430*IFERROR(INDEX(Kanallar!$B$5:$B$19,MATCH(C1430,Kanallar!$A$5:$A$19,0)),0)))</f>
        <v/>
      </c>
      <c r="J1430" s="16" t="str">
        <f aca="false">IF(I1430="","",IF(H1430="İptal",0,IF(H1430="İade",-G1430,E1430-I1430-F1430-G1430)))</f>
        <v/>
      </c>
    </row>
    <row r="1431" customFormat="false" ht="15" hidden="false" customHeight="false" outlineLevel="0" collapsed="false">
      <c r="A1431" s="12"/>
      <c r="B1431" s="13"/>
      <c r="C1431" s="14"/>
      <c r="D1431" s="13"/>
      <c r="E1431" s="15"/>
      <c r="F1431" s="15"/>
      <c r="G1431" s="15"/>
      <c r="H1431" s="14"/>
      <c r="I1431" s="16" t="str">
        <f aca="false">IF(OR(A1431="",C1431=""),"",IF(OR(H1431="İade",H1431="İptal"),0,E1431*IFERROR(INDEX(Kanallar!$B$5:$B$19,MATCH(C1431,Kanallar!$A$5:$A$19,0)),0)))</f>
        <v/>
      </c>
      <c r="J1431" s="16" t="str">
        <f aca="false">IF(I1431="","",IF(H1431="İptal",0,IF(H1431="İade",-G1431,E1431-I1431-F1431-G1431)))</f>
        <v/>
      </c>
    </row>
    <row r="1432" customFormat="false" ht="15" hidden="false" customHeight="false" outlineLevel="0" collapsed="false">
      <c r="A1432" s="12"/>
      <c r="B1432" s="13"/>
      <c r="C1432" s="14"/>
      <c r="D1432" s="13"/>
      <c r="E1432" s="15"/>
      <c r="F1432" s="15"/>
      <c r="G1432" s="15"/>
      <c r="H1432" s="14"/>
      <c r="I1432" s="16" t="str">
        <f aca="false">IF(OR(A1432="",C1432=""),"",IF(OR(H1432="İade",H1432="İptal"),0,E1432*IFERROR(INDEX(Kanallar!$B$5:$B$19,MATCH(C1432,Kanallar!$A$5:$A$19,0)),0)))</f>
        <v/>
      </c>
      <c r="J1432" s="16" t="str">
        <f aca="false">IF(I1432="","",IF(H1432="İptal",0,IF(H1432="İade",-G1432,E1432-I1432-F1432-G1432)))</f>
        <v/>
      </c>
    </row>
    <row r="1433" customFormat="false" ht="15" hidden="false" customHeight="false" outlineLevel="0" collapsed="false">
      <c r="A1433" s="12"/>
      <c r="B1433" s="13"/>
      <c r="C1433" s="14"/>
      <c r="D1433" s="13"/>
      <c r="E1433" s="15"/>
      <c r="F1433" s="15"/>
      <c r="G1433" s="15"/>
      <c r="H1433" s="14"/>
      <c r="I1433" s="16" t="str">
        <f aca="false">IF(OR(A1433="",C1433=""),"",IF(OR(H1433="İade",H1433="İptal"),0,E1433*IFERROR(INDEX(Kanallar!$B$5:$B$19,MATCH(C1433,Kanallar!$A$5:$A$19,0)),0)))</f>
        <v/>
      </c>
      <c r="J1433" s="16" t="str">
        <f aca="false">IF(I1433="","",IF(H1433="İptal",0,IF(H1433="İade",-G1433,E1433-I1433-F1433-G1433)))</f>
        <v/>
      </c>
    </row>
    <row r="1434" customFormat="false" ht="15" hidden="false" customHeight="false" outlineLevel="0" collapsed="false">
      <c r="A1434" s="12"/>
      <c r="B1434" s="13"/>
      <c r="C1434" s="14"/>
      <c r="D1434" s="13"/>
      <c r="E1434" s="15"/>
      <c r="F1434" s="15"/>
      <c r="G1434" s="15"/>
      <c r="H1434" s="14"/>
      <c r="I1434" s="16" t="str">
        <f aca="false">IF(OR(A1434="",C1434=""),"",IF(OR(H1434="İade",H1434="İptal"),0,E1434*IFERROR(INDEX(Kanallar!$B$5:$B$19,MATCH(C1434,Kanallar!$A$5:$A$19,0)),0)))</f>
        <v/>
      </c>
      <c r="J1434" s="16" t="str">
        <f aca="false">IF(I1434="","",IF(H1434="İptal",0,IF(H1434="İade",-G1434,E1434-I1434-F1434-G1434)))</f>
        <v/>
      </c>
    </row>
    <row r="1435" customFormat="false" ht="15" hidden="false" customHeight="false" outlineLevel="0" collapsed="false">
      <c r="A1435" s="12"/>
      <c r="B1435" s="13"/>
      <c r="C1435" s="14"/>
      <c r="D1435" s="13"/>
      <c r="E1435" s="15"/>
      <c r="F1435" s="15"/>
      <c r="G1435" s="15"/>
      <c r="H1435" s="14"/>
      <c r="I1435" s="16" t="str">
        <f aca="false">IF(OR(A1435="",C1435=""),"",IF(OR(H1435="İade",H1435="İptal"),0,E1435*IFERROR(INDEX(Kanallar!$B$5:$B$19,MATCH(C1435,Kanallar!$A$5:$A$19,0)),0)))</f>
        <v/>
      </c>
      <c r="J1435" s="16" t="str">
        <f aca="false">IF(I1435="","",IF(H1435="İptal",0,IF(H1435="İade",-G1435,E1435-I1435-F1435-G1435)))</f>
        <v/>
      </c>
    </row>
    <row r="1436" customFormat="false" ht="15" hidden="false" customHeight="false" outlineLevel="0" collapsed="false">
      <c r="A1436" s="12"/>
      <c r="B1436" s="13"/>
      <c r="C1436" s="14"/>
      <c r="D1436" s="13"/>
      <c r="E1436" s="15"/>
      <c r="F1436" s="15"/>
      <c r="G1436" s="15"/>
      <c r="H1436" s="14"/>
      <c r="I1436" s="16" t="str">
        <f aca="false">IF(OR(A1436="",C1436=""),"",IF(OR(H1436="İade",H1436="İptal"),0,E1436*IFERROR(INDEX(Kanallar!$B$5:$B$19,MATCH(C1436,Kanallar!$A$5:$A$19,0)),0)))</f>
        <v/>
      </c>
      <c r="J1436" s="16" t="str">
        <f aca="false">IF(I1436="","",IF(H1436="İptal",0,IF(H1436="İade",-G1436,E1436-I1436-F1436-G1436)))</f>
        <v/>
      </c>
    </row>
    <row r="1437" customFormat="false" ht="15" hidden="false" customHeight="false" outlineLevel="0" collapsed="false">
      <c r="A1437" s="12"/>
      <c r="B1437" s="13"/>
      <c r="C1437" s="14"/>
      <c r="D1437" s="13"/>
      <c r="E1437" s="15"/>
      <c r="F1437" s="15"/>
      <c r="G1437" s="15"/>
      <c r="H1437" s="14"/>
      <c r="I1437" s="16" t="str">
        <f aca="false">IF(OR(A1437="",C1437=""),"",IF(OR(H1437="İade",H1437="İptal"),0,E1437*IFERROR(INDEX(Kanallar!$B$5:$B$19,MATCH(C1437,Kanallar!$A$5:$A$19,0)),0)))</f>
        <v/>
      </c>
      <c r="J1437" s="16" t="str">
        <f aca="false">IF(I1437="","",IF(H1437="İptal",0,IF(H1437="İade",-G1437,E1437-I1437-F1437-G1437)))</f>
        <v/>
      </c>
    </row>
    <row r="1438" customFormat="false" ht="15" hidden="false" customHeight="false" outlineLevel="0" collapsed="false">
      <c r="A1438" s="12"/>
      <c r="B1438" s="13"/>
      <c r="C1438" s="14"/>
      <c r="D1438" s="13"/>
      <c r="E1438" s="15"/>
      <c r="F1438" s="15"/>
      <c r="G1438" s="15"/>
      <c r="H1438" s="14"/>
      <c r="I1438" s="16" t="str">
        <f aca="false">IF(OR(A1438="",C1438=""),"",IF(OR(H1438="İade",H1438="İptal"),0,E1438*IFERROR(INDEX(Kanallar!$B$5:$B$19,MATCH(C1438,Kanallar!$A$5:$A$19,0)),0)))</f>
        <v/>
      </c>
      <c r="J1438" s="16" t="str">
        <f aca="false">IF(I1438="","",IF(H1438="İptal",0,IF(H1438="İade",-G1438,E1438-I1438-F1438-G1438)))</f>
        <v/>
      </c>
    </row>
    <row r="1439" customFormat="false" ht="15" hidden="false" customHeight="false" outlineLevel="0" collapsed="false">
      <c r="A1439" s="12"/>
      <c r="B1439" s="13"/>
      <c r="C1439" s="14"/>
      <c r="D1439" s="13"/>
      <c r="E1439" s="15"/>
      <c r="F1439" s="15"/>
      <c r="G1439" s="15"/>
      <c r="H1439" s="14"/>
      <c r="I1439" s="16" t="str">
        <f aca="false">IF(OR(A1439="",C1439=""),"",IF(OR(H1439="İade",H1439="İptal"),0,E1439*IFERROR(INDEX(Kanallar!$B$5:$B$19,MATCH(C1439,Kanallar!$A$5:$A$19,0)),0)))</f>
        <v/>
      </c>
      <c r="J1439" s="16" t="str">
        <f aca="false">IF(I1439="","",IF(H1439="İptal",0,IF(H1439="İade",-G1439,E1439-I1439-F1439-G1439)))</f>
        <v/>
      </c>
    </row>
    <row r="1440" customFormat="false" ht="15" hidden="false" customHeight="false" outlineLevel="0" collapsed="false">
      <c r="A1440" s="12"/>
      <c r="B1440" s="13"/>
      <c r="C1440" s="14"/>
      <c r="D1440" s="13"/>
      <c r="E1440" s="15"/>
      <c r="F1440" s="15"/>
      <c r="G1440" s="15"/>
      <c r="H1440" s="14"/>
      <c r="I1440" s="16" t="str">
        <f aca="false">IF(OR(A1440="",C1440=""),"",IF(OR(H1440="İade",H1440="İptal"),0,E1440*IFERROR(INDEX(Kanallar!$B$5:$B$19,MATCH(C1440,Kanallar!$A$5:$A$19,0)),0)))</f>
        <v/>
      </c>
      <c r="J1440" s="16" t="str">
        <f aca="false">IF(I1440="","",IF(H1440="İptal",0,IF(H1440="İade",-G1440,E1440-I1440-F1440-G1440)))</f>
        <v/>
      </c>
    </row>
    <row r="1441" customFormat="false" ht="15" hidden="false" customHeight="false" outlineLevel="0" collapsed="false">
      <c r="A1441" s="12"/>
      <c r="B1441" s="13"/>
      <c r="C1441" s="14"/>
      <c r="D1441" s="13"/>
      <c r="E1441" s="15"/>
      <c r="F1441" s="15"/>
      <c r="G1441" s="15"/>
      <c r="H1441" s="14"/>
      <c r="I1441" s="16" t="str">
        <f aca="false">IF(OR(A1441="",C1441=""),"",IF(OR(H1441="İade",H1441="İptal"),0,E1441*IFERROR(INDEX(Kanallar!$B$5:$B$19,MATCH(C1441,Kanallar!$A$5:$A$19,0)),0)))</f>
        <v/>
      </c>
      <c r="J1441" s="16" t="str">
        <f aca="false">IF(I1441="","",IF(H1441="İptal",0,IF(H1441="İade",-G1441,E1441-I1441-F1441-G1441)))</f>
        <v/>
      </c>
    </row>
    <row r="1442" customFormat="false" ht="15" hidden="false" customHeight="false" outlineLevel="0" collapsed="false">
      <c r="A1442" s="12"/>
      <c r="B1442" s="13"/>
      <c r="C1442" s="14"/>
      <c r="D1442" s="13"/>
      <c r="E1442" s="15"/>
      <c r="F1442" s="15"/>
      <c r="G1442" s="15"/>
      <c r="H1442" s="14"/>
      <c r="I1442" s="16" t="str">
        <f aca="false">IF(OR(A1442="",C1442=""),"",IF(OR(H1442="İade",H1442="İptal"),0,E1442*IFERROR(INDEX(Kanallar!$B$5:$B$19,MATCH(C1442,Kanallar!$A$5:$A$19,0)),0)))</f>
        <v/>
      </c>
      <c r="J1442" s="16" t="str">
        <f aca="false">IF(I1442="","",IF(H1442="İptal",0,IF(H1442="İade",-G1442,E1442-I1442-F1442-G1442)))</f>
        <v/>
      </c>
    </row>
    <row r="1443" customFormat="false" ht="15" hidden="false" customHeight="false" outlineLevel="0" collapsed="false">
      <c r="A1443" s="12"/>
      <c r="B1443" s="13"/>
      <c r="C1443" s="14"/>
      <c r="D1443" s="13"/>
      <c r="E1443" s="15"/>
      <c r="F1443" s="15"/>
      <c r="G1443" s="15"/>
      <c r="H1443" s="14"/>
      <c r="I1443" s="16" t="str">
        <f aca="false">IF(OR(A1443="",C1443=""),"",IF(OR(H1443="İade",H1443="İptal"),0,E1443*IFERROR(INDEX(Kanallar!$B$5:$B$19,MATCH(C1443,Kanallar!$A$5:$A$19,0)),0)))</f>
        <v/>
      </c>
      <c r="J1443" s="16" t="str">
        <f aca="false">IF(I1443="","",IF(H1443="İptal",0,IF(H1443="İade",-G1443,E1443-I1443-F1443-G1443)))</f>
        <v/>
      </c>
    </row>
    <row r="1444" customFormat="false" ht="15" hidden="false" customHeight="false" outlineLevel="0" collapsed="false">
      <c r="A1444" s="12"/>
      <c r="B1444" s="13"/>
      <c r="C1444" s="14"/>
      <c r="D1444" s="13"/>
      <c r="E1444" s="15"/>
      <c r="F1444" s="15"/>
      <c r="G1444" s="15"/>
      <c r="H1444" s="14"/>
      <c r="I1444" s="16" t="str">
        <f aca="false">IF(OR(A1444="",C1444=""),"",IF(OR(H1444="İade",H1444="İptal"),0,E1444*IFERROR(INDEX(Kanallar!$B$5:$B$19,MATCH(C1444,Kanallar!$A$5:$A$19,0)),0)))</f>
        <v/>
      </c>
      <c r="J1444" s="16" t="str">
        <f aca="false">IF(I1444="","",IF(H1444="İptal",0,IF(H1444="İade",-G1444,E1444-I1444-F1444-G1444)))</f>
        <v/>
      </c>
    </row>
    <row r="1445" customFormat="false" ht="15" hidden="false" customHeight="false" outlineLevel="0" collapsed="false">
      <c r="A1445" s="12"/>
      <c r="B1445" s="13"/>
      <c r="C1445" s="14"/>
      <c r="D1445" s="13"/>
      <c r="E1445" s="15"/>
      <c r="F1445" s="15"/>
      <c r="G1445" s="15"/>
      <c r="H1445" s="14"/>
      <c r="I1445" s="16" t="str">
        <f aca="false">IF(OR(A1445="",C1445=""),"",IF(OR(H1445="İade",H1445="İptal"),0,E1445*IFERROR(INDEX(Kanallar!$B$5:$B$19,MATCH(C1445,Kanallar!$A$5:$A$19,0)),0)))</f>
        <v/>
      </c>
      <c r="J1445" s="16" t="str">
        <f aca="false">IF(I1445="","",IF(H1445="İptal",0,IF(H1445="İade",-G1445,E1445-I1445-F1445-G1445)))</f>
        <v/>
      </c>
    </row>
    <row r="1446" customFormat="false" ht="15" hidden="false" customHeight="false" outlineLevel="0" collapsed="false">
      <c r="A1446" s="12"/>
      <c r="B1446" s="13"/>
      <c r="C1446" s="14"/>
      <c r="D1446" s="13"/>
      <c r="E1446" s="15"/>
      <c r="F1446" s="15"/>
      <c r="G1446" s="15"/>
      <c r="H1446" s="14"/>
      <c r="I1446" s="16" t="str">
        <f aca="false">IF(OR(A1446="",C1446=""),"",IF(OR(H1446="İade",H1446="İptal"),0,E1446*IFERROR(INDEX(Kanallar!$B$5:$B$19,MATCH(C1446,Kanallar!$A$5:$A$19,0)),0)))</f>
        <v/>
      </c>
      <c r="J1446" s="16" t="str">
        <f aca="false">IF(I1446="","",IF(H1446="İptal",0,IF(H1446="İade",-G1446,E1446-I1446-F1446-G1446)))</f>
        <v/>
      </c>
    </row>
    <row r="1447" customFormat="false" ht="15" hidden="false" customHeight="false" outlineLevel="0" collapsed="false">
      <c r="A1447" s="12"/>
      <c r="B1447" s="13"/>
      <c r="C1447" s="14"/>
      <c r="D1447" s="13"/>
      <c r="E1447" s="15"/>
      <c r="F1447" s="15"/>
      <c r="G1447" s="15"/>
      <c r="H1447" s="14"/>
      <c r="I1447" s="16" t="str">
        <f aca="false">IF(OR(A1447="",C1447=""),"",IF(OR(H1447="İade",H1447="İptal"),0,E1447*IFERROR(INDEX(Kanallar!$B$5:$B$19,MATCH(C1447,Kanallar!$A$5:$A$19,0)),0)))</f>
        <v/>
      </c>
      <c r="J1447" s="16" t="str">
        <f aca="false">IF(I1447="","",IF(H1447="İptal",0,IF(H1447="İade",-G1447,E1447-I1447-F1447-G1447)))</f>
        <v/>
      </c>
    </row>
    <row r="1448" customFormat="false" ht="15" hidden="false" customHeight="false" outlineLevel="0" collapsed="false">
      <c r="A1448" s="12"/>
      <c r="B1448" s="13"/>
      <c r="C1448" s="14"/>
      <c r="D1448" s="13"/>
      <c r="E1448" s="15"/>
      <c r="F1448" s="15"/>
      <c r="G1448" s="15"/>
      <c r="H1448" s="14"/>
      <c r="I1448" s="16" t="str">
        <f aca="false">IF(OR(A1448="",C1448=""),"",IF(OR(H1448="İade",H1448="İptal"),0,E1448*IFERROR(INDEX(Kanallar!$B$5:$B$19,MATCH(C1448,Kanallar!$A$5:$A$19,0)),0)))</f>
        <v/>
      </c>
      <c r="J1448" s="16" t="str">
        <f aca="false">IF(I1448="","",IF(H1448="İptal",0,IF(H1448="İade",-G1448,E1448-I1448-F1448-G1448)))</f>
        <v/>
      </c>
    </row>
    <row r="1449" customFormat="false" ht="15" hidden="false" customHeight="false" outlineLevel="0" collapsed="false">
      <c r="A1449" s="12"/>
      <c r="B1449" s="13"/>
      <c r="C1449" s="14"/>
      <c r="D1449" s="13"/>
      <c r="E1449" s="15"/>
      <c r="F1449" s="15"/>
      <c r="G1449" s="15"/>
      <c r="H1449" s="14"/>
      <c r="I1449" s="16" t="str">
        <f aca="false">IF(OR(A1449="",C1449=""),"",IF(OR(H1449="İade",H1449="İptal"),0,E1449*IFERROR(INDEX(Kanallar!$B$5:$B$19,MATCH(C1449,Kanallar!$A$5:$A$19,0)),0)))</f>
        <v/>
      </c>
      <c r="J1449" s="16" t="str">
        <f aca="false">IF(I1449="","",IF(H1449="İptal",0,IF(H1449="İade",-G1449,E1449-I1449-F1449-G1449)))</f>
        <v/>
      </c>
    </row>
    <row r="1450" customFormat="false" ht="15" hidden="false" customHeight="false" outlineLevel="0" collapsed="false">
      <c r="A1450" s="12"/>
      <c r="B1450" s="13"/>
      <c r="C1450" s="14"/>
      <c r="D1450" s="13"/>
      <c r="E1450" s="15"/>
      <c r="F1450" s="15"/>
      <c r="G1450" s="15"/>
      <c r="H1450" s="14"/>
      <c r="I1450" s="16" t="str">
        <f aca="false">IF(OR(A1450="",C1450=""),"",IF(OR(H1450="İade",H1450="İptal"),0,E1450*IFERROR(INDEX(Kanallar!$B$5:$B$19,MATCH(C1450,Kanallar!$A$5:$A$19,0)),0)))</f>
        <v/>
      </c>
      <c r="J1450" s="16" t="str">
        <f aca="false">IF(I1450="","",IF(H1450="İptal",0,IF(H1450="İade",-G1450,E1450-I1450-F1450-G1450)))</f>
        <v/>
      </c>
    </row>
    <row r="1451" customFormat="false" ht="15" hidden="false" customHeight="false" outlineLevel="0" collapsed="false">
      <c r="A1451" s="12"/>
      <c r="B1451" s="13"/>
      <c r="C1451" s="14"/>
      <c r="D1451" s="13"/>
      <c r="E1451" s="15"/>
      <c r="F1451" s="15"/>
      <c r="G1451" s="15"/>
      <c r="H1451" s="14"/>
      <c r="I1451" s="16" t="str">
        <f aca="false">IF(OR(A1451="",C1451=""),"",IF(OR(H1451="İade",H1451="İptal"),0,E1451*IFERROR(INDEX(Kanallar!$B$5:$B$19,MATCH(C1451,Kanallar!$A$5:$A$19,0)),0)))</f>
        <v/>
      </c>
      <c r="J1451" s="16" t="str">
        <f aca="false">IF(I1451="","",IF(H1451="İptal",0,IF(H1451="İade",-G1451,E1451-I1451-F1451-G1451)))</f>
        <v/>
      </c>
    </row>
    <row r="1452" customFormat="false" ht="15" hidden="false" customHeight="false" outlineLevel="0" collapsed="false">
      <c r="A1452" s="12"/>
      <c r="B1452" s="13"/>
      <c r="C1452" s="14"/>
      <c r="D1452" s="13"/>
      <c r="E1452" s="15"/>
      <c r="F1452" s="15"/>
      <c r="G1452" s="15"/>
      <c r="H1452" s="14"/>
      <c r="I1452" s="16" t="str">
        <f aca="false">IF(OR(A1452="",C1452=""),"",IF(OR(H1452="İade",H1452="İptal"),0,E1452*IFERROR(INDEX(Kanallar!$B$5:$B$19,MATCH(C1452,Kanallar!$A$5:$A$19,0)),0)))</f>
        <v/>
      </c>
      <c r="J1452" s="16" t="str">
        <f aca="false">IF(I1452="","",IF(H1452="İptal",0,IF(H1452="İade",-G1452,E1452-I1452-F1452-G1452)))</f>
        <v/>
      </c>
    </row>
    <row r="1453" customFormat="false" ht="15" hidden="false" customHeight="false" outlineLevel="0" collapsed="false">
      <c r="A1453" s="12"/>
      <c r="B1453" s="13"/>
      <c r="C1453" s="14"/>
      <c r="D1453" s="13"/>
      <c r="E1453" s="15"/>
      <c r="F1453" s="15"/>
      <c r="G1453" s="15"/>
      <c r="H1453" s="14"/>
      <c r="I1453" s="16" t="str">
        <f aca="false">IF(OR(A1453="",C1453=""),"",IF(OR(H1453="İade",H1453="İptal"),0,E1453*IFERROR(INDEX(Kanallar!$B$5:$B$19,MATCH(C1453,Kanallar!$A$5:$A$19,0)),0)))</f>
        <v/>
      </c>
      <c r="J1453" s="16" t="str">
        <f aca="false">IF(I1453="","",IF(H1453="İptal",0,IF(H1453="İade",-G1453,E1453-I1453-F1453-G1453)))</f>
        <v/>
      </c>
    </row>
    <row r="1454" customFormat="false" ht="15" hidden="false" customHeight="false" outlineLevel="0" collapsed="false">
      <c r="A1454" s="12"/>
      <c r="B1454" s="13"/>
      <c r="C1454" s="14"/>
      <c r="D1454" s="13"/>
      <c r="E1454" s="15"/>
      <c r="F1454" s="15"/>
      <c r="G1454" s="15"/>
      <c r="H1454" s="14"/>
      <c r="I1454" s="16" t="str">
        <f aca="false">IF(OR(A1454="",C1454=""),"",IF(OR(H1454="İade",H1454="İptal"),0,E1454*IFERROR(INDEX(Kanallar!$B$5:$B$19,MATCH(C1454,Kanallar!$A$5:$A$19,0)),0)))</f>
        <v/>
      </c>
      <c r="J1454" s="16" t="str">
        <f aca="false">IF(I1454="","",IF(H1454="İptal",0,IF(H1454="İade",-G1454,E1454-I1454-F1454-G1454)))</f>
        <v/>
      </c>
    </row>
    <row r="1455" customFormat="false" ht="15" hidden="false" customHeight="false" outlineLevel="0" collapsed="false">
      <c r="A1455" s="12"/>
      <c r="B1455" s="13"/>
      <c r="C1455" s="14"/>
      <c r="D1455" s="13"/>
      <c r="E1455" s="15"/>
      <c r="F1455" s="15"/>
      <c r="G1455" s="15"/>
      <c r="H1455" s="14"/>
      <c r="I1455" s="16" t="str">
        <f aca="false">IF(OR(A1455="",C1455=""),"",IF(OR(H1455="İade",H1455="İptal"),0,E1455*IFERROR(INDEX(Kanallar!$B$5:$B$19,MATCH(C1455,Kanallar!$A$5:$A$19,0)),0)))</f>
        <v/>
      </c>
      <c r="J1455" s="16" t="str">
        <f aca="false">IF(I1455="","",IF(H1455="İptal",0,IF(H1455="İade",-G1455,E1455-I1455-F1455-G1455)))</f>
        <v/>
      </c>
    </row>
    <row r="1456" customFormat="false" ht="15" hidden="false" customHeight="false" outlineLevel="0" collapsed="false">
      <c r="A1456" s="12"/>
      <c r="B1456" s="13"/>
      <c r="C1456" s="14"/>
      <c r="D1456" s="13"/>
      <c r="E1456" s="15"/>
      <c r="F1456" s="15"/>
      <c r="G1456" s="15"/>
      <c r="H1456" s="14"/>
      <c r="I1456" s="16" t="str">
        <f aca="false">IF(OR(A1456="",C1456=""),"",IF(OR(H1456="İade",H1456="İptal"),0,E1456*IFERROR(INDEX(Kanallar!$B$5:$B$19,MATCH(C1456,Kanallar!$A$5:$A$19,0)),0)))</f>
        <v/>
      </c>
      <c r="J1456" s="16" t="str">
        <f aca="false">IF(I1456="","",IF(H1456="İptal",0,IF(H1456="İade",-G1456,E1456-I1456-F1456-G1456)))</f>
        <v/>
      </c>
    </row>
    <row r="1457" customFormat="false" ht="15" hidden="false" customHeight="false" outlineLevel="0" collapsed="false">
      <c r="A1457" s="12"/>
      <c r="B1457" s="13"/>
      <c r="C1457" s="14"/>
      <c r="D1457" s="13"/>
      <c r="E1457" s="15"/>
      <c r="F1457" s="15"/>
      <c r="G1457" s="15"/>
      <c r="H1457" s="14"/>
      <c r="I1457" s="16" t="str">
        <f aca="false">IF(OR(A1457="",C1457=""),"",IF(OR(H1457="İade",H1457="İptal"),0,E1457*IFERROR(INDEX(Kanallar!$B$5:$B$19,MATCH(C1457,Kanallar!$A$5:$A$19,0)),0)))</f>
        <v/>
      </c>
      <c r="J1457" s="16" t="str">
        <f aca="false">IF(I1457="","",IF(H1457="İptal",0,IF(H1457="İade",-G1457,E1457-I1457-F1457-G1457)))</f>
        <v/>
      </c>
    </row>
    <row r="1458" customFormat="false" ht="15" hidden="false" customHeight="false" outlineLevel="0" collapsed="false">
      <c r="A1458" s="12"/>
      <c r="B1458" s="13"/>
      <c r="C1458" s="14"/>
      <c r="D1458" s="13"/>
      <c r="E1458" s="15"/>
      <c r="F1458" s="15"/>
      <c r="G1458" s="15"/>
      <c r="H1458" s="14"/>
      <c r="I1458" s="16" t="str">
        <f aca="false">IF(OR(A1458="",C1458=""),"",IF(OR(H1458="İade",H1458="İptal"),0,E1458*IFERROR(INDEX(Kanallar!$B$5:$B$19,MATCH(C1458,Kanallar!$A$5:$A$19,0)),0)))</f>
        <v/>
      </c>
      <c r="J1458" s="16" t="str">
        <f aca="false">IF(I1458="","",IF(H1458="İptal",0,IF(H1458="İade",-G1458,E1458-I1458-F1458-G1458)))</f>
        <v/>
      </c>
    </row>
    <row r="1459" customFormat="false" ht="15" hidden="false" customHeight="false" outlineLevel="0" collapsed="false">
      <c r="A1459" s="12"/>
      <c r="B1459" s="13"/>
      <c r="C1459" s="14"/>
      <c r="D1459" s="13"/>
      <c r="E1459" s="15"/>
      <c r="F1459" s="15"/>
      <c r="G1459" s="15"/>
      <c r="H1459" s="14"/>
      <c r="I1459" s="16" t="str">
        <f aca="false">IF(OR(A1459="",C1459=""),"",IF(OR(H1459="İade",H1459="İptal"),0,E1459*IFERROR(INDEX(Kanallar!$B$5:$B$19,MATCH(C1459,Kanallar!$A$5:$A$19,0)),0)))</f>
        <v/>
      </c>
      <c r="J1459" s="16" t="str">
        <f aca="false">IF(I1459="","",IF(H1459="İptal",0,IF(H1459="İade",-G1459,E1459-I1459-F1459-G1459)))</f>
        <v/>
      </c>
    </row>
    <row r="1460" customFormat="false" ht="15" hidden="false" customHeight="false" outlineLevel="0" collapsed="false">
      <c r="A1460" s="12"/>
      <c r="B1460" s="13"/>
      <c r="C1460" s="14"/>
      <c r="D1460" s="13"/>
      <c r="E1460" s="15"/>
      <c r="F1460" s="15"/>
      <c r="G1460" s="15"/>
      <c r="H1460" s="14"/>
      <c r="I1460" s="16" t="str">
        <f aca="false">IF(OR(A1460="",C1460=""),"",IF(OR(H1460="İade",H1460="İptal"),0,E1460*IFERROR(INDEX(Kanallar!$B$5:$B$19,MATCH(C1460,Kanallar!$A$5:$A$19,0)),0)))</f>
        <v/>
      </c>
      <c r="J1460" s="16" t="str">
        <f aca="false">IF(I1460="","",IF(H1460="İptal",0,IF(H1460="İade",-G1460,E1460-I1460-F1460-G1460)))</f>
        <v/>
      </c>
    </row>
    <row r="1461" customFormat="false" ht="15" hidden="false" customHeight="false" outlineLevel="0" collapsed="false">
      <c r="A1461" s="12"/>
      <c r="B1461" s="13"/>
      <c r="C1461" s="14"/>
      <c r="D1461" s="13"/>
      <c r="E1461" s="15"/>
      <c r="F1461" s="15"/>
      <c r="G1461" s="15"/>
      <c r="H1461" s="14"/>
      <c r="I1461" s="16" t="str">
        <f aca="false">IF(OR(A1461="",C1461=""),"",IF(OR(H1461="İade",H1461="İptal"),0,E1461*IFERROR(INDEX(Kanallar!$B$5:$B$19,MATCH(C1461,Kanallar!$A$5:$A$19,0)),0)))</f>
        <v/>
      </c>
      <c r="J1461" s="16" t="str">
        <f aca="false">IF(I1461="","",IF(H1461="İptal",0,IF(H1461="İade",-G1461,E1461-I1461-F1461-G1461)))</f>
        <v/>
      </c>
    </row>
    <row r="1462" customFormat="false" ht="15" hidden="false" customHeight="false" outlineLevel="0" collapsed="false">
      <c r="A1462" s="12"/>
      <c r="B1462" s="13"/>
      <c r="C1462" s="14"/>
      <c r="D1462" s="13"/>
      <c r="E1462" s="15"/>
      <c r="F1462" s="15"/>
      <c r="G1462" s="15"/>
      <c r="H1462" s="14"/>
      <c r="I1462" s="16" t="str">
        <f aca="false">IF(OR(A1462="",C1462=""),"",IF(OR(H1462="İade",H1462="İptal"),0,E1462*IFERROR(INDEX(Kanallar!$B$5:$B$19,MATCH(C1462,Kanallar!$A$5:$A$19,0)),0)))</f>
        <v/>
      </c>
      <c r="J1462" s="16" t="str">
        <f aca="false">IF(I1462="","",IF(H1462="İptal",0,IF(H1462="İade",-G1462,E1462-I1462-F1462-G1462)))</f>
        <v/>
      </c>
    </row>
    <row r="1463" customFormat="false" ht="15" hidden="false" customHeight="false" outlineLevel="0" collapsed="false">
      <c r="A1463" s="12"/>
      <c r="B1463" s="13"/>
      <c r="C1463" s="14"/>
      <c r="D1463" s="13"/>
      <c r="E1463" s="15"/>
      <c r="F1463" s="15"/>
      <c r="G1463" s="15"/>
      <c r="H1463" s="14"/>
      <c r="I1463" s="16" t="str">
        <f aca="false">IF(OR(A1463="",C1463=""),"",IF(OR(H1463="İade",H1463="İptal"),0,E1463*IFERROR(INDEX(Kanallar!$B$5:$B$19,MATCH(C1463,Kanallar!$A$5:$A$19,0)),0)))</f>
        <v/>
      </c>
      <c r="J1463" s="16" t="str">
        <f aca="false">IF(I1463="","",IF(H1463="İptal",0,IF(H1463="İade",-G1463,E1463-I1463-F1463-G1463)))</f>
        <v/>
      </c>
    </row>
    <row r="1464" customFormat="false" ht="15" hidden="false" customHeight="false" outlineLevel="0" collapsed="false">
      <c r="A1464" s="12"/>
      <c r="B1464" s="13"/>
      <c r="C1464" s="14"/>
      <c r="D1464" s="13"/>
      <c r="E1464" s="15"/>
      <c r="F1464" s="15"/>
      <c r="G1464" s="15"/>
      <c r="H1464" s="14"/>
      <c r="I1464" s="16" t="str">
        <f aca="false">IF(OR(A1464="",C1464=""),"",IF(OR(H1464="İade",H1464="İptal"),0,E1464*IFERROR(INDEX(Kanallar!$B$5:$B$19,MATCH(C1464,Kanallar!$A$5:$A$19,0)),0)))</f>
        <v/>
      </c>
      <c r="J1464" s="16" t="str">
        <f aca="false">IF(I1464="","",IF(H1464="İptal",0,IF(H1464="İade",-G1464,E1464-I1464-F1464-G1464)))</f>
        <v/>
      </c>
    </row>
    <row r="1465" customFormat="false" ht="15" hidden="false" customHeight="false" outlineLevel="0" collapsed="false">
      <c r="A1465" s="12"/>
      <c r="B1465" s="13"/>
      <c r="C1465" s="14"/>
      <c r="D1465" s="13"/>
      <c r="E1465" s="15"/>
      <c r="F1465" s="15"/>
      <c r="G1465" s="15"/>
      <c r="H1465" s="14"/>
      <c r="I1465" s="16" t="str">
        <f aca="false">IF(OR(A1465="",C1465=""),"",IF(OR(H1465="İade",H1465="İptal"),0,E1465*IFERROR(INDEX(Kanallar!$B$5:$B$19,MATCH(C1465,Kanallar!$A$5:$A$19,0)),0)))</f>
        <v/>
      </c>
      <c r="J1465" s="16" t="str">
        <f aca="false">IF(I1465="","",IF(H1465="İptal",0,IF(H1465="İade",-G1465,E1465-I1465-F1465-G1465)))</f>
        <v/>
      </c>
    </row>
    <row r="1466" customFormat="false" ht="15" hidden="false" customHeight="false" outlineLevel="0" collapsed="false">
      <c r="A1466" s="12"/>
      <c r="B1466" s="13"/>
      <c r="C1466" s="14"/>
      <c r="D1466" s="13"/>
      <c r="E1466" s="15"/>
      <c r="F1466" s="15"/>
      <c r="G1466" s="15"/>
      <c r="H1466" s="14"/>
      <c r="I1466" s="16" t="str">
        <f aca="false">IF(OR(A1466="",C1466=""),"",IF(OR(H1466="İade",H1466="İptal"),0,E1466*IFERROR(INDEX(Kanallar!$B$5:$B$19,MATCH(C1466,Kanallar!$A$5:$A$19,0)),0)))</f>
        <v/>
      </c>
      <c r="J1466" s="16" t="str">
        <f aca="false">IF(I1466="","",IF(H1466="İptal",0,IF(H1466="İade",-G1466,E1466-I1466-F1466-G1466)))</f>
        <v/>
      </c>
    </row>
    <row r="1467" customFormat="false" ht="15" hidden="false" customHeight="false" outlineLevel="0" collapsed="false">
      <c r="A1467" s="12"/>
      <c r="B1467" s="13"/>
      <c r="C1467" s="14"/>
      <c r="D1467" s="13"/>
      <c r="E1467" s="15"/>
      <c r="F1467" s="15"/>
      <c r="G1467" s="15"/>
      <c r="H1467" s="14"/>
      <c r="I1467" s="16" t="str">
        <f aca="false">IF(OR(A1467="",C1467=""),"",IF(OR(H1467="İade",H1467="İptal"),0,E1467*IFERROR(INDEX(Kanallar!$B$5:$B$19,MATCH(C1467,Kanallar!$A$5:$A$19,0)),0)))</f>
        <v/>
      </c>
      <c r="J1467" s="16" t="str">
        <f aca="false">IF(I1467="","",IF(H1467="İptal",0,IF(H1467="İade",-G1467,E1467-I1467-F1467-G1467)))</f>
        <v/>
      </c>
    </row>
    <row r="1468" customFormat="false" ht="15" hidden="false" customHeight="false" outlineLevel="0" collapsed="false">
      <c r="A1468" s="12"/>
      <c r="B1468" s="13"/>
      <c r="C1468" s="14"/>
      <c r="D1468" s="13"/>
      <c r="E1468" s="15"/>
      <c r="F1468" s="15"/>
      <c r="G1468" s="15"/>
      <c r="H1468" s="14"/>
      <c r="I1468" s="16" t="str">
        <f aca="false">IF(OR(A1468="",C1468=""),"",IF(OR(H1468="İade",H1468="İptal"),0,E1468*IFERROR(INDEX(Kanallar!$B$5:$B$19,MATCH(C1468,Kanallar!$A$5:$A$19,0)),0)))</f>
        <v/>
      </c>
      <c r="J1468" s="16" t="str">
        <f aca="false">IF(I1468="","",IF(H1468="İptal",0,IF(H1468="İade",-G1468,E1468-I1468-F1468-G1468)))</f>
        <v/>
      </c>
    </row>
    <row r="1469" customFormat="false" ht="15" hidden="false" customHeight="false" outlineLevel="0" collapsed="false">
      <c r="A1469" s="12"/>
      <c r="B1469" s="13"/>
      <c r="C1469" s="14"/>
      <c r="D1469" s="13"/>
      <c r="E1469" s="15"/>
      <c r="F1469" s="15"/>
      <c r="G1469" s="15"/>
      <c r="H1469" s="14"/>
      <c r="I1469" s="16" t="str">
        <f aca="false">IF(OR(A1469="",C1469=""),"",IF(OR(H1469="İade",H1469="İptal"),0,E1469*IFERROR(INDEX(Kanallar!$B$5:$B$19,MATCH(C1469,Kanallar!$A$5:$A$19,0)),0)))</f>
        <v/>
      </c>
      <c r="J1469" s="16" t="str">
        <f aca="false">IF(I1469="","",IF(H1469="İptal",0,IF(H1469="İade",-G1469,E1469-I1469-F1469-G1469)))</f>
        <v/>
      </c>
    </row>
    <row r="1470" customFormat="false" ht="15" hidden="false" customHeight="false" outlineLevel="0" collapsed="false">
      <c r="A1470" s="12"/>
      <c r="B1470" s="13"/>
      <c r="C1470" s="14"/>
      <c r="D1470" s="13"/>
      <c r="E1470" s="15"/>
      <c r="F1470" s="15"/>
      <c r="G1470" s="15"/>
      <c r="H1470" s="14"/>
      <c r="I1470" s="16" t="str">
        <f aca="false">IF(OR(A1470="",C1470=""),"",IF(OR(H1470="İade",H1470="İptal"),0,E1470*IFERROR(INDEX(Kanallar!$B$5:$B$19,MATCH(C1470,Kanallar!$A$5:$A$19,0)),0)))</f>
        <v/>
      </c>
      <c r="J1470" s="16" t="str">
        <f aca="false">IF(I1470="","",IF(H1470="İptal",0,IF(H1470="İade",-G1470,E1470-I1470-F1470-G1470)))</f>
        <v/>
      </c>
    </row>
    <row r="1471" customFormat="false" ht="15" hidden="false" customHeight="false" outlineLevel="0" collapsed="false">
      <c r="A1471" s="12"/>
      <c r="B1471" s="13"/>
      <c r="C1471" s="14"/>
      <c r="D1471" s="13"/>
      <c r="E1471" s="15"/>
      <c r="F1471" s="15"/>
      <c r="G1471" s="15"/>
      <c r="H1471" s="14"/>
      <c r="I1471" s="16" t="str">
        <f aca="false">IF(OR(A1471="",C1471=""),"",IF(OR(H1471="İade",H1471="İptal"),0,E1471*IFERROR(INDEX(Kanallar!$B$5:$B$19,MATCH(C1471,Kanallar!$A$5:$A$19,0)),0)))</f>
        <v/>
      </c>
      <c r="J1471" s="16" t="str">
        <f aca="false">IF(I1471="","",IF(H1471="İptal",0,IF(H1471="İade",-G1471,E1471-I1471-F1471-G1471)))</f>
        <v/>
      </c>
    </row>
    <row r="1472" customFormat="false" ht="15" hidden="false" customHeight="false" outlineLevel="0" collapsed="false">
      <c r="A1472" s="12"/>
      <c r="B1472" s="13"/>
      <c r="C1472" s="14"/>
      <c r="D1472" s="13"/>
      <c r="E1472" s="15"/>
      <c r="F1472" s="15"/>
      <c r="G1472" s="15"/>
      <c r="H1472" s="14"/>
      <c r="I1472" s="16" t="str">
        <f aca="false">IF(OR(A1472="",C1472=""),"",IF(OR(H1472="İade",H1472="İptal"),0,E1472*IFERROR(INDEX(Kanallar!$B$5:$B$19,MATCH(C1472,Kanallar!$A$5:$A$19,0)),0)))</f>
        <v/>
      </c>
      <c r="J1472" s="16" t="str">
        <f aca="false">IF(I1472="","",IF(H1472="İptal",0,IF(H1472="İade",-G1472,E1472-I1472-F1472-G1472)))</f>
        <v/>
      </c>
    </row>
    <row r="1473" customFormat="false" ht="15" hidden="false" customHeight="false" outlineLevel="0" collapsed="false">
      <c r="A1473" s="12"/>
      <c r="B1473" s="13"/>
      <c r="C1473" s="14"/>
      <c r="D1473" s="13"/>
      <c r="E1473" s="15"/>
      <c r="F1473" s="15"/>
      <c r="G1473" s="15"/>
      <c r="H1473" s="14"/>
      <c r="I1473" s="16" t="str">
        <f aca="false">IF(OR(A1473="",C1473=""),"",IF(OR(H1473="İade",H1473="İptal"),0,E1473*IFERROR(INDEX(Kanallar!$B$5:$B$19,MATCH(C1473,Kanallar!$A$5:$A$19,0)),0)))</f>
        <v/>
      </c>
      <c r="J1473" s="16" t="str">
        <f aca="false">IF(I1473="","",IF(H1473="İptal",0,IF(H1473="İade",-G1473,E1473-I1473-F1473-G1473)))</f>
        <v/>
      </c>
    </row>
    <row r="1474" customFormat="false" ht="15" hidden="false" customHeight="false" outlineLevel="0" collapsed="false">
      <c r="A1474" s="12"/>
      <c r="B1474" s="13"/>
      <c r="C1474" s="14"/>
      <c r="D1474" s="13"/>
      <c r="E1474" s="15"/>
      <c r="F1474" s="15"/>
      <c r="G1474" s="15"/>
      <c r="H1474" s="14"/>
      <c r="I1474" s="16" t="str">
        <f aca="false">IF(OR(A1474="",C1474=""),"",IF(OR(H1474="İade",H1474="İptal"),0,E1474*IFERROR(INDEX(Kanallar!$B$5:$B$19,MATCH(C1474,Kanallar!$A$5:$A$19,0)),0)))</f>
        <v/>
      </c>
      <c r="J1474" s="16" t="str">
        <f aca="false">IF(I1474="","",IF(H1474="İptal",0,IF(H1474="İade",-G1474,E1474-I1474-F1474-G1474)))</f>
        <v/>
      </c>
    </row>
    <row r="1475" customFormat="false" ht="15" hidden="false" customHeight="false" outlineLevel="0" collapsed="false">
      <c r="A1475" s="12"/>
      <c r="B1475" s="13"/>
      <c r="C1475" s="14"/>
      <c r="D1475" s="13"/>
      <c r="E1475" s="15"/>
      <c r="F1475" s="15"/>
      <c r="G1475" s="15"/>
      <c r="H1475" s="14"/>
      <c r="I1475" s="16" t="str">
        <f aca="false">IF(OR(A1475="",C1475=""),"",IF(OR(H1475="İade",H1475="İptal"),0,E1475*IFERROR(INDEX(Kanallar!$B$5:$B$19,MATCH(C1475,Kanallar!$A$5:$A$19,0)),0)))</f>
        <v/>
      </c>
      <c r="J1475" s="16" t="str">
        <f aca="false">IF(I1475="","",IF(H1475="İptal",0,IF(H1475="İade",-G1475,E1475-I1475-F1475-G1475)))</f>
        <v/>
      </c>
    </row>
    <row r="1476" customFormat="false" ht="15" hidden="false" customHeight="false" outlineLevel="0" collapsed="false">
      <c r="A1476" s="12"/>
      <c r="B1476" s="13"/>
      <c r="C1476" s="14"/>
      <c r="D1476" s="13"/>
      <c r="E1476" s="15"/>
      <c r="F1476" s="15"/>
      <c r="G1476" s="15"/>
      <c r="H1476" s="14"/>
      <c r="I1476" s="16" t="str">
        <f aca="false">IF(OR(A1476="",C1476=""),"",IF(OR(H1476="İade",H1476="İptal"),0,E1476*IFERROR(INDEX(Kanallar!$B$5:$B$19,MATCH(C1476,Kanallar!$A$5:$A$19,0)),0)))</f>
        <v/>
      </c>
      <c r="J1476" s="16" t="str">
        <f aca="false">IF(I1476="","",IF(H1476="İptal",0,IF(H1476="İade",-G1476,E1476-I1476-F1476-G1476)))</f>
        <v/>
      </c>
    </row>
    <row r="1477" customFormat="false" ht="15" hidden="false" customHeight="false" outlineLevel="0" collapsed="false">
      <c r="A1477" s="12"/>
      <c r="B1477" s="13"/>
      <c r="C1477" s="14"/>
      <c r="D1477" s="13"/>
      <c r="E1477" s="15"/>
      <c r="F1477" s="15"/>
      <c r="G1477" s="15"/>
      <c r="H1477" s="14"/>
      <c r="I1477" s="16" t="str">
        <f aca="false">IF(OR(A1477="",C1477=""),"",IF(OR(H1477="İade",H1477="İptal"),0,E1477*IFERROR(INDEX(Kanallar!$B$5:$B$19,MATCH(C1477,Kanallar!$A$5:$A$19,0)),0)))</f>
        <v/>
      </c>
      <c r="J1477" s="16" t="str">
        <f aca="false">IF(I1477="","",IF(H1477="İptal",0,IF(H1477="İade",-G1477,E1477-I1477-F1477-G1477)))</f>
        <v/>
      </c>
    </row>
    <row r="1478" customFormat="false" ht="15" hidden="false" customHeight="false" outlineLevel="0" collapsed="false">
      <c r="A1478" s="12"/>
      <c r="B1478" s="13"/>
      <c r="C1478" s="14"/>
      <c r="D1478" s="13"/>
      <c r="E1478" s="15"/>
      <c r="F1478" s="15"/>
      <c r="G1478" s="15"/>
      <c r="H1478" s="14"/>
      <c r="I1478" s="16" t="str">
        <f aca="false">IF(OR(A1478="",C1478=""),"",IF(OR(H1478="İade",H1478="İptal"),0,E1478*IFERROR(INDEX(Kanallar!$B$5:$B$19,MATCH(C1478,Kanallar!$A$5:$A$19,0)),0)))</f>
        <v/>
      </c>
      <c r="J1478" s="16" t="str">
        <f aca="false">IF(I1478="","",IF(H1478="İptal",0,IF(H1478="İade",-G1478,E1478-I1478-F1478-G1478)))</f>
        <v/>
      </c>
    </row>
    <row r="1479" customFormat="false" ht="15" hidden="false" customHeight="false" outlineLevel="0" collapsed="false">
      <c r="A1479" s="12"/>
      <c r="B1479" s="13"/>
      <c r="C1479" s="14"/>
      <c r="D1479" s="13"/>
      <c r="E1479" s="15"/>
      <c r="F1479" s="15"/>
      <c r="G1479" s="15"/>
      <c r="H1479" s="14"/>
      <c r="I1479" s="16" t="str">
        <f aca="false">IF(OR(A1479="",C1479=""),"",IF(OR(H1479="İade",H1479="İptal"),0,E1479*IFERROR(INDEX(Kanallar!$B$5:$B$19,MATCH(C1479,Kanallar!$A$5:$A$19,0)),0)))</f>
        <v/>
      </c>
      <c r="J1479" s="16" t="str">
        <f aca="false">IF(I1479="","",IF(H1479="İptal",0,IF(H1479="İade",-G1479,E1479-I1479-F1479-G1479)))</f>
        <v/>
      </c>
    </row>
    <row r="1480" customFormat="false" ht="15" hidden="false" customHeight="false" outlineLevel="0" collapsed="false">
      <c r="A1480" s="12"/>
      <c r="B1480" s="13"/>
      <c r="C1480" s="14"/>
      <c r="D1480" s="13"/>
      <c r="E1480" s="15"/>
      <c r="F1480" s="15"/>
      <c r="G1480" s="15"/>
      <c r="H1480" s="14"/>
      <c r="I1480" s="16" t="str">
        <f aca="false">IF(OR(A1480="",C1480=""),"",IF(OR(H1480="İade",H1480="İptal"),0,E1480*IFERROR(INDEX(Kanallar!$B$5:$B$19,MATCH(C1480,Kanallar!$A$5:$A$19,0)),0)))</f>
        <v/>
      </c>
      <c r="J1480" s="16" t="str">
        <f aca="false">IF(I1480="","",IF(H1480="İptal",0,IF(H1480="İade",-G1480,E1480-I1480-F1480-G1480)))</f>
        <v/>
      </c>
    </row>
    <row r="1481" customFormat="false" ht="15" hidden="false" customHeight="false" outlineLevel="0" collapsed="false">
      <c r="A1481" s="12"/>
      <c r="B1481" s="13"/>
      <c r="C1481" s="14"/>
      <c r="D1481" s="13"/>
      <c r="E1481" s="15"/>
      <c r="F1481" s="15"/>
      <c r="G1481" s="15"/>
      <c r="H1481" s="14"/>
      <c r="I1481" s="16" t="str">
        <f aca="false">IF(OR(A1481="",C1481=""),"",IF(OR(H1481="İade",H1481="İptal"),0,E1481*IFERROR(INDEX(Kanallar!$B$5:$B$19,MATCH(C1481,Kanallar!$A$5:$A$19,0)),0)))</f>
        <v/>
      </c>
      <c r="J1481" s="16" t="str">
        <f aca="false">IF(I1481="","",IF(H1481="İptal",0,IF(H1481="İade",-G1481,E1481-I1481-F1481-G1481)))</f>
        <v/>
      </c>
    </row>
    <row r="1482" customFormat="false" ht="15" hidden="false" customHeight="false" outlineLevel="0" collapsed="false">
      <c r="A1482" s="12"/>
      <c r="B1482" s="13"/>
      <c r="C1482" s="14"/>
      <c r="D1482" s="13"/>
      <c r="E1482" s="15"/>
      <c r="F1482" s="15"/>
      <c r="G1482" s="15"/>
      <c r="H1482" s="14"/>
      <c r="I1482" s="16" t="str">
        <f aca="false">IF(OR(A1482="",C1482=""),"",IF(OR(H1482="İade",H1482="İptal"),0,E1482*IFERROR(INDEX(Kanallar!$B$5:$B$19,MATCH(C1482,Kanallar!$A$5:$A$19,0)),0)))</f>
        <v/>
      </c>
      <c r="J1482" s="16" t="str">
        <f aca="false">IF(I1482="","",IF(H1482="İptal",0,IF(H1482="İade",-G1482,E1482-I1482-F1482-G1482)))</f>
        <v/>
      </c>
    </row>
    <row r="1483" customFormat="false" ht="15" hidden="false" customHeight="false" outlineLevel="0" collapsed="false">
      <c r="A1483" s="12"/>
      <c r="B1483" s="13"/>
      <c r="C1483" s="14"/>
      <c r="D1483" s="13"/>
      <c r="E1483" s="15"/>
      <c r="F1483" s="15"/>
      <c r="G1483" s="15"/>
      <c r="H1483" s="14"/>
      <c r="I1483" s="16" t="str">
        <f aca="false">IF(OR(A1483="",C1483=""),"",IF(OR(H1483="İade",H1483="İptal"),0,E1483*IFERROR(INDEX(Kanallar!$B$5:$B$19,MATCH(C1483,Kanallar!$A$5:$A$19,0)),0)))</f>
        <v/>
      </c>
      <c r="J1483" s="16" t="str">
        <f aca="false">IF(I1483="","",IF(H1483="İptal",0,IF(H1483="İade",-G1483,E1483-I1483-F1483-G1483)))</f>
        <v/>
      </c>
    </row>
    <row r="1484" customFormat="false" ht="15" hidden="false" customHeight="false" outlineLevel="0" collapsed="false">
      <c r="A1484" s="12"/>
      <c r="B1484" s="13"/>
      <c r="C1484" s="14"/>
      <c r="D1484" s="13"/>
      <c r="E1484" s="15"/>
      <c r="F1484" s="15"/>
      <c r="G1484" s="15"/>
      <c r="H1484" s="14"/>
      <c r="I1484" s="16" t="str">
        <f aca="false">IF(OR(A1484="",C1484=""),"",IF(OR(H1484="İade",H1484="İptal"),0,E1484*IFERROR(INDEX(Kanallar!$B$5:$B$19,MATCH(C1484,Kanallar!$A$5:$A$19,0)),0)))</f>
        <v/>
      </c>
      <c r="J1484" s="16" t="str">
        <f aca="false">IF(I1484="","",IF(H1484="İptal",0,IF(H1484="İade",-G1484,E1484-I1484-F1484-G1484)))</f>
        <v/>
      </c>
    </row>
    <row r="1485" customFormat="false" ht="15" hidden="false" customHeight="false" outlineLevel="0" collapsed="false">
      <c r="A1485" s="12"/>
      <c r="B1485" s="13"/>
      <c r="C1485" s="14"/>
      <c r="D1485" s="13"/>
      <c r="E1485" s="15"/>
      <c r="F1485" s="15"/>
      <c r="G1485" s="15"/>
      <c r="H1485" s="14"/>
      <c r="I1485" s="16" t="str">
        <f aca="false">IF(OR(A1485="",C1485=""),"",IF(OR(H1485="İade",H1485="İptal"),0,E1485*IFERROR(INDEX(Kanallar!$B$5:$B$19,MATCH(C1485,Kanallar!$A$5:$A$19,0)),0)))</f>
        <v/>
      </c>
      <c r="J1485" s="16" t="str">
        <f aca="false">IF(I1485="","",IF(H1485="İptal",0,IF(H1485="İade",-G1485,E1485-I1485-F1485-G1485)))</f>
        <v/>
      </c>
    </row>
    <row r="1486" customFormat="false" ht="15" hidden="false" customHeight="false" outlineLevel="0" collapsed="false">
      <c r="A1486" s="12"/>
      <c r="B1486" s="13"/>
      <c r="C1486" s="14"/>
      <c r="D1486" s="13"/>
      <c r="E1486" s="15"/>
      <c r="F1486" s="15"/>
      <c r="G1486" s="15"/>
      <c r="H1486" s="14"/>
      <c r="I1486" s="16" t="str">
        <f aca="false">IF(OR(A1486="",C1486=""),"",IF(OR(H1486="İade",H1486="İptal"),0,E1486*IFERROR(INDEX(Kanallar!$B$5:$B$19,MATCH(C1486,Kanallar!$A$5:$A$19,0)),0)))</f>
        <v/>
      </c>
      <c r="J1486" s="16" t="str">
        <f aca="false">IF(I1486="","",IF(H1486="İptal",0,IF(H1486="İade",-G1486,E1486-I1486-F1486-G1486)))</f>
        <v/>
      </c>
    </row>
    <row r="1487" customFormat="false" ht="15" hidden="false" customHeight="false" outlineLevel="0" collapsed="false">
      <c r="A1487" s="12"/>
      <c r="B1487" s="13"/>
      <c r="C1487" s="14"/>
      <c r="D1487" s="13"/>
      <c r="E1487" s="15"/>
      <c r="F1487" s="15"/>
      <c r="G1487" s="15"/>
      <c r="H1487" s="14"/>
      <c r="I1487" s="16" t="str">
        <f aca="false">IF(OR(A1487="",C1487=""),"",IF(OR(H1487="İade",H1487="İptal"),0,E1487*IFERROR(INDEX(Kanallar!$B$5:$B$19,MATCH(C1487,Kanallar!$A$5:$A$19,0)),0)))</f>
        <v/>
      </c>
      <c r="J1487" s="16" t="str">
        <f aca="false">IF(I1487="","",IF(H1487="İptal",0,IF(H1487="İade",-G1487,E1487-I1487-F1487-G1487)))</f>
        <v/>
      </c>
    </row>
    <row r="1488" customFormat="false" ht="15" hidden="false" customHeight="false" outlineLevel="0" collapsed="false">
      <c r="A1488" s="12"/>
      <c r="B1488" s="13"/>
      <c r="C1488" s="14"/>
      <c r="D1488" s="13"/>
      <c r="E1488" s="15"/>
      <c r="F1488" s="15"/>
      <c r="G1488" s="15"/>
      <c r="H1488" s="14"/>
      <c r="I1488" s="16" t="str">
        <f aca="false">IF(OR(A1488="",C1488=""),"",IF(OR(H1488="İade",H1488="İptal"),0,E1488*IFERROR(INDEX(Kanallar!$B$5:$B$19,MATCH(C1488,Kanallar!$A$5:$A$19,0)),0)))</f>
        <v/>
      </c>
      <c r="J1488" s="16" t="str">
        <f aca="false">IF(I1488="","",IF(H1488="İptal",0,IF(H1488="İade",-G1488,E1488-I1488-F1488-G1488)))</f>
        <v/>
      </c>
    </row>
    <row r="1489" customFormat="false" ht="15" hidden="false" customHeight="false" outlineLevel="0" collapsed="false">
      <c r="A1489" s="12"/>
      <c r="B1489" s="13"/>
      <c r="C1489" s="14"/>
      <c r="D1489" s="13"/>
      <c r="E1489" s="15"/>
      <c r="F1489" s="15"/>
      <c r="G1489" s="15"/>
      <c r="H1489" s="14"/>
      <c r="I1489" s="16" t="str">
        <f aca="false">IF(OR(A1489="",C1489=""),"",IF(OR(H1489="İade",H1489="İptal"),0,E1489*IFERROR(INDEX(Kanallar!$B$5:$B$19,MATCH(C1489,Kanallar!$A$5:$A$19,0)),0)))</f>
        <v/>
      </c>
      <c r="J1489" s="16" t="str">
        <f aca="false">IF(I1489="","",IF(H1489="İptal",0,IF(H1489="İade",-G1489,E1489-I1489-F1489-G1489)))</f>
        <v/>
      </c>
    </row>
    <row r="1490" customFormat="false" ht="15" hidden="false" customHeight="false" outlineLevel="0" collapsed="false">
      <c r="A1490" s="12"/>
      <c r="B1490" s="13"/>
      <c r="C1490" s="14"/>
      <c r="D1490" s="13"/>
      <c r="E1490" s="15"/>
      <c r="F1490" s="15"/>
      <c r="G1490" s="15"/>
      <c r="H1490" s="14"/>
      <c r="I1490" s="16" t="str">
        <f aca="false">IF(OR(A1490="",C1490=""),"",IF(OR(H1490="İade",H1490="İptal"),0,E1490*IFERROR(INDEX(Kanallar!$B$5:$B$19,MATCH(C1490,Kanallar!$A$5:$A$19,0)),0)))</f>
        <v/>
      </c>
      <c r="J1490" s="16" t="str">
        <f aca="false">IF(I1490="","",IF(H1490="İptal",0,IF(H1490="İade",-G1490,E1490-I1490-F1490-G1490)))</f>
        <v/>
      </c>
    </row>
    <row r="1491" customFormat="false" ht="15" hidden="false" customHeight="false" outlineLevel="0" collapsed="false">
      <c r="A1491" s="12"/>
      <c r="B1491" s="13"/>
      <c r="C1491" s="14"/>
      <c r="D1491" s="13"/>
      <c r="E1491" s="15"/>
      <c r="F1491" s="15"/>
      <c r="G1491" s="15"/>
      <c r="H1491" s="14"/>
      <c r="I1491" s="16" t="str">
        <f aca="false">IF(OR(A1491="",C1491=""),"",IF(OR(H1491="İade",H1491="İptal"),0,E1491*IFERROR(INDEX(Kanallar!$B$5:$B$19,MATCH(C1491,Kanallar!$A$5:$A$19,0)),0)))</f>
        <v/>
      </c>
      <c r="J1491" s="16" t="str">
        <f aca="false">IF(I1491="","",IF(H1491="İptal",0,IF(H1491="İade",-G1491,E1491-I1491-F1491-G1491)))</f>
        <v/>
      </c>
    </row>
    <row r="1492" customFormat="false" ht="15" hidden="false" customHeight="false" outlineLevel="0" collapsed="false">
      <c r="A1492" s="12"/>
      <c r="B1492" s="13"/>
      <c r="C1492" s="14"/>
      <c r="D1492" s="13"/>
      <c r="E1492" s="15"/>
      <c r="F1492" s="15"/>
      <c r="G1492" s="15"/>
      <c r="H1492" s="14"/>
      <c r="I1492" s="16" t="str">
        <f aca="false">IF(OR(A1492="",C1492=""),"",IF(OR(H1492="İade",H1492="İptal"),0,E1492*IFERROR(INDEX(Kanallar!$B$5:$B$19,MATCH(C1492,Kanallar!$A$5:$A$19,0)),0)))</f>
        <v/>
      </c>
      <c r="J1492" s="16" t="str">
        <f aca="false">IF(I1492="","",IF(H1492="İptal",0,IF(H1492="İade",-G1492,E1492-I1492-F1492-G1492)))</f>
        <v/>
      </c>
    </row>
    <row r="1493" customFormat="false" ht="15" hidden="false" customHeight="false" outlineLevel="0" collapsed="false">
      <c r="A1493" s="12"/>
      <c r="B1493" s="13"/>
      <c r="C1493" s="14"/>
      <c r="D1493" s="13"/>
      <c r="E1493" s="15"/>
      <c r="F1493" s="15"/>
      <c r="G1493" s="15"/>
      <c r="H1493" s="14"/>
      <c r="I1493" s="16" t="str">
        <f aca="false">IF(OR(A1493="",C1493=""),"",IF(OR(H1493="İade",H1493="İptal"),0,E1493*IFERROR(INDEX(Kanallar!$B$5:$B$19,MATCH(C1493,Kanallar!$A$5:$A$19,0)),0)))</f>
        <v/>
      </c>
      <c r="J1493" s="16" t="str">
        <f aca="false">IF(I1493="","",IF(H1493="İptal",0,IF(H1493="İade",-G1493,E1493-I1493-F1493-G1493)))</f>
        <v/>
      </c>
    </row>
    <row r="1494" customFormat="false" ht="15" hidden="false" customHeight="false" outlineLevel="0" collapsed="false">
      <c r="A1494" s="12"/>
      <c r="B1494" s="13"/>
      <c r="C1494" s="14"/>
      <c r="D1494" s="13"/>
      <c r="E1494" s="15"/>
      <c r="F1494" s="15"/>
      <c r="G1494" s="15"/>
      <c r="H1494" s="14"/>
      <c r="I1494" s="16" t="str">
        <f aca="false">IF(OR(A1494="",C1494=""),"",IF(OR(H1494="İade",H1494="İptal"),0,E1494*IFERROR(INDEX(Kanallar!$B$5:$B$19,MATCH(C1494,Kanallar!$A$5:$A$19,0)),0)))</f>
        <v/>
      </c>
      <c r="J1494" s="16" t="str">
        <f aca="false">IF(I1494="","",IF(H1494="İptal",0,IF(H1494="İade",-G1494,E1494-I1494-F1494-G1494)))</f>
        <v/>
      </c>
    </row>
    <row r="1495" customFormat="false" ht="15" hidden="false" customHeight="false" outlineLevel="0" collapsed="false">
      <c r="A1495" s="12"/>
      <c r="B1495" s="13"/>
      <c r="C1495" s="14"/>
      <c r="D1495" s="13"/>
      <c r="E1495" s="15"/>
      <c r="F1495" s="15"/>
      <c r="G1495" s="15"/>
      <c r="H1495" s="14"/>
      <c r="I1495" s="16" t="str">
        <f aca="false">IF(OR(A1495="",C1495=""),"",IF(OR(H1495="İade",H1495="İptal"),0,E1495*IFERROR(INDEX(Kanallar!$B$5:$B$19,MATCH(C1495,Kanallar!$A$5:$A$19,0)),0)))</f>
        <v/>
      </c>
      <c r="J1495" s="16" t="str">
        <f aca="false">IF(I1495="","",IF(H1495="İptal",0,IF(H1495="İade",-G1495,E1495-I1495-F1495-G1495)))</f>
        <v/>
      </c>
    </row>
    <row r="1496" customFormat="false" ht="15" hidden="false" customHeight="false" outlineLevel="0" collapsed="false">
      <c r="A1496" s="12"/>
      <c r="B1496" s="13"/>
      <c r="C1496" s="14"/>
      <c r="D1496" s="13"/>
      <c r="E1496" s="15"/>
      <c r="F1496" s="15"/>
      <c r="G1496" s="15"/>
      <c r="H1496" s="14"/>
      <c r="I1496" s="16" t="str">
        <f aca="false">IF(OR(A1496="",C1496=""),"",IF(OR(H1496="İade",H1496="İptal"),0,E1496*IFERROR(INDEX(Kanallar!$B$5:$B$19,MATCH(C1496,Kanallar!$A$5:$A$19,0)),0)))</f>
        <v/>
      </c>
      <c r="J1496" s="16" t="str">
        <f aca="false">IF(I1496="","",IF(H1496="İptal",0,IF(H1496="İade",-G1496,E1496-I1496-F1496-G1496)))</f>
        <v/>
      </c>
    </row>
    <row r="1497" customFormat="false" ht="15" hidden="false" customHeight="false" outlineLevel="0" collapsed="false">
      <c r="A1497" s="12"/>
      <c r="B1497" s="13"/>
      <c r="C1497" s="14"/>
      <c r="D1497" s="13"/>
      <c r="E1497" s="15"/>
      <c r="F1497" s="15"/>
      <c r="G1497" s="15"/>
      <c r="H1497" s="14"/>
      <c r="I1497" s="16" t="str">
        <f aca="false">IF(OR(A1497="",C1497=""),"",IF(OR(H1497="İade",H1497="İptal"),0,E1497*IFERROR(INDEX(Kanallar!$B$5:$B$19,MATCH(C1497,Kanallar!$A$5:$A$19,0)),0)))</f>
        <v/>
      </c>
      <c r="J1497" s="16" t="str">
        <f aca="false">IF(I1497="","",IF(H1497="İptal",0,IF(H1497="İade",-G1497,E1497-I1497-F1497-G1497)))</f>
        <v/>
      </c>
    </row>
    <row r="1498" customFormat="false" ht="15" hidden="false" customHeight="false" outlineLevel="0" collapsed="false">
      <c r="A1498" s="12"/>
      <c r="B1498" s="13"/>
      <c r="C1498" s="14"/>
      <c r="D1498" s="13"/>
      <c r="E1498" s="15"/>
      <c r="F1498" s="15"/>
      <c r="G1498" s="15"/>
      <c r="H1498" s="14"/>
      <c r="I1498" s="16" t="str">
        <f aca="false">IF(OR(A1498="",C1498=""),"",IF(OR(H1498="İade",H1498="İptal"),0,E1498*IFERROR(INDEX(Kanallar!$B$5:$B$19,MATCH(C1498,Kanallar!$A$5:$A$19,0)),0)))</f>
        <v/>
      </c>
      <c r="J1498" s="16" t="str">
        <f aca="false">IF(I1498="","",IF(H1498="İptal",0,IF(H1498="İade",-G1498,E1498-I1498-F1498-G1498)))</f>
        <v/>
      </c>
    </row>
    <row r="1499" customFormat="false" ht="15" hidden="false" customHeight="false" outlineLevel="0" collapsed="false">
      <c r="A1499" s="12"/>
      <c r="B1499" s="13"/>
      <c r="C1499" s="14"/>
      <c r="D1499" s="13"/>
      <c r="E1499" s="15"/>
      <c r="F1499" s="15"/>
      <c r="G1499" s="15"/>
      <c r="H1499" s="14"/>
      <c r="I1499" s="16" t="str">
        <f aca="false">IF(OR(A1499="",C1499=""),"",IF(OR(H1499="İade",H1499="İptal"),0,E1499*IFERROR(INDEX(Kanallar!$B$5:$B$19,MATCH(C1499,Kanallar!$A$5:$A$19,0)),0)))</f>
        <v/>
      </c>
      <c r="J1499" s="16" t="str">
        <f aca="false">IF(I1499="","",IF(H1499="İptal",0,IF(H1499="İade",-G1499,E1499-I1499-F1499-G1499)))</f>
        <v/>
      </c>
    </row>
    <row r="1500" customFormat="false" ht="15" hidden="false" customHeight="false" outlineLevel="0" collapsed="false">
      <c r="A1500" s="12"/>
      <c r="B1500" s="13"/>
      <c r="C1500" s="14"/>
      <c r="D1500" s="13"/>
      <c r="E1500" s="15"/>
      <c r="F1500" s="15"/>
      <c r="G1500" s="15"/>
      <c r="H1500" s="14"/>
      <c r="I1500" s="16" t="str">
        <f aca="false">IF(OR(A1500="",C1500=""),"",IF(OR(H1500="İade",H1500="İptal"),0,E1500*IFERROR(INDEX(Kanallar!$B$5:$B$19,MATCH(C1500,Kanallar!$A$5:$A$19,0)),0)))</f>
        <v/>
      </c>
      <c r="J1500" s="16" t="str">
        <f aca="false">IF(I1500="","",IF(H1500="İptal",0,IF(H1500="İade",-G1500,E1500-I1500-F1500-G1500)))</f>
        <v/>
      </c>
    </row>
    <row r="1501" customFormat="false" ht="15" hidden="false" customHeight="false" outlineLevel="0" collapsed="false">
      <c r="A1501" s="12"/>
      <c r="B1501" s="13"/>
      <c r="C1501" s="14"/>
      <c r="D1501" s="13"/>
      <c r="E1501" s="15"/>
      <c r="F1501" s="15"/>
      <c r="G1501" s="15"/>
      <c r="H1501" s="14"/>
      <c r="I1501" s="16" t="str">
        <f aca="false">IF(OR(A1501="",C1501=""),"",IF(OR(H1501="İade",H1501="İptal"),0,E1501*IFERROR(INDEX(Kanallar!$B$5:$B$19,MATCH(C1501,Kanallar!$A$5:$A$19,0)),0)))</f>
        <v/>
      </c>
      <c r="J1501" s="16" t="str">
        <f aca="false">IF(I1501="","",IF(H1501="İptal",0,IF(H1501="İade",-G1501,E1501-I1501-F1501-G1501)))</f>
        <v/>
      </c>
    </row>
    <row r="1502" customFormat="false" ht="15" hidden="false" customHeight="false" outlineLevel="0" collapsed="false">
      <c r="A1502" s="12"/>
      <c r="B1502" s="13"/>
      <c r="C1502" s="14"/>
      <c r="D1502" s="13"/>
      <c r="E1502" s="15"/>
      <c r="F1502" s="15"/>
      <c r="G1502" s="15"/>
      <c r="H1502" s="14"/>
      <c r="I1502" s="16" t="str">
        <f aca="false">IF(OR(A1502="",C1502=""),"",IF(OR(H1502="İade",H1502="İptal"),0,E1502*IFERROR(INDEX(Kanallar!$B$5:$B$19,MATCH(C1502,Kanallar!$A$5:$A$19,0)),0)))</f>
        <v/>
      </c>
      <c r="J1502" s="16" t="str">
        <f aca="false">IF(I1502="","",IF(H1502="İptal",0,IF(H1502="İade",-G1502,E1502-I1502-F1502-G1502)))</f>
        <v/>
      </c>
    </row>
    <row r="1503" customFormat="false" ht="15" hidden="false" customHeight="false" outlineLevel="0" collapsed="false">
      <c r="A1503" s="12"/>
      <c r="B1503" s="13"/>
      <c r="C1503" s="14"/>
      <c r="D1503" s="13"/>
      <c r="E1503" s="15"/>
      <c r="F1503" s="15"/>
      <c r="G1503" s="15"/>
      <c r="H1503" s="14"/>
      <c r="I1503" s="16" t="str">
        <f aca="false">IF(OR(A1503="",C1503=""),"",IF(OR(H1503="İade",H1503="İptal"),0,E1503*IFERROR(INDEX(Kanallar!$B$5:$B$19,MATCH(C1503,Kanallar!$A$5:$A$19,0)),0)))</f>
        <v/>
      </c>
      <c r="J1503" s="16" t="str">
        <f aca="false">IF(I1503="","",IF(H1503="İptal",0,IF(H1503="İade",-G1503,E1503-I1503-F1503-G1503)))</f>
        <v/>
      </c>
    </row>
    <row r="1504" customFormat="false" ht="15" hidden="false" customHeight="false" outlineLevel="0" collapsed="false">
      <c r="A1504" s="12"/>
      <c r="B1504" s="13"/>
      <c r="C1504" s="14"/>
      <c r="D1504" s="13"/>
      <c r="E1504" s="15"/>
      <c r="F1504" s="15"/>
      <c r="G1504" s="15"/>
      <c r="H1504" s="14"/>
      <c r="I1504" s="16" t="str">
        <f aca="false">IF(OR(A1504="",C1504=""),"",IF(OR(H1504="İade",H1504="İptal"),0,E1504*IFERROR(INDEX(Kanallar!$B$5:$B$19,MATCH(C1504,Kanallar!$A$5:$A$19,0)),0)))</f>
        <v/>
      </c>
      <c r="J1504" s="16" t="str">
        <f aca="false">IF(I1504="","",IF(H1504="İptal",0,IF(H1504="İade",-G1504,E1504-I1504-F1504-G1504)))</f>
        <v/>
      </c>
    </row>
    <row r="1505" customFormat="false" ht="15" hidden="false" customHeight="false" outlineLevel="0" collapsed="false">
      <c r="A1505" s="12"/>
      <c r="B1505" s="13"/>
      <c r="C1505" s="14"/>
      <c r="D1505" s="13"/>
      <c r="E1505" s="15"/>
      <c r="F1505" s="15"/>
      <c r="G1505" s="15"/>
      <c r="H1505" s="14"/>
      <c r="I1505" s="16" t="str">
        <f aca="false">IF(OR(A1505="",C1505=""),"",IF(OR(H1505="İade",H1505="İptal"),0,E1505*IFERROR(INDEX(Kanallar!$B$5:$B$19,MATCH(C1505,Kanallar!$A$5:$A$19,0)),0)))</f>
        <v/>
      </c>
      <c r="J1505" s="16" t="str">
        <f aca="false">IF(I1505="","",IF(H1505="İptal",0,IF(H1505="İade",-G1505,E1505-I1505-F1505-G1505)))</f>
        <v/>
      </c>
    </row>
    <row r="1506" customFormat="false" ht="15" hidden="false" customHeight="false" outlineLevel="0" collapsed="false">
      <c r="A1506" s="12"/>
      <c r="B1506" s="13"/>
      <c r="C1506" s="14"/>
      <c r="D1506" s="13"/>
      <c r="E1506" s="15"/>
      <c r="F1506" s="15"/>
      <c r="G1506" s="15"/>
      <c r="H1506" s="14"/>
      <c r="I1506" s="16" t="str">
        <f aca="false">IF(OR(A1506="",C1506=""),"",IF(OR(H1506="İade",H1506="İptal"),0,E1506*IFERROR(INDEX(Kanallar!$B$5:$B$19,MATCH(C1506,Kanallar!$A$5:$A$19,0)),0)))</f>
        <v/>
      </c>
      <c r="J1506" s="16" t="str">
        <f aca="false">IF(I1506="","",IF(H1506="İptal",0,IF(H1506="İade",-G1506,E1506-I1506-F1506-G1506)))</f>
        <v/>
      </c>
    </row>
    <row r="1507" customFormat="false" ht="15" hidden="false" customHeight="false" outlineLevel="0" collapsed="false">
      <c r="A1507" s="12"/>
      <c r="B1507" s="13"/>
      <c r="C1507" s="14"/>
      <c r="D1507" s="13"/>
      <c r="E1507" s="15"/>
      <c r="F1507" s="15"/>
      <c r="G1507" s="15"/>
      <c r="H1507" s="14"/>
      <c r="I1507" s="16" t="str">
        <f aca="false">IF(OR(A1507="",C1507=""),"",IF(OR(H1507="İade",H1507="İptal"),0,E1507*IFERROR(INDEX(Kanallar!$B$5:$B$19,MATCH(C1507,Kanallar!$A$5:$A$19,0)),0)))</f>
        <v/>
      </c>
      <c r="J1507" s="16" t="str">
        <f aca="false">IF(I1507="","",IF(H1507="İptal",0,IF(H1507="İade",-G1507,E1507-I1507-F1507-G1507)))</f>
        <v/>
      </c>
    </row>
    <row r="1508" customFormat="false" ht="15" hidden="false" customHeight="false" outlineLevel="0" collapsed="false">
      <c r="A1508" s="12"/>
      <c r="B1508" s="13"/>
      <c r="C1508" s="14"/>
      <c r="D1508" s="13"/>
      <c r="E1508" s="15"/>
      <c r="F1508" s="15"/>
      <c r="G1508" s="15"/>
      <c r="H1508" s="14"/>
      <c r="I1508" s="16" t="str">
        <f aca="false">IF(OR(A1508="",C1508=""),"",IF(OR(H1508="İade",H1508="İptal"),0,E1508*IFERROR(INDEX(Kanallar!$B$5:$B$19,MATCH(C1508,Kanallar!$A$5:$A$19,0)),0)))</f>
        <v/>
      </c>
      <c r="J1508" s="16" t="str">
        <f aca="false">IF(I1508="","",IF(H1508="İptal",0,IF(H1508="İade",-G1508,E1508-I1508-F1508-G1508)))</f>
        <v/>
      </c>
    </row>
    <row r="1509" customFormat="false" ht="15" hidden="false" customHeight="false" outlineLevel="0" collapsed="false">
      <c r="A1509" s="12"/>
      <c r="B1509" s="13"/>
      <c r="C1509" s="14"/>
      <c r="D1509" s="13"/>
      <c r="E1509" s="15"/>
      <c r="F1509" s="15"/>
      <c r="G1509" s="15"/>
      <c r="H1509" s="14"/>
      <c r="I1509" s="16" t="str">
        <f aca="false">IF(OR(A1509="",C1509=""),"",IF(OR(H1509="İade",H1509="İptal"),0,E1509*IFERROR(INDEX(Kanallar!$B$5:$B$19,MATCH(C1509,Kanallar!$A$5:$A$19,0)),0)))</f>
        <v/>
      </c>
      <c r="J1509" s="16" t="str">
        <f aca="false">IF(I1509="","",IF(H1509="İptal",0,IF(H1509="İade",-G1509,E1509-I1509-F1509-G1509)))</f>
        <v/>
      </c>
    </row>
    <row r="1510" customFormat="false" ht="15" hidden="false" customHeight="false" outlineLevel="0" collapsed="false">
      <c r="A1510" s="12"/>
      <c r="B1510" s="13"/>
      <c r="C1510" s="14"/>
      <c r="D1510" s="13"/>
      <c r="E1510" s="15"/>
      <c r="F1510" s="15"/>
      <c r="G1510" s="15"/>
      <c r="H1510" s="14"/>
      <c r="I1510" s="16" t="str">
        <f aca="false">IF(OR(A1510="",C1510=""),"",IF(OR(H1510="İade",H1510="İptal"),0,E1510*IFERROR(INDEX(Kanallar!$B$5:$B$19,MATCH(C1510,Kanallar!$A$5:$A$19,0)),0)))</f>
        <v/>
      </c>
      <c r="J1510" s="16" t="str">
        <f aca="false">IF(I1510="","",IF(H1510="İptal",0,IF(H1510="İade",-G1510,E1510-I1510-F1510-G1510)))</f>
        <v/>
      </c>
    </row>
    <row r="1511" customFormat="false" ht="15" hidden="false" customHeight="false" outlineLevel="0" collapsed="false">
      <c r="A1511" s="12"/>
      <c r="B1511" s="13"/>
      <c r="C1511" s="14"/>
      <c r="D1511" s="13"/>
      <c r="E1511" s="15"/>
      <c r="F1511" s="15"/>
      <c r="G1511" s="15"/>
      <c r="H1511" s="14"/>
      <c r="I1511" s="16" t="str">
        <f aca="false">IF(OR(A1511="",C1511=""),"",IF(OR(H1511="İade",H1511="İptal"),0,E1511*IFERROR(INDEX(Kanallar!$B$5:$B$19,MATCH(C1511,Kanallar!$A$5:$A$19,0)),0)))</f>
        <v/>
      </c>
      <c r="J1511" s="16" t="str">
        <f aca="false">IF(I1511="","",IF(H1511="İptal",0,IF(H1511="İade",-G1511,E1511-I1511-F1511-G1511)))</f>
        <v/>
      </c>
    </row>
    <row r="1512" customFormat="false" ht="15" hidden="false" customHeight="false" outlineLevel="0" collapsed="false">
      <c r="A1512" s="12"/>
      <c r="B1512" s="13"/>
      <c r="C1512" s="14"/>
      <c r="D1512" s="13"/>
      <c r="E1512" s="15"/>
      <c r="F1512" s="15"/>
      <c r="G1512" s="15"/>
      <c r="H1512" s="14"/>
      <c r="I1512" s="16" t="str">
        <f aca="false">IF(OR(A1512="",C1512=""),"",IF(OR(H1512="İade",H1512="İptal"),0,E1512*IFERROR(INDEX(Kanallar!$B$5:$B$19,MATCH(C1512,Kanallar!$A$5:$A$19,0)),0)))</f>
        <v/>
      </c>
      <c r="J1512" s="16" t="str">
        <f aca="false">IF(I1512="","",IF(H1512="İptal",0,IF(H1512="İade",-G1512,E1512-I1512-F1512-G1512)))</f>
        <v/>
      </c>
    </row>
    <row r="1513" customFormat="false" ht="15" hidden="false" customHeight="false" outlineLevel="0" collapsed="false">
      <c r="A1513" s="12"/>
      <c r="B1513" s="13"/>
      <c r="C1513" s="14"/>
      <c r="D1513" s="13"/>
      <c r="E1513" s="15"/>
      <c r="F1513" s="15"/>
      <c r="G1513" s="15"/>
      <c r="H1513" s="14"/>
      <c r="I1513" s="16" t="str">
        <f aca="false">IF(OR(A1513="",C1513=""),"",IF(OR(H1513="İade",H1513="İptal"),0,E1513*IFERROR(INDEX(Kanallar!$B$5:$B$19,MATCH(C1513,Kanallar!$A$5:$A$19,0)),0)))</f>
        <v/>
      </c>
      <c r="J1513" s="16" t="str">
        <f aca="false">IF(I1513="","",IF(H1513="İptal",0,IF(H1513="İade",-G1513,E1513-I1513-F1513-G1513)))</f>
        <v/>
      </c>
    </row>
    <row r="1514" customFormat="false" ht="15" hidden="false" customHeight="false" outlineLevel="0" collapsed="false">
      <c r="A1514" s="12"/>
      <c r="B1514" s="13"/>
      <c r="C1514" s="14"/>
      <c r="D1514" s="13"/>
      <c r="E1514" s="15"/>
      <c r="F1514" s="15"/>
      <c r="G1514" s="15"/>
      <c r="H1514" s="14"/>
      <c r="I1514" s="16" t="str">
        <f aca="false">IF(OR(A1514="",C1514=""),"",IF(OR(H1514="İade",H1514="İptal"),0,E1514*IFERROR(INDEX(Kanallar!$B$5:$B$19,MATCH(C1514,Kanallar!$A$5:$A$19,0)),0)))</f>
        <v/>
      </c>
      <c r="J1514" s="16" t="str">
        <f aca="false">IF(I1514="","",IF(H1514="İptal",0,IF(H1514="İade",-G1514,E1514-I1514-F1514-G1514)))</f>
        <v/>
      </c>
    </row>
    <row r="1515" customFormat="false" ht="15" hidden="false" customHeight="false" outlineLevel="0" collapsed="false">
      <c r="A1515" s="12"/>
      <c r="B1515" s="13"/>
      <c r="C1515" s="14"/>
      <c r="D1515" s="13"/>
      <c r="E1515" s="15"/>
      <c r="F1515" s="15"/>
      <c r="G1515" s="15"/>
      <c r="H1515" s="14"/>
      <c r="I1515" s="16" t="str">
        <f aca="false">IF(OR(A1515="",C1515=""),"",IF(OR(H1515="İade",H1515="İptal"),0,E1515*IFERROR(INDEX(Kanallar!$B$5:$B$19,MATCH(C1515,Kanallar!$A$5:$A$19,0)),0)))</f>
        <v/>
      </c>
      <c r="J1515" s="16" t="str">
        <f aca="false">IF(I1515="","",IF(H1515="İptal",0,IF(H1515="İade",-G1515,E1515-I1515-F1515-G1515)))</f>
        <v/>
      </c>
    </row>
    <row r="1516" customFormat="false" ht="15" hidden="false" customHeight="false" outlineLevel="0" collapsed="false">
      <c r="A1516" s="12"/>
      <c r="B1516" s="13"/>
      <c r="C1516" s="14"/>
      <c r="D1516" s="13"/>
      <c r="E1516" s="15"/>
      <c r="F1516" s="15"/>
      <c r="G1516" s="15"/>
      <c r="H1516" s="14"/>
      <c r="I1516" s="16" t="str">
        <f aca="false">IF(OR(A1516="",C1516=""),"",IF(OR(H1516="İade",H1516="İptal"),0,E1516*IFERROR(INDEX(Kanallar!$B$5:$B$19,MATCH(C1516,Kanallar!$A$5:$A$19,0)),0)))</f>
        <v/>
      </c>
      <c r="J1516" s="16" t="str">
        <f aca="false">IF(I1516="","",IF(H1516="İptal",0,IF(H1516="İade",-G1516,E1516-I1516-F1516-G1516)))</f>
        <v/>
      </c>
    </row>
    <row r="1517" customFormat="false" ht="15" hidden="false" customHeight="false" outlineLevel="0" collapsed="false">
      <c r="A1517" s="12"/>
      <c r="B1517" s="13"/>
      <c r="C1517" s="14"/>
      <c r="D1517" s="13"/>
      <c r="E1517" s="15"/>
      <c r="F1517" s="15"/>
      <c r="G1517" s="15"/>
      <c r="H1517" s="14"/>
      <c r="I1517" s="16" t="str">
        <f aca="false">IF(OR(A1517="",C1517=""),"",IF(OR(H1517="İade",H1517="İptal"),0,E1517*IFERROR(INDEX(Kanallar!$B$5:$B$19,MATCH(C1517,Kanallar!$A$5:$A$19,0)),0)))</f>
        <v/>
      </c>
      <c r="J1517" s="16" t="str">
        <f aca="false">IF(I1517="","",IF(H1517="İptal",0,IF(H1517="İade",-G1517,E1517-I1517-F1517-G1517)))</f>
        <v/>
      </c>
    </row>
    <row r="1518" customFormat="false" ht="15" hidden="false" customHeight="false" outlineLevel="0" collapsed="false">
      <c r="A1518" s="12"/>
      <c r="B1518" s="13"/>
      <c r="C1518" s="14"/>
      <c r="D1518" s="13"/>
      <c r="E1518" s="15"/>
      <c r="F1518" s="15"/>
      <c r="G1518" s="15"/>
      <c r="H1518" s="14"/>
      <c r="I1518" s="16" t="str">
        <f aca="false">IF(OR(A1518="",C1518=""),"",IF(OR(H1518="İade",H1518="İptal"),0,E1518*IFERROR(INDEX(Kanallar!$B$5:$B$19,MATCH(C1518,Kanallar!$A$5:$A$19,0)),0)))</f>
        <v/>
      </c>
      <c r="J1518" s="16" t="str">
        <f aca="false">IF(I1518="","",IF(H1518="İptal",0,IF(H1518="İade",-G1518,E1518-I1518-F1518-G1518)))</f>
        <v/>
      </c>
    </row>
    <row r="1519" customFormat="false" ht="15" hidden="false" customHeight="false" outlineLevel="0" collapsed="false">
      <c r="A1519" s="12"/>
      <c r="B1519" s="13"/>
      <c r="C1519" s="14"/>
      <c r="D1519" s="13"/>
      <c r="E1519" s="15"/>
      <c r="F1519" s="15"/>
      <c r="G1519" s="15"/>
      <c r="H1519" s="14"/>
      <c r="I1519" s="16" t="str">
        <f aca="false">IF(OR(A1519="",C1519=""),"",IF(OR(H1519="İade",H1519="İptal"),0,E1519*IFERROR(INDEX(Kanallar!$B$5:$B$19,MATCH(C1519,Kanallar!$A$5:$A$19,0)),0)))</f>
        <v/>
      </c>
      <c r="J1519" s="16" t="str">
        <f aca="false">IF(I1519="","",IF(H1519="İptal",0,IF(H1519="İade",-G1519,E1519-I1519-F1519-G1519)))</f>
        <v/>
      </c>
    </row>
    <row r="1520" customFormat="false" ht="15" hidden="false" customHeight="false" outlineLevel="0" collapsed="false">
      <c r="A1520" s="12"/>
      <c r="B1520" s="13"/>
      <c r="C1520" s="14"/>
      <c r="D1520" s="13"/>
      <c r="E1520" s="15"/>
      <c r="F1520" s="15"/>
      <c r="G1520" s="15"/>
      <c r="H1520" s="14"/>
      <c r="I1520" s="16" t="str">
        <f aca="false">IF(OR(A1520="",C1520=""),"",IF(OR(H1520="İade",H1520="İptal"),0,E1520*IFERROR(INDEX(Kanallar!$B$5:$B$19,MATCH(C1520,Kanallar!$A$5:$A$19,0)),0)))</f>
        <v/>
      </c>
      <c r="J1520" s="16" t="str">
        <f aca="false">IF(I1520="","",IF(H1520="İptal",0,IF(H1520="İade",-G1520,E1520-I1520-F1520-G1520)))</f>
        <v/>
      </c>
    </row>
    <row r="1521" customFormat="false" ht="15" hidden="false" customHeight="false" outlineLevel="0" collapsed="false">
      <c r="A1521" s="12"/>
      <c r="B1521" s="13"/>
      <c r="C1521" s="14"/>
      <c r="D1521" s="13"/>
      <c r="E1521" s="15"/>
      <c r="F1521" s="15"/>
      <c r="G1521" s="15"/>
      <c r="H1521" s="14"/>
      <c r="I1521" s="16" t="str">
        <f aca="false">IF(OR(A1521="",C1521=""),"",IF(OR(H1521="İade",H1521="İptal"),0,E1521*IFERROR(INDEX(Kanallar!$B$5:$B$19,MATCH(C1521,Kanallar!$A$5:$A$19,0)),0)))</f>
        <v/>
      </c>
      <c r="J1521" s="16" t="str">
        <f aca="false">IF(I1521="","",IF(H1521="İptal",0,IF(H1521="İade",-G1521,E1521-I1521-F1521-G1521)))</f>
        <v/>
      </c>
    </row>
    <row r="1522" customFormat="false" ht="15" hidden="false" customHeight="false" outlineLevel="0" collapsed="false">
      <c r="A1522" s="12"/>
      <c r="B1522" s="13"/>
      <c r="C1522" s="14"/>
      <c r="D1522" s="13"/>
      <c r="E1522" s="15"/>
      <c r="F1522" s="15"/>
      <c r="G1522" s="15"/>
      <c r="H1522" s="14"/>
      <c r="I1522" s="16" t="str">
        <f aca="false">IF(OR(A1522="",C1522=""),"",IF(OR(H1522="İade",H1522="İptal"),0,E1522*IFERROR(INDEX(Kanallar!$B$5:$B$19,MATCH(C1522,Kanallar!$A$5:$A$19,0)),0)))</f>
        <v/>
      </c>
      <c r="J1522" s="16" t="str">
        <f aca="false">IF(I1522="","",IF(H1522="İptal",0,IF(H1522="İade",-G1522,E1522-I1522-F1522-G1522)))</f>
        <v/>
      </c>
    </row>
    <row r="1523" customFormat="false" ht="15" hidden="false" customHeight="false" outlineLevel="0" collapsed="false">
      <c r="A1523" s="12"/>
      <c r="B1523" s="13"/>
      <c r="C1523" s="14"/>
      <c r="D1523" s="13"/>
      <c r="E1523" s="15"/>
      <c r="F1523" s="15"/>
      <c r="G1523" s="15"/>
      <c r="H1523" s="14"/>
      <c r="I1523" s="16" t="str">
        <f aca="false">IF(OR(A1523="",C1523=""),"",IF(OR(H1523="İade",H1523="İptal"),0,E1523*IFERROR(INDEX(Kanallar!$B$5:$B$19,MATCH(C1523,Kanallar!$A$5:$A$19,0)),0)))</f>
        <v/>
      </c>
      <c r="J1523" s="16" t="str">
        <f aca="false">IF(I1523="","",IF(H1523="İptal",0,IF(H1523="İade",-G1523,E1523-I1523-F1523-G1523)))</f>
        <v/>
      </c>
    </row>
    <row r="1524" customFormat="false" ht="15" hidden="false" customHeight="false" outlineLevel="0" collapsed="false">
      <c r="A1524" s="12"/>
      <c r="B1524" s="13"/>
      <c r="C1524" s="14"/>
      <c r="D1524" s="13"/>
      <c r="E1524" s="15"/>
      <c r="F1524" s="15"/>
      <c r="G1524" s="15"/>
      <c r="H1524" s="14"/>
      <c r="I1524" s="16" t="str">
        <f aca="false">IF(OR(A1524="",C1524=""),"",IF(OR(H1524="İade",H1524="İptal"),0,E1524*IFERROR(INDEX(Kanallar!$B$5:$B$19,MATCH(C1524,Kanallar!$A$5:$A$19,0)),0)))</f>
        <v/>
      </c>
      <c r="J1524" s="16" t="str">
        <f aca="false">IF(I1524="","",IF(H1524="İptal",0,IF(H1524="İade",-G1524,E1524-I1524-F1524-G1524)))</f>
        <v/>
      </c>
    </row>
    <row r="1525" customFormat="false" ht="15" hidden="false" customHeight="false" outlineLevel="0" collapsed="false">
      <c r="A1525" s="12"/>
      <c r="B1525" s="13"/>
      <c r="C1525" s="14"/>
      <c r="D1525" s="13"/>
      <c r="E1525" s="15"/>
      <c r="F1525" s="15"/>
      <c r="G1525" s="15"/>
      <c r="H1525" s="14"/>
      <c r="I1525" s="16" t="str">
        <f aca="false">IF(OR(A1525="",C1525=""),"",IF(OR(H1525="İade",H1525="İptal"),0,E1525*IFERROR(INDEX(Kanallar!$B$5:$B$19,MATCH(C1525,Kanallar!$A$5:$A$19,0)),0)))</f>
        <v/>
      </c>
      <c r="J1525" s="16" t="str">
        <f aca="false">IF(I1525="","",IF(H1525="İptal",0,IF(H1525="İade",-G1525,E1525-I1525-F1525-G1525)))</f>
        <v/>
      </c>
    </row>
    <row r="1526" customFormat="false" ht="15" hidden="false" customHeight="false" outlineLevel="0" collapsed="false">
      <c r="A1526" s="12"/>
      <c r="B1526" s="13"/>
      <c r="C1526" s="14"/>
      <c r="D1526" s="13"/>
      <c r="E1526" s="15"/>
      <c r="F1526" s="15"/>
      <c r="G1526" s="15"/>
      <c r="H1526" s="14"/>
      <c r="I1526" s="16" t="str">
        <f aca="false">IF(OR(A1526="",C1526=""),"",IF(OR(H1526="İade",H1526="İptal"),0,E1526*IFERROR(INDEX(Kanallar!$B$5:$B$19,MATCH(C1526,Kanallar!$A$5:$A$19,0)),0)))</f>
        <v/>
      </c>
      <c r="J1526" s="16" t="str">
        <f aca="false">IF(I1526="","",IF(H1526="İptal",0,IF(H1526="İade",-G1526,E1526-I1526-F1526-G1526)))</f>
        <v/>
      </c>
    </row>
    <row r="1527" customFormat="false" ht="15" hidden="false" customHeight="false" outlineLevel="0" collapsed="false">
      <c r="A1527" s="12"/>
      <c r="B1527" s="13"/>
      <c r="C1527" s="14"/>
      <c r="D1527" s="13"/>
      <c r="E1527" s="15"/>
      <c r="F1527" s="15"/>
      <c r="G1527" s="15"/>
      <c r="H1527" s="14"/>
      <c r="I1527" s="16" t="str">
        <f aca="false">IF(OR(A1527="",C1527=""),"",IF(OR(H1527="İade",H1527="İptal"),0,E1527*IFERROR(INDEX(Kanallar!$B$5:$B$19,MATCH(C1527,Kanallar!$A$5:$A$19,0)),0)))</f>
        <v/>
      </c>
      <c r="J1527" s="16" t="str">
        <f aca="false">IF(I1527="","",IF(H1527="İptal",0,IF(H1527="İade",-G1527,E1527-I1527-F1527-G1527)))</f>
        <v/>
      </c>
    </row>
    <row r="1528" customFormat="false" ht="15" hidden="false" customHeight="false" outlineLevel="0" collapsed="false">
      <c r="A1528" s="12"/>
      <c r="B1528" s="13"/>
      <c r="C1528" s="14"/>
      <c r="D1528" s="13"/>
      <c r="E1528" s="15"/>
      <c r="F1528" s="15"/>
      <c r="G1528" s="15"/>
      <c r="H1528" s="14"/>
      <c r="I1528" s="16" t="str">
        <f aca="false">IF(OR(A1528="",C1528=""),"",IF(OR(H1528="İade",H1528="İptal"),0,E1528*IFERROR(INDEX(Kanallar!$B$5:$B$19,MATCH(C1528,Kanallar!$A$5:$A$19,0)),0)))</f>
        <v/>
      </c>
      <c r="J1528" s="16" t="str">
        <f aca="false">IF(I1528="","",IF(H1528="İptal",0,IF(H1528="İade",-G1528,E1528-I1528-F1528-G1528)))</f>
        <v/>
      </c>
    </row>
    <row r="1529" customFormat="false" ht="15" hidden="false" customHeight="false" outlineLevel="0" collapsed="false">
      <c r="A1529" s="12"/>
      <c r="B1529" s="13"/>
      <c r="C1529" s="14"/>
      <c r="D1529" s="13"/>
      <c r="E1529" s="15"/>
      <c r="F1529" s="15"/>
      <c r="G1529" s="15"/>
      <c r="H1529" s="14"/>
      <c r="I1529" s="16" t="str">
        <f aca="false">IF(OR(A1529="",C1529=""),"",IF(OR(H1529="İade",H1529="İptal"),0,E1529*IFERROR(INDEX(Kanallar!$B$5:$B$19,MATCH(C1529,Kanallar!$A$5:$A$19,0)),0)))</f>
        <v/>
      </c>
      <c r="J1529" s="16" t="str">
        <f aca="false">IF(I1529="","",IF(H1529="İptal",0,IF(H1529="İade",-G1529,E1529-I1529-F1529-G1529)))</f>
        <v/>
      </c>
    </row>
    <row r="1530" customFormat="false" ht="15" hidden="false" customHeight="false" outlineLevel="0" collapsed="false">
      <c r="A1530" s="12"/>
      <c r="B1530" s="13"/>
      <c r="C1530" s="14"/>
      <c r="D1530" s="13"/>
      <c r="E1530" s="15"/>
      <c r="F1530" s="15"/>
      <c r="G1530" s="15"/>
      <c r="H1530" s="14"/>
      <c r="I1530" s="16" t="str">
        <f aca="false">IF(OR(A1530="",C1530=""),"",IF(OR(H1530="İade",H1530="İptal"),0,E1530*IFERROR(INDEX(Kanallar!$B$5:$B$19,MATCH(C1530,Kanallar!$A$5:$A$19,0)),0)))</f>
        <v/>
      </c>
      <c r="J1530" s="16" t="str">
        <f aca="false">IF(I1530="","",IF(H1530="İptal",0,IF(H1530="İade",-G1530,E1530-I1530-F1530-G1530)))</f>
        <v/>
      </c>
    </row>
    <row r="1531" customFormat="false" ht="15" hidden="false" customHeight="false" outlineLevel="0" collapsed="false">
      <c r="A1531" s="12"/>
      <c r="B1531" s="13"/>
      <c r="C1531" s="14"/>
      <c r="D1531" s="13"/>
      <c r="E1531" s="15"/>
      <c r="F1531" s="15"/>
      <c r="G1531" s="15"/>
      <c r="H1531" s="14"/>
      <c r="I1531" s="16" t="str">
        <f aca="false">IF(OR(A1531="",C1531=""),"",IF(OR(H1531="İade",H1531="İptal"),0,E1531*IFERROR(INDEX(Kanallar!$B$5:$B$19,MATCH(C1531,Kanallar!$A$5:$A$19,0)),0)))</f>
        <v/>
      </c>
      <c r="J1531" s="16" t="str">
        <f aca="false">IF(I1531="","",IF(H1531="İptal",0,IF(H1531="İade",-G1531,E1531-I1531-F1531-G1531)))</f>
        <v/>
      </c>
    </row>
    <row r="1532" customFormat="false" ht="15" hidden="false" customHeight="false" outlineLevel="0" collapsed="false">
      <c r="A1532" s="12"/>
      <c r="B1532" s="13"/>
      <c r="C1532" s="14"/>
      <c r="D1532" s="13"/>
      <c r="E1532" s="15"/>
      <c r="F1532" s="15"/>
      <c r="G1532" s="15"/>
      <c r="H1532" s="14"/>
      <c r="I1532" s="16" t="str">
        <f aca="false">IF(OR(A1532="",C1532=""),"",IF(OR(H1532="İade",H1532="İptal"),0,E1532*IFERROR(INDEX(Kanallar!$B$5:$B$19,MATCH(C1532,Kanallar!$A$5:$A$19,0)),0)))</f>
        <v/>
      </c>
      <c r="J1532" s="16" t="str">
        <f aca="false">IF(I1532="","",IF(H1532="İptal",0,IF(H1532="İade",-G1532,E1532-I1532-F1532-G1532)))</f>
        <v/>
      </c>
    </row>
    <row r="1533" customFormat="false" ht="15" hidden="false" customHeight="false" outlineLevel="0" collapsed="false">
      <c r="A1533" s="12"/>
      <c r="B1533" s="13"/>
      <c r="C1533" s="14"/>
      <c r="D1533" s="13"/>
      <c r="E1533" s="15"/>
      <c r="F1533" s="15"/>
      <c r="G1533" s="15"/>
      <c r="H1533" s="14"/>
      <c r="I1533" s="16" t="str">
        <f aca="false">IF(OR(A1533="",C1533=""),"",IF(OR(H1533="İade",H1533="İptal"),0,E1533*IFERROR(INDEX(Kanallar!$B$5:$B$19,MATCH(C1533,Kanallar!$A$5:$A$19,0)),0)))</f>
        <v/>
      </c>
      <c r="J1533" s="16" t="str">
        <f aca="false">IF(I1533="","",IF(H1533="İptal",0,IF(H1533="İade",-G1533,E1533-I1533-F1533-G1533)))</f>
        <v/>
      </c>
    </row>
    <row r="1534" customFormat="false" ht="15" hidden="false" customHeight="false" outlineLevel="0" collapsed="false">
      <c r="A1534" s="12"/>
      <c r="B1534" s="13"/>
      <c r="C1534" s="14"/>
      <c r="D1534" s="13"/>
      <c r="E1534" s="15"/>
      <c r="F1534" s="15"/>
      <c r="G1534" s="15"/>
      <c r="H1534" s="14"/>
      <c r="I1534" s="16" t="str">
        <f aca="false">IF(OR(A1534="",C1534=""),"",IF(OR(H1534="İade",H1534="İptal"),0,E1534*IFERROR(INDEX(Kanallar!$B$5:$B$19,MATCH(C1534,Kanallar!$A$5:$A$19,0)),0)))</f>
        <v/>
      </c>
      <c r="J1534" s="16" t="str">
        <f aca="false">IF(I1534="","",IF(H1534="İptal",0,IF(H1534="İade",-G1534,E1534-I1534-F1534-G1534)))</f>
        <v/>
      </c>
    </row>
    <row r="1535" customFormat="false" ht="15" hidden="false" customHeight="false" outlineLevel="0" collapsed="false">
      <c r="A1535" s="12"/>
      <c r="B1535" s="13"/>
      <c r="C1535" s="14"/>
      <c r="D1535" s="13"/>
      <c r="E1535" s="15"/>
      <c r="F1535" s="15"/>
      <c r="G1535" s="15"/>
      <c r="H1535" s="14"/>
      <c r="I1535" s="16" t="str">
        <f aca="false">IF(OR(A1535="",C1535=""),"",IF(OR(H1535="İade",H1535="İptal"),0,E1535*IFERROR(INDEX(Kanallar!$B$5:$B$19,MATCH(C1535,Kanallar!$A$5:$A$19,0)),0)))</f>
        <v/>
      </c>
      <c r="J1535" s="16" t="str">
        <f aca="false">IF(I1535="","",IF(H1535="İptal",0,IF(H1535="İade",-G1535,E1535-I1535-F1535-G1535)))</f>
        <v/>
      </c>
    </row>
    <row r="1536" customFormat="false" ht="15" hidden="false" customHeight="false" outlineLevel="0" collapsed="false">
      <c r="A1536" s="12"/>
      <c r="B1536" s="13"/>
      <c r="C1536" s="14"/>
      <c r="D1536" s="13"/>
      <c r="E1536" s="15"/>
      <c r="F1536" s="15"/>
      <c r="G1536" s="15"/>
      <c r="H1536" s="14"/>
      <c r="I1536" s="16" t="str">
        <f aca="false">IF(OR(A1536="",C1536=""),"",IF(OR(H1536="İade",H1536="İptal"),0,E1536*IFERROR(INDEX(Kanallar!$B$5:$B$19,MATCH(C1536,Kanallar!$A$5:$A$19,0)),0)))</f>
        <v/>
      </c>
      <c r="J1536" s="16" t="str">
        <f aca="false">IF(I1536="","",IF(H1536="İptal",0,IF(H1536="İade",-G1536,E1536-I1536-F1536-G1536)))</f>
        <v/>
      </c>
    </row>
    <row r="1537" customFormat="false" ht="15" hidden="false" customHeight="false" outlineLevel="0" collapsed="false">
      <c r="A1537" s="12"/>
      <c r="B1537" s="13"/>
      <c r="C1537" s="14"/>
      <c r="D1537" s="13"/>
      <c r="E1537" s="15"/>
      <c r="F1537" s="15"/>
      <c r="G1537" s="15"/>
      <c r="H1537" s="14"/>
      <c r="I1537" s="16" t="str">
        <f aca="false">IF(OR(A1537="",C1537=""),"",IF(OR(H1537="İade",H1537="İptal"),0,E1537*IFERROR(INDEX(Kanallar!$B$5:$B$19,MATCH(C1537,Kanallar!$A$5:$A$19,0)),0)))</f>
        <v/>
      </c>
      <c r="J1537" s="16" t="str">
        <f aca="false">IF(I1537="","",IF(H1537="İptal",0,IF(H1537="İade",-G1537,E1537-I1537-F1537-G1537)))</f>
        <v/>
      </c>
    </row>
    <row r="1538" customFormat="false" ht="15" hidden="false" customHeight="false" outlineLevel="0" collapsed="false">
      <c r="A1538" s="12"/>
      <c r="B1538" s="13"/>
      <c r="C1538" s="14"/>
      <c r="D1538" s="13"/>
      <c r="E1538" s="15"/>
      <c r="F1538" s="15"/>
      <c r="G1538" s="15"/>
      <c r="H1538" s="14"/>
      <c r="I1538" s="16" t="str">
        <f aca="false">IF(OR(A1538="",C1538=""),"",IF(OR(H1538="İade",H1538="İptal"),0,E1538*IFERROR(INDEX(Kanallar!$B$5:$B$19,MATCH(C1538,Kanallar!$A$5:$A$19,0)),0)))</f>
        <v/>
      </c>
      <c r="J1538" s="16" t="str">
        <f aca="false">IF(I1538="","",IF(H1538="İptal",0,IF(H1538="İade",-G1538,E1538-I1538-F1538-G1538)))</f>
        <v/>
      </c>
    </row>
    <row r="1539" customFormat="false" ht="15" hidden="false" customHeight="false" outlineLevel="0" collapsed="false">
      <c r="A1539" s="12"/>
      <c r="B1539" s="13"/>
      <c r="C1539" s="14"/>
      <c r="D1539" s="13"/>
      <c r="E1539" s="15"/>
      <c r="F1539" s="15"/>
      <c r="G1539" s="15"/>
      <c r="H1539" s="14"/>
      <c r="I1539" s="16" t="str">
        <f aca="false">IF(OR(A1539="",C1539=""),"",IF(OR(H1539="İade",H1539="İptal"),0,E1539*IFERROR(INDEX(Kanallar!$B$5:$B$19,MATCH(C1539,Kanallar!$A$5:$A$19,0)),0)))</f>
        <v/>
      </c>
      <c r="J1539" s="16" t="str">
        <f aca="false">IF(I1539="","",IF(H1539="İptal",0,IF(H1539="İade",-G1539,E1539-I1539-F1539-G1539)))</f>
        <v/>
      </c>
    </row>
    <row r="1540" customFormat="false" ht="15" hidden="false" customHeight="false" outlineLevel="0" collapsed="false">
      <c r="A1540" s="12"/>
      <c r="B1540" s="13"/>
      <c r="C1540" s="14"/>
      <c r="D1540" s="13"/>
      <c r="E1540" s="15"/>
      <c r="F1540" s="15"/>
      <c r="G1540" s="15"/>
      <c r="H1540" s="14"/>
      <c r="I1540" s="16" t="str">
        <f aca="false">IF(OR(A1540="",C1540=""),"",IF(OR(H1540="İade",H1540="İptal"),0,E1540*IFERROR(INDEX(Kanallar!$B$5:$B$19,MATCH(C1540,Kanallar!$A$5:$A$19,0)),0)))</f>
        <v/>
      </c>
      <c r="J1540" s="16" t="str">
        <f aca="false">IF(I1540="","",IF(H1540="İptal",0,IF(H1540="İade",-G1540,E1540-I1540-F1540-G1540)))</f>
        <v/>
      </c>
    </row>
    <row r="1541" customFormat="false" ht="15" hidden="false" customHeight="false" outlineLevel="0" collapsed="false">
      <c r="A1541" s="12"/>
      <c r="B1541" s="13"/>
      <c r="C1541" s="14"/>
      <c r="D1541" s="13"/>
      <c r="E1541" s="15"/>
      <c r="F1541" s="15"/>
      <c r="G1541" s="15"/>
      <c r="H1541" s="14"/>
      <c r="I1541" s="16" t="str">
        <f aca="false">IF(OR(A1541="",C1541=""),"",IF(OR(H1541="İade",H1541="İptal"),0,E1541*IFERROR(INDEX(Kanallar!$B$5:$B$19,MATCH(C1541,Kanallar!$A$5:$A$19,0)),0)))</f>
        <v/>
      </c>
      <c r="J1541" s="16" t="str">
        <f aca="false">IF(I1541="","",IF(H1541="İptal",0,IF(H1541="İade",-G1541,E1541-I1541-F1541-G1541)))</f>
        <v/>
      </c>
    </row>
    <row r="1542" customFormat="false" ht="15" hidden="false" customHeight="false" outlineLevel="0" collapsed="false">
      <c r="A1542" s="12"/>
      <c r="B1542" s="13"/>
      <c r="C1542" s="14"/>
      <c r="D1542" s="13"/>
      <c r="E1542" s="15"/>
      <c r="F1542" s="15"/>
      <c r="G1542" s="15"/>
      <c r="H1542" s="14"/>
      <c r="I1542" s="16" t="str">
        <f aca="false">IF(OR(A1542="",C1542=""),"",IF(OR(H1542="İade",H1542="İptal"),0,E1542*IFERROR(INDEX(Kanallar!$B$5:$B$19,MATCH(C1542,Kanallar!$A$5:$A$19,0)),0)))</f>
        <v/>
      </c>
      <c r="J1542" s="16" t="str">
        <f aca="false">IF(I1542="","",IF(H1542="İptal",0,IF(H1542="İade",-G1542,E1542-I1542-F1542-G1542)))</f>
        <v/>
      </c>
    </row>
    <row r="1543" customFormat="false" ht="15" hidden="false" customHeight="false" outlineLevel="0" collapsed="false">
      <c r="A1543" s="12"/>
      <c r="B1543" s="13"/>
      <c r="C1543" s="14"/>
      <c r="D1543" s="13"/>
      <c r="E1543" s="15"/>
      <c r="F1543" s="15"/>
      <c r="G1543" s="15"/>
      <c r="H1543" s="14"/>
      <c r="I1543" s="16" t="str">
        <f aca="false">IF(OR(A1543="",C1543=""),"",IF(OR(H1543="İade",H1543="İptal"),0,E1543*IFERROR(INDEX(Kanallar!$B$5:$B$19,MATCH(C1543,Kanallar!$A$5:$A$19,0)),0)))</f>
        <v/>
      </c>
      <c r="J1543" s="16" t="str">
        <f aca="false">IF(I1543="","",IF(H1543="İptal",0,IF(H1543="İade",-G1543,E1543-I1543-F1543-G1543)))</f>
        <v/>
      </c>
    </row>
    <row r="1544" customFormat="false" ht="15" hidden="false" customHeight="false" outlineLevel="0" collapsed="false">
      <c r="A1544" s="12"/>
      <c r="B1544" s="13"/>
      <c r="C1544" s="14"/>
      <c r="D1544" s="13"/>
      <c r="E1544" s="15"/>
      <c r="F1544" s="15"/>
      <c r="G1544" s="15"/>
      <c r="H1544" s="14"/>
      <c r="I1544" s="16" t="str">
        <f aca="false">IF(OR(A1544="",C1544=""),"",IF(OR(H1544="İade",H1544="İptal"),0,E1544*IFERROR(INDEX(Kanallar!$B$5:$B$19,MATCH(C1544,Kanallar!$A$5:$A$19,0)),0)))</f>
        <v/>
      </c>
      <c r="J1544" s="16" t="str">
        <f aca="false">IF(I1544="","",IF(H1544="İptal",0,IF(H1544="İade",-G1544,E1544-I1544-F1544-G1544)))</f>
        <v/>
      </c>
    </row>
    <row r="1545" customFormat="false" ht="15" hidden="false" customHeight="false" outlineLevel="0" collapsed="false">
      <c r="A1545" s="12"/>
      <c r="B1545" s="13"/>
      <c r="C1545" s="14"/>
      <c r="D1545" s="13"/>
      <c r="E1545" s="15"/>
      <c r="F1545" s="15"/>
      <c r="G1545" s="15"/>
      <c r="H1545" s="14"/>
      <c r="I1545" s="16" t="str">
        <f aca="false">IF(OR(A1545="",C1545=""),"",IF(OR(H1545="İade",H1545="İptal"),0,E1545*IFERROR(INDEX(Kanallar!$B$5:$B$19,MATCH(C1545,Kanallar!$A$5:$A$19,0)),0)))</f>
        <v/>
      </c>
      <c r="J1545" s="16" t="str">
        <f aca="false">IF(I1545="","",IF(H1545="İptal",0,IF(H1545="İade",-G1545,E1545-I1545-F1545-G1545)))</f>
        <v/>
      </c>
    </row>
    <row r="1546" customFormat="false" ht="15" hidden="false" customHeight="false" outlineLevel="0" collapsed="false">
      <c r="A1546" s="12"/>
      <c r="B1546" s="13"/>
      <c r="C1546" s="14"/>
      <c r="D1546" s="13"/>
      <c r="E1546" s="15"/>
      <c r="F1546" s="15"/>
      <c r="G1546" s="15"/>
      <c r="H1546" s="14"/>
      <c r="I1546" s="16" t="str">
        <f aca="false">IF(OR(A1546="",C1546=""),"",IF(OR(H1546="İade",H1546="İptal"),0,E1546*IFERROR(INDEX(Kanallar!$B$5:$B$19,MATCH(C1546,Kanallar!$A$5:$A$19,0)),0)))</f>
        <v/>
      </c>
      <c r="J1546" s="16" t="str">
        <f aca="false">IF(I1546="","",IF(H1546="İptal",0,IF(H1546="İade",-G1546,E1546-I1546-F1546-G1546)))</f>
        <v/>
      </c>
    </row>
    <row r="1547" customFormat="false" ht="15" hidden="false" customHeight="false" outlineLevel="0" collapsed="false">
      <c r="A1547" s="12"/>
      <c r="B1547" s="13"/>
      <c r="C1547" s="14"/>
      <c r="D1547" s="13"/>
      <c r="E1547" s="15"/>
      <c r="F1547" s="15"/>
      <c r="G1547" s="15"/>
      <c r="H1547" s="14"/>
      <c r="I1547" s="16" t="str">
        <f aca="false">IF(OR(A1547="",C1547=""),"",IF(OR(H1547="İade",H1547="İptal"),0,E1547*IFERROR(INDEX(Kanallar!$B$5:$B$19,MATCH(C1547,Kanallar!$A$5:$A$19,0)),0)))</f>
        <v/>
      </c>
      <c r="J1547" s="16" t="str">
        <f aca="false">IF(I1547="","",IF(H1547="İptal",0,IF(H1547="İade",-G1547,E1547-I1547-F1547-G1547)))</f>
        <v/>
      </c>
    </row>
    <row r="1548" customFormat="false" ht="15" hidden="false" customHeight="false" outlineLevel="0" collapsed="false">
      <c r="A1548" s="12"/>
      <c r="B1548" s="13"/>
      <c r="C1548" s="14"/>
      <c r="D1548" s="13"/>
      <c r="E1548" s="15"/>
      <c r="F1548" s="15"/>
      <c r="G1548" s="15"/>
      <c r="H1548" s="14"/>
      <c r="I1548" s="16" t="str">
        <f aca="false">IF(OR(A1548="",C1548=""),"",IF(OR(H1548="İade",H1548="İptal"),0,E1548*IFERROR(INDEX(Kanallar!$B$5:$B$19,MATCH(C1548,Kanallar!$A$5:$A$19,0)),0)))</f>
        <v/>
      </c>
      <c r="J1548" s="16" t="str">
        <f aca="false">IF(I1548="","",IF(H1548="İptal",0,IF(H1548="İade",-G1548,E1548-I1548-F1548-G1548)))</f>
        <v/>
      </c>
    </row>
    <row r="1549" customFormat="false" ht="15" hidden="false" customHeight="false" outlineLevel="0" collapsed="false">
      <c r="A1549" s="12"/>
      <c r="B1549" s="13"/>
      <c r="C1549" s="14"/>
      <c r="D1549" s="13"/>
      <c r="E1549" s="15"/>
      <c r="F1549" s="15"/>
      <c r="G1549" s="15"/>
      <c r="H1549" s="14"/>
      <c r="I1549" s="16" t="str">
        <f aca="false">IF(OR(A1549="",C1549=""),"",IF(OR(H1549="İade",H1549="İptal"),0,E1549*IFERROR(INDEX(Kanallar!$B$5:$B$19,MATCH(C1549,Kanallar!$A$5:$A$19,0)),0)))</f>
        <v/>
      </c>
      <c r="J1549" s="16" t="str">
        <f aca="false">IF(I1549="","",IF(H1549="İptal",0,IF(H1549="İade",-G1549,E1549-I1549-F1549-G1549)))</f>
        <v/>
      </c>
    </row>
    <row r="1550" customFormat="false" ht="15" hidden="false" customHeight="false" outlineLevel="0" collapsed="false">
      <c r="A1550" s="12"/>
      <c r="B1550" s="13"/>
      <c r="C1550" s="14"/>
      <c r="D1550" s="13"/>
      <c r="E1550" s="15"/>
      <c r="F1550" s="15"/>
      <c r="G1550" s="15"/>
      <c r="H1550" s="14"/>
      <c r="I1550" s="16" t="str">
        <f aca="false">IF(OR(A1550="",C1550=""),"",IF(OR(H1550="İade",H1550="İptal"),0,E1550*IFERROR(INDEX(Kanallar!$B$5:$B$19,MATCH(C1550,Kanallar!$A$5:$A$19,0)),0)))</f>
        <v/>
      </c>
      <c r="J1550" s="16" t="str">
        <f aca="false">IF(I1550="","",IF(H1550="İptal",0,IF(H1550="İade",-G1550,E1550-I1550-F1550-G1550)))</f>
        <v/>
      </c>
    </row>
    <row r="1551" customFormat="false" ht="15" hidden="false" customHeight="false" outlineLevel="0" collapsed="false">
      <c r="A1551" s="12"/>
      <c r="B1551" s="13"/>
      <c r="C1551" s="14"/>
      <c r="D1551" s="13"/>
      <c r="E1551" s="15"/>
      <c r="F1551" s="15"/>
      <c r="G1551" s="15"/>
      <c r="H1551" s="14"/>
      <c r="I1551" s="16" t="str">
        <f aca="false">IF(OR(A1551="",C1551=""),"",IF(OR(H1551="İade",H1551="İptal"),0,E1551*IFERROR(INDEX(Kanallar!$B$5:$B$19,MATCH(C1551,Kanallar!$A$5:$A$19,0)),0)))</f>
        <v/>
      </c>
      <c r="J1551" s="16" t="str">
        <f aca="false">IF(I1551="","",IF(H1551="İptal",0,IF(H1551="İade",-G1551,E1551-I1551-F1551-G1551)))</f>
        <v/>
      </c>
    </row>
    <row r="1552" customFormat="false" ht="15" hidden="false" customHeight="false" outlineLevel="0" collapsed="false">
      <c r="A1552" s="12"/>
      <c r="B1552" s="13"/>
      <c r="C1552" s="14"/>
      <c r="D1552" s="13"/>
      <c r="E1552" s="15"/>
      <c r="F1552" s="15"/>
      <c r="G1552" s="15"/>
      <c r="H1552" s="14"/>
      <c r="I1552" s="16" t="str">
        <f aca="false">IF(OR(A1552="",C1552=""),"",IF(OR(H1552="İade",H1552="İptal"),0,E1552*IFERROR(INDEX(Kanallar!$B$5:$B$19,MATCH(C1552,Kanallar!$A$5:$A$19,0)),0)))</f>
        <v/>
      </c>
      <c r="J1552" s="16" t="str">
        <f aca="false">IF(I1552="","",IF(H1552="İptal",0,IF(H1552="İade",-G1552,E1552-I1552-F1552-G1552)))</f>
        <v/>
      </c>
    </row>
    <row r="1553" customFormat="false" ht="15" hidden="false" customHeight="false" outlineLevel="0" collapsed="false">
      <c r="A1553" s="12"/>
      <c r="B1553" s="13"/>
      <c r="C1553" s="14"/>
      <c r="D1553" s="13"/>
      <c r="E1553" s="15"/>
      <c r="F1553" s="15"/>
      <c r="G1553" s="15"/>
      <c r="H1553" s="14"/>
      <c r="I1553" s="16" t="str">
        <f aca="false">IF(OR(A1553="",C1553=""),"",IF(OR(H1553="İade",H1553="İptal"),0,E1553*IFERROR(INDEX(Kanallar!$B$5:$B$19,MATCH(C1553,Kanallar!$A$5:$A$19,0)),0)))</f>
        <v/>
      </c>
      <c r="J1553" s="16" t="str">
        <f aca="false">IF(I1553="","",IF(H1553="İptal",0,IF(H1553="İade",-G1553,E1553-I1553-F1553-G1553)))</f>
        <v/>
      </c>
    </row>
    <row r="1554" customFormat="false" ht="15" hidden="false" customHeight="false" outlineLevel="0" collapsed="false">
      <c r="A1554" s="12"/>
      <c r="B1554" s="13"/>
      <c r="C1554" s="14"/>
      <c r="D1554" s="13"/>
      <c r="E1554" s="15"/>
      <c r="F1554" s="15"/>
      <c r="G1554" s="15"/>
      <c r="H1554" s="14"/>
      <c r="I1554" s="16" t="str">
        <f aca="false">IF(OR(A1554="",C1554=""),"",IF(OR(H1554="İade",H1554="İptal"),0,E1554*IFERROR(INDEX(Kanallar!$B$5:$B$19,MATCH(C1554,Kanallar!$A$5:$A$19,0)),0)))</f>
        <v/>
      </c>
      <c r="J1554" s="16" t="str">
        <f aca="false">IF(I1554="","",IF(H1554="İptal",0,IF(H1554="İade",-G1554,E1554-I1554-F1554-G1554)))</f>
        <v/>
      </c>
    </row>
    <row r="1555" customFormat="false" ht="15" hidden="false" customHeight="false" outlineLevel="0" collapsed="false">
      <c r="A1555" s="12"/>
      <c r="B1555" s="13"/>
      <c r="C1555" s="14"/>
      <c r="D1555" s="13"/>
      <c r="E1555" s="15"/>
      <c r="F1555" s="15"/>
      <c r="G1555" s="15"/>
      <c r="H1555" s="14"/>
      <c r="I1555" s="16" t="str">
        <f aca="false">IF(OR(A1555="",C1555=""),"",IF(OR(H1555="İade",H1555="İptal"),0,E1555*IFERROR(INDEX(Kanallar!$B$5:$B$19,MATCH(C1555,Kanallar!$A$5:$A$19,0)),0)))</f>
        <v/>
      </c>
      <c r="J1555" s="16" t="str">
        <f aca="false">IF(I1555="","",IF(H1555="İptal",0,IF(H1555="İade",-G1555,E1555-I1555-F1555-G1555)))</f>
        <v/>
      </c>
    </row>
    <row r="1556" customFormat="false" ht="15" hidden="false" customHeight="false" outlineLevel="0" collapsed="false">
      <c r="A1556" s="12"/>
      <c r="B1556" s="13"/>
      <c r="C1556" s="14"/>
      <c r="D1556" s="13"/>
      <c r="E1556" s="15"/>
      <c r="F1556" s="15"/>
      <c r="G1556" s="15"/>
      <c r="H1556" s="14"/>
      <c r="I1556" s="16" t="str">
        <f aca="false">IF(OR(A1556="",C1556=""),"",IF(OR(H1556="İade",H1556="İptal"),0,E1556*IFERROR(INDEX(Kanallar!$B$5:$B$19,MATCH(C1556,Kanallar!$A$5:$A$19,0)),0)))</f>
        <v/>
      </c>
      <c r="J1556" s="16" t="str">
        <f aca="false">IF(I1556="","",IF(H1556="İptal",0,IF(H1556="İade",-G1556,E1556-I1556-F1556-G1556)))</f>
        <v/>
      </c>
    </row>
    <row r="1557" customFormat="false" ht="15" hidden="false" customHeight="false" outlineLevel="0" collapsed="false">
      <c r="A1557" s="12"/>
      <c r="B1557" s="13"/>
      <c r="C1557" s="14"/>
      <c r="D1557" s="13"/>
      <c r="E1557" s="15"/>
      <c r="F1557" s="15"/>
      <c r="G1557" s="15"/>
      <c r="H1557" s="14"/>
      <c r="I1557" s="16" t="str">
        <f aca="false">IF(OR(A1557="",C1557=""),"",IF(OR(H1557="İade",H1557="İptal"),0,E1557*IFERROR(INDEX(Kanallar!$B$5:$B$19,MATCH(C1557,Kanallar!$A$5:$A$19,0)),0)))</f>
        <v/>
      </c>
      <c r="J1557" s="16" t="str">
        <f aca="false">IF(I1557="","",IF(H1557="İptal",0,IF(H1557="İade",-G1557,E1557-I1557-F1557-G1557)))</f>
        <v/>
      </c>
    </row>
    <row r="1558" customFormat="false" ht="15" hidden="false" customHeight="false" outlineLevel="0" collapsed="false">
      <c r="A1558" s="12"/>
      <c r="B1558" s="13"/>
      <c r="C1558" s="14"/>
      <c r="D1558" s="13"/>
      <c r="E1558" s="15"/>
      <c r="F1558" s="15"/>
      <c r="G1558" s="15"/>
      <c r="H1558" s="14"/>
      <c r="I1558" s="16" t="str">
        <f aca="false">IF(OR(A1558="",C1558=""),"",IF(OR(H1558="İade",H1558="İptal"),0,E1558*IFERROR(INDEX(Kanallar!$B$5:$B$19,MATCH(C1558,Kanallar!$A$5:$A$19,0)),0)))</f>
        <v/>
      </c>
      <c r="J1558" s="16" t="str">
        <f aca="false">IF(I1558="","",IF(H1558="İptal",0,IF(H1558="İade",-G1558,E1558-I1558-F1558-G1558)))</f>
        <v/>
      </c>
    </row>
    <row r="1559" customFormat="false" ht="15" hidden="false" customHeight="false" outlineLevel="0" collapsed="false">
      <c r="A1559" s="12"/>
      <c r="B1559" s="13"/>
      <c r="C1559" s="14"/>
      <c r="D1559" s="13"/>
      <c r="E1559" s="15"/>
      <c r="F1559" s="15"/>
      <c r="G1559" s="15"/>
      <c r="H1559" s="14"/>
      <c r="I1559" s="16" t="str">
        <f aca="false">IF(OR(A1559="",C1559=""),"",IF(OR(H1559="İade",H1559="İptal"),0,E1559*IFERROR(INDEX(Kanallar!$B$5:$B$19,MATCH(C1559,Kanallar!$A$5:$A$19,0)),0)))</f>
        <v/>
      </c>
      <c r="J1559" s="16" t="str">
        <f aca="false">IF(I1559="","",IF(H1559="İptal",0,IF(H1559="İade",-G1559,E1559-I1559-F1559-G1559)))</f>
        <v/>
      </c>
    </row>
    <row r="1560" customFormat="false" ht="15" hidden="false" customHeight="false" outlineLevel="0" collapsed="false">
      <c r="A1560" s="12"/>
      <c r="B1560" s="13"/>
      <c r="C1560" s="14"/>
      <c r="D1560" s="13"/>
      <c r="E1560" s="15"/>
      <c r="F1560" s="15"/>
      <c r="G1560" s="15"/>
      <c r="H1560" s="14"/>
      <c r="I1560" s="16" t="str">
        <f aca="false">IF(OR(A1560="",C1560=""),"",IF(OR(H1560="İade",H1560="İptal"),0,E1560*IFERROR(INDEX(Kanallar!$B$5:$B$19,MATCH(C1560,Kanallar!$A$5:$A$19,0)),0)))</f>
        <v/>
      </c>
      <c r="J1560" s="16" t="str">
        <f aca="false">IF(I1560="","",IF(H1560="İptal",0,IF(H1560="İade",-G1560,E1560-I1560-F1560-G1560)))</f>
        <v/>
      </c>
    </row>
    <row r="1561" customFormat="false" ht="15" hidden="false" customHeight="false" outlineLevel="0" collapsed="false">
      <c r="A1561" s="12"/>
      <c r="B1561" s="13"/>
      <c r="C1561" s="14"/>
      <c r="D1561" s="13"/>
      <c r="E1561" s="15"/>
      <c r="F1561" s="15"/>
      <c r="G1561" s="15"/>
      <c r="H1561" s="14"/>
      <c r="I1561" s="16" t="str">
        <f aca="false">IF(OR(A1561="",C1561=""),"",IF(OR(H1561="İade",H1561="İptal"),0,E1561*IFERROR(INDEX(Kanallar!$B$5:$B$19,MATCH(C1561,Kanallar!$A$5:$A$19,0)),0)))</f>
        <v/>
      </c>
      <c r="J1561" s="16" t="str">
        <f aca="false">IF(I1561="","",IF(H1561="İptal",0,IF(H1561="İade",-G1561,E1561-I1561-F1561-G1561)))</f>
        <v/>
      </c>
    </row>
    <row r="1562" customFormat="false" ht="15" hidden="false" customHeight="false" outlineLevel="0" collapsed="false">
      <c r="A1562" s="12"/>
      <c r="B1562" s="13"/>
      <c r="C1562" s="14"/>
      <c r="D1562" s="13"/>
      <c r="E1562" s="15"/>
      <c r="F1562" s="15"/>
      <c r="G1562" s="15"/>
      <c r="H1562" s="14"/>
      <c r="I1562" s="16" t="str">
        <f aca="false">IF(OR(A1562="",C1562=""),"",IF(OR(H1562="İade",H1562="İptal"),0,E1562*IFERROR(INDEX(Kanallar!$B$5:$B$19,MATCH(C1562,Kanallar!$A$5:$A$19,0)),0)))</f>
        <v/>
      </c>
      <c r="J1562" s="16" t="str">
        <f aca="false">IF(I1562="","",IF(H1562="İptal",0,IF(H1562="İade",-G1562,E1562-I1562-F1562-G1562)))</f>
        <v/>
      </c>
    </row>
    <row r="1563" customFormat="false" ht="15" hidden="false" customHeight="false" outlineLevel="0" collapsed="false">
      <c r="A1563" s="12"/>
      <c r="B1563" s="13"/>
      <c r="C1563" s="14"/>
      <c r="D1563" s="13"/>
      <c r="E1563" s="15"/>
      <c r="F1563" s="15"/>
      <c r="G1563" s="15"/>
      <c r="H1563" s="14"/>
      <c r="I1563" s="16" t="str">
        <f aca="false">IF(OR(A1563="",C1563=""),"",IF(OR(H1563="İade",H1563="İptal"),0,E1563*IFERROR(INDEX(Kanallar!$B$5:$B$19,MATCH(C1563,Kanallar!$A$5:$A$19,0)),0)))</f>
        <v/>
      </c>
      <c r="J1563" s="16" t="str">
        <f aca="false">IF(I1563="","",IF(H1563="İptal",0,IF(H1563="İade",-G1563,E1563-I1563-F1563-G1563)))</f>
        <v/>
      </c>
    </row>
    <row r="1564" customFormat="false" ht="15" hidden="false" customHeight="false" outlineLevel="0" collapsed="false">
      <c r="A1564" s="12"/>
      <c r="B1564" s="13"/>
      <c r="C1564" s="14"/>
      <c r="D1564" s="13"/>
      <c r="E1564" s="15"/>
      <c r="F1564" s="15"/>
      <c r="G1564" s="15"/>
      <c r="H1564" s="14"/>
      <c r="I1564" s="16" t="str">
        <f aca="false">IF(OR(A1564="",C1564=""),"",IF(OR(H1564="İade",H1564="İptal"),0,E1564*IFERROR(INDEX(Kanallar!$B$5:$B$19,MATCH(C1564,Kanallar!$A$5:$A$19,0)),0)))</f>
        <v/>
      </c>
      <c r="J1564" s="16" t="str">
        <f aca="false">IF(I1564="","",IF(H1564="İptal",0,IF(H1564="İade",-G1564,E1564-I1564-F1564-G1564)))</f>
        <v/>
      </c>
    </row>
    <row r="1565" customFormat="false" ht="15" hidden="false" customHeight="false" outlineLevel="0" collapsed="false">
      <c r="A1565" s="12"/>
      <c r="B1565" s="13"/>
      <c r="C1565" s="14"/>
      <c r="D1565" s="13"/>
      <c r="E1565" s="15"/>
      <c r="F1565" s="15"/>
      <c r="G1565" s="15"/>
      <c r="H1565" s="14"/>
      <c r="I1565" s="16" t="str">
        <f aca="false">IF(OR(A1565="",C1565=""),"",IF(OR(H1565="İade",H1565="İptal"),0,E1565*IFERROR(INDEX(Kanallar!$B$5:$B$19,MATCH(C1565,Kanallar!$A$5:$A$19,0)),0)))</f>
        <v/>
      </c>
      <c r="J1565" s="16" t="str">
        <f aca="false">IF(I1565="","",IF(H1565="İptal",0,IF(H1565="İade",-G1565,E1565-I1565-F1565-G1565)))</f>
        <v/>
      </c>
    </row>
    <row r="1566" customFormat="false" ht="15" hidden="false" customHeight="false" outlineLevel="0" collapsed="false">
      <c r="A1566" s="12"/>
      <c r="B1566" s="13"/>
      <c r="C1566" s="14"/>
      <c r="D1566" s="13"/>
      <c r="E1566" s="15"/>
      <c r="F1566" s="15"/>
      <c r="G1566" s="15"/>
      <c r="H1566" s="14"/>
      <c r="I1566" s="16" t="str">
        <f aca="false">IF(OR(A1566="",C1566=""),"",IF(OR(H1566="İade",H1566="İptal"),0,E1566*IFERROR(INDEX(Kanallar!$B$5:$B$19,MATCH(C1566,Kanallar!$A$5:$A$19,0)),0)))</f>
        <v/>
      </c>
      <c r="J1566" s="16" t="str">
        <f aca="false">IF(I1566="","",IF(H1566="İptal",0,IF(H1566="İade",-G1566,E1566-I1566-F1566-G1566)))</f>
        <v/>
      </c>
    </row>
    <row r="1567" customFormat="false" ht="15" hidden="false" customHeight="false" outlineLevel="0" collapsed="false">
      <c r="A1567" s="12"/>
      <c r="B1567" s="13"/>
      <c r="C1567" s="14"/>
      <c r="D1567" s="13"/>
      <c r="E1567" s="15"/>
      <c r="F1567" s="15"/>
      <c r="G1567" s="15"/>
      <c r="H1567" s="14"/>
      <c r="I1567" s="16" t="str">
        <f aca="false">IF(OR(A1567="",C1567=""),"",IF(OR(H1567="İade",H1567="İptal"),0,E1567*IFERROR(INDEX(Kanallar!$B$5:$B$19,MATCH(C1567,Kanallar!$A$5:$A$19,0)),0)))</f>
        <v/>
      </c>
      <c r="J1567" s="16" t="str">
        <f aca="false">IF(I1567="","",IF(H1567="İptal",0,IF(H1567="İade",-G1567,E1567-I1567-F1567-G1567)))</f>
        <v/>
      </c>
    </row>
    <row r="1568" customFormat="false" ht="15" hidden="false" customHeight="false" outlineLevel="0" collapsed="false">
      <c r="A1568" s="12"/>
      <c r="B1568" s="13"/>
      <c r="C1568" s="14"/>
      <c r="D1568" s="13"/>
      <c r="E1568" s="15"/>
      <c r="F1568" s="15"/>
      <c r="G1568" s="15"/>
      <c r="H1568" s="14"/>
      <c r="I1568" s="16" t="str">
        <f aca="false">IF(OR(A1568="",C1568=""),"",IF(OR(H1568="İade",H1568="İptal"),0,E1568*IFERROR(INDEX(Kanallar!$B$5:$B$19,MATCH(C1568,Kanallar!$A$5:$A$19,0)),0)))</f>
        <v/>
      </c>
      <c r="J1568" s="16" t="str">
        <f aca="false">IF(I1568="","",IF(H1568="İptal",0,IF(H1568="İade",-G1568,E1568-I1568-F1568-G1568)))</f>
        <v/>
      </c>
    </row>
    <row r="1569" customFormat="false" ht="15" hidden="false" customHeight="false" outlineLevel="0" collapsed="false">
      <c r="A1569" s="12"/>
      <c r="B1569" s="13"/>
      <c r="C1569" s="14"/>
      <c r="D1569" s="13"/>
      <c r="E1569" s="15"/>
      <c r="F1569" s="15"/>
      <c r="G1569" s="15"/>
      <c r="H1569" s="14"/>
      <c r="I1569" s="16" t="str">
        <f aca="false">IF(OR(A1569="",C1569=""),"",IF(OR(H1569="İade",H1569="İptal"),0,E1569*IFERROR(INDEX(Kanallar!$B$5:$B$19,MATCH(C1569,Kanallar!$A$5:$A$19,0)),0)))</f>
        <v/>
      </c>
      <c r="J1569" s="16" t="str">
        <f aca="false">IF(I1569="","",IF(H1569="İptal",0,IF(H1569="İade",-G1569,E1569-I1569-F1569-G1569)))</f>
        <v/>
      </c>
    </row>
    <row r="1570" customFormat="false" ht="15" hidden="false" customHeight="false" outlineLevel="0" collapsed="false">
      <c r="A1570" s="12"/>
      <c r="B1570" s="13"/>
      <c r="C1570" s="14"/>
      <c r="D1570" s="13"/>
      <c r="E1570" s="15"/>
      <c r="F1570" s="15"/>
      <c r="G1570" s="15"/>
      <c r="H1570" s="14"/>
      <c r="I1570" s="16" t="str">
        <f aca="false">IF(OR(A1570="",C1570=""),"",IF(OR(H1570="İade",H1570="İptal"),0,E1570*IFERROR(INDEX(Kanallar!$B$5:$B$19,MATCH(C1570,Kanallar!$A$5:$A$19,0)),0)))</f>
        <v/>
      </c>
      <c r="J1570" s="16" t="str">
        <f aca="false">IF(I1570="","",IF(H1570="İptal",0,IF(H1570="İade",-G1570,E1570-I1570-F1570-G1570)))</f>
        <v/>
      </c>
    </row>
    <row r="1571" customFormat="false" ht="15" hidden="false" customHeight="false" outlineLevel="0" collapsed="false">
      <c r="A1571" s="12"/>
      <c r="B1571" s="13"/>
      <c r="C1571" s="14"/>
      <c r="D1571" s="13"/>
      <c r="E1571" s="15"/>
      <c r="F1571" s="15"/>
      <c r="G1571" s="15"/>
      <c r="H1571" s="14"/>
      <c r="I1571" s="16" t="str">
        <f aca="false">IF(OR(A1571="",C1571=""),"",IF(OR(H1571="İade",H1571="İptal"),0,E1571*IFERROR(INDEX(Kanallar!$B$5:$B$19,MATCH(C1571,Kanallar!$A$5:$A$19,0)),0)))</f>
        <v/>
      </c>
      <c r="J1571" s="16" t="str">
        <f aca="false">IF(I1571="","",IF(H1571="İptal",0,IF(H1571="İade",-G1571,E1571-I1571-F1571-G1571)))</f>
        <v/>
      </c>
    </row>
    <row r="1572" customFormat="false" ht="15" hidden="false" customHeight="false" outlineLevel="0" collapsed="false">
      <c r="A1572" s="12"/>
      <c r="B1572" s="13"/>
      <c r="C1572" s="14"/>
      <c r="D1572" s="13"/>
      <c r="E1572" s="15"/>
      <c r="F1572" s="15"/>
      <c r="G1572" s="15"/>
      <c r="H1572" s="14"/>
      <c r="I1572" s="16" t="str">
        <f aca="false">IF(OR(A1572="",C1572=""),"",IF(OR(H1572="İade",H1572="İptal"),0,E1572*IFERROR(INDEX(Kanallar!$B$5:$B$19,MATCH(C1572,Kanallar!$A$5:$A$19,0)),0)))</f>
        <v/>
      </c>
      <c r="J1572" s="16" t="str">
        <f aca="false">IF(I1572="","",IF(H1572="İptal",0,IF(H1572="İade",-G1572,E1572-I1572-F1572-G1572)))</f>
        <v/>
      </c>
    </row>
    <row r="1573" customFormat="false" ht="15" hidden="false" customHeight="false" outlineLevel="0" collapsed="false">
      <c r="A1573" s="12"/>
      <c r="B1573" s="13"/>
      <c r="C1573" s="14"/>
      <c r="D1573" s="13"/>
      <c r="E1573" s="15"/>
      <c r="F1573" s="15"/>
      <c r="G1573" s="15"/>
      <c r="H1573" s="14"/>
      <c r="I1573" s="16" t="str">
        <f aca="false">IF(OR(A1573="",C1573=""),"",IF(OR(H1573="İade",H1573="İptal"),0,E1573*IFERROR(INDEX(Kanallar!$B$5:$B$19,MATCH(C1573,Kanallar!$A$5:$A$19,0)),0)))</f>
        <v/>
      </c>
      <c r="J1573" s="16" t="str">
        <f aca="false">IF(I1573="","",IF(H1573="İptal",0,IF(H1573="İade",-G1573,E1573-I1573-F1573-G1573)))</f>
        <v/>
      </c>
    </row>
    <row r="1574" customFormat="false" ht="15" hidden="false" customHeight="false" outlineLevel="0" collapsed="false">
      <c r="A1574" s="12"/>
      <c r="B1574" s="13"/>
      <c r="C1574" s="14"/>
      <c r="D1574" s="13"/>
      <c r="E1574" s="15"/>
      <c r="F1574" s="15"/>
      <c r="G1574" s="15"/>
      <c r="H1574" s="14"/>
      <c r="I1574" s="16" t="str">
        <f aca="false">IF(OR(A1574="",C1574=""),"",IF(OR(H1574="İade",H1574="İptal"),0,E1574*IFERROR(INDEX(Kanallar!$B$5:$B$19,MATCH(C1574,Kanallar!$A$5:$A$19,0)),0)))</f>
        <v/>
      </c>
      <c r="J1574" s="16" t="str">
        <f aca="false">IF(I1574="","",IF(H1574="İptal",0,IF(H1574="İade",-G1574,E1574-I1574-F1574-G1574)))</f>
        <v/>
      </c>
    </row>
    <row r="1575" customFormat="false" ht="15" hidden="false" customHeight="false" outlineLevel="0" collapsed="false">
      <c r="A1575" s="12"/>
      <c r="B1575" s="13"/>
      <c r="C1575" s="14"/>
      <c r="D1575" s="13"/>
      <c r="E1575" s="15"/>
      <c r="F1575" s="15"/>
      <c r="G1575" s="15"/>
      <c r="H1575" s="14"/>
      <c r="I1575" s="16" t="str">
        <f aca="false">IF(OR(A1575="",C1575=""),"",IF(OR(H1575="İade",H1575="İptal"),0,E1575*IFERROR(INDEX(Kanallar!$B$5:$B$19,MATCH(C1575,Kanallar!$A$5:$A$19,0)),0)))</f>
        <v/>
      </c>
      <c r="J1575" s="16" t="str">
        <f aca="false">IF(I1575="","",IF(H1575="İptal",0,IF(H1575="İade",-G1575,E1575-I1575-F1575-G1575)))</f>
        <v/>
      </c>
    </row>
    <row r="1576" customFormat="false" ht="15" hidden="false" customHeight="false" outlineLevel="0" collapsed="false">
      <c r="A1576" s="12"/>
      <c r="B1576" s="13"/>
      <c r="C1576" s="14"/>
      <c r="D1576" s="13"/>
      <c r="E1576" s="15"/>
      <c r="F1576" s="15"/>
      <c r="G1576" s="15"/>
      <c r="H1576" s="14"/>
      <c r="I1576" s="16" t="str">
        <f aca="false">IF(OR(A1576="",C1576=""),"",IF(OR(H1576="İade",H1576="İptal"),0,E1576*IFERROR(INDEX(Kanallar!$B$5:$B$19,MATCH(C1576,Kanallar!$A$5:$A$19,0)),0)))</f>
        <v/>
      </c>
      <c r="J1576" s="16" t="str">
        <f aca="false">IF(I1576="","",IF(H1576="İptal",0,IF(H1576="İade",-G1576,E1576-I1576-F1576-G1576)))</f>
        <v/>
      </c>
    </row>
    <row r="1577" customFormat="false" ht="15" hidden="false" customHeight="false" outlineLevel="0" collapsed="false">
      <c r="A1577" s="12"/>
      <c r="B1577" s="13"/>
      <c r="C1577" s="14"/>
      <c r="D1577" s="13"/>
      <c r="E1577" s="15"/>
      <c r="F1577" s="15"/>
      <c r="G1577" s="15"/>
      <c r="H1577" s="14"/>
      <c r="I1577" s="16" t="str">
        <f aca="false">IF(OR(A1577="",C1577=""),"",IF(OR(H1577="İade",H1577="İptal"),0,E1577*IFERROR(INDEX(Kanallar!$B$5:$B$19,MATCH(C1577,Kanallar!$A$5:$A$19,0)),0)))</f>
        <v/>
      </c>
      <c r="J1577" s="16" t="str">
        <f aca="false">IF(I1577="","",IF(H1577="İptal",0,IF(H1577="İade",-G1577,E1577-I1577-F1577-G1577)))</f>
        <v/>
      </c>
    </row>
    <row r="1578" customFormat="false" ht="15" hidden="false" customHeight="false" outlineLevel="0" collapsed="false">
      <c r="A1578" s="12"/>
      <c r="B1578" s="13"/>
      <c r="C1578" s="14"/>
      <c r="D1578" s="13"/>
      <c r="E1578" s="15"/>
      <c r="F1578" s="15"/>
      <c r="G1578" s="15"/>
      <c r="H1578" s="14"/>
      <c r="I1578" s="16" t="str">
        <f aca="false">IF(OR(A1578="",C1578=""),"",IF(OR(H1578="İade",H1578="İptal"),0,E1578*IFERROR(INDEX(Kanallar!$B$5:$B$19,MATCH(C1578,Kanallar!$A$5:$A$19,0)),0)))</f>
        <v/>
      </c>
      <c r="J1578" s="16" t="str">
        <f aca="false">IF(I1578="","",IF(H1578="İptal",0,IF(H1578="İade",-G1578,E1578-I1578-F1578-G1578)))</f>
        <v/>
      </c>
    </row>
    <row r="1579" customFormat="false" ht="15" hidden="false" customHeight="false" outlineLevel="0" collapsed="false">
      <c r="A1579" s="12"/>
      <c r="B1579" s="13"/>
      <c r="C1579" s="14"/>
      <c r="D1579" s="13"/>
      <c r="E1579" s="15"/>
      <c r="F1579" s="15"/>
      <c r="G1579" s="15"/>
      <c r="H1579" s="14"/>
      <c r="I1579" s="16" t="str">
        <f aca="false">IF(OR(A1579="",C1579=""),"",IF(OR(H1579="İade",H1579="İptal"),0,E1579*IFERROR(INDEX(Kanallar!$B$5:$B$19,MATCH(C1579,Kanallar!$A$5:$A$19,0)),0)))</f>
        <v/>
      </c>
      <c r="J1579" s="16" t="str">
        <f aca="false">IF(I1579="","",IF(H1579="İptal",0,IF(H1579="İade",-G1579,E1579-I1579-F1579-G1579)))</f>
        <v/>
      </c>
    </row>
    <row r="1580" customFormat="false" ht="15" hidden="false" customHeight="false" outlineLevel="0" collapsed="false">
      <c r="A1580" s="12"/>
      <c r="B1580" s="13"/>
      <c r="C1580" s="14"/>
      <c r="D1580" s="13"/>
      <c r="E1580" s="15"/>
      <c r="F1580" s="15"/>
      <c r="G1580" s="15"/>
      <c r="H1580" s="14"/>
      <c r="I1580" s="16" t="str">
        <f aca="false">IF(OR(A1580="",C1580=""),"",IF(OR(H1580="İade",H1580="İptal"),0,E1580*IFERROR(INDEX(Kanallar!$B$5:$B$19,MATCH(C1580,Kanallar!$A$5:$A$19,0)),0)))</f>
        <v/>
      </c>
      <c r="J1580" s="16" t="str">
        <f aca="false">IF(I1580="","",IF(H1580="İptal",0,IF(H1580="İade",-G1580,E1580-I1580-F1580-G1580)))</f>
        <v/>
      </c>
    </row>
    <row r="1581" customFormat="false" ht="15" hidden="false" customHeight="false" outlineLevel="0" collapsed="false">
      <c r="A1581" s="12"/>
      <c r="B1581" s="13"/>
      <c r="C1581" s="14"/>
      <c r="D1581" s="13"/>
      <c r="E1581" s="15"/>
      <c r="F1581" s="15"/>
      <c r="G1581" s="15"/>
      <c r="H1581" s="14"/>
      <c r="I1581" s="16" t="str">
        <f aca="false">IF(OR(A1581="",C1581=""),"",IF(OR(H1581="İade",H1581="İptal"),0,E1581*IFERROR(INDEX(Kanallar!$B$5:$B$19,MATCH(C1581,Kanallar!$A$5:$A$19,0)),0)))</f>
        <v/>
      </c>
      <c r="J1581" s="16" t="str">
        <f aca="false">IF(I1581="","",IF(H1581="İptal",0,IF(H1581="İade",-G1581,E1581-I1581-F1581-G1581)))</f>
        <v/>
      </c>
    </row>
    <row r="1582" customFormat="false" ht="15" hidden="false" customHeight="false" outlineLevel="0" collapsed="false">
      <c r="A1582" s="12"/>
      <c r="B1582" s="13"/>
      <c r="C1582" s="14"/>
      <c r="D1582" s="13"/>
      <c r="E1582" s="15"/>
      <c r="F1582" s="15"/>
      <c r="G1582" s="15"/>
      <c r="H1582" s="14"/>
      <c r="I1582" s="16" t="str">
        <f aca="false">IF(OR(A1582="",C1582=""),"",IF(OR(H1582="İade",H1582="İptal"),0,E1582*IFERROR(INDEX(Kanallar!$B$5:$B$19,MATCH(C1582,Kanallar!$A$5:$A$19,0)),0)))</f>
        <v/>
      </c>
      <c r="J1582" s="16" t="str">
        <f aca="false">IF(I1582="","",IF(H1582="İptal",0,IF(H1582="İade",-G1582,E1582-I1582-F1582-G1582)))</f>
        <v/>
      </c>
    </row>
    <row r="1583" customFormat="false" ht="15" hidden="false" customHeight="false" outlineLevel="0" collapsed="false">
      <c r="A1583" s="12"/>
      <c r="B1583" s="13"/>
      <c r="C1583" s="14"/>
      <c r="D1583" s="13"/>
      <c r="E1583" s="15"/>
      <c r="F1583" s="15"/>
      <c r="G1583" s="15"/>
      <c r="H1583" s="14"/>
      <c r="I1583" s="16" t="str">
        <f aca="false">IF(OR(A1583="",C1583=""),"",IF(OR(H1583="İade",H1583="İptal"),0,E1583*IFERROR(INDEX(Kanallar!$B$5:$B$19,MATCH(C1583,Kanallar!$A$5:$A$19,0)),0)))</f>
        <v/>
      </c>
      <c r="J1583" s="16" t="str">
        <f aca="false">IF(I1583="","",IF(H1583="İptal",0,IF(H1583="İade",-G1583,E1583-I1583-F1583-G1583)))</f>
        <v/>
      </c>
    </row>
    <row r="1584" customFormat="false" ht="15" hidden="false" customHeight="false" outlineLevel="0" collapsed="false">
      <c r="A1584" s="12"/>
      <c r="B1584" s="13"/>
      <c r="C1584" s="14"/>
      <c r="D1584" s="13"/>
      <c r="E1584" s="15"/>
      <c r="F1584" s="15"/>
      <c r="G1584" s="15"/>
      <c r="H1584" s="14"/>
      <c r="I1584" s="16" t="str">
        <f aca="false">IF(OR(A1584="",C1584=""),"",IF(OR(H1584="İade",H1584="İptal"),0,E1584*IFERROR(INDEX(Kanallar!$B$5:$B$19,MATCH(C1584,Kanallar!$A$5:$A$19,0)),0)))</f>
        <v/>
      </c>
      <c r="J1584" s="16" t="str">
        <f aca="false">IF(I1584="","",IF(H1584="İptal",0,IF(H1584="İade",-G1584,E1584-I1584-F1584-G1584)))</f>
        <v/>
      </c>
    </row>
    <row r="1585" customFormat="false" ht="15" hidden="false" customHeight="false" outlineLevel="0" collapsed="false">
      <c r="A1585" s="12"/>
      <c r="B1585" s="13"/>
      <c r="C1585" s="14"/>
      <c r="D1585" s="13"/>
      <c r="E1585" s="15"/>
      <c r="F1585" s="15"/>
      <c r="G1585" s="15"/>
      <c r="H1585" s="14"/>
      <c r="I1585" s="16" t="str">
        <f aca="false">IF(OR(A1585="",C1585=""),"",IF(OR(H1585="İade",H1585="İptal"),0,E1585*IFERROR(INDEX(Kanallar!$B$5:$B$19,MATCH(C1585,Kanallar!$A$5:$A$19,0)),0)))</f>
        <v/>
      </c>
      <c r="J1585" s="16" t="str">
        <f aca="false">IF(I1585="","",IF(H1585="İptal",0,IF(H1585="İade",-G1585,E1585-I1585-F1585-G1585)))</f>
        <v/>
      </c>
    </row>
    <row r="1586" customFormat="false" ht="15" hidden="false" customHeight="false" outlineLevel="0" collapsed="false">
      <c r="A1586" s="12"/>
      <c r="B1586" s="13"/>
      <c r="C1586" s="14"/>
      <c r="D1586" s="13"/>
      <c r="E1586" s="15"/>
      <c r="F1586" s="15"/>
      <c r="G1586" s="15"/>
      <c r="H1586" s="14"/>
      <c r="I1586" s="16" t="str">
        <f aca="false">IF(OR(A1586="",C1586=""),"",IF(OR(H1586="İade",H1586="İptal"),0,E1586*IFERROR(INDEX(Kanallar!$B$5:$B$19,MATCH(C1586,Kanallar!$A$5:$A$19,0)),0)))</f>
        <v/>
      </c>
      <c r="J1586" s="16" t="str">
        <f aca="false">IF(I1586="","",IF(H1586="İptal",0,IF(H1586="İade",-G1586,E1586-I1586-F1586-G1586)))</f>
        <v/>
      </c>
    </row>
    <row r="1587" customFormat="false" ht="15" hidden="false" customHeight="false" outlineLevel="0" collapsed="false">
      <c r="A1587" s="12"/>
      <c r="B1587" s="13"/>
      <c r="C1587" s="14"/>
      <c r="D1587" s="13"/>
      <c r="E1587" s="15"/>
      <c r="F1587" s="15"/>
      <c r="G1587" s="15"/>
      <c r="H1587" s="14"/>
      <c r="I1587" s="16" t="str">
        <f aca="false">IF(OR(A1587="",C1587=""),"",IF(OR(H1587="İade",H1587="İptal"),0,E1587*IFERROR(INDEX(Kanallar!$B$5:$B$19,MATCH(C1587,Kanallar!$A$5:$A$19,0)),0)))</f>
        <v/>
      </c>
      <c r="J1587" s="16" t="str">
        <f aca="false">IF(I1587="","",IF(H1587="İptal",0,IF(H1587="İade",-G1587,E1587-I1587-F1587-G1587)))</f>
        <v/>
      </c>
    </row>
    <row r="1588" customFormat="false" ht="15" hidden="false" customHeight="false" outlineLevel="0" collapsed="false">
      <c r="A1588" s="12"/>
      <c r="B1588" s="13"/>
      <c r="C1588" s="14"/>
      <c r="D1588" s="13"/>
      <c r="E1588" s="15"/>
      <c r="F1588" s="15"/>
      <c r="G1588" s="15"/>
      <c r="H1588" s="14"/>
      <c r="I1588" s="16" t="str">
        <f aca="false">IF(OR(A1588="",C1588=""),"",IF(OR(H1588="İade",H1588="İptal"),0,E1588*IFERROR(INDEX(Kanallar!$B$5:$B$19,MATCH(C1588,Kanallar!$A$5:$A$19,0)),0)))</f>
        <v/>
      </c>
      <c r="J1588" s="16" t="str">
        <f aca="false">IF(I1588="","",IF(H1588="İptal",0,IF(H1588="İade",-G1588,E1588-I1588-F1588-G1588)))</f>
        <v/>
      </c>
    </row>
    <row r="1589" customFormat="false" ht="15" hidden="false" customHeight="false" outlineLevel="0" collapsed="false">
      <c r="A1589" s="12"/>
      <c r="B1589" s="13"/>
      <c r="C1589" s="14"/>
      <c r="D1589" s="13"/>
      <c r="E1589" s="15"/>
      <c r="F1589" s="15"/>
      <c r="G1589" s="15"/>
      <c r="H1589" s="14"/>
      <c r="I1589" s="16" t="str">
        <f aca="false">IF(OR(A1589="",C1589=""),"",IF(OR(H1589="İade",H1589="İptal"),0,E1589*IFERROR(INDEX(Kanallar!$B$5:$B$19,MATCH(C1589,Kanallar!$A$5:$A$19,0)),0)))</f>
        <v/>
      </c>
      <c r="J1589" s="16" t="str">
        <f aca="false">IF(I1589="","",IF(H1589="İptal",0,IF(H1589="İade",-G1589,E1589-I1589-F1589-G1589)))</f>
        <v/>
      </c>
    </row>
    <row r="1590" customFormat="false" ht="15" hidden="false" customHeight="false" outlineLevel="0" collapsed="false">
      <c r="A1590" s="12"/>
      <c r="B1590" s="13"/>
      <c r="C1590" s="14"/>
      <c r="D1590" s="13"/>
      <c r="E1590" s="15"/>
      <c r="F1590" s="15"/>
      <c r="G1590" s="15"/>
      <c r="H1590" s="14"/>
      <c r="I1590" s="16" t="str">
        <f aca="false">IF(OR(A1590="",C1590=""),"",IF(OR(H1590="İade",H1590="İptal"),0,E1590*IFERROR(INDEX(Kanallar!$B$5:$B$19,MATCH(C1590,Kanallar!$A$5:$A$19,0)),0)))</f>
        <v/>
      </c>
      <c r="J1590" s="16" t="str">
        <f aca="false">IF(I1590="","",IF(H1590="İptal",0,IF(H1590="İade",-G1590,E1590-I1590-F1590-G1590)))</f>
        <v/>
      </c>
    </row>
    <row r="1591" customFormat="false" ht="15" hidden="false" customHeight="false" outlineLevel="0" collapsed="false">
      <c r="A1591" s="12"/>
      <c r="B1591" s="13"/>
      <c r="C1591" s="14"/>
      <c r="D1591" s="13"/>
      <c r="E1591" s="15"/>
      <c r="F1591" s="15"/>
      <c r="G1591" s="15"/>
      <c r="H1591" s="14"/>
      <c r="I1591" s="16" t="str">
        <f aca="false">IF(OR(A1591="",C1591=""),"",IF(OR(H1591="İade",H1591="İptal"),0,E1591*IFERROR(INDEX(Kanallar!$B$5:$B$19,MATCH(C1591,Kanallar!$A$5:$A$19,0)),0)))</f>
        <v/>
      </c>
      <c r="J1591" s="16" t="str">
        <f aca="false">IF(I1591="","",IF(H1591="İptal",0,IF(H1591="İade",-G1591,E1591-I1591-F1591-G1591)))</f>
        <v/>
      </c>
    </row>
    <row r="1592" customFormat="false" ht="15" hidden="false" customHeight="false" outlineLevel="0" collapsed="false">
      <c r="A1592" s="12"/>
      <c r="B1592" s="13"/>
      <c r="C1592" s="14"/>
      <c r="D1592" s="13"/>
      <c r="E1592" s="15"/>
      <c r="F1592" s="15"/>
      <c r="G1592" s="15"/>
      <c r="H1592" s="14"/>
      <c r="I1592" s="16" t="str">
        <f aca="false">IF(OR(A1592="",C1592=""),"",IF(OR(H1592="İade",H1592="İptal"),0,E1592*IFERROR(INDEX(Kanallar!$B$5:$B$19,MATCH(C1592,Kanallar!$A$5:$A$19,0)),0)))</f>
        <v/>
      </c>
      <c r="J1592" s="16" t="str">
        <f aca="false">IF(I1592="","",IF(H1592="İptal",0,IF(H1592="İade",-G1592,E1592-I1592-F1592-G1592)))</f>
        <v/>
      </c>
    </row>
    <row r="1593" customFormat="false" ht="15" hidden="false" customHeight="false" outlineLevel="0" collapsed="false">
      <c r="A1593" s="12"/>
      <c r="B1593" s="13"/>
      <c r="C1593" s="14"/>
      <c r="D1593" s="13"/>
      <c r="E1593" s="15"/>
      <c r="F1593" s="15"/>
      <c r="G1593" s="15"/>
      <c r="H1593" s="14"/>
      <c r="I1593" s="16" t="str">
        <f aca="false">IF(OR(A1593="",C1593=""),"",IF(OR(H1593="İade",H1593="İptal"),0,E1593*IFERROR(INDEX(Kanallar!$B$5:$B$19,MATCH(C1593,Kanallar!$A$5:$A$19,0)),0)))</f>
        <v/>
      </c>
      <c r="J1593" s="16" t="str">
        <f aca="false">IF(I1593="","",IF(H1593="İptal",0,IF(H1593="İade",-G1593,E1593-I1593-F1593-G1593)))</f>
        <v/>
      </c>
    </row>
    <row r="1594" customFormat="false" ht="15" hidden="false" customHeight="false" outlineLevel="0" collapsed="false">
      <c r="A1594" s="12"/>
      <c r="B1594" s="13"/>
      <c r="C1594" s="14"/>
      <c r="D1594" s="13"/>
      <c r="E1594" s="15"/>
      <c r="F1594" s="15"/>
      <c r="G1594" s="15"/>
      <c r="H1594" s="14"/>
      <c r="I1594" s="16" t="str">
        <f aca="false">IF(OR(A1594="",C1594=""),"",IF(OR(H1594="İade",H1594="İptal"),0,E1594*IFERROR(INDEX(Kanallar!$B$5:$B$19,MATCH(C1594,Kanallar!$A$5:$A$19,0)),0)))</f>
        <v/>
      </c>
      <c r="J1594" s="16" t="str">
        <f aca="false">IF(I1594="","",IF(H1594="İptal",0,IF(H1594="İade",-G1594,E1594-I1594-F1594-G1594)))</f>
        <v/>
      </c>
    </row>
    <row r="1595" customFormat="false" ht="15" hidden="false" customHeight="false" outlineLevel="0" collapsed="false">
      <c r="A1595" s="12"/>
      <c r="B1595" s="13"/>
      <c r="C1595" s="14"/>
      <c r="D1595" s="13"/>
      <c r="E1595" s="15"/>
      <c r="F1595" s="15"/>
      <c r="G1595" s="15"/>
      <c r="H1595" s="14"/>
      <c r="I1595" s="16" t="str">
        <f aca="false">IF(OR(A1595="",C1595=""),"",IF(OR(H1595="İade",H1595="İptal"),0,E1595*IFERROR(INDEX(Kanallar!$B$5:$B$19,MATCH(C1595,Kanallar!$A$5:$A$19,0)),0)))</f>
        <v/>
      </c>
      <c r="J1595" s="16" t="str">
        <f aca="false">IF(I1595="","",IF(H1595="İptal",0,IF(H1595="İade",-G1595,E1595-I1595-F1595-G1595)))</f>
        <v/>
      </c>
    </row>
    <row r="1596" customFormat="false" ht="15" hidden="false" customHeight="false" outlineLevel="0" collapsed="false">
      <c r="A1596" s="12"/>
      <c r="B1596" s="13"/>
      <c r="C1596" s="14"/>
      <c r="D1596" s="13"/>
      <c r="E1596" s="15"/>
      <c r="F1596" s="15"/>
      <c r="G1596" s="15"/>
      <c r="H1596" s="14"/>
      <c r="I1596" s="16" t="str">
        <f aca="false">IF(OR(A1596="",C1596=""),"",IF(OR(H1596="İade",H1596="İptal"),0,E1596*IFERROR(INDEX(Kanallar!$B$5:$B$19,MATCH(C1596,Kanallar!$A$5:$A$19,0)),0)))</f>
        <v/>
      </c>
      <c r="J1596" s="16" t="str">
        <f aca="false">IF(I1596="","",IF(H1596="İptal",0,IF(H1596="İade",-G1596,E1596-I1596-F1596-G1596)))</f>
        <v/>
      </c>
    </row>
    <row r="1597" customFormat="false" ht="15" hidden="false" customHeight="false" outlineLevel="0" collapsed="false">
      <c r="A1597" s="12"/>
      <c r="B1597" s="13"/>
      <c r="C1597" s="14"/>
      <c r="D1597" s="13"/>
      <c r="E1597" s="15"/>
      <c r="F1597" s="15"/>
      <c r="G1597" s="15"/>
      <c r="H1597" s="14"/>
      <c r="I1597" s="16" t="str">
        <f aca="false">IF(OR(A1597="",C1597=""),"",IF(OR(H1597="İade",H1597="İptal"),0,E1597*IFERROR(INDEX(Kanallar!$B$5:$B$19,MATCH(C1597,Kanallar!$A$5:$A$19,0)),0)))</f>
        <v/>
      </c>
      <c r="J1597" s="16" t="str">
        <f aca="false">IF(I1597="","",IF(H1597="İptal",0,IF(H1597="İade",-G1597,E1597-I1597-F1597-G1597)))</f>
        <v/>
      </c>
    </row>
    <row r="1598" customFormat="false" ht="15" hidden="false" customHeight="false" outlineLevel="0" collapsed="false">
      <c r="A1598" s="12"/>
      <c r="B1598" s="13"/>
      <c r="C1598" s="14"/>
      <c r="D1598" s="13"/>
      <c r="E1598" s="15"/>
      <c r="F1598" s="15"/>
      <c r="G1598" s="15"/>
      <c r="H1598" s="14"/>
      <c r="I1598" s="16" t="str">
        <f aca="false">IF(OR(A1598="",C1598=""),"",IF(OR(H1598="İade",H1598="İptal"),0,E1598*IFERROR(INDEX(Kanallar!$B$5:$B$19,MATCH(C1598,Kanallar!$A$5:$A$19,0)),0)))</f>
        <v/>
      </c>
      <c r="J1598" s="16" t="str">
        <f aca="false">IF(I1598="","",IF(H1598="İptal",0,IF(H1598="İade",-G1598,E1598-I1598-F1598-G1598)))</f>
        <v/>
      </c>
    </row>
    <row r="1599" customFormat="false" ht="15" hidden="false" customHeight="false" outlineLevel="0" collapsed="false">
      <c r="A1599" s="12"/>
      <c r="B1599" s="13"/>
      <c r="C1599" s="14"/>
      <c r="D1599" s="13"/>
      <c r="E1599" s="15"/>
      <c r="F1599" s="15"/>
      <c r="G1599" s="15"/>
      <c r="H1599" s="14"/>
      <c r="I1599" s="16" t="str">
        <f aca="false">IF(OR(A1599="",C1599=""),"",IF(OR(H1599="İade",H1599="İptal"),0,E1599*IFERROR(INDEX(Kanallar!$B$5:$B$19,MATCH(C1599,Kanallar!$A$5:$A$19,0)),0)))</f>
        <v/>
      </c>
      <c r="J1599" s="16" t="str">
        <f aca="false">IF(I1599="","",IF(H1599="İptal",0,IF(H1599="İade",-G1599,E1599-I1599-F1599-G1599)))</f>
        <v/>
      </c>
    </row>
    <row r="1600" customFormat="false" ht="15" hidden="false" customHeight="false" outlineLevel="0" collapsed="false">
      <c r="A1600" s="12"/>
      <c r="B1600" s="13"/>
      <c r="C1600" s="14"/>
      <c r="D1600" s="13"/>
      <c r="E1600" s="15"/>
      <c r="F1600" s="15"/>
      <c r="G1600" s="15"/>
      <c r="H1600" s="14"/>
      <c r="I1600" s="16" t="str">
        <f aca="false">IF(OR(A1600="",C1600=""),"",IF(OR(H1600="İade",H1600="İptal"),0,E1600*IFERROR(INDEX(Kanallar!$B$5:$B$19,MATCH(C1600,Kanallar!$A$5:$A$19,0)),0)))</f>
        <v/>
      </c>
      <c r="J1600" s="16" t="str">
        <f aca="false">IF(I1600="","",IF(H1600="İptal",0,IF(H1600="İade",-G1600,E1600-I1600-F1600-G1600)))</f>
        <v/>
      </c>
    </row>
    <row r="1601" customFormat="false" ht="15" hidden="false" customHeight="false" outlineLevel="0" collapsed="false">
      <c r="A1601" s="12"/>
      <c r="B1601" s="13"/>
      <c r="C1601" s="14"/>
      <c r="D1601" s="13"/>
      <c r="E1601" s="15"/>
      <c r="F1601" s="15"/>
      <c r="G1601" s="15"/>
      <c r="H1601" s="14"/>
      <c r="I1601" s="16" t="str">
        <f aca="false">IF(OR(A1601="",C1601=""),"",IF(OR(H1601="İade",H1601="İptal"),0,E1601*IFERROR(INDEX(Kanallar!$B$5:$B$19,MATCH(C1601,Kanallar!$A$5:$A$19,0)),0)))</f>
        <v/>
      </c>
      <c r="J1601" s="16" t="str">
        <f aca="false">IF(I1601="","",IF(H1601="İptal",0,IF(H1601="İade",-G1601,E1601-I1601-F1601-G1601)))</f>
        <v/>
      </c>
    </row>
    <row r="1602" customFormat="false" ht="15" hidden="false" customHeight="false" outlineLevel="0" collapsed="false">
      <c r="A1602" s="12"/>
      <c r="B1602" s="13"/>
      <c r="C1602" s="14"/>
      <c r="D1602" s="13"/>
      <c r="E1602" s="15"/>
      <c r="F1602" s="15"/>
      <c r="G1602" s="15"/>
      <c r="H1602" s="14"/>
      <c r="I1602" s="16" t="str">
        <f aca="false">IF(OR(A1602="",C1602=""),"",IF(OR(H1602="İade",H1602="İptal"),0,E1602*IFERROR(INDEX(Kanallar!$B$5:$B$19,MATCH(C1602,Kanallar!$A$5:$A$19,0)),0)))</f>
        <v/>
      </c>
      <c r="J1602" s="16" t="str">
        <f aca="false">IF(I1602="","",IF(H1602="İptal",0,IF(H1602="İade",-G1602,E1602-I1602-F1602-G1602)))</f>
        <v/>
      </c>
    </row>
    <row r="1603" customFormat="false" ht="15" hidden="false" customHeight="false" outlineLevel="0" collapsed="false">
      <c r="A1603" s="12"/>
      <c r="B1603" s="13"/>
      <c r="C1603" s="14"/>
      <c r="D1603" s="13"/>
      <c r="E1603" s="15"/>
      <c r="F1603" s="15"/>
      <c r="G1603" s="15"/>
      <c r="H1603" s="14"/>
      <c r="I1603" s="16" t="str">
        <f aca="false">IF(OR(A1603="",C1603=""),"",IF(OR(H1603="İade",H1603="İptal"),0,E1603*IFERROR(INDEX(Kanallar!$B$5:$B$19,MATCH(C1603,Kanallar!$A$5:$A$19,0)),0)))</f>
        <v/>
      </c>
      <c r="J1603" s="16" t="str">
        <f aca="false">IF(I1603="","",IF(H1603="İptal",0,IF(H1603="İade",-G1603,E1603-I1603-F1603-G1603)))</f>
        <v/>
      </c>
    </row>
    <row r="1604" customFormat="false" ht="15" hidden="false" customHeight="false" outlineLevel="0" collapsed="false">
      <c r="A1604" s="12"/>
      <c r="B1604" s="13"/>
      <c r="C1604" s="14"/>
      <c r="D1604" s="13"/>
      <c r="E1604" s="15"/>
      <c r="F1604" s="15"/>
      <c r="G1604" s="15"/>
      <c r="H1604" s="14"/>
      <c r="I1604" s="16" t="str">
        <f aca="false">IF(OR(A1604="",C1604=""),"",IF(OR(H1604="İade",H1604="İptal"),0,E1604*IFERROR(INDEX(Kanallar!$B$5:$B$19,MATCH(C1604,Kanallar!$A$5:$A$19,0)),0)))</f>
        <v/>
      </c>
      <c r="J1604" s="16" t="str">
        <f aca="false">IF(I1604="","",IF(H1604="İptal",0,IF(H1604="İade",-G1604,E1604-I1604-F1604-G1604)))</f>
        <v/>
      </c>
    </row>
    <row r="1605" customFormat="false" ht="15" hidden="false" customHeight="false" outlineLevel="0" collapsed="false">
      <c r="A1605" s="12"/>
      <c r="B1605" s="13"/>
      <c r="C1605" s="14"/>
      <c r="D1605" s="13"/>
      <c r="E1605" s="15"/>
      <c r="F1605" s="15"/>
      <c r="G1605" s="15"/>
      <c r="H1605" s="14"/>
      <c r="I1605" s="16" t="str">
        <f aca="false">IF(OR(A1605="",C1605=""),"",IF(OR(H1605="İade",H1605="İptal"),0,E1605*IFERROR(INDEX(Kanallar!$B$5:$B$19,MATCH(C1605,Kanallar!$A$5:$A$19,0)),0)))</f>
        <v/>
      </c>
      <c r="J1605" s="16" t="str">
        <f aca="false">IF(I1605="","",IF(H1605="İptal",0,IF(H1605="İade",-G1605,E1605-I1605-F1605-G1605)))</f>
        <v/>
      </c>
    </row>
    <row r="1606" customFormat="false" ht="15" hidden="false" customHeight="false" outlineLevel="0" collapsed="false">
      <c r="A1606" s="12"/>
      <c r="B1606" s="13"/>
      <c r="C1606" s="14"/>
      <c r="D1606" s="13"/>
      <c r="E1606" s="15"/>
      <c r="F1606" s="15"/>
      <c r="G1606" s="15"/>
      <c r="H1606" s="14"/>
      <c r="I1606" s="16" t="str">
        <f aca="false">IF(OR(A1606="",C1606=""),"",IF(OR(H1606="İade",H1606="İptal"),0,E1606*IFERROR(INDEX(Kanallar!$B$5:$B$19,MATCH(C1606,Kanallar!$A$5:$A$19,0)),0)))</f>
        <v/>
      </c>
      <c r="J1606" s="16" t="str">
        <f aca="false">IF(I1606="","",IF(H1606="İptal",0,IF(H1606="İade",-G1606,E1606-I1606-F1606-G1606)))</f>
        <v/>
      </c>
    </row>
    <row r="1607" customFormat="false" ht="15" hidden="false" customHeight="false" outlineLevel="0" collapsed="false">
      <c r="A1607" s="12"/>
      <c r="B1607" s="13"/>
      <c r="C1607" s="14"/>
      <c r="D1607" s="13"/>
      <c r="E1607" s="15"/>
      <c r="F1607" s="15"/>
      <c r="G1607" s="15"/>
      <c r="H1607" s="14"/>
      <c r="I1607" s="16" t="str">
        <f aca="false">IF(OR(A1607="",C1607=""),"",IF(OR(H1607="İade",H1607="İptal"),0,E1607*IFERROR(INDEX(Kanallar!$B$5:$B$19,MATCH(C1607,Kanallar!$A$5:$A$19,0)),0)))</f>
        <v/>
      </c>
      <c r="J1607" s="16" t="str">
        <f aca="false">IF(I1607="","",IF(H1607="İptal",0,IF(H1607="İade",-G1607,E1607-I1607-F1607-G1607)))</f>
        <v/>
      </c>
    </row>
    <row r="1608" customFormat="false" ht="15" hidden="false" customHeight="false" outlineLevel="0" collapsed="false">
      <c r="A1608" s="12"/>
      <c r="B1608" s="13"/>
      <c r="C1608" s="14"/>
      <c r="D1608" s="13"/>
      <c r="E1608" s="15"/>
      <c r="F1608" s="15"/>
      <c r="G1608" s="15"/>
      <c r="H1608" s="14"/>
      <c r="I1608" s="16" t="str">
        <f aca="false">IF(OR(A1608="",C1608=""),"",IF(OR(H1608="İade",H1608="İptal"),0,E1608*IFERROR(INDEX(Kanallar!$B$5:$B$19,MATCH(C1608,Kanallar!$A$5:$A$19,0)),0)))</f>
        <v/>
      </c>
      <c r="J1608" s="16" t="str">
        <f aca="false">IF(I1608="","",IF(H1608="İptal",0,IF(H1608="İade",-G1608,E1608-I1608-F1608-G1608)))</f>
        <v/>
      </c>
    </row>
    <row r="1609" customFormat="false" ht="15" hidden="false" customHeight="false" outlineLevel="0" collapsed="false">
      <c r="A1609" s="12"/>
      <c r="B1609" s="13"/>
      <c r="C1609" s="14"/>
      <c r="D1609" s="13"/>
      <c r="E1609" s="15"/>
      <c r="F1609" s="15"/>
      <c r="G1609" s="15"/>
      <c r="H1609" s="14"/>
      <c r="I1609" s="16" t="str">
        <f aca="false">IF(OR(A1609="",C1609=""),"",IF(OR(H1609="İade",H1609="İptal"),0,E1609*IFERROR(INDEX(Kanallar!$B$5:$B$19,MATCH(C1609,Kanallar!$A$5:$A$19,0)),0)))</f>
        <v/>
      </c>
      <c r="J1609" s="16" t="str">
        <f aca="false">IF(I1609="","",IF(H1609="İptal",0,IF(H1609="İade",-G1609,E1609-I1609-F1609-G1609)))</f>
        <v/>
      </c>
    </row>
    <row r="1610" customFormat="false" ht="15" hidden="false" customHeight="false" outlineLevel="0" collapsed="false">
      <c r="A1610" s="12"/>
      <c r="B1610" s="13"/>
      <c r="C1610" s="14"/>
      <c r="D1610" s="13"/>
      <c r="E1610" s="15"/>
      <c r="F1610" s="15"/>
      <c r="G1610" s="15"/>
      <c r="H1610" s="14"/>
      <c r="I1610" s="16" t="str">
        <f aca="false">IF(OR(A1610="",C1610=""),"",IF(OR(H1610="İade",H1610="İptal"),0,E1610*IFERROR(INDEX(Kanallar!$B$5:$B$19,MATCH(C1610,Kanallar!$A$5:$A$19,0)),0)))</f>
        <v/>
      </c>
      <c r="J1610" s="16" t="str">
        <f aca="false">IF(I1610="","",IF(H1610="İptal",0,IF(H1610="İade",-G1610,E1610-I1610-F1610-G1610)))</f>
        <v/>
      </c>
    </row>
    <row r="1611" customFormat="false" ht="15" hidden="false" customHeight="false" outlineLevel="0" collapsed="false">
      <c r="A1611" s="12"/>
      <c r="B1611" s="13"/>
      <c r="C1611" s="14"/>
      <c r="D1611" s="13"/>
      <c r="E1611" s="15"/>
      <c r="F1611" s="15"/>
      <c r="G1611" s="15"/>
      <c r="H1611" s="14"/>
      <c r="I1611" s="16" t="str">
        <f aca="false">IF(OR(A1611="",C1611=""),"",IF(OR(H1611="İade",H1611="İptal"),0,E1611*IFERROR(INDEX(Kanallar!$B$5:$B$19,MATCH(C1611,Kanallar!$A$5:$A$19,0)),0)))</f>
        <v/>
      </c>
      <c r="J1611" s="16" t="str">
        <f aca="false">IF(I1611="","",IF(H1611="İptal",0,IF(H1611="İade",-G1611,E1611-I1611-F1611-G1611)))</f>
        <v/>
      </c>
    </row>
    <row r="1612" customFormat="false" ht="15" hidden="false" customHeight="false" outlineLevel="0" collapsed="false">
      <c r="A1612" s="12"/>
      <c r="B1612" s="13"/>
      <c r="C1612" s="14"/>
      <c r="D1612" s="13"/>
      <c r="E1612" s="15"/>
      <c r="F1612" s="15"/>
      <c r="G1612" s="15"/>
      <c r="H1612" s="14"/>
      <c r="I1612" s="16" t="str">
        <f aca="false">IF(OR(A1612="",C1612=""),"",IF(OR(H1612="İade",H1612="İptal"),0,E1612*IFERROR(INDEX(Kanallar!$B$5:$B$19,MATCH(C1612,Kanallar!$A$5:$A$19,0)),0)))</f>
        <v/>
      </c>
      <c r="J1612" s="16" t="str">
        <f aca="false">IF(I1612="","",IF(H1612="İptal",0,IF(H1612="İade",-G1612,E1612-I1612-F1612-G1612)))</f>
        <v/>
      </c>
    </row>
    <row r="1613" customFormat="false" ht="15" hidden="false" customHeight="false" outlineLevel="0" collapsed="false">
      <c r="A1613" s="12"/>
      <c r="B1613" s="13"/>
      <c r="C1613" s="14"/>
      <c r="D1613" s="13"/>
      <c r="E1613" s="15"/>
      <c r="F1613" s="15"/>
      <c r="G1613" s="15"/>
      <c r="H1613" s="14"/>
      <c r="I1613" s="16" t="str">
        <f aca="false">IF(OR(A1613="",C1613=""),"",IF(OR(H1613="İade",H1613="İptal"),0,E1613*IFERROR(INDEX(Kanallar!$B$5:$B$19,MATCH(C1613,Kanallar!$A$5:$A$19,0)),0)))</f>
        <v/>
      </c>
      <c r="J1613" s="16" t="str">
        <f aca="false">IF(I1613="","",IF(H1613="İptal",0,IF(H1613="İade",-G1613,E1613-I1613-F1613-G1613)))</f>
        <v/>
      </c>
    </row>
    <row r="1614" customFormat="false" ht="15" hidden="false" customHeight="false" outlineLevel="0" collapsed="false">
      <c r="A1614" s="12"/>
      <c r="B1614" s="13"/>
      <c r="C1614" s="14"/>
      <c r="D1614" s="13"/>
      <c r="E1614" s="15"/>
      <c r="F1614" s="15"/>
      <c r="G1614" s="15"/>
      <c r="H1614" s="14"/>
      <c r="I1614" s="16" t="str">
        <f aca="false">IF(OR(A1614="",C1614=""),"",IF(OR(H1614="İade",H1614="İptal"),0,E1614*IFERROR(INDEX(Kanallar!$B$5:$B$19,MATCH(C1614,Kanallar!$A$5:$A$19,0)),0)))</f>
        <v/>
      </c>
      <c r="J1614" s="16" t="str">
        <f aca="false">IF(I1614="","",IF(H1614="İptal",0,IF(H1614="İade",-G1614,E1614-I1614-F1614-G1614)))</f>
        <v/>
      </c>
    </row>
    <row r="1615" customFormat="false" ht="15" hidden="false" customHeight="false" outlineLevel="0" collapsed="false">
      <c r="A1615" s="12"/>
      <c r="B1615" s="13"/>
      <c r="C1615" s="14"/>
      <c r="D1615" s="13"/>
      <c r="E1615" s="15"/>
      <c r="F1615" s="15"/>
      <c r="G1615" s="15"/>
      <c r="H1615" s="14"/>
      <c r="I1615" s="16" t="str">
        <f aca="false">IF(OR(A1615="",C1615=""),"",IF(OR(H1615="İade",H1615="İptal"),0,E1615*IFERROR(INDEX(Kanallar!$B$5:$B$19,MATCH(C1615,Kanallar!$A$5:$A$19,0)),0)))</f>
        <v/>
      </c>
      <c r="J1615" s="16" t="str">
        <f aca="false">IF(I1615="","",IF(H1615="İptal",0,IF(H1615="İade",-G1615,E1615-I1615-F1615-G1615)))</f>
        <v/>
      </c>
    </row>
    <row r="1616" customFormat="false" ht="15" hidden="false" customHeight="false" outlineLevel="0" collapsed="false">
      <c r="A1616" s="12"/>
      <c r="B1616" s="13"/>
      <c r="C1616" s="14"/>
      <c r="D1616" s="13"/>
      <c r="E1616" s="15"/>
      <c r="F1616" s="15"/>
      <c r="G1616" s="15"/>
      <c r="H1616" s="14"/>
      <c r="I1616" s="16" t="str">
        <f aca="false">IF(OR(A1616="",C1616=""),"",IF(OR(H1616="İade",H1616="İptal"),0,E1616*IFERROR(INDEX(Kanallar!$B$5:$B$19,MATCH(C1616,Kanallar!$A$5:$A$19,0)),0)))</f>
        <v/>
      </c>
      <c r="J1616" s="16" t="str">
        <f aca="false">IF(I1616="","",IF(H1616="İptal",0,IF(H1616="İade",-G1616,E1616-I1616-F1616-G1616)))</f>
        <v/>
      </c>
    </row>
    <row r="1617" customFormat="false" ht="15" hidden="false" customHeight="false" outlineLevel="0" collapsed="false">
      <c r="A1617" s="12"/>
      <c r="B1617" s="13"/>
      <c r="C1617" s="14"/>
      <c r="D1617" s="13"/>
      <c r="E1617" s="15"/>
      <c r="F1617" s="15"/>
      <c r="G1617" s="15"/>
      <c r="H1617" s="14"/>
      <c r="I1617" s="16" t="str">
        <f aca="false">IF(OR(A1617="",C1617=""),"",IF(OR(H1617="İade",H1617="İptal"),0,E1617*IFERROR(INDEX(Kanallar!$B$5:$B$19,MATCH(C1617,Kanallar!$A$5:$A$19,0)),0)))</f>
        <v/>
      </c>
      <c r="J1617" s="16" t="str">
        <f aca="false">IF(I1617="","",IF(H1617="İptal",0,IF(H1617="İade",-G1617,E1617-I1617-F1617-G1617)))</f>
        <v/>
      </c>
    </row>
    <row r="1618" customFormat="false" ht="15" hidden="false" customHeight="false" outlineLevel="0" collapsed="false">
      <c r="A1618" s="12"/>
      <c r="B1618" s="13"/>
      <c r="C1618" s="14"/>
      <c r="D1618" s="13"/>
      <c r="E1618" s="15"/>
      <c r="F1618" s="15"/>
      <c r="G1618" s="15"/>
      <c r="H1618" s="14"/>
      <c r="I1618" s="16" t="str">
        <f aca="false">IF(OR(A1618="",C1618=""),"",IF(OR(H1618="İade",H1618="İptal"),0,E1618*IFERROR(INDEX(Kanallar!$B$5:$B$19,MATCH(C1618,Kanallar!$A$5:$A$19,0)),0)))</f>
        <v/>
      </c>
      <c r="J1618" s="16" t="str">
        <f aca="false">IF(I1618="","",IF(H1618="İptal",0,IF(H1618="İade",-G1618,E1618-I1618-F1618-G1618)))</f>
        <v/>
      </c>
    </row>
    <row r="1619" customFormat="false" ht="15" hidden="false" customHeight="false" outlineLevel="0" collapsed="false">
      <c r="A1619" s="12"/>
      <c r="B1619" s="13"/>
      <c r="C1619" s="14"/>
      <c r="D1619" s="13"/>
      <c r="E1619" s="15"/>
      <c r="F1619" s="15"/>
      <c r="G1619" s="15"/>
      <c r="H1619" s="14"/>
      <c r="I1619" s="16" t="str">
        <f aca="false">IF(OR(A1619="",C1619=""),"",IF(OR(H1619="İade",H1619="İptal"),0,E1619*IFERROR(INDEX(Kanallar!$B$5:$B$19,MATCH(C1619,Kanallar!$A$5:$A$19,0)),0)))</f>
        <v/>
      </c>
      <c r="J1619" s="16" t="str">
        <f aca="false">IF(I1619="","",IF(H1619="İptal",0,IF(H1619="İade",-G1619,E1619-I1619-F1619-G1619)))</f>
        <v/>
      </c>
    </row>
    <row r="1620" customFormat="false" ht="15" hidden="false" customHeight="false" outlineLevel="0" collapsed="false">
      <c r="A1620" s="12"/>
      <c r="B1620" s="13"/>
      <c r="C1620" s="14"/>
      <c r="D1620" s="13"/>
      <c r="E1620" s="15"/>
      <c r="F1620" s="15"/>
      <c r="G1620" s="15"/>
      <c r="H1620" s="14"/>
      <c r="I1620" s="16" t="str">
        <f aca="false">IF(OR(A1620="",C1620=""),"",IF(OR(H1620="İade",H1620="İptal"),0,E1620*IFERROR(INDEX(Kanallar!$B$5:$B$19,MATCH(C1620,Kanallar!$A$5:$A$19,0)),0)))</f>
        <v/>
      </c>
      <c r="J1620" s="16" t="str">
        <f aca="false">IF(I1620="","",IF(H1620="İptal",0,IF(H1620="İade",-G1620,E1620-I1620-F1620-G1620)))</f>
        <v/>
      </c>
    </row>
    <row r="1621" customFormat="false" ht="15" hidden="false" customHeight="false" outlineLevel="0" collapsed="false">
      <c r="A1621" s="12"/>
      <c r="B1621" s="13"/>
      <c r="C1621" s="14"/>
      <c r="D1621" s="13"/>
      <c r="E1621" s="15"/>
      <c r="F1621" s="15"/>
      <c r="G1621" s="15"/>
      <c r="H1621" s="14"/>
      <c r="I1621" s="16" t="str">
        <f aca="false">IF(OR(A1621="",C1621=""),"",IF(OR(H1621="İade",H1621="İptal"),0,E1621*IFERROR(INDEX(Kanallar!$B$5:$B$19,MATCH(C1621,Kanallar!$A$5:$A$19,0)),0)))</f>
        <v/>
      </c>
      <c r="J1621" s="16" t="str">
        <f aca="false">IF(I1621="","",IF(H1621="İptal",0,IF(H1621="İade",-G1621,E1621-I1621-F1621-G1621)))</f>
        <v/>
      </c>
    </row>
    <row r="1622" customFormat="false" ht="15" hidden="false" customHeight="false" outlineLevel="0" collapsed="false">
      <c r="A1622" s="12"/>
      <c r="B1622" s="13"/>
      <c r="C1622" s="14"/>
      <c r="D1622" s="13"/>
      <c r="E1622" s="15"/>
      <c r="F1622" s="15"/>
      <c r="G1622" s="15"/>
      <c r="H1622" s="14"/>
      <c r="I1622" s="16" t="str">
        <f aca="false">IF(OR(A1622="",C1622=""),"",IF(OR(H1622="İade",H1622="İptal"),0,E1622*IFERROR(INDEX(Kanallar!$B$5:$B$19,MATCH(C1622,Kanallar!$A$5:$A$19,0)),0)))</f>
        <v/>
      </c>
      <c r="J1622" s="16" t="str">
        <f aca="false">IF(I1622="","",IF(H1622="İptal",0,IF(H1622="İade",-G1622,E1622-I1622-F1622-G1622)))</f>
        <v/>
      </c>
    </row>
    <row r="1623" customFormat="false" ht="15" hidden="false" customHeight="false" outlineLevel="0" collapsed="false">
      <c r="A1623" s="12"/>
      <c r="B1623" s="13"/>
      <c r="C1623" s="14"/>
      <c r="D1623" s="13"/>
      <c r="E1623" s="15"/>
      <c r="F1623" s="15"/>
      <c r="G1623" s="15"/>
      <c r="H1623" s="14"/>
      <c r="I1623" s="16" t="str">
        <f aca="false">IF(OR(A1623="",C1623=""),"",IF(OR(H1623="İade",H1623="İptal"),0,E1623*IFERROR(INDEX(Kanallar!$B$5:$B$19,MATCH(C1623,Kanallar!$A$5:$A$19,0)),0)))</f>
        <v/>
      </c>
      <c r="J1623" s="16" t="str">
        <f aca="false">IF(I1623="","",IF(H1623="İptal",0,IF(H1623="İade",-G1623,E1623-I1623-F1623-G1623)))</f>
        <v/>
      </c>
    </row>
    <row r="1624" customFormat="false" ht="15" hidden="false" customHeight="false" outlineLevel="0" collapsed="false">
      <c r="A1624" s="12"/>
      <c r="B1624" s="13"/>
      <c r="C1624" s="14"/>
      <c r="D1624" s="13"/>
      <c r="E1624" s="15"/>
      <c r="F1624" s="15"/>
      <c r="G1624" s="15"/>
      <c r="H1624" s="14"/>
      <c r="I1624" s="16" t="str">
        <f aca="false">IF(OR(A1624="",C1624=""),"",IF(OR(H1624="İade",H1624="İptal"),0,E1624*IFERROR(INDEX(Kanallar!$B$5:$B$19,MATCH(C1624,Kanallar!$A$5:$A$19,0)),0)))</f>
        <v/>
      </c>
      <c r="J1624" s="16" t="str">
        <f aca="false">IF(I1624="","",IF(H1624="İptal",0,IF(H1624="İade",-G1624,E1624-I1624-F1624-G1624)))</f>
        <v/>
      </c>
    </row>
    <row r="1625" customFormat="false" ht="15" hidden="false" customHeight="false" outlineLevel="0" collapsed="false">
      <c r="A1625" s="12"/>
      <c r="B1625" s="13"/>
      <c r="C1625" s="14"/>
      <c r="D1625" s="13"/>
      <c r="E1625" s="15"/>
      <c r="F1625" s="15"/>
      <c r="G1625" s="15"/>
      <c r="H1625" s="14"/>
      <c r="I1625" s="16" t="str">
        <f aca="false">IF(OR(A1625="",C1625=""),"",IF(OR(H1625="İade",H1625="İptal"),0,E1625*IFERROR(INDEX(Kanallar!$B$5:$B$19,MATCH(C1625,Kanallar!$A$5:$A$19,0)),0)))</f>
        <v/>
      </c>
      <c r="J1625" s="16" t="str">
        <f aca="false">IF(I1625="","",IF(H1625="İptal",0,IF(H1625="İade",-G1625,E1625-I1625-F1625-G1625)))</f>
        <v/>
      </c>
    </row>
    <row r="1626" customFormat="false" ht="15" hidden="false" customHeight="false" outlineLevel="0" collapsed="false">
      <c r="A1626" s="12"/>
      <c r="B1626" s="13"/>
      <c r="C1626" s="14"/>
      <c r="D1626" s="13"/>
      <c r="E1626" s="15"/>
      <c r="F1626" s="15"/>
      <c r="G1626" s="15"/>
      <c r="H1626" s="14"/>
      <c r="I1626" s="16" t="str">
        <f aca="false">IF(OR(A1626="",C1626=""),"",IF(OR(H1626="İade",H1626="İptal"),0,E1626*IFERROR(INDEX(Kanallar!$B$5:$B$19,MATCH(C1626,Kanallar!$A$5:$A$19,0)),0)))</f>
        <v/>
      </c>
      <c r="J1626" s="16" t="str">
        <f aca="false">IF(I1626="","",IF(H1626="İptal",0,IF(H1626="İade",-G1626,E1626-I1626-F1626-G1626)))</f>
        <v/>
      </c>
    </row>
    <row r="1627" customFormat="false" ht="15" hidden="false" customHeight="false" outlineLevel="0" collapsed="false">
      <c r="A1627" s="12"/>
      <c r="B1627" s="13"/>
      <c r="C1627" s="14"/>
      <c r="D1627" s="13"/>
      <c r="E1627" s="15"/>
      <c r="F1627" s="15"/>
      <c r="G1627" s="15"/>
      <c r="H1627" s="14"/>
      <c r="I1627" s="16" t="str">
        <f aca="false">IF(OR(A1627="",C1627=""),"",IF(OR(H1627="İade",H1627="İptal"),0,E1627*IFERROR(INDEX(Kanallar!$B$5:$B$19,MATCH(C1627,Kanallar!$A$5:$A$19,0)),0)))</f>
        <v/>
      </c>
      <c r="J1627" s="16" t="str">
        <f aca="false">IF(I1627="","",IF(H1627="İptal",0,IF(H1627="İade",-G1627,E1627-I1627-F1627-G1627)))</f>
        <v/>
      </c>
    </row>
    <row r="1628" customFormat="false" ht="15" hidden="false" customHeight="false" outlineLevel="0" collapsed="false">
      <c r="A1628" s="12"/>
      <c r="B1628" s="13"/>
      <c r="C1628" s="14"/>
      <c r="D1628" s="13"/>
      <c r="E1628" s="15"/>
      <c r="F1628" s="15"/>
      <c r="G1628" s="15"/>
      <c r="H1628" s="14"/>
      <c r="I1628" s="16" t="str">
        <f aca="false">IF(OR(A1628="",C1628=""),"",IF(OR(H1628="İade",H1628="İptal"),0,E1628*IFERROR(INDEX(Kanallar!$B$5:$B$19,MATCH(C1628,Kanallar!$A$5:$A$19,0)),0)))</f>
        <v/>
      </c>
      <c r="J1628" s="16" t="str">
        <f aca="false">IF(I1628="","",IF(H1628="İptal",0,IF(H1628="İade",-G1628,E1628-I1628-F1628-G1628)))</f>
        <v/>
      </c>
    </row>
    <row r="1629" customFormat="false" ht="15" hidden="false" customHeight="false" outlineLevel="0" collapsed="false">
      <c r="A1629" s="12"/>
      <c r="B1629" s="13"/>
      <c r="C1629" s="14"/>
      <c r="D1629" s="13"/>
      <c r="E1629" s="15"/>
      <c r="F1629" s="15"/>
      <c r="G1629" s="15"/>
      <c r="H1629" s="14"/>
      <c r="I1629" s="16" t="str">
        <f aca="false">IF(OR(A1629="",C1629=""),"",IF(OR(H1629="İade",H1629="İptal"),0,E1629*IFERROR(INDEX(Kanallar!$B$5:$B$19,MATCH(C1629,Kanallar!$A$5:$A$19,0)),0)))</f>
        <v/>
      </c>
      <c r="J1629" s="16" t="str">
        <f aca="false">IF(I1629="","",IF(H1629="İptal",0,IF(H1629="İade",-G1629,E1629-I1629-F1629-G1629)))</f>
        <v/>
      </c>
    </row>
    <row r="1630" customFormat="false" ht="15" hidden="false" customHeight="false" outlineLevel="0" collapsed="false">
      <c r="A1630" s="12"/>
      <c r="B1630" s="13"/>
      <c r="C1630" s="14"/>
      <c r="D1630" s="13"/>
      <c r="E1630" s="15"/>
      <c r="F1630" s="15"/>
      <c r="G1630" s="15"/>
      <c r="H1630" s="14"/>
      <c r="I1630" s="16" t="str">
        <f aca="false">IF(OR(A1630="",C1630=""),"",IF(OR(H1630="İade",H1630="İptal"),0,E1630*IFERROR(INDEX(Kanallar!$B$5:$B$19,MATCH(C1630,Kanallar!$A$5:$A$19,0)),0)))</f>
        <v/>
      </c>
      <c r="J1630" s="16" t="str">
        <f aca="false">IF(I1630="","",IF(H1630="İptal",0,IF(H1630="İade",-G1630,E1630-I1630-F1630-G1630)))</f>
        <v/>
      </c>
    </row>
    <row r="1631" customFormat="false" ht="15" hidden="false" customHeight="false" outlineLevel="0" collapsed="false">
      <c r="A1631" s="12"/>
      <c r="B1631" s="13"/>
      <c r="C1631" s="14"/>
      <c r="D1631" s="13"/>
      <c r="E1631" s="15"/>
      <c r="F1631" s="15"/>
      <c r="G1631" s="15"/>
      <c r="H1631" s="14"/>
      <c r="I1631" s="16" t="str">
        <f aca="false">IF(OR(A1631="",C1631=""),"",IF(OR(H1631="İade",H1631="İptal"),0,E1631*IFERROR(INDEX(Kanallar!$B$5:$B$19,MATCH(C1631,Kanallar!$A$5:$A$19,0)),0)))</f>
        <v/>
      </c>
      <c r="J1631" s="16" t="str">
        <f aca="false">IF(I1631="","",IF(H1631="İptal",0,IF(H1631="İade",-G1631,E1631-I1631-F1631-G1631)))</f>
        <v/>
      </c>
    </row>
    <row r="1632" customFormat="false" ht="15" hidden="false" customHeight="false" outlineLevel="0" collapsed="false">
      <c r="A1632" s="12"/>
      <c r="B1632" s="13"/>
      <c r="C1632" s="14"/>
      <c r="D1632" s="13"/>
      <c r="E1632" s="15"/>
      <c r="F1632" s="15"/>
      <c r="G1632" s="15"/>
      <c r="H1632" s="14"/>
      <c r="I1632" s="16" t="str">
        <f aca="false">IF(OR(A1632="",C1632=""),"",IF(OR(H1632="İade",H1632="İptal"),0,E1632*IFERROR(INDEX(Kanallar!$B$5:$B$19,MATCH(C1632,Kanallar!$A$5:$A$19,0)),0)))</f>
        <v/>
      </c>
      <c r="J1632" s="16" t="str">
        <f aca="false">IF(I1632="","",IF(H1632="İptal",0,IF(H1632="İade",-G1632,E1632-I1632-F1632-G1632)))</f>
        <v/>
      </c>
    </row>
    <row r="1633" customFormat="false" ht="15" hidden="false" customHeight="false" outlineLevel="0" collapsed="false">
      <c r="A1633" s="12"/>
      <c r="B1633" s="13"/>
      <c r="C1633" s="14"/>
      <c r="D1633" s="13"/>
      <c r="E1633" s="15"/>
      <c r="F1633" s="15"/>
      <c r="G1633" s="15"/>
      <c r="H1633" s="14"/>
      <c r="I1633" s="16" t="str">
        <f aca="false">IF(OR(A1633="",C1633=""),"",IF(OR(H1633="İade",H1633="İptal"),0,E1633*IFERROR(INDEX(Kanallar!$B$5:$B$19,MATCH(C1633,Kanallar!$A$5:$A$19,0)),0)))</f>
        <v/>
      </c>
      <c r="J1633" s="16" t="str">
        <f aca="false">IF(I1633="","",IF(H1633="İptal",0,IF(H1633="İade",-G1633,E1633-I1633-F1633-G1633)))</f>
        <v/>
      </c>
    </row>
    <row r="1634" customFormat="false" ht="15" hidden="false" customHeight="false" outlineLevel="0" collapsed="false">
      <c r="A1634" s="12"/>
      <c r="B1634" s="13"/>
      <c r="C1634" s="14"/>
      <c r="D1634" s="13"/>
      <c r="E1634" s="15"/>
      <c r="F1634" s="15"/>
      <c r="G1634" s="15"/>
      <c r="H1634" s="14"/>
      <c r="I1634" s="16" t="str">
        <f aca="false">IF(OR(A1634="",C1634=""),"",IF(OR(H1634="İade",H1634="İptal"),0,E1634*IFERROR(INDEX(Kanallar!$B$5:$B$19,MATCH(C1634,Kanallar!$A$5:$A$19,0)),0)))</f>
        <v/>
      </c>
      <c r="J1634" s="16" t="str">
        <f aca="false">IF(I1634="","",IF(H1634="İptal",0,IF(H1634="İade",-G1634,E1634-I1634-F1634-G1634)))</f>
        <v/>
      </c>
    </row>
    <row r="1635" customFormat="false" ht="15" hidden="false" customHeight="false" outlineLevel="0" collapsed="false">
      <c r="A1635" s="12"/>
      <c r="B1635" s="13"/>
      <c r="C1635" s="14"/>
      <c r="D1635" s="13"/>
      <c r="E1635" s="15"/>
      <c r="F1635" s="15"/>
      <c r="G1635" s="15"/>
      <c r="H1635" s="14"/>
      <c r="I1635" s="16" t="str">
        <f aca="false">IF(OR(A1635="",C1635=""),"",IF(OR(H1635="İade",H1635="İptal"),0,E1635*IFERROR(INDEX(Kanallar!$B$5:$B$19,MATCH(C1635,Kanallar!$A$5:$A$19,0)),0)))</f>
        <v/>
      </c>
      <c r="J1635" s="16" t="str">
        <f aca="false">IF(I1635="","",IF(H1635="İptal",0,IF(H1635="İade",-G1635,E1635-I1635-F1635-G1635)))</f>
        <v/>
      </c>
    </row>
    <row r="1636" customFormat="false" ht="15" hidden="false" customHeight="false" outlineLevel="0" collapsed="false">
      <c r="A1636" s="12"/>
      <c r="B1636" s="13"/>
      <c r="C1636" s="14"/>
      <c r="D1636" s="13"/>
      <c r="E1636" s="15"/>
      <c r="F1636" s="15"/>
      <c r="G1636" s="15"/>
      <c r="H1636" s="14"/>
      <c r="I1636" s="16" t="str">
        <f aca="false">IF(OR(A1636="",C1636=""),"",IF(OR(H1636="İade",H1636="İptal"),0,E1636*IFERROR(INDEX(Kanallar!$B$5:$B$19,MATCH(C1636,Kanallar!$A$5:$A$19,0)),0)))</f>
        <v/>
      </c>
      <c r="J1636" s="16" t="str">
        <f aca="false">IF(I1636="","",IF(H1636="İptal",0,IF(H1636="İade",-G1636,E1636-I1636-F1636-G1636)))</f>
        <v/>
      </c>
    </row>
    <row r="1637" customFormat="false" ht="15" hidden="false" customHeight="false" outlineLevel="0" collapsed="false">
      <c r="A1637" s="12"/>
      <c r="B1637" s="13"/>
      <c r="C1637" s="14"/>
      <c r="D1637" s="13"/>
      <c r="E1637" s="15"/>
      <c r="F1637" s="15"/>
      <c r="G1637" s="15"/>
      <c r="H1637" s="14"/>
      <c r="I1637" s="16" t="str">
        <f aca="false">IF(OR(A1637="",C1637=""),"",IF(OR(H1637="İade",H1637="İptal"),0,E1637*IFERROR(INDEX(Kanallar!$B$5:$B$19,MATCH(C1637,Kanallar!$A$5:$A$19,0)),0)))</f>
        <v/>
      </c>
      <c r="J1637" s="16" t="str">
        <f aca="false">IF(I1637="","",IF(H1637="İptal",0,IF(H1637="İade",-G1637,E1637-I1637-F1637-G1637)))</f>
        <v/>
      </c>
    </row>
    <row r="1638" customFormat="false" ht="15" hidden="false" customHeight="false" outlineLevel="0" collapsed="false">
      <c r="A1638" s="12"/>
      <c r="B1638" s="13"/>
      <c r="C1638" s="14"/>
      <c r="D1638" s="13"/>
      <c r="E1638" s="15"/>
      <c r="F1638" s="15"/>
      <c r="G1638" s="15"/>
      <c r="H1638" s="14"/>
      <c r="I1638" s="16" t="str">
        <f aca="false">IF(OR(A1638="",C1638=""),"",IF(OR(H1638="İade",H1638="İptal"),0,E1638*IFERROR(INDEX(Kanallar!$B$5:$B$19,MATCH(C1638,Kanallar!$A$5:$A$19,0)),0)))</f>
        <v/>
      </c>
      <c r="J1638" s="16" t="str">
        <f aca="false">IF(I1638="","",IF(H1638="İptal",0,IF(H1638="İade",-G1638,E1638-I1638-F1638-G1638)))</f>
        <v/>
      </c>
    </row>
    <row r="1639" customFormat="false" ht="15" hidden="false" customHeight="false" outlineLevel="0" collapsed="false">
      <c r="A1639" s="12"/>
      <c r="B1639" s="13"/>
      <c r="C1639" s="14"/>
      <c r="D1639" s="13"/>
      <c r="E1639" s="15"/>
      <c r="F1639" s="15"/>
      <c r="G1639" s="15"/>
      <c r="H1639" s="14"/>
      <c r="I1639" s="16" t="str">
        <f aca="false">IF(OR(A1639="",C1639=""),"",IF(OR(H1639="İade",H1639="İptal"),0,E1639*IFERROR(INDEX(Kanallar!$B$5:$B$19,MATCH(C1639,Kanallar!$A$5:$A$19,0)),0)))</f>
        <v/>
      </c>
      <c r="J1639" s="16" t="str">
        <f aca="false">IF(I1639="","",IF(H1639="İptal",0,IF(H1639="İade",-G1639,E1639-I1639-F1639-G1639)))</f>
        <v/>
      </c>
    </row>
    <row r="1640" customFormat="false" ht="15" hidden="false" customHeight="false" outlineLevel="0" collapsed="false">
      <c r="A1640" s="12"/>
      <c r="B1640" s="13"/>
      <c r="C1640" s="14"/>
      <c r="D1640" s="13"/>
      <c r="E1640" s="15"/>
      <c r="F1640" s="15"/>
      <c r="G1640" s="15"/>
      <c r="H1640" s="14"/>
      <c r="I1640" s="16" t="str">
        <f aca="false">IF(OR(A1640="",C1640=""),"",IF(OR(H1640="İade",H1640="İptal"),0,E1640*IFERROR(INDEX(Kanallar!$B$5:$B$19,MATCH(C1640,Kanallar!$A$5:$A$19,0)),0)))</f>
        <v/>
      </c>
      <c r="J1640" s="16" t="str">
        <f aca="false">IF(I1640="","",IF(H1640="İptal",0,IF(H1640="İade",-G1640,E1640-I1640-F1640-G1640)))</f>
        <v/>
      </c>
    </row>
    <row r="1641" customFormat="false" ht="15" hidden="false" customHeight="false" outlineLevel="0" collapsed="false">
      <c r="A1641" s="12"/>
      <c r="B1641" s="13"/>
      <c r="C1641" s="14"/>
      <c r="D1641" s="13"/>
      <c r="E1641" s="15"/>
      <c r="F1641" s="15"/>
      <c r="G1641" s="15"/>
      <c r="H1641" s="14"/>
      <c r="I1641" s="16" t="str">
        <f aca="false">IF(OR(A1641="",C1641=""),"",IF(OR(H1641="İade",H1641="İptal"),0,E1641*IFERROR(INDEX(Kanallar!$B$5:$B$19,MATCH(C1641,Kanallar!$A$5:$A$19,0)),0)))</f>
        <v/>
      </c>
      <c r="J1641" s="16" t="str">
        <f aca="false">IF(I1641="","",IF(H1641="İptal",0,IF(H1641="İade",-G1641,E1641-I1641-F1641-G1641)))</f>
        <v/>
      </c>
    </row>
    <row r="1642" customFormat="false" ht="15" hidden="false" customHeight="false" outlineLevel="0" collapsed="false">
      <c r="A1642" s="12"/>
      <c r="B1642" s="13"/>
      <c r="C1642" s="14"/>
      <c r="D1642" s="13"/>
      <c r="E1642" s="15"/>
      <c r="F1642" s="15"/>
      <c r="G1642" s="15"/>
      <c r="H1642" s="14"/>
      <c r="I1642" s="16" t="str">
        <f aca="false">IF(OR(A1642="",C1642=""),"",IF(OR(H1642="İade",H1642="İptal"),0,E1642*IFERROR(INDEX(Kanallar!$B$5:$B$19,MATCH(C1642,Kanallar!$A$5:$A$19,0)),0)))</f>
        <v/>
      </c>
      <c r="J1642" s="16" t="str">
        <f aca="false">IF(I1642="","",IF(H1642="İptal",0,IF(H1642="İade",-G1642,E1642-I1642-F1642-G1642)))</f>
        <v/>
      </c>
    </row>
    <row r="1643" customFormat="false" ht="15" hidden="false" customHeight="false" outlineLevel="0" collapsed="false">
      <c r="A1643" s="12"/>
      <c r="B1643" s="13"/>
      <c r="C1643" s="14"/>
      <c r="D1643" s="13"/>
      <c r="E1643" s="15"/>
      <c r="F1643" s="15"/>
      <c r="G1643" s="15"/>
      <c r="H1643" s="14"/>
      <c r="I1643" s="16" t="str">
        <f aca="false">IF(OR(A1643="",C1643=""),"",IF(OR(H1643="İade",H1643="İptal"),0,E1643*IFERROR(INDEX(Kanallar!$B$5:$B$19,MATCH(C1643,Kanallar!$A$5:$A$19,0)),0)))</f>
        <v/>
      </c>
      <c r="J1643" s="16" t="str">
        <f aca="false">IF(I1643="","",IF(H1643="İptal",0,IF(H1643="İade",-G1643,E1643-I1643-F1643-G1643)))</f>
        <v/>
      </c>
    </row>
    <row r="1644" customFormat="false" ht="15" hidden="false" customHeight="false" outlineLevel="0" collapsed="false">
      <c r="A1644" s="12"/>
      <c r="B1644" s="13"/>
      <c r="C1644" s="14"/>
      <c r="D1644" s="13"/>
      <c r="E1644" s="15"/>
      <c r="F1644" s="15"/>
      <c r="G1644" s="15"/>
      <c r="H1644" s="14"/>
      <c r="I1644" s="16" t="str">
        <f aca="false">IF(OR(A1644="",C1644=""),"",IF(OR(H1644="İade",H1644="İptal"),0,E1644*IFERROR(INDEX(Kanallar!$B$5:$B$19,MATCH(C1644,Kanallar!$A$5:$A$19,0)),0)))</f>
        <v/>
      </c>
      <c r="J1644" s="16" t="str">
        <f aca="false">IF(I1644="","",IF(H1644="İptal",0,IF(H1644="İade",-G1644,E1644-I1644-F1644-G1644)))</f>
        <v/>
      </c>
    </row>
    <row r="1645" customFormat="false" ht="15" hidden="false" customHeight="false" outlineLevel="0" collapsed="false">
      <c r="A1645" s="12"/>
      <c r="B1645" s="13"/>
      <c r="C1645" s="14"/>
      <c r="D1645" s="13"/>
      <c r="E1645" s="15"/>
      <c r="F1645" s="15"/>
      <c r="G1645" s="15"/>
      <c r="H1645" s="14"/>
      <c r="I1645" s="16" t="str">
        <f aca="false">IF(OR(A1645="",C1645=""),"",IF(OR(H1645="İade",H1645="İptal"),0,E1645*IFERROR(INDEX(Kanallar!$B$5:$B$19,MATCH(C1645,Kanallar!$A$5:$A$19,0)),0)))</f>
        <v/>
      </c>
      <c r="J1645" s="16" t="str">
        <f aca="false">IF(I1645="","",IF(H1645="İptal",0,IF(H1645="İade",-G1645,E1645-I1645-F1645-G1645)))</f>
        <v/>
      </c>
    </row>
    <row r="1646" customFormat="false" ht="15" hidden="false" customHeight="false" outlineLevel="0" collapsed="false">
      <c r="A1646" s="12"/>
      <c r="B1646" s="13"/>
      <c r="C1646" s="14"/>
      <c r="D1646" s="13"/>
      <c r="E1646" s="15"/>
      <c r="F1646" s="15"/>
      <c r="G1646" s="15"/>
      <c r="H1646" s="14"/>
      <c r="I1646" s="16" t="str">
        <f aca="false">IF(OR(A1646="",C1646=""),"",IF(OR(H1646="İade",H1646="İptal"),0,E1646*IFERROR(INDEX(Kanallar!$B$5:$B$19,MATCH(C1646,Kanallar!$A$5:$A$19,0)),0)))</f>
        <v/>
      </c>
      <c r="J1646" s="16" t="str">
        <f aca="false">IF(I1646="","",IF(H1646="İptal",0,IF(H1646="İade",-G1646,E1646-I1646-F1646-G1646)))</f>
        <v/>
      </c>
    </row>
    <row r="1647" customFormat="false" ht="15" hidden="false" customHeight="false" outlineLevel="0" collapsed="false">
      <c r="A1647" s="12"/>
      <c r="B1647" s="13"/>
      <c r="C1647" s="14"/>
      <c r="D1647" s="13"/>
      <c r="E1647" s="15"/>
      <c r="F1647" s="15"/>
      <c r="G1647" s="15"/>
      <c r="H1647" s="14"/>
      <c r="I1647" s="16" t="str">
        <f aca="false">IF(OR(A1647="",C1647=""),"",IF(OR(H1647="İade",H1647="İptal"),0,E1647*IFERROR(INDEX(Kanallar!$B$5:$B$19,MATCH(C1647,Kanallar!$A$5:$A$19,0)),0)))</f>
        <v/>
      </c>
      <c r="J1647" s="16" t="str">
        <f aca="false">IF(I1647="","",IF(H1647="İptal",0,IF(H1647="İade",-G1647,E1647-I1647-F1647-G1647)))</f>
        <v/>
      </c>
    </row>
    <row r="1648" customFormat="false" ht="15" hidden="false" customHeight="false" outlineLevel="0" collapsed="false">
      <c r="A1648" s="12"/>
      <c r="B1648" s="13"/>
      <c r="C1648" s="14"/>
      <c r="D1648" s="13"/>
      <c r="E1648" s="15"/>
      <c r="F1648" s="15"/>
      <c r="G1648" s="15"/>
      <c r="H1648" s="14"/>
      <c r="I1648" s="16" t="str">
        <f aca="false">IF(OR(A1648="",C1648=""),"",IF(OR(H1648="İade",H1648="İptal"),0,E1648*IFERROR(INDEX(Kanallar!$B$5:$B$19,MATCH(C1648,Kanallar!$A$5:$A$19,0)),0)))</f>
        <v/>
      </c>
      <c r="J1648" s="16" t="str">
        <f aca="false">IF(I1648="","",IF(H1648="İptal",0,IF(H1648="İade",-G1648,E1648-I1648-F1648-G1648)))</f>
        <v/>
      </c>
    </row>
    <row r="1649" customFormat="false" ht="15" hidden="false" customHeight="false" outlineLevel="0" collapsed="false">
      <c r="A1649" s="12"/>
      <c r="B1649" s="13"/>
      <c r="C1649" s="14"/>
      <c r="D1649" s="13"/>
      <c r="E1649" s="15"/>
      <c r="F1649" s="15"/>
      <c r="G1649" s="15"/>
      <c r="H1649" s="14"/>
      <c r="I1649" s="16" t="str">
        <f aca="false">IF(OR(A1649="",C1649=""),"",IF(OR(H1649="İade",H1649="İptal"),0,E1649*IFERROR(INDEX(Kanallar!$B$5:$B$19,MATCH(C1649,Kanallar!$A$5:$A$19,0)),0)))</f>
        <v/>
      </c>
      <c r="J1649" s="16" t="str">
        <f aca="false">IF(I1649="","",IF(H1649="İptal",0,IF(H1649="İade",-G1649,E1649-I1649-F1649-G1649)))</f>
        <v/>
      </c>
    </row>
    <row r="1650" customFormat="false" ht="15" hidden="false" customHeight="false" outlineLevel="0" collapsed="false">
      <c r="A1650" s="12"/>
      <c r="B1650" s="13"/>
      <c r="C1650" s="14"/>
      <c r="D1650" s="13"/>
      <c r="E1650" s="15"/>
      <c r="F1650" s="15"/>
      <c r="G1650" s="15"/>
      <c r="H1650" s="14"/>
      <c r="I1650" s="16" t="str">
        <f aca="false">IF(OR(A1650="",C1650=""),"",IF(OR(H1650="İade",H1650="İptal"),0,E1650*IFERROR(INDEX(Kanallar!$B$5:$B$19,MATCH(C1650,Kanallar!$A$5:$A$19,0)),0)))</f>
        <v/>
      </c>
      <c r="J1650" s="16" t="str">
        <f aca="false">IF(I1650="","",IF(H1650="İptal",0,IF(H1650="İade",-G1650,E1650-I1650-F1650-G1650)))</f>
        <v/>
      </c>
    </row>
    <row r="1651" customFormat="false" ht="15" hidden="false" customHeight="false" outlineLevel="0" collapsed="false">
      <c r="A1651" s="12"/>
      <c r="B1651" s="13"/>
      <c r="C1651" s="14"/>
      <c r="D1651" s="13"/>
      <c r="E1651" s="15"/>
      <c r="F1651" s="15"/>
      <c r="G1651" s="15"/>
      <c r="H1651" s="14"/>
      <c r="I1651" s="16" t="str">
        <f aca="false">IF(OR(A1651="",C1651=""),"",IF(OR(H1651="İade",H1651="İptal"),0,E1651*IFERROR(INDEX(Kanallar!$B$5:$B$19,MATCH(C1651,Kanallar!$A$5:$A$19,0)),0)))</f>
        <v/>
      </c>
      <c r="J1651" s="16" t="str">
        <f aca="false">IF(I1651="","",IF(H1651="İptal",0,IF(H1651="İade",-G1651,E1651-I1651-F1651-G1651)))</f>
        <v/>
      </c>
    </row>
    <row r="1652" customFormat="false" ht="15" hidden="false" customHeight="false" outlineLevel="0" collapsed="false">
      <c r="A1652" s="12"/>
      <c r="B1652" s="13"/>
      <c r="C1652" s="14"/>
      <c r="D1652" s="13"/>
      <c r="E1652" s="15"/>
      <c r="F1652" s="15"/>
      <c r="G1652" s="15"/>
      <c r="H1652" s="14"/>
      <c r="I1652" s="16" t="str">
        <f aca="false">IF(OR(A1652="",C1652=""),"",IF(OR(H1652="İade",H1652="İptal"),0,E1652*IFERROR(INDEX(Kanallar!$B$5:$B$19,MATCH(C1652,Kanallar!$A$5:$A$19,0)),0)))</f>
        <v/>
      </c>
      <c r="J1652" s="16" t="str">
        <f aca="false">IF(I1652="","",IF(H1652="İptal",0,IF(H1652="İade",-G1652,E1652-I1652-F1652-G1652)))</f>
        <v/>
      </c>
    </row>
    <row r="1653" customFormat="false" ht="15" hidden="false" customHeight="false" outlineLevel="0" collapsed="false">
      <c r="A1653" s="12"/>
      <c r="B1653" s="13"/>
      <c r="C1653" s="14"/>
      <c r="D1653" s="13"/>
      <c r="E1653" s="15"/>
      <c r="F1653" s="15"/>
      <c r="G1653" s="15"/>
      <c r="H1653" s="14"/>
      <c r="I1653" s="16" t="str">
        <f aca="false">IF(OR(A1653="",C1653=""),"",IF(OR(H1653="İade",H1653="İptal"),0,E1653*IFERROR(INDEX(Kanallar!$B$5:$B$19,MATCH(C1653,Kanallar!$A$5:$A$19,0)),0)))</f>
        <v/>
      </c>
      <c r="J1653" s="16" t="str">
        <f aca="false">IF(I1653="","",IF(H1653="İptal",0,IF(H1653="İade",-G1653,E1653-I1653-F1653-G1653)))</f>
        <v/>
      </c>
    </row>
    <row r="1654" customFormat="false" ht="15" hidden="false" customHeight="false" outlineLevel="0" collapsed="false">
      <c r="A1654" s="12"/>
      <c r="B1654" s="13"/>
      <c r="C1654" s="14"/>
      <c r="D1654" s="13"/>
      <c r="E1654" s="15"/>
      <c r="F1654" s="15"/>
      <c r="G1654" s="15"/>
      <c r="H1654" s="14"/>
      <c r="I1654" s="16" t="str">
        <f aca="false">IF(OR(A1654="",C1654=""),"",IF(OR(H1654="İade",H1654="İptal"),0,E1654*IFERROR(INDEX(Kanallar!$B$5:$B$19,MATCH(C1654,Kanallar!$A$5:$A$19,0)),0)))</f>
        <v/>
      </c>
      <c r="J1654" s="16" t="str">
        <f aca="false">IF(I1654="","",IF(H1654="İptal",0,IF(H1654="İade",-G1654,E1654-I1654-F1654-G1654)))</f>
        <v/>
      </c>
    </row>
    <row r="1655" customFormat="false" ht="15" hidden="false" customHeight="false" outlineLevel="0" collapsed="false">
      <c r="A1655" s="12"/>
      <c r="B1655" s="13"/>
      <c r="C1655" s="14"/>
      <c r="D1655" s="13"/>
      <c r="E1655" s="15"/>
      <c r="F1655" s="15"/>
      <c r="G1655" s="15"/>
      <c r="H1655" s="14"/>
      <c r="I1655" s="16" t="str">
        <f aca="false">IF(OR(A1655="",C1655=""),"",IF(OR(H1655="İade",H1655="İptal"),0,E1655*IFERROR(INDEX(Kanallar!$B$5:$B$19,MATCH(C1655,Kanallar!$A$5:$A$19,0)),0)))</f>
        <v/>
      </c>
      <c r="J1655" s="16" t="str">
        <f aca="false">IF(I1655="","",IF(H1655="İptal",0,IF(H1655="İade",-G1655,E1655-I1655-F1655-G1655)))</f>
        <v/>
      </c>
    </row>
    <row r="1656" customFormat="false" ht="15" hidden="false" customHeight="false" outlineLevel="0" collapsed="false">
      <c r="A1656" s="12"/>
      <c r="B1656" s="13"/>
      <c r="C1656" s="14"/>
      <c r="D1656" s="13"/>
      <c r="E1656" s="15"/>
      <c r="F1656" s="15"/>
      <c r="G1656" s="15"/>
      <c r="H1656" s="14"/>
      <c r="I1656" s="16" t="str">
        <f aca="false">IF(OR(A1656="",C1656=""),"",IF(OR(H1656="İade",H1656="İptal"),0,E1656*IFERROR(INDEX(Kanallar!$B$5:$B$19,MATCH(C1656,Kanallar!$A$5:$A$19,0)),0)))</f>
        <v/>
      </c>
      <c r="J1656" s="16" t="str">
        <f aca="false">IF(I1656="","",IF(H1656="İptal",0,IF(H1656="İade",-G1656,E1656-I1656-F1656-G1656)))</f>
        <v/>
      </c>
    </row>
    <row r="1657" customFormat="false" ht="15" hidden="false" customHeight="false" outlineLevel="0" collapsed="false">
      <c r="A1657" s="12"/>
      <c r="B1657" s="13"/>
      <c r="C1657" s="14"/>
      <c r="D1657" s="13"/>
      <c r="E1657" s="15"/>
      <c r="F1657" s="15"/>
      <c r="G1657" s="15"/>
      <c r="H1657" s="14"/>
      <c r="I1657" s="16" t="str">
        <f aca="false">IF(OR(A1657="",C1657=""),"",IF(OR(H1657="İade",H1657="İptal"),0,E1657*IFERROR(INDEX(Kanallar!$B$5:$B$19,MATCH(C1657,Kanallar!$A$5:$A$19,0)),0)))</f>
        <v/>
      </c>
      <c r="J1657" s="16" t="str">
        <f aca="false">IF(I1657="","",IF(H1657="İptal",0,IF(H1657="İade",-G1657,E1657-I1657-F1657-G1657)))</f>
        <v/>
      </c>
    </row>
    <row r="1658" customFormat="false" ht="15" hidden="false" customHeight="false" outlineLevel="0" collapsed="false">
      <c r="A1658" s="12"/>
      <c r="B1658" s="13"/>
      <c r="C1658" s="14"/>
      <c r="D1658" s="13"/>
      <c r="E1658" s="15"/>
      <c r="F1658" s="15"/>
      <c r="G1658" s="15"/>
      <c r="H1658" s="14"/>
      <c r="I1658" s="16" t="str">
        <f aca="false">IF(OR(A1658="",C1658=""),"",IF(OR(H1658="İade",H1658="İptal"),0,E1658*IFERROR(INDEX(Kanallar!$B$5:$B$19,MATCH(C1658,Kanallar!$A$5:$A$19,0)),0)))</f>
        <v/>
      </c>
      <c r="J1658" s="16" t="str">
        <f aca="false">IF(I1658="","",IF(H1658="İptal",0,IF(H1658="İade",-G1658,E1658-I1658-F1658-G1658)))</f>
        <v/>
      </c>
    </row>
    <row r="1659" customFormat="false" ht="15" hidden="false" customHeight="false" outlineLevel="0" collapsed="false">
      <c r="A1659" s="12"/>
      <c r="B1659" s="13"/>
      <c r="C1659" s="14"/>
      <c r="D1659" s="13"/>
      <c r="E1659" s="15"/>
      <c r="F1659" s="15"/>
      <c r="G1659" s="15"/>
      <c r="H1659" s="14"/>
      <c r="I1659" s="16" t="str">
        <f aca="false">IF(OR(A1659="",C1659=""),"",IF(OR(H1659="İade",H1659="İptal"),0,E1659*IFERROR(INDEX(Kanallar!$B$5:$B$19,MATCH(C1659,Kanallar!$A$5:$A$19,0)),0)))</f>
        <v/>
      </c>
      <c r="J1659" s="16" t="str">
        <f aca="false">IF(I1659="","",IF(H1659="İptal",0,IF(H1659="İade",-G1659,E1659-I1659-F1659-G1659)))</f>
        <v/>
      </c>
    </row>
    <row r="1660" customFormat="false" ht="15" hidden="false" customHeight="false" outlineLevel="0" collapsed="false">
      <c r="A1660" s="12"/>
      <c r="B1660" s="13"/>
      <c r="C1660" s="14"/>
      <c r="D1660" s="13"/>
      <c r="E1660" s="15"/>
      <c r="F1660" s="15"/>
      <c r="G1660" s="15"/>
      <c r="H1660" s="14"/>
      <c r="I1660" s="16" t="str">
        <f aca="false">IF(OR(A1660="",C1660=""),"",IF(OR(H1660="İade",H1660="İptal"),0,E1660*IFERROR(INDEX(Kanallar!$B$5:$B$19,MATCH(C1660,Kanallar!$A$5:$A$19,0)),0)))</f>
        <v/>
      </c>
      <c r="J1660" s="16" t="str">
        <f aca="false">IF(I1660="","",IF(H1660="İptal",0,IF(H1660="İade",-G1660,E1660-I1660-F1660-G1660)))</f>
        <v/>
      </c>
    </row>
    <row r="1661" customFormat="false" ht="15" hidden="false" customHeight="false" outlineLevel="0" collapsed="false">
      <c r="A1661" s="12"/>
      <c r="B1661" s="13"/>
      <c r="C1661" s="14"/>
      <c r="D1661" s="13"/>
      <c r="E1661" s="15"/>
      <c r="F1661" s="15"/>
      <c r="G1661" s="15"/>
      <c r="H1661" s="14"/>
      <c r="I1661" s="16" t="str">
        <f aca="false">IF(OR(A1661="",C1661=""),"",IF(OR(H1661="İade",H1661="İptal"),0,E1661*IFERROR(INDEX(Kanallar!$B$5:$B$19,MATCH(C1661,Kanallar!$A$5:$A$19,0)),0)))</f>
        <v/>
      </c>
      <c r="J1661" s="16" t="str">
        <f aca="false">IF(I1661="","",IF(H1661="İptal",0,IF(H1661="İade",-G1661,E1661-I1661-F1661-G1661)))</f>
        <v/>
      </c>
    </row>
    <row r="1662" customFormat="false" ht="15" hidden="false" customHeight="false" outlineLevel="0" collapsed="false">
      <c r="A1662" s="12"/>
      <c r="B1662" s="13"/>
      <c r="C1662" s="14"/>
      <c r="D1662" s="13"/>
      <c r="E1662" s="15"/>
      <c r="F1662" s="15"/>
      <c r="G1662" s="15"/>
      <c r="H1662" s="14"/>
      <c r="I1662" s="16" t="str">
        <f aca="false">IF(OR(A1662="",C1662=""),"",IF(OR(H1662="İade",H1662="İptal"),0,E1662*IFERROR(INDEX(Kanallar!$B$5:$B$19,MATCH(C1662,Kanallar!$A$5:$A$19,0)),0)))</f>
        <v/>
      </c>
      <c r="J1662" s="16" t="str">
        <f aca="false">IF(I1662="","",IF(H1662="İptal",0,IF(H1662="İade",-G1662,E1662-I1662-F1662-G1662)))</f>
        <v/>
      </c>
    </row>
    <row r="1663" customFormat="false" ht="15" hidden="false" customHeight="false" outlineLevel="0" collapsed="false">
      <c r="A1663" s="12"/>
      <c r="B1663" s="13"/>
      <c r="C1663" s="14"/>
      <c r="D1663" s="13"/>
      <c r="E1663" s="15"/>
      <c r="F1663" s="15"/>
      <c r="G1663" s="15"/>
      <c r="H1663" s="14"/>
      <c r="I1663" s="16" t="str">
        <f aca="false">IF(OR(A1663="",C1663=""),"",IF(OR(H1663="İade",H1663="İptal"),0,E1663*IFERROR(INDEX(Kanallar!$B$5:$B$19,MATCH(C1663,Kanallar!$A$5:$A$19,0)),0)))</f>
        <v/>
      </c>
      <c r="J1663" s="16" t="str">
        <f aca="false">IF(I1663="","",IF(H1663="İptal",0,IF(H1663="İade",-G1663,E1663-I1663-F1663-G1663)))</f>
        <v/>
      </c>
    </row>
    <row r="1664" customFormat="false" ht="15" hidden="false" customHeight="false" outlineLevel="0" collapsed="false">
      <c r="A1664" s="12"/>
      <c r="B1664" s="13"/>
      <c r="C1664" s="14"/>
      <c r="D1664" s="13"/>
      <c r="E1664" s="15"/>
      <c r="F1664" s="15"/>
      <c r="G1664" s="15"/>
      <c r="H1664" s="14"/>
      <c r="I1664" s="16" t="str">
        <f aca="false">IF(OR(A1664="",C1664=""),"",IF(OR(H1664="İade",H1664="İptal"),0,E1664*IFERROR(INDEX(Kanallar!$B$5:$B$19,MATCH(C1664,Kanallar!$A$5:$A$19,0)),0)))</f>
        <v/>
      </c>
      <c r="J1664" s="16" t="str">
        <f aca="false">IF(I1664="","",IF(H1664="İptal",0,IF(H1664="İade",-G1664,E1664-I1664-F1664-G1664)))</f>
        <v/>
      </c>
    </row>
    <row r="1665" customFormat="false" ht="15" hidden="false" customHeight="false" outlineLevel="0" collapsed="false">
      <c r="A1665" s="12"/>
      <c r="B1665" s="13"/>
      <c r="C1665" s="14"/>
      <c r="D1665" s="13"/>
      <c r="E1665" s="15"/>
      <c r="F1665" s="15"/>
      <c r="G1665" s="15"/>
      <c r="H1665" s="14"/>
      <c r="I1665" s="16" t="str">
        <f aca="false">IF(OR(A1665="",C1665=""),"",IF(OR(H1665="İade",H1665="İptal"),0,E1665*IFERROR(INDEX(Kanallar!$B$5:$B$19,MATCH(C1665,Kanallar!$A$5:$A$19,0)),0)))</f>
        <v/>
      </c>
      <c r="J1665" s="16" t="str">
        <f aca="false">IF(I1665="","",IF(H1665="İptal",0,IF(H1665="İade",-G1665,E1665-I1665-F1665-G1665)))</f>
        <v/>
      </c>
    </row>
    <row r="1666" customFormat="false" ht="15" hidden="false" customHeight="false" outlineLevel="0" collapsed="false">
      <c r="A1666" s="12"/>
      <c r="B1666" s="13"/>
      <c r="C1666" s="14"/>
      <c r="D1666" s="13"/>
      <c r="E1666" s="15"/>
      <c r="F1666" s="15"/>
      <c r="G1666" s="15"/>
      <c r="H1666" s="14"/>
      <c r="I1666" s="16" t="str">
        <f aca="false">IF(OR(A1666="",C1666=""),"",IF(OR(H1666="İade",H1666="İptal"),0,E1666*IFERROR(INDEX(Kanallar!$B$5:$B$19,MATCH(C1666,Kanallar!$A$5:$A$19,0)),0)))</f>
        <v/>
      </c>
      <c r="J1666" s="16" t="str">
        <f aca="false">IF(I1666="","",IF(H1666="İptal",0,IF(H1666="İade",-G1666,E1666-I1666-F1666-G1666)))</f>
        <v/>
      </c>
    </row>
    <row r="1667" customFormat="false" ht="15" hidden="false" customHeight="false" outlineLevel="0" collapsed="false">
      <c r="A1667" s="12"/>
      <c r="B1667" s="13"/>
      <c r="C1667" s="14"/>
      <c r="D1667" s="13"/>
      <c r="E1667" s="15"/>
      <c r="F1667" s="15"/>
      <c r="G1667" s="15"/>
      <c r="H1667" s="14"/>
      <c r="I1667" s="16" t="str">
        <f aca="false">IF(OR(A1667="",C1667=""),"",IF(OR(H1667="İade",H1667="İptal"),0,E1667*IFERROR(INDEX(Kanallar!$B$5:$B$19,MATCH(C1667,Kanallar!$A$5:$A$19,0)),0)))</f>
        <v/>
      </c>
      <c r="J1667" s="16" t="str">
        <f aca="false">IF(I1667="","",IF(H1667="İptal",0,IF(H1667="İade",-G1667,E1667-I1667-F1667-G1667)))</f>
        <v/>
      </c>
    </row>
    <row r="1668" customFormat="false" ht="15" hidden="false" customHeight="false" outlineLevel="0" collapsed="false">
      <c r="A1668" s="12"/>
      <c r="B1668" s="13"/>
      <c r="C1668" s="14"/>
      <c r="D1668" s="13"/>
      <c r="E1668" s="15"/>
      <c r="F1668" s="15"/>
      <c r="G1668" s="15"/>
      <c r="H1668" s="14"/>
      <c r="I1668" s="16" t="str">
        <f aca="false">IF(OR(A1668="",C1668=""),"",IF(OR(H1668="İade",H1668="İptal"),0,E1668*IFERROR(INDEX(Kanallar!$B$5:$B$19,MATCH(C1668,Kanallar!$A$5:$A$19,0)),0)))</f>
        <v/>
      </c>
      <c r="J1668" s="16" t="str">
        <f aca="false">IF(I1668="","",IF(H1668="İptal",0,IF(H1668="İade",-G1668,E1668-I1668-F1668-G1668)))</f>
        <v/>
      </c>
    </row>
    <row r="1669" customFormat="false" ht="15" hidden="false" customHeight="false" outlineLevel="0" collapsed="false">
      <c r="A1669" s="12"/>
      <c r="B1669" s="13"/>
      <c r="C1669" s="14"/>
      <c r="D1669" s="13"/>
      <c r="E1669" s="15"/>
      <c r="F1669" s="15"/>
      <c r="G1669" s="15"/>
      <c r="H1669" s="14"/>
      <c r="I1669" s="16" t="str">
        <f aca="false">IF(OR(A1669="",C1669=""),"",IF(OR(H1669="İade",H1669="İptal"),0,E1669*IFERROR(INDEX(Kanallar!$B$5:$B$19,MATCH(C1669,Kanallar!$A$5:$A$19,0)),0)))</f>
        <v/>
      </c>
      <c r="J1669" s="16" t="str">
        <f aca="false">IF(I1669="","",IF(H1669="İptal",0,IF(H1669="İade",-G1669,E1669-I1669-F1669-G1669)))</f>
        <v/>
      </c>
    </row>
    <row r="1670" customFormat="false" ht="15" hidden="false" customHeight="false" outlineLevel="0" collapsed="false">
      <c r="A1670" s="12"/>
      <c r="B1670" s="13"/>
      <c r="C1670" s="14"/>
      <c r="D1670" s="13"/>
      <c r="E1670" s="15"/>
      <c r="F1670" s="15"/>
      <c r="G1670" s="15"/>
      <c r="H1670" s="14"/>
      <c r="I1670" s="16" t="str">
        <f aca="false">IF(OR(A1670="",C1670=""),"",IF(OR(H1670="İade",H1670="İptal"),0,E1670*IFERROR(INDEX(Kanallar!$B$5:$B$19,MATCH(C1670,Kanallar!$A$5:$A$19,0)),0)))</f>
        <v/>
      </c>
      <c r="J1670" s="16" t="str">
        <f aca="false">IF(I1670="","",IF(H1670="İptal",0,IF(H1670="İade",-G1670,E1670-I1670-F1670-G1670)))</f>
        <v/>
      </c>
    </row>
    <row r="1671" customFormat="false" ht="15" hidden="false" customHeight="false" outlineLevel="0" collapsed="false">
      <c r="A1671" s="12"/>
      <c r="B1671" s="13"/>
      <c r="C1671" s="14"/>
      <c r="D1671" s="13"/>
      <c r="E1671" s="15"/>
      <c r="F1671" s="15"/>
      <c r="G1671" s="15"/>
      <c r="H1671" s="14"/>
      <c r="I1671" s="16" t="str">
        <f aca="false">IF(OR(A1671="",C1671=""),"",IF(OR(H1671="İade",H1671="İptal"),0,E1671*IFERROR(INDEX(Kanallar!$B$5:$B$19,MATCH(C1671,Kanallar!$A$5:$A$19,0)),0)))</f>
        <v/>
      </c>
      <c r="J1671" s="16" t="str">
        <f aca="false">IF(I1671="","",IF(H1671="İptal",0,IF(H1671="İade",-G1671,E1671-I1671-F1671-G1671)))</f>
        <v/>
      </c>
    </row>
    <row r="1672" customFormat="false" ht="15" hidden="false" customHeight="false" outlineLevel="0" collapsed="false">
      <c r="A1672" s="12"/>
      <c r="B1672" s="13"/>
      <c r="C1672" s="14"/>
      <c r="D1672" s="13"/>
      <c r="E1672" s="15"/>
      <c r="F1672" s="15"/>
      <c r="G1672" s="15"/>
      <c r="H1672" s="14"/>
      <c r="I1672" s="16" t="str">
        <f aca="false">IF(OR(A1672="",C1672=""),"",IF(OR(H1672="İade",H1672="İptal"),0,E1672*IFERROR(INDEX(Kanallar!$B$5:$B$19,MATCH(C1672,Kanallar!$A$5:$A$19,0)),0)))</f>
        <v/>
      </c>
      <c r="J1672" s="16" t="str">
        <f aca="false">IF(I1672="","",IF(H1672="İptal",0,IF(H1672="İade",-G1672,E1672-I1672-F1672-G1672)))</f>
        <v/>
      </c>
    </row>
    <row r="1673" customFormat="false" ht="15" hidden="false" customHeight="false" outlineLevel="0" collapsed="false">
      <c r="A1673" s="12"/>
      <c r="B1673" s="13"/>
      <c r="C1673" s="14"/>
      <c r="D1673" s="13"/>
      <c r="E1673" s="15"/>
      <c r="F1673" s="15"/>
      <c r="G1673" s="15"/>
      <c r="H1673" s="14"/>
      <c r="I1673" s="16" t="str">
        <f aca="false">IF(OR(A1673="",C1673=""),"",IF(OR(H1673="İade",H1673="İptal"),0,E1673*IFERROR(INDEX(Kanallar!$B$5:$B$19,MATCH(C1673,Kanallar!$A$5:$A$19,0)),0)))</f>
        <v/>
      </c>
      <c r="J1673" s="16" t="str">
        <f aca="false">IF(I1673="","",IF(H1673="İptal",0,IF(H1673="İade",-G1673,E1673-I1673-F1673-G1673)))</f>
        <v/>
      </c>
    </row>
    <row r="1674" customFormat="false" ht="15" hidden="false" customHeight="false" outlineLevel="0" collapsed="false">
      <c r="A1674" s="12"/>
      <c r="B1674" s="13"/>
      <c r="C1674" s="14"/>
      <c r="D1674" s="13"/>
      <c r="E1674" s="15"/>
      <c r="F1674" s="15"/>
      <c r="G1674" s="15"/>
      <c r="H1674" s="14"/>
      <c r="I1674" s="16" t="str">
        <f aca="false">IF(OR(A1674="",C1674=""),"",IF(OR(H1674="İade",H1674="İptal"),0,E1674*IFERROR(INDEX(Kanallar!$B$5:$B$19,MATCH(C1674,Kanallar!$A$5:$A$19,0)),0)))</f>
        <v/>
      </c>
      <c r="J1674" s="16" t="str">
        <f aca="false">IF(I1674="","",IF(H1674="İptal",0,IF(H1674="İade",-G1674,E1674-I1674-F1674-G1674)))</f>
        <v/>
      </c>
    </row>
    <row r="1675" customFormat="false" ht="15" hidden="false" customHeight="false" outlineLevel="0" collapsed="false">
      <c r="A1675" s="12"/>
      <c r="B1675" s="13"/>
      <c r="C1675" s="14"/>
      <c r="D1675" s="13"/>
      <c r="E1675" s="15"/>
      <c r="F1675" s="15"/>
      <c r="G1675" s="15"/>
      <c r="H1675" s="14"/>
      <c r="I1675" s="16" t="str">
        <f aca="false">IF(OR(A1675="",C1675=""),"",IF(OR(H1675="İade",H1675="İptal"),0,E1675*IFERROR(INDEX(Kanallar!$B$5:$B$19,MATCH(C1675,Kanallar!$A$5:$A$19,0)),0)))</f>
        <v/>
      </c>
      <c r="J1675" s="16" t="str">
        <f aca="false">IF(I1675="","",IF(H1675="İptal",0,IF(H1675="İade",-G1675,E1675-I1675-F1675-G1675)))</f>
        <v/>
      </c>
    </row>
    <row r="1676" customFormat="false" ht="15" hidden="false" customHeight="false" outlineLevel="0" collapsed="false">
      <c r="A1676" s="12"/>
      <c r="B1676" s="13"/>
      <c r="C1676" s="14"/>
      <c r="D1676" s="13"/>
      <c r="E1676" s="15"/>
      <c r="F1676" s="15"/>
      <c r="G1676" s="15"/>
      <c r="H1676" s="14"/>
      <c r="I1676" s="16" t="str">
        <f aca="false">IF(OR(A1676="",C1676=""),"",IF(OR(H1676="İade",H1676="İptal"),0,E1676*IFERROR(INDEX(Kanallar!$B$5:$B$19,MATCH(C1676,Kanallar!$A$5:$A$19,0)),0)))</f>
        <v/>
      </c>
      <c r="J1676" s="16" t="str">
        <f aca="false">IF(I1676="","",IF(H1676="İptal",0,IF(H1676="İade",-G1676,E1676-I1676-F1676-G1676)))</f>
        <v/>
      </c>
    </row>
    <row r="1677" customFormat="false" ht="15" hidden="false" customHeight="false" outlineLevel="0" collapsed="false">
      <c r="A1677" s="12"/>
      <c r="B1677" s="13"/>
      <c r="C1677" s="14"/>
      <c r="D1677" s="13"/>
      <c r="E1677" s="15"/>
      <c r="F1677" s="15"/>
      <c r="G1677" s="15"/>
      <c r="H1677" s="14"/>
      <c r="I1677" s="16" t="str">
        <f aca="false">IF(OR(A1677="",C1677=""),"",IF(OR(H1677="İade",H1677="İptal"),0,E1677*IFERROR(INDEX(Kanallar!$B$5:$B$19,MATCH(C1677,Kanallar!$A$5:$A$19,0)),0)))</f>
        <v/>
      </c>
      <c r="J1677" s="16" t="str">
        <f aca="false">IF(I1677="","",IF(H1677="İptal",0,IF(H1677="İade",-G1677,E1677-I1677-F1677-G1677)))</f>
        <v/>
      </c>
    </row>
    <row r="1678" customFormat="false" ht="15" hidden="false" customHeight="false" outlineLevel="0" collapsed="false">
      <c r="A1678" s="12"/>
      <c r="B1678" s="13"/>
      <c r="C1678" s="14"/>
      <c r="D1678" s="13"/>
      <c r="E1678" s="15"/>
      <c r="F1678" s="15"/>
      <c r="G1678" s="15"/>
      <c r="H1678" s="14"/>
      <c r="I1678" s="16" t="str">
        <f aca="false">IF(OR(A1678="",C1678=""),"",IF(OR(H1678="İade",H1678="İptal"),0,E1678*IFERROR(INDEX(Kanallar!$B$5:$B$19,MATCH(C1678,Kanallar!$A$5:$A$19,0)),0)))</f>
        <v/>
      </c>
      <c r="J1678" s="16" t="str">
        <f aca="false">IF(I1678="","",IF(H1678="İptal",0,IF(H1678="İade",-G1678,E1678-I1678-F1678-G1678)))</f>
        <v/>
      </c>
    </row>
    <row r="1679" customFormat="false" ht="15" hidden="false" customHeight="false" outlineLevel="0" collapsed="false">
      <c r="A1679" s="12"/>
      <c r="B1679" s="13"/>
      <c r="C1679" s="14"/>
      <c r="D1679" s="13"/>
      <c r="E1679" s="15"/>
      <c r="F1679" s="15"/>
      <c r="G1679" s="15"/>
      <c r="H1679" s="14"/>
      <c r="I1679" s="16" t="str">
        <f aca="false">IF(OR(A1679="",C1679=""),"",IF(OR(H1679="İade",H1679="İptal"),0,E1679*IFERROR(INDEX(Kanallar!$B$5:$B$19,MATCH(C1679,Kanallar!$A$5:$A$19,0)),0)))</f>
        <v/>
      </c>
      <c r="J1679" s="16" t="str">
        <f aca="false">IF(I1679="","",IF(H1679="İptal",0,IF(H1679="İade",-G1679,E1679-I1679-F1679-G1679)))</f>
        <v/>
      </c>
    </row>
    <row r="1680" customFormat="false" ht="15" hidden="false" customHeight="false" outlineLevel="0" collapsed="false">
      <c r="A1680" s="12"/>
      <c r="B1680" s="13"/>
      <c r="C1680" s="14"/>
      <c r="D1680" s="13"/>
      <c r="E1680" s="15"/>
      <c r="F1680" s="15"/>
      <c r="G1680" s="15"/>
      <c r="H1680" s="14"/>
      <c r="I1680" s="16" t="str">
        <f aca="false">IF(OR(A1680="",C1680=""),"",IF(OR(H1680="İade",H1680="İptal"),0,E1680*IFERROR(INDEX(Kanallar!$B$5:$B$19,MATCH(C1680,Kanallar!$A$5:$A$19,0)),0)))</f>
        <v/>
      </c>
      <c r="J1680" s="16" t="str">
        <f aca="false">IF(I1680="","",IF(H1680="İptal",0,IF(H1680="İade",-G1680,E1680-I1680-F1680-G1680)))</f>
        <v/>
      </c>
    </row>
    <row r="1681" customFormat="false" ht="15" hidden="false" customHeight="false" outlineLevel="0" collapsed="false">
      <c r="A1681" s="12"/>
      <c r="B1681" s="13"/>
      <c r="C1681" s="14"/>
      <c r="D1681" s="13"/>
      <c r="E1681" s="15"/>
      <c r="F1681" s="15"/>
      <c r="G1681" s="15"/>
      <c r="H1681" s="14"/>
      <c r="I1681" s="16" t="str">
        <f aca="false">IF(OR(A1681="",C1681=""),"",IF(OR(H1681="İade",H1681="İptal"),0,E1681*IFERROR(INDEX(Kanallar!$B$5:$B$19,MATCH(C1681,Kanallar!$A$5:$A$19,0)),0)))</f>
        <v/>
      </c>
      <c r="J1681" s="16" t="str">
        <f aca="false">IF(I1681="","",IF(H1681="İptal",0,IF(H1681="İade",-G1681,E1681-I1681-F1681-G1681)))</f>
        <v/>
      </c>
    </row>
    <row r="1682" customFormat="false" ht="15" hidden="false" customHeight="false" outlineLevel="0" collapsed="false">
      <c r="A1682" s="12"/>
      <c r="B1682" s="13"/>
      <c r="C1682" s="14"/>
      <c r="D1682" s="13"/>
      <c r="E1682" s="15"/>
      <c r="F1682" s="15"/>
      <c r="G1682" s="15"/>
      <c r="H1682" s="14"/>
      <c r="I1682" s="16" t="str">
        <f aca="false">IF(OR(A1682="",C1682=""),"",IF(OR(H1682="İade",H1682="İptal"),0,E1682*IFERROR(INDEX(Kanallar!$B$5:$B$19,MATCH(C1682,Kanallar!$A$5:$A$19,0)),0)))</f>
        <v/>
      </c>
      <c r="J1682" s="16" t="str">
        <f aca="false">IF(I1682="","",IF(H1682="İptal",0,IF(H1682="İade",-G1682,E1682-I1682-F1682-G1682)))</f>
        <v/>
      </c>
    </row>
    <row r="1683" customFormat="false" ht="15" hidden="false" customHeight="false" outlineLevel="0" collapsed="false">
      <c r="A1683" s="12"/>
      <c r="B1683" s="13"/>
      <c r="C1683" s="14"/>
      <c r="D1683" s="13"/>
      <c r="E1683" s="15"/>
      <c r="F1683" s="15"/>
      <c r="G1683" s="15"/>
      <c r="H1683" s="14"/>
      <c r="I1683" s="16" t="str">
        <f aca="false">IF(OR(A1683="",C1683=""),"",IF(OR(H1683="İade",H1683="İptal"),0,E1683*IFERROR(INDEX(Kanallar!$B$5:$B$19,MATCH(C1683,Kanallar!$A$5:$A$19,0)),0)))</f>
        <v/>
      </c>
      <c r="J1683" s="16" t="str">
        <f aca="false">IF(I1683="","",IF(H1683="İptal",0,IF(H1683="İade",-G1683,E1683-I1683-F1683-G1683)))</f>
        <v/>
      </c>
    </row>
    <row r="1684" customFormat="false" ht="15" hidden="false" customHeight="false" outlineLevel="0" collapsed="false">
      <c r="A1684" s="12"/>
      <c r="B1684" s="13"/>
      <c r="C1684" s="14"/>
      <c r="D1684" s="13"/>
      <c r="E1684" s="15"/>
      <c r="F1684" s="15"/>
      <c r="G1684" s="15"/>
      <c r="H1684" s="14"/>
      <c r="I1684" s="16" t="str">
        <f aca="false">IF(OR(A1684="",C1684=""),"",IF(OR(H1684="İade",H1684="İptal"),0,E1684*IFERROR(INDEX(Kanallar!$B$5:$B$19,MATCH(C1684,Kanallar!$A$5:$A$19,0)),0)))</f>
        <v/>
      </c>
      <c r="J1684" s="16" t="str">
        <f aca="false">IF(I1684="","",IF(H1684="İptal",0,IF(H1684="İade",-G1684,E1684-I1684-F1684-G1684)))</f>
        <v/>
      </c>
    </row>
    <row r="1685" customFormat="false" ht="15" hidden="false" customHeight="false" outlineLevel="0" collapsed="false">
      <c r="A1685" s="12"/>
      <c r="B1685" s="13"/>
      <c r="C1685" s="14"/>
      <c r="D1685" s="13"/>
      <c r="E1685" s="15"/>
      <c r="F1685" s="15"/>
      <c r="G1685" s="15"/>
      <c r="H1685" s="14"/>
      <c r="I1685" s="16" t="str">
        <f aca="false">IF(OR(A1685="",C1685=""),"",IF(OR(H1685="İade",H1685="İptal"),0,E1685*IFERROR(INDEX(Kanallar!$B$5:$B$19,MATCH(C1685,Kanallar!$A$5:$A$19,0)),0)))</f>
        <v/>
      </c>
      <c r="J1685" s="16" t="str">
        <f aca="false">IF(I1685="","",IF(H1685="İptal",0,IF(H1685="İade",-G1685,E1685-I1685-F1685-G1685)))</f>
        <v/>
      </c>
    </row>
    <row r="1686" customFormat="false" ht="15" hidden="false" customHeight="false" outlineLevel="0" collapsed="false">
      <c r="A1686" s="12"/>
      <c r="B1686" s="13"/>
      <c r="C1686" s="14"/>
      <c r="D1686" s="13"/>
      <c r="E1686" s="15"/>
      <c r="F1686" s="15"/>
      <c r="G1686" s="15"/>
      <c r="H1686" s="14"/>
      <c r="I1686" s="16" t="str">
        <f aca="false">IF(OR(A1686="",C1686=""),"",IF(OR(H1686="İade",H1686="İptal"),0,E1686*IFERROR(INDEX(Kanallar!$B$5:$B$19,MATCH(C1686,Kanallar!$A$5:$A$19,0)),0)))</f>
        <v/>
      </c>
      <c r="J1686" s="16" t="str">
        <f aca="false">IF(I1686="","",IF(H1686="İptal",0,IF(H1686="İade",-G1686,E1686-I1686-F1686-G1686)))</f>
        <v/>
      </c>
    </row>
    <row r="1687" customFormat="false" ht="15" hidden="false" customHeight="false" outlineLevel="0" collapsed="false">
      <c r="A1687" s="12"/>
      <c r="B1687" s="13"/>
      <c r="C1687" s="14"/>
      <c r="D1687" s="13"/>
      <c r="E1687" s="15"/>
      <c r="F1687" s="15"/>
      <c r="G1687" s="15"/>
      <c r="H1687" s="14"/>
      <c r="I1687" s="16" t="str">
        <f aca="false">IF(OR(A1687="",C1687=""),"",IF(OR(H1687="İade",H1687="İptal"),0,E1687*IFERROR(INDEX(Kanallar!$B$5:$B$19,MATCH(C1687,Kanallar!$A$5:$A$19,0)),0)))</f>
        <v/>
      </c>
      <c r="J1687" s="16" t="str">
        <f aca="false">IF(I1687="","",IF(H1687="İptal",0,IF(H1687="İade",-G1687,E1687-I1687-F1687-G1687)))</f>
        <v/>
      </c>
    </row>
    <row r="1688" customFormat="false" ht="15" hidden="false" customHeight="false" outlineLevel="0" collapsed="false">
      <c r="A1688" s="12"/>
      <c r="B1688" s="13"/>
      <c r="C1688" s="14"/>
      <c r="D1688" s="13"/>
      <c r="E1688" s="15"/>
      <c r="F1688" s="15"/>
      <c r="G1688" s="15"/>
      <c r="H1688" s="14"/>
      <c r="I1688" s="16" t="str">
        <f aca="false">IF(OR(A1688="",C1688=""),"",IF(OR(H1688="İade",H1688="İptal"),0,E1688*IFERROR(INDEX(Kanallar!$B$5:$B$19,MATCH(C1688,Kanallar!$A$5:$A$19,0)),0)))</f>
        <v/>
      </c>
      <c r="J1688" s="16" t="str">
        <f aca="false">IF(I1688="","",IF(H1688="İptal",0,IF(H1688="İade",-G1688,E1688-I1688-F1688-G1688)))</f>
        <v/>
      </c>
    </row>
    <row r="1689" customFormat="false" ht="15" hidden="false" customHeight="false" outlineLevel="0" collapsed="false">
      <c r="A1689" s="12"/>
      <c r="B1689" s="13"/>
      <c r="C1689" s="14"/>
      <c r="D1689" s="13"/>
      <c r="E1689" s="15"/>
      <c r="F1689" s="15"/>
      <c r="G1689" s="15"/>
      <c r="H1689" s="14"/>
      <c r="I1689" s="16" t="str">
        <f aca="false">IF(OR(A1689="",C1689=""),"",IF(OR(H1689="İade",H1689="İptal"),0,E1689*IFERROR(INDEX(Kanallar!$B$5:$B$19,MATCH(C1689,Kanallar!$A$5:$A$19,0)),0)))</f>
        <v/>
      </c>
      <c r="J1689" s="16" t="str">
        <f aca="false">IF(I1689="","",IF(H1689="İptal",0,IF(H1689="İade",-G1689,E1689-I1689-F1689-G1689)))</f>
        <v/>
      </c>
    </row>
    <row r="1690" customFormat="false" ht="15" hidden="false" customHeight="false" outlineLevel="0" collapsed="false">
      <c r="A1690" s="12"/>
      <c r="B1690" s="13"/>
      <c r="C1690" s="14"/>
      <c r="D1690" s="13"/>
      <c r="E1690" s="15"/>
      <c r="F1690" s="15"/>
      <c r="G1690" s="15"/>
      <c r="H1690" s="14"/>
      <c r="I1690" s="16" t="str">
        <f aca="false">IF(OR(A1690="",C1690=""),"",IF(OR(H1690="İade",H1690="İptal"),0,E1690*IFERROR(INDEX(Kanallar!$B$5:$B$19,MATCH(C1690,Kanallar!$A$5:$A$19,0)),0)))</f>
        <v/>
      </c>
      <c r="J1690" s="16" t="str">
        <f aca="false">IF(I1690="","",IF(H1690="İptal",0,IF(H1690="İade",-G1690,E1690-I1690-F1690-G1690)))</f>
        <v/>
      </c>
    </row>
    <row r="1691" customFormat="false" ht="15" hidden="false" customHeight="false" outlineLevel="0" collapsed="false">
      <c r="A1691" s="12"/>
      <c r="B1691" s="13"/>
      <c r="C1691" s="14"/>
      <c r="D1691" s="13"/>
      <c r="E1691" s="15"/>
      <c r="F1691" s="15"/>
      <c r="G1691" s="15"/>
      <c r="H1691" s="14"/>
      <c r="I1691" s="16" t="str">
        <f aca="false">IF(OR(A1691="",C1691=""),"",IF(OR(H1691="İade",H1691="İptal"),0,E1691*IFERROR(INDEX(Kanallar!$B$5:$B$19,MATCH(C1691,Kanallar!$A$5:$A$19,0)),0)))</f>
        <v/>
      </c>
      <c r="J1691" s="16" t="str">
        <f aca="false">IF(I1691="","",IF(H1691="İptal",0,IF(H1691="İade",-G1691,E1691-I1691-F1691-G1691)))</f>
        <v/>
      </c>
    </row>
    <row r="1692" customFormat="false" ht="15" hidden="false" customHeight="false" outlineLevel="0" collapsed="false">
      <c r="A1692" s="12"/>
      <c r="B1692" s="13"/>
      <c r="C1692" s="14"/>
      <c r="D1692" s="13"/>
      <c r="E1692" s="15"/>
      <c r="F1692" s="15"/>
      <c r="G1692" s="15"/>
      <c r="H1692" s="14"/>
      <c r="I1692" s="16" t="str">
        <f aca="false">IF(OR(A1692="",C1692=""),"",IF(OR(H1692="İade",H1692="İptal"),0,E1692*IFERROR(INDEX(Kanallar!$B$5:$B$19,MATCH(C1692,Kanallar!$A$5:$A$19,0)),0)))</f>
        <v/>
      </c>
      <c r="J1692" s="16" t="str">
        <f aca="false">IF(I1692="","",IF(H1692="İptal",0,IF(H1692="İade",-G1692,E1692-I1692-F1692-G1692)))</f>
        <v/>
      </c>
    </row>
    <row r="1693" customFormat="false" ht="15" hidden="false" customHeight="false" outlineLevel="0" collapsed="false">
      <c r="A1693" s="12"/>
      <c r="B1693" s="13"/>
      <c r="C1693" s="14"/>
      <c r="D1693" s="13"/>
      <c r="E1693" s="15"/>
      <c r="F1693" s="15"/>
      <c r="G1693" s="15"/>
      <c r="H1693" s="14"/>
      <c r="I1693" s="16" t="str">
        <f aca="false">IF(OR(A1693="",C1693=""),"",IF(OR(H1693="İade",H1693="İptal"),0,E1693*IFERROR(INDEX(Kanallar!$B$5:$B$19,MATCH(C1693,Kanallar!$A$5:$A$19,0)),0)))</f>
        <v/>
      </c>
      <c r="J1693" s="16" t="str">
        <f aca="false">IF(I1693="","",IF(H1693="İptal",0,IF(H1693="İade",-G1693,E1693-I1693-F1693-G1693)))</f>
        <v/>
      </c>
    </row>
    <row r="1694" customFormat="false" ht="15" hidden="false" customHeight="false" outlineLevel="0" collapsed="false">
      <c r="A1694" s="12"/>
      <c r="B1694" s="13"/>
      <c r="C1694" s="14"/>
      <c r="D1694" s="13"/>
      <c r="E1694" s="15"/>
      <c r="F1694" s="15"/>
      <c r="G1694" s="15"/>
      <c r="H1694" s="14"/>
      <c r="I1694" s="16" t="str">
        <f aca="false">IF(OR(A1694="",C1694=""),"",IF(OR(H1694="İade",H1694="İptal"),0,E1694*IFERROR(INDEX(Kanallar!$B$5:$B$19,MATCH(C1694,Kanallar!$A$5:$A$19,0)),0)))</f>
        <v/>
      </c>
      <c r="J1694" s="16" t="str">
        <f aca="false">IF(I1694="","",IF(H1694="İptal",0,IF(H1694="İade",-G1694,E1694-I1694-F1694-G1694)))</f>
        <v/>
      </c>
    </row>
    <row r="1695" customFormat="false" ht="15" hidden="false" customHeight="false" outlineLevel="0" collapsed="false">
      <c r="A1695" s="12"/>
      <c r="B1695" s="13"/>
      <c r="C1695" s="14"/>
      <c r="D1695" s="13"/>
      <c r="E1695" s="15"/>
      <c r="F1695" s="15"/>
      <c r="G1695" s="15"/>
      <c r="H1695" s="14"/>
      <c r="I1695" s="16" t="str">
        <f aca="false">IF(OR(A1695="",C1695=""),"",IF(OR(H1695="İade",H1695="İptal"),0,E1695*IFERROR(INDEX(Kanallar!$B$5:$B$19,MATCH(C1695,Kanallar!$A$5:$A$19,0)),0)))</f>
        <v/>
      </c>
      <c r="J1695" s="16" t="str">
        <f aca="false">IF(I1695="","",IF(H1695="İptal",0,IF(H1695="İade",-G1695,E1695-I1695-F1695-G1695)))</f>
        <v/>
      </c>
    </row>
    <row r="1696" customFormat="false" ht="15" hidden="false" customHeight="false" outlineLevel="0" collapsed="false">
      <c r="A1696" s="12"/>
      <c r="B1696" s="13"/>
      <c r="C1696" s="14"/>
      <c r="D1696" s="13"/>
      <c r="E1696" s="15"/>
      <c r="F1696" s="15"/>
      <c r="G1696" s="15"/>
      <c r="H1696" s="14"/>
      <c r="I1696" s="16" t="str">
        <f aca="false">IF(OR(A1696="",C1696=""),"",IF(OR(H1696="İade",H1696="İptal"),0,E1696*IFERROR(INDEX(Kanallar!$B$5:$B$19,MATCH(C1696,Kanallar!$A$5:$A$19,0)),0)))</f>
        <v/>
      </c>
      <c r="J1696" s="16" t="str">
        <f aca="false">IF(I1696="","",IF(H1696="İptal",0,IF(H1696="İade",-G1696,E1696-I1696-F1696-G1696)))</f>
        <v/>
      </c>
    </row>
    <row r="1697" customFormat="false" ht="15" hidden="false" customHeight="false" outlineLevel="0" collapsed="false">
      <c r="A1697" s="12"/>
      <c r="B1697" s="13"/>
      <c r="C1697" s="14"/>
      <c r="D1697" s="13"/>
      <c r="E1697" s="15"/>
      <c r="F1697" s="15"/>
      <c r="G1697" s="15"/>
      <c r="H1697" s="14"/>
      <c r="I1697" s="16" t="str">
        <f aca="false">IF(OR(A1697="",C1697=""),"",IF(OR(H1697="İade",H1697="İptal"),0,E1697*IFERROR(INDEX(Kanallar!$B$5:$B$19,MATCH(C1697,Kanallar!$A$5:$A$19,0)),0)))</f>
        <v/>
      </c>
      <c r="J1697" s="16" t="str">
        <f aca="false">IF(I1697="","",IF(H1697="İptal",0,IF(H1697="İade",-G1697,E1697-I1697-F1697-G1697)))</f>
        <v/>
      </c>
    </row>
    <row r="1698" customFormat="false" ht="15" hidden="false" customHeight="false" outlineLevel="0" collapsed="false">
      <c r="A1698" s="12"/>
      <c r="B1698" s="13"/>
      <c r="C1698" s="14"/>
      <c r="D1698" s="13"/>
      <c r="E1698" s="15"/>
      <c r="F1698" s="15"/>
      <c r="G1698" s="15"/>
      <c r="H1698" s="14"/>
      <c r="I1698" s="16" t="str">
        <f aca="false">IF(OR(A1698="",C1698=""),"",IF(OR(H1698="İade",H1698="İptal"),0,E1698*IFERROR(INDEX(Kanallar!$B$5:$B$19,MATCH(C1698,Kanallar!$A$5:$A$19,0)),0)))</f>
        <v/>
      </c>
      <c r="J1698" s="16" t="str">
        <f aca="false">IF(I1698="","",IF(H1698="İptal",0,IF(H1698="İade",-G1698,E1698-I1698-F1698-G1698)))</f>
        <v/>
      </c>
    </row>
    <row r="1699" customFormat="false" ht="15" hidden="false" customHeight="false" outlineLevel="0" collapsed="false">
      <c r="A1699" s="12"/>
      <c r="B1699" s="13"/>
      <c r="C1699" s="14"/>
      <c r="D1699" s="13"/>
      <c r="E1699" s="15"/>
      <c r="F1699" s="15"/>
      <c r="G1699" s="15"/>
      <c r="H1699" s="14"/>
      <c r="I1699" s="16" t="str">
        <f aca="false">IF(OR(A1699="",C1699=""),"",IF(OR(H1699="İade",H1699="İptal"),0,E1699*IFERROR(INDEX(Kanallar!$B$5:$B$19,MATCH(C1699,Kanallar!$A$5:$A$19,0)),0)))</f>
        <v/>
      </c>
      <c r="J1699" s="16" t="str">
        <f aca="false">IF(I1699="","",IF(H1699="İptal",0,IF(H1699="İade",-G1699,E1699-I1699-F1699-G1699)))</f>
        <v/>
      </c>
    </row>
    <row r="1700" customFormat="false" ht="15" hidden="false" customHeight="false" outlineLevel="0" collapsed="false">
      <c r="A1700" s="12"/>
      <c r="B1700" s="13"/>
      <c r="C1700" s="14"/>
      <c r="D1700" s="13"/>
      <c r="E1700" s="15"/>
      <c r="F1700" s="15"/>
      <c r="G1700" s="15"/>
      <c r="H1700" s="14"/>
      <c r="I1700" s="16" t="str">
        <f aca="false">IF(OR(A1700="",C1700=""),"",IF(OR(H1700="İade",H1700="İptal"),0,E1700*IFERROR(INDEX(Kanallar!$B$5:$B$19,MATCH(C1700,Kanallar!$A$5:$A$19,0)),0)))</f>
        <v/>
      </c>
      <c r="J1700" s="16" t="str">
        <f aca="false">IF(I1700="","",IF(H1700="İptal",0,IF(H1700="İade",-G1700,E1700-I1700-F1700-G1700)))</f>
        <v/>
      </c>
    </row>
    <row r="1701" customFormat="false" ht="15" hidden="false" customHeight="false" outlineLevel="0" collapsed="false">
      <c r="A1701" s="12"/>
      <c r="B1701" s="13"/>
      <c r="C1701" s="14"/>
      <c r="D1701" s="13"/>
      <c r="E1701" s="15"/>
      <c r="F1701" s="15"/>
      <c r="G1701" s="15"/>
      <c r="H1701" s="14"/>
      <c r="I1701" s="16" t="str">
        <f aca="false">IF(OR(A1701="",C1701=""),"",IF(OR(H1701="İade",H1701="İptal"),0,E1701*IFERROR(INDEX(Kanallar!$B$5:$B$19,MATCH(C1701,Kanallar!$A$5:$A$19,0)),0)))</f>
        <v/>
      </c>
      <c r="J1701" s="16" t="str">
        <f aca="false">IF(I1701="","",IF(H1701="İptal",0,IF(H1701="İade",-G1701,E1701-I1701-F1701-G1701)))</f>
        <v/>
      </c>
    </row>
    <row r="1702" customFormat="false" ht="15" hidden="false" customHeight="false" outlineLevel="0" collapsed="false">
      <c r="A1702" s="12"/>
      <c r="B1702" s="13"/>
      <c r="C1702" s="14"/>
      <c r="D1702" s="13"/>
      <c r="E1702" s="15"/>
      <c r="F1702" s="15"/>
      <c r="G1702" s="15"/>
      <c r="H1702" s="14"/>
      <c r="I1702" s="16" t="str">
        <f aca="false">IF(OR(A1702="",C1702=""),"",IF(OR(H1702="İade",H1702="İptal"),0,E1702*IFERROR(INDEX(Kanallar!$B$5:$B$19,MATCH(C1702,Kanallar!$A$5:$A$19,0)),0)))</f>
        <v/>
      </c>
      <c r="J1702" s="16" t="str">
        <f aca="false">IF(I1702="","",IF(H1702="İptal",0,IF(H1702="İade",-G1702,E1702-I1702-F1702-G1702)))</f>
        <v/>
      </c>
    </row>
    <row r="1703" customFormat="false" ht="15" hidden="false" customHeight="false" outlineLevel="0" collapsed="false">
      <c r="A1703" s="12"/>
      <c r="B1703" s="13"/>
      <c r="C1703" s="14"/>
      <c r="D1703" s="13"/>
      <c r="E1703" s="15"/>
      <c r="F1703" s="15"/>
      <c r="G1703" s="15"/>
      <c r="H1703" s="14"/>
      <c r="I1703" s="16" t="str">
        <f aca="false">IF(OR(A1703="",C1703=""),"",IF(OR(H1703="İade",H1703="İptal"),0,E1703*IFERROR(INDEX(Kanallar!$B$5:$B$19,MATCH(C1703,Kanallar!$A$5:$A$19,0)),0)))</f>
        <v/>
      </c>
      <c r="J1703" s="16" t="str">
        <f aca="false">IF(I1703="","",IF(H1703="İptal",0,IF(H1703="İade",-G1703,E1703-I1703-F1703-G1703)))</f>
        <v/>
      </c>
    </row>
    <row r="1704" customFormat="false" ht="15" hidden="false" customHeight="false" outlineLevel="0" collapsed="false">
      <c r="A1704" s="12"/>
      <c r="B1704" s="13"/>
      <c r="C1704" s="14"/>
      <c r="D1704" s="13"/>
      <c r="E1704" s="15"/>
      <c r="F1704" s="15"/>
      <c r="G1704" s="15"/>
      <c r="H1704" s="14"/>
      <c r="I1704" s="16" t="str">
        <f aca="false">IF(OR(A1704="",C1704=""),"",IF(OR(H1704="İade",H1704="İptal"),0,E1704*IFERROR(INDEX(Kanallar!$B$5:$B$19,MATCH(C1704,Kanallar!$A$5:$A$19,0)),0)))</f>
        <v/>
      </c>
      <c r="J1704" s="16" t="str">
        <f aca="false">IF(I1704="","",IF(H1704="İptal",0,IF(H1704="İade",-G1704,E1704-I1704-F1704-G1704)))</f>
        <v/>
      </c>
    </row>
    <row r="1705" customFormat="false" ht="15" hidden="false" customHeight="false" outlineLevel="0" collapsed="false">
      <c r="A1705" s="12"/>
      <c r="B1705" s="13"/>
      <c r="C1705" s="14"/>
      <c r="D1705" s="13"/>
      <c r="E1705" s="15"/>
      <c r="F1705" s="15"/>
      <c r="G1705" s="15"/>
      <c r="H1705" s="14"/>
      <c r="I1705" s="16" t="str">
        <f aca="false">IF(OR(A1705="",C1705=""),"",IF(OR(H1705="İade",H1705="İptal"),0,E1705*IFERROR(INDEX(Kanallar!$B$5:$B$19,MATCH(C1705,Kanallar!$A$5:$A$19,0)),0)))</f>
        <v/>
      </c>
      <c r="J1705" s="16" t="str">
        <f aca="false">IF(I1705="","",IF(H1705="İptal",0,IF(H1705="İade",-G1705,E1705-I1705-F1705-G1705)))</f>
        <v/>
      </c>
    </row>
    <row r="1706" customFormat="false" ht="15" hidden="false" customHeight="false" outlineLevel="0" collapsed="false">
      <c r="A1706" s="12"/>
      <c r="B1706" s="13"/>
      <c r="C1706" s="14"/>
      <c r="D1706" s="13"/>
      <c r="E1706" s="15"/>
      <c r="F1706" s="15"/>
      <c r="G1706" s="15"/>
      <c r="H1706" s="14"/>
      <c r="I1706" s="16" t="str">
        <f aca="false">IF(OR(A1706="",C1706=""),"",IF(OR(H1706="İade",H1706="İptal"),0,E1706*IFERROR(INDEX(Kanallar!$B$5:$B$19,MATCH(C1706,Kanallar!$A$5:$A$19,0)),0)))</f>
        <v/>
      </c>
      <c r="J1706" s="16" t="str">
        <f aca="false">IF(I1706="","",IF(H1706="İptal",0,IF(H1706="İade",-G1706,E1706-I1706-F1706-G1706)))</f>
        <v/>
      </c>
    </row>
    <row r="1707" customFormat="false" ht="15" hidden="false" customHeight="false" outlineLevel="0" collapsed="false">
      <c r="A1707" s="12"/>
      <c r="B1707" s="13"/>
      <c r="C1707" s="14"/>
      <c r="D1707" s="13"/>
      <c r="E1707" s="15"/>
      <c r="F1707" s="15"/>
      <c r="G1707" s="15"/>
      <c r="H1707" s="14"/>
      <c r="I1707" s="16" t="str">
        <f aca="false">IF(OR(A1707="",C1707=""),"",IF(OR(H1707="İade",H1707="İptal"),0,E1707*IFERROR(INDEX(Kanallar!$B$5:$B$19,MATCH(C1707,Kanallar!$A$5:$A$19,0)),0)))</f>
        <v/>
      </c>
      <c r="J1707" s="16" t="str">
        <f aca="false">IF(I1707="","",IF(H1707="İptal",0,IF(H1707="İade",-G1707,E1707-I1707-F1707-G1707)))</f>
        <v/>
      </c>
    </row>
    <row r="1708" customFormat="false" ht="15" hidden="false" customHeight="false" outlineLevel="0" collapsed="false">
      <c r="A1708" s="12"/>
      <c r="B1708" s="13"/>
      <c r="C1708" s="14"/>
      <c r="D1708" s="13"/>
      <c r="E1708" s="15"/>
      <c r="F1708" s="15"/>
      <c r="G1708" s="15"/>
      <c r="H1708" s="14"/>
      <c r="I1708" s="16" t="str">
        <f aca="false">IF(OR(A1708="",C1708=""),"",IF(OR(H1708="İade",H1708="İptal"),0,E1708*IFERROR(INDEX(Kanallar!$B$5:$B$19,MATCH(C1708,Kanallar!$A$5:$A$19,0)),0)))</f>
        <v/>
      </c>
      <c r="J1708" s="16" t="str">
        <f aca="false">IF(I1708="","",IF(H1708="İptal",0,IF(H1708="İade",-G1708,E1708-I1708-F1708-G1708)))</f>
        <v/>
      </c>
    </row>
    <row r="1709" customFormat="false" ht="15" hidden="false" customHeight="false" outlineLevel="0" collapsed="false">
      <c r="A1709" s="12"/>
      <c r="B1709" s="13"/>
      <c r="C1709" s="14"/>
      <c r="D1709" s="13"/>
      <c r="E1709" s="15"/>
      <c r="F1709" s="15"/>
      <c r="G1709" s="15"/>
      <c r="H1709" s="14"/>
      <c r="I1709" s="16" t="str">
        <f aca="false">IF(OR(A1709="",C1709=""),"",IF(OR(H1709="İade",H1709="İptal"),0,E1709*IFERROR(INDEX(Kanallar!$B$5:$B$19,MATCH(C1709,Kanallar!$A$5:$A$19,0)),0)))</f>
        <v/>
      </c>
      <c r="J1709" s="16" t="str">
        <f aca="false">IF(I1709="","",IF(H1709="İptal",0,IF(H1709="İade",-G1709,E1709-I1709-F1709-G1709)))</f>
        <v/>
      </c>
    </row>
    <row r="1710" customFormat="false" ht="15" hidden="false" customHeight="false" outlineLevel="0" collapsed="false">
      <c r="A1710" s="12"/>
      <c r="B1710" s="13"/>
      <c r="C1710" s="14"/>
      <c r="D1710" s="13"/>
      <c r="E1710" s="15"/>
      <c r="F1710" s="15"/>
      <c r="G1710" s="15"/>
      <c r="H1710" s="14"/>
      <c r="I1710" s="16" t="str">
        <f aca="false">IF(OR(A1710="",C1710=""),"",IF(OR(H1710="İade",H1710="İptal"),0,E1710*IFERROR(INDEX(Kanallar!$B$5:$B$19,MATCH(C1710,Kanallar!$A$5:$A$19,0)),0)))</f>
        <v/>
      </c>
      <c r="J1710" s="16" t="str">
        <f aca="false">IF(I1710="","",IF(H1710="İptal",0,IF(H1710="İade",-G1710,E1710-I1710-F1710-G1710)))</f>
        <v/>
      </c>
    </row>
    <row r="1711" customFormat="false" ht="15" hidden="false" customHeight="false" outlineLevel="0" collapsed="false">
      <c r="A1711" s="12"/>
      <c r="B1711" s="13"/>
      <c r="C1711" s="14"/>
      <c r="D1711" s="13"/>
      <c r="E1711" s="15"/>
      <c r="F1711" s="15"/>
      <c r="G1711" s="15"/>
      <c r="H1711" s="14"/>
      <c r="I1711" s="16" t="str">
        <f aca="false">IF(OR(A1711="",C1711=""),"",IF(OR(H1711="İade",H1711="İptal"),0,E1711*IFERROR(INDEX(Kanallar!$B$5:$B$19,MATCH(C1711,Kanallar!$A$5:$A$19,0)),0)))</f>
        <v/>
      </c>
      <c r="J1711" s="16" t="str">
        <f aca="false">IF(I1711="","",IF(H1711="İptal",0,IF(H1711="İade",-G1711,E1711-I1711-F1711-G1711)))</f>
        <v/>
      </c>
    </row>
    <row r="1712" customFormat="false" ht="15" hidden="false" customHeight="false" outlineLevel="0" collapsed="false">
      <c r="A1712" s="12"/>
      <c r="B1712" s="13"/>
      <c r="C1712" s="14"/>
      <c r="D1712" s="13"/>
      <c r="E1712" s="15"/>
      <c r="F1712" s="15"/>
      <c r="G1712" s="15"/>
      <c r="H1712" s="14"/>
      <c r="I1712" s="16" t="str">
        <f aca="false">IF(OR(A1712="",C1712=""),"",IF(OR(H1712="İade",H1712="İptal"),0,E1712*IFERROR(INDEX(Kanallar!$B$5:$B$19,MATCH(C1712,Kanallar!$A$5:$A$19,0)),0)))</f>
        <v/>
      </c>
      <c r="J1712" s="16" t="str">
        <f aca="false">IF(I1712="","",IF(H1712="İptal",0,IF(H1712="İade",-G1712,E1712-I1712-F1712-G1712)))</f>
        <v/>
      </c>
    </row>
    <row r="1713" customFormat="false" ht="15" hidden="false" customHeight="false" outlineLevel="0" collapsed="false">
      <c r="A1713" s="12"/>
      <c r="B1713" s="13"/>
      <c r="C1713" s="14"/>
      <c r="D1713" s="13"/>
      <c r="E1713" s="15"/>
      <c r="F1713" s="15"/>
      <c r="G1713" s="15"/>
      <c r="H1713" s="14"/>
      <c r="I1713" s="16" t="str">
        <f aca="false">IF(OR(A1713="",C1713=""),"",IF(OR(H1713="İade",H1713="İptal"),0,E1713*IFERROR(INDEX(Kanallar!$B$5:$B$19,MATCH(C1713,Kanallar!$A$5:$A$19,0)),0)))</f>
        <v/>
      </c>
      <c r="J1713" s="16" t="str">
        <f aca="false">IF(I1713="","",IF(H1713="İptal",0,IF(H1713="İade",-G1713,E1713-I1713-F1713-G1713)))</f>
        <v/>
      </c>
    </row>
    <row r="1714" customFormat="false" ht="15" hidden="false" customHeight="false" outlineLevel="0" collapsed="false">
      <c r="A1714" s="12"/>
      <c r="B1714" s="13"/>
      <c r="C1714" s="14"/>
      <c r="D1714" s="13"/>
      <c r="E1714" s="15"/>
      <c r="F1714" s="15"/>
      <c r="G1714" s="15"/>
      <c r="H1714" s="14"/>
      <c r="I1714" s="16" t="str">
        <f aca="false">IF(OR(A1714="",C1714=""),"",IF(OR(H1714="İade",H1714="İptal"),0,E1714*IFERROR(INDEX(Kanallar!$B$5:$B$19,MATCH(C1714,Kanallar!$A$5:$A$19,0)),0)))</f>
        <v/>
      </c>
      <c r="J1714" s="16" t="str">
        <f aca="false">IF(I1714="","",IF(H1714="İptal",0,IF(H1714="İade",-G1714,E1714-I1714-F1714-G1714)))</f>
        <v/>
      </c>
    </row>
    <row r="1715" customFormat="false" ht="15" hidden="false" customHeight="false" outlineLevel="0" collapsed="false">
      <c r="A1715" s="12"/>
      <c r="B1715" s="13"/>
      <c r="C1715" s="14"/>
      <c r="D1715" s="13"/>
      <c r="E1715" s="15"/>
      <c r="F1715" s="15"/>
      <c r="G1715" s="15"/>
      <c r="H1715" s="14"/>
      <c r="I1715" s="16" t="str">
        <f aca="false">IF(OR(A1715="",C1715=""),"",IF(OR(H1715="İade",H1715="İptal"),0,E1715*IFERROR(INDEX(Kanallar!$B$5:$B$19,MATCH(C1715,Kanallar!$A$5:$A$19,0)),0)))</f>
        <v/>
      </c>
      <c r="J1715" s="16" t="str">
        <f aca="false">IF(I1715="","",IF(H1715="İptal",0,IF(H1715="İade",-G1715,E1715-I1715-F1715-G1715)))</f>
        <v/>
      </c>
    </row>
    <row r="1716" customFormat="false" ht="15" hidden="false" customHeight="false" outlineLevel="0" collapsed="false">
      <c r="A1716" s="12"/>
      <c r="B1716" s="13"/>
      <c r="C1716" s="14"/>
      <c r="D1716" s="13"/>
      <c r="E1716" s="15"/>
      <c r="F1716" s="15"/>
      <c r="G1716" s="15"/>
      <c r="H1716" s="14"/>
      <c r="I1716" s="16" t="str">
        <f aca="false">IF(OR(A1716="",C1716=""),"",IF(OR(H1716="İade",H1716="İptal"),0,E1716*IFERROR(INDEX(Kanallar!$B$5:$B$19,MATCH(C1716,Kanallar!$A$5:$A$19,0)),0)))</f>
        <v/>
      </c>
      <c r="J1716" s="16" t="str">
        <f aca="false">IF(I1716="","",IF(H1716="İptal",0,IF(H1716="İade",-G1716,E1716-I1716-F1716-G1716)))</f>
        <v/>
      </c>
    </row>
    <row r="1717" customFormat="false" ht="15" hidden="false" customHeight="false" outlineLevel="0" collapsed="false">
      <c r="A1717" s="12"/>
      <c r="B1717" s="13"/>
      <c r="C1717" s="14"/>
      <c r="D1717" s="13"/>
      <c r="E1717" s="15"/>
      <c r="F1717" s="15"/>
      <c r="G1717" s="15"/>
      <c r="H1717" s="14"/>
      <c r="I1717" s="16" t="str">
        <f aca="false">IF(OR(A1717="",C1717=""),"",IF(OR(H1717="İade",H1717="İptal"),0,E1717*IFERROR(INDEX(Kanallar!$B$5:$B$19,MATCH(C1717,Kanallar!$A$5:$A$19,0)),0)))</f>
        <v/>
      </c>
      <c r="J1717" s="16" t="str">
        <f aca="false">IF(I1717="","",IF(H1717="İptal",0,IF(H1717="İade",-G1717,E1717-I1717-F1717-G1717)))</f>
        <v/>
      </c>
    </row>
    <row r="1718" customFormat="false" ht="15" hidden="false" customHeight="false" outlineLevel="0" collapsed="false">
      <c r="A1718" s="12"/>
      <c r="B1718" s="13"/>
      <c r="C1718" s="14"/>
      <c r="D1718" s="13"/>
      <c r="E1718" s="15"/>
      <c r="F1718" s="15"/>
      <c r="G1718" s="15"/>
      <c r="H1718" s="14"/>
      <c r="I1718" s="16" t="str">
        <f aca="false">IF(OR(A1718="",C1718=""),"",IF(OR(H1718="İade",H1718="İptal"),0,E1718*IFERROR(INDEX(Kanallar!$B$5:$B$19,MATCH(C1718,Kanallar!$A$5:$A$19,0)),0)))</f>
        <v/>
      </c>
      <c r="J1718" s="16" t="str">
        <f aca="false">IF(I1718="","",IF(H1718="İptal",0,IF(H1718="İade",-G1718,E1718-I1718-F1718-G1718)))</f>
        <v/>
      </c>
    </row>
    <row r="1719" customFormat="false" ht="15" hidden="false" customHeight="false" outlineLevel="0" collapsed="false">
      <c r="A1719" s="12"/>
      <c r="B1719" s="13"/>
      <c r="C1719" s="14"/>
      <c r="D1719" s="13"/>
      <c r="E1719" s="15"/>
      <c r="F1719" s="15"/>
      <c r="G1719" s="15"/>
      <c r="H1719" s="14"/>
      <c r="I1719" s="16" t="str">
        <f aca="false">IF(OR(A1719="",C1719=""),"",IF(OR(H1719="İade",H1719="İptal"),0,E1719*IFERROR(INDEX(Kanallar!$B$5:$B$19,MATCH(C1719,Kanallar!$A$5:$A$19,0)),0)))</f>
        <v/>
      </c>
      <c r="J1719" s="16" t="str">
        <f aca="false">IF(I1719="","",IF(H1719="İptal",0,IF(H1719="İade",-G1719,E1719-I1719-F1719-G1719)))</f>
        <v/>
      </c>
    </row>
    <row r="1720" customFormat="false" ht="15" hidden="false" customHeight="false" outlineLevel="0" collapsed="false">
      <c r="A1720" s="12"/>
      <c r="B1720" s="13"/>
      <c r="C1720" s="14"/>
      <c r="D1720" s="13"/>
      <c r="E1720" s="15"/>
      <c r="F1720" s="15"/>
      <c r="G1720" s="15"/>
      <c r="H1720" s="14"/>
      <c r="I1720" s="16" t="str">
        <f aca="false">IF(OR(A1720="",C1720=""),"",IF(OR(H1720="İade",H1720="İptal"),0,E1720*IFERROR(INDEX(Kanallar!$B$5:$B$19,MATCH(C1720,Kanallar!$A$5:$A$19,0)),0)))</f>
        <v/>
      </c>
      <c r="J1720" s="16" t="str">
        <f aca="false">IF(I1720="","",IF(H1720="İptal",0,IF(H1720="İade",-G1720,E1720-I1720-F1720-G1720)))</f>
        <v/>
      </c>
    </row>
    <row r="1721" customFormat="false" ht="15" hidden="false" customHeight="false" outlineLevel="0" collapsed="false">
      <c r="A1721" s="12"/>
      <c r="B1721" s="13"/>
      <c r="C1721" s="14"/>
      <c r="D1721" s="13"/>
      <c r="E1721" s="15"/>
      <c r="F1721" s="15"/>
      <c r="G1721" s="15"/>
      <c r="H1721" s="14"/>
      <c r="I1721" s="16" t="str">
        <f aca="false">IF(OR(A1721="",C1721=""),"",IF(OR(H1721="İade",H1721="İptal"),0,E1721*IFERROR(INDEX(Kanallar!$B$5:$B$19,MATCH(C1721,Kanallar!$A$5:$A$19,0)),0)))</f>
        <v/>
      </c>
      <c r="J1721" s="16" t="str">
        <f aca="false">IF(I1721="","",IF(H1721="İptal",0,IF(H1721="İade",-G1721,E1721-I1721-F1721-G1721)))</f>
        <v/>
      </c>
    </row>
    <row r="1722" customFormat="false" ht="15" hidden="false" customHeight="false" outlineLevel="0" collapsed="false">
      <c r="A1722" s="12"/>
      <c r="B1722" s="13"/>
      <c r="C1722" s="14"/>
      <c r="D1722" s="13"/>
      <c r="E1722" s="15"/>
      <c r="F1722" s="15"/>
      <c r="G1722" s="15"/>
      <c r="H1722" s="14"/>
      <c r="I1722" s="16" t="str">
        <f aca="false">IF(OR(A1722="",C1722=""),"",IF(OR(H1722="İade",H1722="İptal"),0,E1722*IFERROR(INDEX(Kanallar!$B$5:$B$19,MATCH(C1722,Kanallar!$A$5:$A$19,0)),0)))</f>
        <v/>
      </c>
      <c r="J1722" s="16" t="str">
        <f aca="false">IF(I1722="","",IF(H1722="İptal",0,IF(H1722="İade",-G1722,E1722-I1722-F1722-G1722)))</f>
        <v/>
      </c>
    </row>
    <row r="1723" customFormat="false" ht="15" hidden="false" customHeight="false" outlineLevel="0" collapsed="false">
      <c r="A1723" s="12"/>
      <c r="B1723" s="13"/>
      <c r="C1723" s="14"/>
      <c r="D1723" s="13"/>
      <c r="E1723" s="15"/>
      <c r="F1723" s="15"/>
      <c r="G1723" s="15"/>
      <c r="H1723" s="14"/>
      <c r="I1723" s="16" t="str">
        <f aca="false">IF(OR(A1723="",C1723=""),"",IF(OR(H1723="İade",H1723="İptal"),0,E1723*IFERROR(INDEX(Kanallar!$B$5:$B$19,MATCH(C1723,Kanallar!$A$5:$A$19,0)),0)))</f>
        <v/>
      </c>
      <c r="J1723" s="16" t="str">
        <f aca="false">IF(I1723="","",IF(H1723="İptal",0,IF(H1723="İade",-G1723,E1723-I1723-F1723-G1723)))</f>
        <v/>
      </c>
    </row>
    <row r="1724" customFormat="false" ht="15" hidden="false" customHeight="false" outlineLevel="0" collapsed="false">
      <c r="A1724" s="12"/>
      <c r="B1724" s="13"/>
      <c r="C1724" s="14"/>
      <c r="D1724" s="13"/>
      <c r="E1724" s="15"/>
      <c r="F1724" s="15"/>
      <c r="G1724" s="15"/>
      <c r="H1724" s="14"/>
      <c r="I1724" s="16" t="str">
        <f aca="false">IF(OR(A1724="",C1724=""),"",IF(OR(H1724="İade",H1724="İptal"),0,E1724*IFERROR(INDEX(Kanallar!$B$5:$B$19,MATCH(C1724,Kanallar!$A$5:$A$19,0)),0)))</f>
        <v/>
      </c>
      <c r="J1724" s="16" t="str">
        <f aca="false">IF(I1724="","",IF(H1724="İptal",0,IF(H1724="İade",-G1724,E1724-I1724-F1724-G1724)))</f>
        <v/>
      </c>
    </row>
    <row r="1725" customFormat="false" ht="15" hidden="false" customHeight="false" outlineLevel="0" collapsed="false">
      <c r="A1725" s="12"/>
      <c r="B1725" s="13"/>
      <c r="C1725" s="14"/>
      <c r="D1725" s="13"/>
      <c r="E1725" s="15"/>
      <c r="F1725" s="15"/>
      <c r="G1725" s="15"/>
      <c r="H1725" s="14"/>
      <c r="I1725" s="16" t="str">
        <f aca="false">IF(OR(A1725="",C1725=""),"",IF(OR(H1725="İade",H1725="İptal"),0,E1725*IFERROR(INDEX(Kanallar!$B$5:$B$19,MATCH(C1725,Kanallar!$A$5:$A$19,0)),0)))</f>
        <v/>
      </c>
      <c r="J1725" s="16" t="str">
        <f aca="false">IF(I1725="","",IF(H1725="İptal",0,IF(H1725="İade",-G1725,E1725-I1725-F1725-G1725)))</f>
        <v/>
      </c>
    </row>
    <row r="1726" customFormat="false" ht="15" hidden="false" customHeight="false" outlineLevel="0" collapsed="false">
      <c r="A1726" s="12"/>
      <c r="B1726" s="13"/>
      <c r="C1726" s="14"/>
      <c r="D1726" s="13"/>
      <c r="E1726" s="15"/>
      <c r="F1726" s="15"/>
      <c r="G1726" s="15"/>
      <c r="H1726" s="14"/>
      <c r="I1726" s="16" t="str">
        <f aca="false">IF(OR(A1726="",C1726=""),"",IF(OR(H1726="İade",H1726="İptal"),0,E1726*IFERROR(INDEX(Kanallar!$B$5:$B$19,MATCH(C1726,Kanallar!$A$5:$A$19,0)),0)))</f>
        <v/>
      </c>
      <c r="J1726" s="16" t="str">
        <f aca="false">IF(I1726="","",IF(H1726="İptal",0,IF(H1726="İade",-G1726,E1726-I1726-F1726-G1726)))</f>
        <v/>
      </c>
    </row>
    <row r="1727" customFormat="false" ht="15" hidden="false" customHeight="false" outlineLevel="0" collapsed="false">
      <c r="A1727" s="12"/>
      <c r="B1727" s="13"/>
      <c r="C1727" s="14"/>
      <c r="D1727" s="13"/>
      <c r="E1727" s="15"/>
      <c r="F1727" s="15"/>
      <c r="G1727" s="15"/>
      <c r="H1727" s="14"/>
      <c r="I1727" s="16" t="str">
        <f aca="false">IF(OR(A1727="",C1727=""),"",IF(OR(H1727="İade",H1727="İptal"),0,E1727*IFERROR(INDEX(Kanallar!$B$5:$B$19,MATCH(C1727,Kanallar!$A$5:$A$19,0)),0)))</f>
        <v/>
      </c>
      <c r="J1727" s="16" t="str">
        <f aca="false">IF(I1727="","",IF(H1727="İptal",0,IF(H1727="İade",-G1727,E1727-I1727-F1727-G1727)))</f>
        <v/>
      </c>
    </row>
    <row r="1728" customFormat="false" ht="15" hidden="false" customHeight="false" outlineLevel="0" collapsed="false">
      <c r="A1728" s="12"/>
      <c r="B1728" s="13"/>
      <c r="C1728" s="14"/>
      <c r="D1728" s="13"/>
      <c r="E1728" s="15"/>
      <c r="F1728" s="15"/>
      <c r="G1728" s="15"/>
      <c r="H1728" s="14"/>
      <c r="I1728" s="16" t="str">
        <f aca="false">IF(OR(A1728="",C1728=""),"",IF(OR(H1728="İade",H1728="İptal"),0,E1728*IFERROR(INDEX(Kanallar!$B$5:$B$19,MATCH(C1728,Kanallar!$A$5:$A$19,0)),0)))</f>
        <v/>
      </c>
      <c r="J1728" s="16" t="str">
        <f aca="false">IF(I1728="","",IF(H1728="İptal",0,IF(H1728="İade",-G1728,E1728-I1728-F1728-G1728)))</f>
        <v/>
      </c>
    </row>
    <row r="1729" customFormat="false" ht="15" hidden="false" customHeight="false" outlineLevel="0" collapsed="false">
      <c r="A1729" s="12"/>
      <c r="B1729" s="13"/>
      <c r="C1729" s="14"/>
      <c r="D1729" s="13"/>
      <c r="E1729" s="15"/>
      <c r="F1729" s="15"/>
      <c r="G1729" s="15"/>
      <c r="H1729" s="14"/>
      <c r="I1729" s="16" t="str">
        <f aca="false">IF(OR(A1729="",C1729=""),"",IF(OR(H1729="İade",H1729="İptal"),0,E1729*IFERROR(INDEX(Kanallar!$B$5:$B$19,MATCH(C1729,Kanallar!$A$5:$A$19,0)),0)))</f>
        <v/>
      </c>
      <c r="J1729" s="16" t="str">
        <f aca="false">IF(I1729="","",IF(H1729="İptal",0,IF(H1729="İade",-G1729,E1729-I1729-F1729-G1729)))</f>
        <v/>
      </c>
    </row>
    <row r="1730" customFormat="false" ht="15" hidden="false" customHeight="false" outlineLevel="0" collapsed="false">
      <c r="A1730" s="12"/>
      <c r="B1730" s="13"/>
      <c r="C1730" s="14"/>
      <c r="D1730" s="13"/>
      <c r="E1730" s="15"/>
      <c r="F1730" s="15"/>
      <c r="G1730" s="15"/>
      <c r="H1730" s="14"/>
      <c r="I1730" s="16" t="str">
        <f aca="false">IF(OR(A1730="",C1730=""),"",IF(OR(H1730="İade",H1730="İptal"),0,E1730*IFERROR(INDEX(Kanallar!$B$5:$B$19,MATCH(C1730,Kanallar!$A$5:$A$19,0)),0)))</f>
        <v/>
      </c>
      <c r="J1730" s="16" t="str">
        <f aca="false">IF(I1730="","",IF(H1730="İptal",0,IF(H1730="İade",-G1730,E1730-I1730-F1730-G1730)))</f>
        <v/>
      </c>
    </row>
    <row r="1731" customFormat="false" ht="15" hidden="false" customHeight="false" outlineLevel="0" collapsed="false">
      <c r="A1731" s="12"/>
      <c r="B1731" s="13"/>
      <c r="C1731" s="14"/>
      <c r="D1731" s="13"/>
      <c r="E1731" s="15"/>
      <c r="F1731" s="15"/>
      <c r="G1731" s="15"/>
      <c r="H1731" s="14"/>
      <c r="I1731" s="16" t="str">
        <f aca="false">IF(OR(A1731="",C1731=""),"",IF(OR(H1731="İade",H1731="İptal"),0,E1731*IFERROR(INDEX(Kanallar!$B$5:$B$19,MATCH(C1731,Kanallar!$A$5:$A$19,0)),0)))</f>
        <v/>
      </c>
      <c r="J1731" s="16" t="str">
        <f aca="false">IF(I1731="","",IF(H1731="İptal",0,IF(H1731="İade",-G1731,E1731-I1731-F1731-G1731)))</f>
        <v/>
      </c>
    </row>
    <row r="1732" customFormat="false" ht="15" hidden="false" customHeight="false" outlineLevel="0" collapsed="false">
      <c r="A1732" s="12"/>
      <c r="B1732" s="13"/>
      <c r="C1732" s="14"/>
      <c r="D1732" s="13"/>
      <c r="E1732" s="15"/>
      <c r="F1732" s="15"/>
      <c r="G1732" s="15"/>
      <c r="H1732" s="14"/>
      <c r="I1732" s="16" t="str">
        <f aca="false">IF(OR(A1732="",C1732=""),"",IF(OR(H1732="İade",H1732="İptal"),0,E1732*IFERROR(INDEX(Kanallar!$B$5:$B$19,MATCH(C1732,Kanallar!$A$5:$A$19,0)),0)))</f>
        <v/>
      </c>
      <c r="J1732" s="16" t="str">
        <f aca="false">IF(I1732="","",IF(H1732="İptal",0,IF(H1732="İade",-G1732,E1732-I1732-F1732-G1732)))</f>
        <v/>
      </c>
    </row>
    <row r="1733" customFormat="false" ht="15" hidden="false" customHeight="false" outlineLevel="0" collapsed="false">
      <c r="A1733" s="12"/>
      <c r="B1733" s="13"/>
      <c r="C1733" s="14"/>
      <c r="D1733" s="13"/>
      <c r="E1733" s="15"/>
      <c r="F1733" s="15"/>
      <c r="G1733" s="15"/>
      <c r="H1733" s="14"/>
      <c r="I1733" s="16" t="str">
        <f aca="false">IF(OR(A1733="",C1733=""),"",IF(OR(H1733="İade",H1733="İptal"),0,E1733*IFERROR(INDEX(Kanallar!$B$5:$B$19,MATCH(C1733,Kanallar!$A$5:$A$19,0)),0)))</f>
        <v/>
      </c>
      <c r="J1733" s="16" t="str">
        <f aca="false">IF(I1733="","",IF(H1733="İptal",0,IF(H1733="İade",-G1733,E1733-I1733-F1733-G1733)))</f>
        <v/>
      </c>
    </row>
    <row r="1734" customFormat="false" ht="15" hidden="false" customHeight="false" outlineLevel="0" collapsed="false">
      <c r="A1734" s="12"/>
      <c r="B1734" s="13"/>
      <c r="C1734" s="14"/>
      <c r="D1734" s="13"/>
      <c r="E1734" s="15"/>
      <c r="F1734" s="15"/>
      <c r="G1734" s="15"/>
      <c r="H1734" s="14"/>
      <c r="I1734" s="16" t="str">
        <f aca="false">IF(OR(A1734="",C1734=""),"",IF(OR(H1734="İade",H1734="İptal"),0,E1734*IFERROR(INDEX(Kanallar!$B$5:$B$19,MATCH(C1734,Kanallar!$A$5:$A$19,0)),0)))</f>
        <v/>
      </c>
      <c r="J1734" s="16" t="str">
        <f aca="false">IF(I1734="","",IF(H1734="İptal",0,IF(H1734="İade",-G1734,E1734-I1734-F1734-G1734)))</f>
        <v/>
      </c>
    </row>
    <row r="1735" customFormat="false" ht="15" hidden="false" customHeight="false" outlineLevel="0" collapsed="false">
      <c r="A1735" s="12"/>
      <c r="B1735" s="13"/>
      <c r="C1735" s="14"/>
      <c r="D1735" s="13"/>
      <c r="E1735" s="15"/>
      <c r="F1735" s="15"/>
      <c r="G1735" s="15"/>
      <c r="H1735" s="14"/>
      <c r="I1735" s="16" t="str">
        <f aca="false">IF(OR(A1735="",C1735=""),"",IF(OR(H1735="İade",H1735="İptal"),0,E1735*IFERROR(INDEX(Kanallar!$B$5:$B$19,MATCH(C1735,Kanallar!$A$5:$A$19,0)),0)))</f>
        <v/>
      </c>
      <c r="J1735" s="16" t="str">
        <f aca="false">IF(I1735="","",IF(H1735="İptal",0,IF(H1735="İade",-G1735,E1735-I1735-F1735-G1735)))</f>
        <v/>
      </c>
    </row>
    <row r="1736" customFormat="false" ht="15" hidden="false" customHeight="false" outlineLevel="0" collapsed="false">
      <c r="A1736" s="12"/>
      <c r="B1736" s="13"/>
      <c r="C1736" s="14"/>
      <c r="D1736" s="13"/>
      <c r="E1736" s="15"/>
      <c r="F1736" s="15"/>
      <c r="G1736" s="15"/>
      <c r="H1736" s="14"/>
      <c r="I1736" s="16" t="str">
        <f aca="false">IF(OR(A1736="",C1736=""),"",IF(OR(H1736="İade",H1736="İptal"),0,E1736*IFERROR(INDEX(Kanallar!$B$5:$B$19,MATCH(C1736,Kanallar!$A$5:$A$19,0)),0)))</f>
        <v/>
      </c>
      <c r="J1736" s="16" t="str">
        <f aca="false">IF(I1736="","",IF(H1736="İptal",0,IF(H1736="İade",-G1736,E1736-I1736-F1736-G1736)))</f>
        <v/>
      </c>
    </row>
    <row r="1737" customFormat="false" ht="15" hidden="false" customHeight="false" outlineLevel="0" collapsed="false">
      <c r="A1737" s="12"/>
      <c r="B1737" s="13"/>
      <c r="C1737" s="14"/>
      <c r="D1737" s="13"/>
      <c r="E1737" s="15"/>
      <c r="F1737" s="15"/>
      <c r="G1737" s="15"/>
      <c r="H1737" s="14"/>
      <c r="I1737" s="16" t="str">
        <f aca="false">IF(OR(A1737="",C1737=""),"",IF(OR(H1737="İade",H1737="İptal"),0,E1737*IFERROR(INDEX(Kanallar!$B$5:$B$19,MATCH(C1737,Kanallar!$A$5:$A$19,0)),0)))</f>
        <v/>
      </c>
      <c r="J1737" s="16" t="str">
        <f aca="false">IF(I1737="","",IF(H1737="İptal",0,IF(H1737="İade",-G1737,E1737-I1737-F1737-G1737)))</f>
        <v/>
      </c>
    </row>
    <row r="1738" customFormat="false" ht="15" hidden="false" customHeight="false" outlineLevel="0" collapsed="false">
      <c r="A1738" s="12"/>
      <c r="B1738" s="13"/>
      <c r="C1738" s="14"/>
      <c r="D1738" s="13"/>
      <c r="E1738" s="15"/>
      <c r="F1738" s="15"/>
      <c r="G1738" s="15"/>
      <c r="H1738" s="14"/>
      <c r="I1738" s="16" t="str">
        <f aca="false">IF(OR(A1738="",C1738=""),"",IF(OR(H1738="İade",H1738="İptal"),0,E1738*IFERROR(INDEX(Kanallar!$B$5:$B$19,MATCH(C1738,Kanallar!$A$5:$A$19,0)),0)))</f>
        <v/>
      </c>
      <c r="J1738" s="16" t="str">
        <f aca="false">IF(I1738="","",IF(H1738="İptal",0,IF(H1738="İade",-G1738,E1738-I1738-F1738-G1738)))</f>
        <v/>
      </c>
    </row>
    <row r="1739" customFormat="false" ht="15" hidden="false" customHeight="false" outlineLevel="0" collapsed="false">
      <c r="A1739" s="12"/>
      <c r="B1739" s="13"/>
      <c r="C1739" s="14"/>
      <c r="D1739" s="13"/>
      <c r="E1739" s="15"/>
      <c r="F1739" s="15"/>
      <c r="G1739" s="15"/>
      <c r="H1739" s="14"/>
      <c r="I1739" s="16" t="str">
        <f aca="false">IF(OR(A1739="",C1739=""),"",IF(OR(H1739="İade",H1739="İptal"),0,E1739*IFERROR(INDEX(Kanallar!$B$5:$B$19,MATCH(C1739,Kanallar!$A$5:$A$19,0)),0)))</f>
        <v/>
      </c>
      <c r="J1739" s="16" t="str">
        <f aca="false">IF(I1739="","",IF(H1739="İptal",0,IF(H1739="İade",-G1739,E1739-I1739-F1739-G1739)))</f>
        <v/>
      </c>
    </row>
    <row r="1740" customFormat="false" ht="15" hidden="false" customHeight="false" outlineLevel="0" collapsed="false">
      <c r="A1740" s="12"/>
      <c r="B1740" s="13"/>
      <c r="C1740" s="14"/>
      <c r="D1740" s="13"/>
      <c r="E1740" s="15"/>
      <c r="F1740" s="15"/>
      <c r="G1740" s="15"/>
      <c r="H1740" s="14"/>
      <c r="I1740" s="16" t="str">
        <f aca="false">IF(OR(A1740="",C1740=""),"",IF(OR(H1740="İade",H1740="İptal"),0,E1740*IFERROR(INDEX(Kanallar!$B$5:$B$19,MATCH(C1740,Kanallar!$A$5:$A$19,0)),0)))</f>
        <v/>
      </c>
      <c r="J1740" s="16" t="str">
        <f aca="false">IF(I1740="","",IF(H1740="İptal",0,IF(H1740="İade",-G1740,E1740-I1740-F1740-G1740)))</f>
        <v/>
      </c>
    </row>
    <row r="1741" customFormat="false" ht="15" hidden="false" customHeight="false" outlineLevel="0" collapsed="false">
      <c r="A1741" s="12"/>
      <c r="B1741" s="13"/>
      <c r="C1741" s="14"/>
      <c r="D1741" s="13"/>
      <c r="E1741" s="15"/>
      <c r="F1741" s="15"/>
      <c r="G1741" s="15"/>
      <c r="H1741" s="14"/>
      <c r="I1741" s="16" t="str">
        <f aca="false">IF(OR(A1741="",C1741=""),"",IF(OR(H1741="İade",H1741="İptal"),0,E1741*IFERROR(INDEX(Kanallar!$B$5:$B$19,MATCH(C1741,Kanallar!$A$5:$A$19,0)),0)))</f>
        <v/>
      </c>
      <c r="J1741" s="16" t="str">
        <f aca="false">IF(I1741="","",IF(H1741="İptal",0,IF(H1741="İade",-G1741,E1741-I1741-F1741-G1741)))</f>
        <v/>
      </c>
    </row>
    <row r="1742" customFormat="false" ht="15" hidden="false" customHeight="false" outlineLevel="0" collapsed="false">
      <c r="A1742" s="12"/>
      <c r="B1742" s="13"/>
      <c r="C1742" s="14"/>
      <c r="D1742" s="13"/>
      <c r="E1742" s="15"/>
      <c r="F1742" s="15"/>
      <c r="G1742" s="15"/>
      <c r="H1742" s="14"/>
      <c r="I1742" s="16" t="str">
        <f aca="false">IF(OR(A1742="",C1742=""),"",IF(OR(H1742="İade",H1742="İptal"),0,E1742*IFERROR(INDEX(Kanallar!$B$5:$B$19,MATCH(C1742,Kanallar!$A$5:$A$19,0)),0)))</f>
        <v/>
      </c>
      <c r="J1742" s="16" t="str">
        <f aca="false">IF(I1742="","",IF(H1742="İptal",0,IF(H1742="İade",-G1742,E1742-I1742-F1742-G1742)))</f>
        <v/>
      </c>
    </row>
    <row r="1743" customFormat="false" ht="15" hidden="false" customHeight="false" outlineLevel="0" collapsed="false">
      <c r="A1743" s="12"/>
      <c r="B1743" s="13"/>
      <c r="C1743" s="14"/>
      <c r="D1743" s="13"/>
      <c r="E1743" s="15"/>
      <c r="F1743" s="15"/>
      <c r="G1743" s="15"/>
      <c r="H1743" s="14"/>
      <c r="I1743" s="16" t="str">
        <f aca="false">IF(OR(A1743="",C1743=""),"",IF(OR(H1743="İade",H1743="İptal"),0,E1743*IFERROR(INDEX(Kanallar!$B$5:$B$19,MATCH(C1743,Kanallar!$A$5:$A$19,0)),0)))</f>
        <v/>
      </c>
      <c r="J1743" s="16" t="str">
        <f aca="false">IF(I1743="","",IF(H1743="İptal",0,IF(H1743="İade",-G1743,E1743-I1743-F1743-G1743)))</f>
        <v/>
      </c>
    </row>
    <row r="1744" customFormat="false" ht="15" hidden="false" customHeight="false" outlineLevel="0" collapsed="false">
      <c r="A1744" s="12"/>
      <c r="B1744" s="13"/>
      <c r="C1744" s="14"/>
      <c r="D1744" s="13"/>
      <c r="E1744" s="15"/>
      <c r="F1744" s="15"/>
      <c r="G1744" s="15"/>
      <c r="H1744" s="14"/>
      <c r="I1744" s="16" t="str">
        <f aca="false">IF(OR(A1744="",C1744=""),"",IF(OR(H1744="İade",H1744="İptal"),0,E1744*IFERROR(INDEX(Kanallar!$B$5:$B$19,MATCH(C1744,Kanallar!$A$5:$A$19,0)),0)))</f>
        <v/>
      </c>
      <c r="J1744" s="16" t="str">
        <f aca="false">IF(I1744="","",IF(H1744="İptal",0,IF(H1744="İade",-G1744,E1744-I1744-F1744-G1744)))</f>
        <v/>
      </c>
    </row>
    <row r="1745" customFormat="false" ht="15" hidden="false" customHeight="false" outlineLevel="0" collapsed="false">
      <c r="A1745" s="12"/>
      <c r="B1745" s="13"/>
      <c r="C1745" s="14"/>
      <c r="D1745" s="13"/>
      <c r="E1745" s="15"/>
      <c r="F1745" s="15"/>
      <c r="G1745" s="15"/>
      <c r="H1745" s="14"/>
      <c r="I1745" s="16" t="str">
        <f aca="false">IF(OR(A1745="",C1745=""),"",IF(OR(H1745="İade",H1745="İptal"),0,E1745*IFERROR(INDEX(Kanallar!$B$5:$B$19,MATCH(C1745,Kanallar!$A$5:$A$19,0)),0)))</f>
        <v/>
      </c>
      <c r="J1745" s="16" t="str">
        <f aca="false">IF(I1745="","",IF(H1745="İptal",0,IF(H1745="İade",-G1745,E1745-I1745-F1745-G1745)))</f>
        <v/>
      </c>
    </row>
    <row r="1746" customFormat="false" ht="15" hidden="false" customHeight="false" outlineLevel="0" collapsed="false">
      <c r="A1746" s="12"/>
      <c r="B1746" s="13"/>
      <c r="C1746" s="14"/>
      <c r="D1746" s="13"/>
      <c r="E1746" s="15"/>
      <c r="F1746" s="15"/>
      <c r="G1746" s="15"/>
      <c r="H1746" s="14"/>
      <c r="I1746" s="16" t="str">
        <f aca="false">IF(OR(A1746="",C1746=""),"",IF(OR(H1746="İade",H1746="İptal"),0,E1746*IFERROR(INDEX(Kanallar!$B$5:$B$19,MATCH(C1746,Kanallar!$A$5:$A$19,0)),0)))</f>
        <v/>
      </c>
      <c r="J1746" s="16" t="str">
        <f aca="false">IF(I1746="","",IF(H1746="İptal",0,IF(H1746="İade",-G1746,E1746-I1746-F1746-G1746)))</f>
        <v/>
      </c>
    </row>
    <row r="1747" customFormat="false" ht="15" hidden="false" customHeight="false" outlineLevel="0" collapsed="false">
      <c r="A1747" s="12"/>
      <c r="B1747" s="13"/>
      <c r="C1747" s="14"/>
      <c r="D1747" s="13"/>
      <c r="E1747" s="15"/>
      <c r="F1747" s="15"/>
      <c r="G1747" s="15"/>
      <c r="H1747" s="14"/>
      <c r="I1747" s="16" t="str">
        <f aca="false">IF(OR(A1747="",C1747=""),"",IF(OR(H1747="İade",H1747="İptal"),0,E1747*IFERROR(INDEX(Kanallar!$B$5:$B$19,MATCH(C1747,Kanallar!$A$5:$A$19,0)),0)))</f>
        <v/>
      </c>
      <c r="J1747" s="16" t="str">
        <f aca="false">IF(I1747="","",IF(H1747="İptal",0,IF(H1747="İade",-G1747,E1747-I1747-F1747-G1747)))</f>
        <v/>
      </c>
    </row>
    <row r="1748" customFormat="false" ht="15" hidden="false" customHeight="false" outlineLevel="0" collapsed="false">
      <c r="A1748" s="12"/>
      <c r="B1748" s="13"/>
      <c r="C1748" s="14"/>
      <c r="D1748" s="13"/>
      <c r="E1748" s="15"/>
      <c r="F1748" s="15"/>
      <c r="G1748" s="15"/>
      <c r="H1748" s="14"/>
      <c r="I1748" s="16" t="str">
        <f aca="false">IF(OR(A1748="",C1748=""),"",IF(OR(H1748="İade",H1748="İptal"),0,E1748*IFERROR(INDEX(Kanallar!$B$5:$B$19,MATCH(C1748,Kanallar!$A$5:$A$19,0)),0)))</f>
        <v/>
      </c>
      <c r="J1748" s="16" t="str">
        <f aca="false">IF(I1748="","",IF(H1748="İptal",0,IF(H1748="İade",-G1748,E1748-I1748-F1748-G1748)))</f>
        <v/>
      </c>
    </row>
    <row r="1749" customFormat="false" ht="15" hidden="false" customHeight="false" outlineLevel="0" collapsed="false">
      <c r="A1749" s="12"/>
      <c r="B1749" s="13"/>
      <c r="C1749" s="14"/>
      <c r="D1749" s="13"/>
      <c r="E1749" s="15"/>
      <c r="F1749" s="15"/>
      <c r="G1749" s="15"/>
      <c r="H1749" s="14"/>
      <c r="I1749" s="16" t="str">
        <f aca="false">IF(OR(A1749="",C1749=""),"",IF(OR(H1749="İade",H1749="İptal"),0,E1749*IFERROR(INDEX(Kanallar!$B$5:$B$19,MATCH(C1749,Kanallar!$A$5:$A$19,0)),0)))</f>
        <v/>
      </c>
      <c r="J1749" s="16" t="str">
        <f aca="false">IF(I1749="","",IF(H1749="İptal",0,IF(H1749="İade",-G1749,E1749-I1749-F1749-G1749)))</f>
        <v/>
      </c>
    </row>
    <row r="1750" customFormat="false" ht="15" hidden="false" customHeight="false" outlineLevel="0" collapsed="false">
      <c r="A1750" s="12"/>
      <c r="B1750" s="13"/>
      <c r="C1750" s="14"/>
      <c r="D1750" s="13"/>
      <c r="E1750" s="15"/>
      <c r="F1750" s="15"/>
      <c r="G1750" s="15"/>
      <c r="H1750" s="14"/>
      <c r="I1750" s="16" t="str">
        <f aca="false">IF(OR(A1750="",C1750=""),"",IF(OR(H1750="İade",H1750="İptal"),0,E1750*IFERROR(INDEX(Kanallar!$B$5:$B$19,MATCH(C1750,Kanallar!$A$5:$A$19,0)),0)))</f>
        <v/>
      </c>
      <c r="J1750" s="16" t="str">
        <f aca="false">IF(I1750="","",IF(H1750="İptal",0,IF(H1750="İade",-G1750,E1750-I1750-F1750-G1750)))</f>
        <v/>
      </c>
    </row>
    <row r="1751" customFormat="false" ht="15" hidden="false" customHeight="false" outlineLevel="0" collapsed="false">
      <c r="A1751" s="12"/>
      <c r="B1751" s="13"/>
      <c r="C1751" s="14"/>
      <c r="D1751" s="13"/>
      <c r="E1751" s="15"/>
      <c r="F1751" s="15"/>
      <c r="G1751" s="15"/>
      <c r="H1751" s="14"/>
      <c r="I1751" s="16" t="str">
        <f aca="false">IF(OR(A1751="",C1751=""),"",IF(OR(H1751="İade",H1751="İptal"),0,E1751*IFERROR(INDEX(Kanallar!$B$5:$B$19,MATCH(C1751,Kanallar!$A$5:$A$19,0)),0)))</f>
        <v/>
      </c>
      <c r="J1751" s="16" t="str">
        <f aca="false">IF(I1751="","",IF(H1751="İptal",0,IF(H1751="İade",-G1751,E1751-I1751-F1751-G1751)))</f>
        <v/>
      </c>
    </row>
    <row r="1752" customFormat="false" ht="15" hidden="false" customHeight="false" outlineLevel="0" collapsed="false">
      <c r="A1752" s="12"/>
      <c r="B1752" s="13"/>
      <c r="C1752" s="14"/>
      <c r="D1752" s="13"/>
      <c r="E1752" s="15"/>
      <c r="F1752" s="15"/>
      <c r="G1752" s="15"/>
      <c r="H1752" s="14"/>
      <c r="I1752" s="16" t="str">
        <f aca="false">IF(OR(A1752="",C1752=""),"",IF(OR(H1752="İade",H1752="İptal"),0,E1752*IFERROR(INDEX(Kanallar!$B$5:$B$19,MATCH(C1752,Kanallar!$A$5:$A$19,0)),0)))</f>
        <v/>
      </c>
      <c r="J1752" s="16" t="str">
        <f aca="false">IF(I1752="","",IF(H1752="İptal",0,IF(H1752="İade",-G1752,E1752-I1752-F1752-G1752)))</f>
        <v/>
      </c>
    </row>
    <row r="1753" customFormat="false" ht="15" hidden="false" customHeight="false" outlineLevel="0" collapsed="false">
      <c r="A1753" s="12"/>
      <c r="B1753" s="13"/>
      <c r="C1753" s="14"/>
      <c r="D1753" s="13"/>
      <c r="E1753" s="15"/>
      <c r="F1753" s="15"/>
      <c r="G1753" s="15"/>
      <c r="H1753" s="14"/>
      <c r="I1753" s="16" t="str">
        <f aca="false">IF(OR(A1753="",C1753=""),"",IF(OR(H1753="İade",H1753="İptal"),0,E1753*IFERROR(INDEX(Kanallar!$B$5:$B$19,MATCH(C1753,Kanallar!$A$5:$A$19,0)),0)))</f>
        <v/>
      </c>
      <c r="J1753" s="16" t="str">
        <f aca="false">IF(I1753="","",IF(H1753="İptal",0,IF(H1753="İade",-G1753,E1753-I1753-F1753-G1753)))</f>
        <v/>
      </c>
    </row>
    <row r="1754" customFormat="false" ht="15" hidden="false" customHeight="false" outlineLevel="0" collapsed="false">
      <c r="A1754" s="12"/>
      <c r="B1754" s="13"/>
      <c r="C1754" s="14"/>
      <c r="D1754" s="13"/>
      <c r="E1754" s="15"/>
      <c r="F1754" s="15"/>
      <c r="G1754" s="15"/>
      <c r="H1754" s="14"/>
      <c r="I1754" s="16" t="str">
        <f aca="false">IF(OR(A1754="",C1754=""),"",IF(OR(H1754="İade",H1754="İptal"),0,E1754*IFERROR(INDEX(Kanallar!$B$5:$B$19,MATCH(C1754,Kanallar!$A$5:$A$19,0)),0)))</f>
        <v/>
      </c>
      <c r="J1754" s="16" t="str">
        <f aca="false">IF(I1754="","",IF(H1754="İptal",0,IF(H1754="İade",-G1754,E1754-I1754-F1754-G1754)))</f>
        <v/>
      </c>
    </row>
    <row r="1755" customFormat="false" ht="15" hidden="false" customHeight="false" outlineLevel="0" collapsed="false">
      <c r="A1755" s="12"/>
      <c r="B1755" s="13"/>
      <c r="C1755" s="14"/>
      <c r="D1755" s="13"/>
      <c r="E1755" s="15"/>
      <c r="F1755" s="15"/>
      <c r="G1755" s="15"/>
      <c r="H1755" s="14"/>
      <c r="I1755" s="16" t="str">
        <f aca="false">IF(OR(A1755="",C1755=""),"",IF(OR(H1755="İade",H1755="İptal"),0,E1755*IFERROR(INDEX(Kanallar!$B$5:$B$19,MATCH(C1755,Kanallar!$A$5:$A$19,0)),0)))</f>
        <v/>
      </c>
      <c r="J1755" s="16" t="str">
        <f aca="false">IF(I1755="","",IF(H1755="İptal",0,IF(H1755="İade",-G1755,E1755-I1755-F1755-G1755)))</f>
        <v/>
      </c>
    </row>
    <row r="1756" customFormat="false" ht="15" hidden="false" customHeight="false" outlineLevel="0" collapsed="false">
      <c r="A1756" s="12"/>
      <c r="B1756" s="13"/>
      <c r="C1756" s="14"/>
      <c r="D1756" s="13"/>
      <c r="E1756" s="15"/>
      <c r="F1756" s="15"/>
      <c r="G1756" s="15"/>
      <c r="H1756" s="14"/>
      <c r="I1756" s="16" t="str">
        <f aca="false">IF(OR(A1756="",C1756=""),"",IF(OR(H1756="İade",H1756="İptal"),0,E1756*IFERROR(INDEX(Kanallar!$B$5:$B$19,MATCH(C1756,Kanallar!$A$5:$A$19,0)),0)))</f>
        <v/>
      </c>
      <c r="J1756" s="16" t="str">
        <f aca="false">IF(I1756="","",IF(H1756="İptal",0,IF(H1756="İade",-G1756,E1756-I1756-F1756-G1756)))</f>
        <v/>
      </c>
    </row>
    <row r="1757" customFormat="false" ht="15" hidden="false" customHeight="false" outlineLevel="0" collapsed="false">
      <c r="A1757" s="12"/>
      <c r="B1757" s="13"/>
      <c r="C1757" s="14"/>
      <c r="D1757" s="13"/>
      <c r="E1757" s="15"/>
      <c r="F1757" s="15"/>
      <c r="G1757" s="15"/>
      <c r="H1757" s="14"/>
      <c r="I1757" s="16" t="str">
        <f aca="false">IF(OR(A1757="",C1757=""),"",IF(OR(H1757="İade",H1757="İptal"),0,E1757*IFERROR(INDEX(Kanallar!$B$5:$B$19,MATCH(C1757,Kanallar!$A$5:$A$19,0)),0)))</f>
        <v/>
      </c>
      <c r="J1757" s="16" t="str">
        <f aca="false">IF(I1757="","",IF(H1757="İptal",0,IF(H1757="İade",-G1757,E1757-I1757-F1757-G1757)))</f>
        <v/>
      </c>
    </row>
    <row r="1758" customFormat="false" ht="15" hidden="false" customHeight="false" outlineLevel="0" collapsed="false">
      <c r="A1758" s="12"/>
      <c r="B1758" s="13"/>
      <c r="C1758" s="14"/>
      <c r="D1758" s="13"/>
      <c r="E1758" s="15"/>
      <c r="F1758" s="15"/>
      <c r="G1758" s="15"/>
      <c r="H1758" s="14"/>
      <c r="I1758" s="16" t="str">
        <f aca="false">IF(OR(A1758="",C1758=""),"",IF(OR(H1758="İade",H1758="İptal"),0,E1758*IFERROR(INDEX(Kanallar!$B$5:$B$19,MATCH(C1758,Kanallar!$A$5:$A$19,0)),0)))</f>
        <v/>
      </c>
      <c r="J1758" s="16" t="str">
        <f aca="false">IF(I1758="","",IF(H1758="İptal",0,IF(H1758="İade",-G1758,E1758-I1758-F1758-G1758)))</f>
        <v/>
      </c>
    </row>
    <row r="1759" customFormat="false" ht="15" hidden="false" customHeight="false" outlineLevel="0" collapsed="false">
      <c r="A1759" s="12"/>
      <c r="B1759" s="13"/>
      <c r="C1759" s="14"/>
      <c r="D1759" s="13"/>
      <c r="E1759" s="15"/>
      <c r="F1759" s="15"/>
      <c r="G1759" s="15"/>
      <c r="H1759" s="14"/>
      <c r="I1759" s="16" t="str">
        <f aca="false">IF(OR(A1759="",C1759=""),"",IF(OR(H1759="İade",H1759="İptal"),0,E1759*IFERROR(INDEX(Kanallar!$B$5:$B$19,MATCH(C1759,Kanallar!$A$5:$A$19,0)),0)))</f>
        <v/>
      </c>
      <c r="J1759" s="16" t="str">
        <f aca="false">IF(I1759="","",IF(H1759="İptal",0,IF(H1759="İade",-G1759,E1759-I1759-F1759-G1759)))</f>
        <v/>
      </c>
    </row>
    <row r="1760" customFormat="false" ht="15" hidden="false" customHeight="false" outlineLevel="0" collapsed="false">
      <c r="A1760" s="12"/>
      <c r="B1760" s="13"/>
      <c r="C1760" s="14"/>
      <c r="D1760" s="13"/>
      <c r="E1760" s="15"/>
      <c r="F1760" s="15"/>
      <c r="G1760" s="15"/>
      <c r="H1760" s="14"/>
      <c r="I1760" s="16" t="str">
        <f aca="false">IF(OR(A1760="",C1760=""),"",IF(OR(H1760="İade",H1760="İptal"),0,E1760*IFERROR(INDEX(Kanallar!$B$5:$B$19,MATCH(C1760,Kanallar!$A$5:$A$19,0)),0)))</f>
        <v/>
      </c>
      <c r="J1760" s="16" t="str">
        <f aca="false">IF(I1760="","",IF(H1760="İptal",0,IF(H1760="İade",-G1760,E1760-I1760-F1760-G1760)))</f>
        <v/>
      </c>
    </row>
    <row r="1761" customFormat="false" ht="15" hidden="false" customHeight="false" outlineLevel="0" collapsed="false">
      <c r="A1761" s="12"/>
      <c r="B1761" s="13"/>
      <c r="C1761" s="14"/>
      <c r="D1761" s="13"/>
      <c r="E1761" s="15"/>
      <c r="F1761" s="15"/>
      <c r="G1761" s="15"/>
      <c r="H1761" s="14"/>
      <c r="I1761" s="16" t="str">
        <f aca="false">IF(OR(A1761="",C1761=""),"",IF(OR(H1761="İade",H1761="İptal"),0,E1761*IFERROR(INDEX(Kanallar!$B$5:$B$19,MATCH(C1761,Kanallar!$A$5:$A$19,0)),0)))</f>
        <v/>
      </c>
      <c r="J1761" s="16" t="str">
        <f aca="false">IF(I1761="","",IF(H1761="İptal",0,IF(H1761="İade",-G1761,E1761-I1761-F1761-G1761)))</f>
        <v/>
      </c>
    </row>
    <row r="1762" customFormat="false" ht="15" hidden="false" customHeight="false" outlineLevel="0" collapsed="false">
      <c r="A1762" s="12"/>
      <c r="B1762" s="13"/>
      <c r="C1762" s="14"/>
      <c r="D1762" s="13"/>
      <c r="E1762" s="15"/>
      <c r="F1762" s="15"/>
      <c r="G1762" s="15"/>
      <c r="H1762" s="14"/>
      <c r="I1762" s="16" t="str">
        <f aca="false">IF(OR(A1762="",C1762=""),"",IF(OR(H1762="İade",H1762="İptal"),0,E1762*IFERROR(INDEX(Kanallar!$B$5:$B$19,MATCH(C1762,Kanallar!$A$5:$A$19,0)),0)))</f>
        <v/>
      </c>
      <c r="J1762" s="16" t="str">
        <f aca="false">IF(I1762="","",IF(H1762="İptal",0,IF(H1762="İade",-G1762,E1762-I1762-F1762-G1762)))</f>
        <v/>
      </c>
    </row>
    <row r="1763" customFormat="false" ht="15" hidden="false" customHeight="false" outlineLevel="0" collapsed="false">
      <c r="A1763" s="12"/>
      <c r="B1763" s="13"/>
      <c r="C1763" s="14"/>
      <c r="D1763" s="13"/>
      <c r="E1763" s="15"/>
      <c r="F1763" s="15"/>
      <c r="G1763" s="15"/>
      <c r="H1763" s="14"/>
      <c r="I1763" s="16" t="str">
        <f aca="false">IF(OR(A1763="",C1763=""),"",IF(OR(H1763="İade",H1763="İptal"),0,E1763*IFERROR(INDEX(Kanallar!$B$5:$B$19,MATCH(C1763,Kanallar!$A$5:$A$19,0)),0)))</f>
        <v/>
      </c>
      <c r="J1763" s="16" t="str">
        <f aca="false">IF(I1763="","",IF(H1763="İptal",0,IF(H1763="İade",-G1763,E1763-I1763-F1763-G1763)))</f>
        <v/>
      </c>
    </row>
    <row r="1764" customFormat="false" ht="15" hidden="false" customHeight="false" outlineLevel="0" collapsed="false">
      <c r="A1764" s="12"/>
      <c r="B1764" s="13"/>
      <c r="C1764" s="14"/>
      <c r="D1764" s="13"/>
      <c r="E1764" s="15"/>
      <c r="F1764" s="15"/>
      <c r="G1764" s="15"/>
      <c r="H1764" s="14"/>
      <c r="I1764" s="16" t="str">
        <f aca="false">IF(OR(A1764="",C1764=""),"",IF(OR(H1764="İade",H1764="İptal"),0,E1764*IFERROR(INDEX(Kanallar!$B$5:$B$19,MATCH(C1764,Kanallar!$A$5:$A$19,0)),0)))</f>
        <v/>
      </c>
      <c r="J1764" s="16" t="str">
        <f aca="false">IF(I1764="","",IF(H1764="İptal",0,IF(H1764="İade",-G1764,E1764-I1764-F1764-G1764)))</f>
        <v/>
      </c>
    </row>
    <row r="1765" customFormat="false" ht="15" hidden="false" customHeight="false" outlineLevel="0" collapsed="false">
      <c r="A1765" s="12"/>
      <c r="B1765" s="13"/>
      <c r="C1765" s="14"/>
      <c r="D1765" s="13"/>
      <c r="E1765" s="15"/>
      <c r="F1765" s="15"/>
      <c r="G1765" s="15"/>
      <c r="H1765" s="14"/>
      <c r="I1765" s="16" t="str">
        <f aca="false">IF(OR(A1765="",C1765=""),"",IF(OR(H1765="İade",H1765="İptal"),0,E1765*IFERROR(INDEX(Kanallar!$B$5:$B$19,MATCH(C1765,Kanallar!$A$5:$A$19,0)),0)))</f>
        <v/>
      </c>
      <c r="J1765" s="16" t="str">
        <f aca="false">IF(I1765="","",IF(H1765="İptal",0,IF(H1765="İade",-G1765,E1765-I1765-F1765-G1765)))</f>
        <v/>
      </c>
    </row>
    <row r="1766" customFormat="false" ht="15" hidden="false" customHeight="false" outlineLevel="0" collapsed="false">
      <c r="A1766" s="12"/>
      <c r="B1766" s="13"/>
      <c r="C1766" s="14"/>
      <c r="D1766" s="13"/>
      <c r="E1766" s="15"/>
      <c r="F1766" s="15"/>
      <c r="G1766" s="15"/>
      <c r="H1766" s="14"/>
      <c r="I1766" s="16" t="str">
        <f aca="false">IF(OR(A1766="",C1766=""),"",IF(OR(H1766="İade",H1766="İptal"),0,E1766*IFERROR(INDEX(Kanallar!$B$5:$B$19,MATCH(C1766,Kanallar!$A$5:$A$19,0)),0)))</f>
        <v/>
      </c>
      <c r="J1766" s="16" t="str">
        <f aca="false">IF(I1766="","",IF(H1766="İptal",0,IF(H1766="İade",-G1766,E1766-I1766-F1766-G1766)))</f>
        <v/>
      </c>
    </row>
    <row r="1767" customFormat="false" ht="15" hidden="false" customHeight="false" outlineLevel="0" collapsed="false">
      <c r="A1767" s="12"/>
      <c r="B1767" s="13"/>
      <c r="C1767" s="14"/>
      <c r="D1767" s="13"/>
      <c r="E1767" s="15"/>
      <c r="F1767" s="15"/>
      <c r="G1767" s="15"/>
      <c r="H1767" s="14"/>
      <c r="I1767" s="16" t="str">
        <f aca="false">IF(OR(A1767="",C1767=""),"",IF(OR(H1767="İade",H1767="İptal"),0,E1767*IFERROR(INDEX(Kanallar!$B$5:$B$19,MATCH(C1767,Kanallar!$A$5:$A$19,0)),0)))</f>
        <v/>
      </c>
      <c r="J1767" s="16" t="str">
        <f aca="false">IF(I1767="","",IF(H1767="İptal",0,IF(H1767="İade",-G1767,E1767-I1767-F1767-G1767)))</f>
        <v/>
      </c>
    </row>
    <row r="1768" customFormat="false" ht="15" hidden="false" customHeight="false" outlineLevel="0" collapsed="false">
      <c r="A1768" s="12"/>
      <c r="B1768" s="13"/>
      <c r="C1768" s="14"/>
      <c r="D1768" s="13"/>
      <c r="E1768" s="15"/>
      <c r="F1768" s="15"/>
      <c r="G1768" s="15"/>
      <c r="H1768" s="14"/>
      <c r="I1768" s="16" t="str">
        <f aca="false">IF(OR(A1768="",C1768=""),"",IF(OR(H1768="İade",H1768="İptal"),0,E1768*IFERROR(INDEX(Kanallar!$B$5:$B$19,MATCH(C1768,Kanallar!$A$5:$A$19,0)),0)))</f>
        <v/>
      </c>
      <c r="J1768" s="16" t="str">
        <f aca="false">IF(I1768="","",IF(H1768="İptal",0,IF(H1768="İade",-G1768,E1768-I1768-F1768-G1768)))</f>
        <v/>
      </c>
    </row>
    <row r="1769" customFormat="false" ht="15" hidden="false" customHeight="false" outlineLevel="0" collapsed="false">
      <c r="A1769" s="12"/>
      <c r="B1769" s="13"/>
      <c r="C1769" s="14"/>
      <c r="D1769" s="13"/>
      <c r="E1769" s="15"/>
      <c r="F1769" s="15"/>
      <c r="G1769" s="15"/>
      <c r="H1769" s="14"/>
      <c r="I1769" s="16" t="str">
        <f aca="false">IF(OR(A1769="",C1769=""),"",IF(OR(H1769="İade",H1769="İptal"),0,E1769*IFERROR(INDEX(Kanallar!$B$5:$B$19,MATCH(C1769,Kanallar!$A$5:$A$19,0)),0)))</f>
        <v/>
      </c>
      <c r="J1769" s="16" t="str">
        <f aca="false">IF(I1769="","",IF(H1769="İptal",0,IF(H1769="İade",-G1769,E1769-I1769-F1769-G1769)))</f>
        <v/>
      </c>
    </row>
    <row r="1770" customFormat="false" ht="15" hidden="false" customHeight="false" outlineLevel="0" collapsed="false">
      <c r="A1770" s="12"/>
      <c r="B1770" s="13"/>
      <c r="C1770" s="14"/>
      <c r="D1770" s="13"/>
      <c r="E1770" s="15"/>
      <c r="F1770" s="15"/>
      <c r="G1770" s="15"/>
      <c r="H1770" s="14"/>
      <c r="I1770" s="16" t="str">
        <f aca="false">IF(OR(A1770="",C1770=""),"",IF(OR(H1770="İade",H1770="İptal"),0,E1770*IFERROR(INDEX(Kanallar!$B$5:$B$19,MATCH(C1770,Kanallar!$A$5:$A$19,0)),0)))</f>
        <v/>
      </c>
      <c r="J1770" s="16" t="str">
        <f aca="false">IF(I1770="","",IF(H1770="İptal",0,IF(H1770="İade",-G1770,E1770-I1770-F1770-G1770)))</f>
        <v/>
      </c>
    </row>
    <row r="1771" customFormat="false" ht="15" hidden="false" customHeight="false" outlineLevel="0" collapsed="false">
      <c r="A1771" s="12"/>
      <c r="B1771" s="13"/>
      <c r="C1771" s="14"/>
      <c r="D1771" s="13"/>
      <c r="E1771" s="15"/>
      <c r="F1771" s="15"/>
      <c r="G1771" s="15"/>
      <c r="H1771" s="14"/>
      <c r="I1771" s="16" t="str">
        <f aca="false">IF(OR(A1771="",C1771=""),"",IF(OR(H1771="İade",H1771="İptal"),0,E1771*IFERROR(INDEX(Kanallar!$B$5:$B$19,MATCH(C1771,Kanallar!$A$5:$A$19,0)),0)))</f>
        <v/>
      </c>
      <c r="J1771" s="16" t="str">
        <f aca="false">IF(I1771="","",IF(H1771="İptal",0,IF(H1771="İade",-G1771,E1771-I1771-F1771-G1771)))</f>
        <v/>
      </c>
    </row>
    <row r="1772" customFormat="false" ht="15" hidden="false" customHeight="false" outlineLevel="0" collapsed="false">
      <c r="A1772" s="12"/>
      <c r="B1772" s="13"/>
      <c r="C1772" s="14"/>
      <c r="D1772" s="13"/>
      <c r="E1772" s="15"/>
      <c r="F1772" s="15"/>
      <c r="G1772" s="15"/>
      <c r="H1772" s="14"/>
      <c r="I1772" s="16" t="str">
        <f aca="false">IF(OR(A1772="",C1772=""),"",IF(OR(H1772="İade",H1772="İptal"),0,E1772*IFERROR(INDEX(Kanallar!$B$5:$B$19,MATCH(C1772,Kanallar!$A$5:$A$19,0)),0)))</f>
        <v/>
      </c>
      <c r="J1772" s="16" t="str">
        <f aca="false">IF(I1772="","",IF(H1772="İptal",0,IF(H1772="İade",-G1772,E1772-I1772-F1772-G1772)))</f>
        <v/>
      </c>
    </row>
    <row r="1773" customFormat="false" ht="15" hidden="false" customHeight="false" outlineLevel="0" collapsed="false">
      <c r="A1773" s="12"/>
      <c r="B1773" s="13"/>
      <c r="C1773" s="14"/>
      <c r="D1773" s="13"/>
      <c r="E1773" s="15"/>
      <c r="F1773" s="15"/>
      <c r="G1773" s="15"/>
      <c r="H1773" s="14"/>
      <c r="I1773" s="16" t="str">
        <f aca="false">IF(OR(A1773="",C1773=""),"",IF(OR(H1773="İade",H1773="İptal"),0,E1773*IFERROR(INDEX(Kanallar!$B$5:$B$19,MATCH(C1773,Kanallar!$A$5:$A$19,0)),0)))</f>
        <v/>
      </c>
      <c r="J1773" s="16" t="str">
        <f aca="false">IF(I1773="","",IF(H1773="İptal",0,IF(H1773="İade",-G1773,E1773-I1773-F1773-G1773)))</f>
        <v/>
      </c>
    </row>
    <row r="1774" customFormat="false" ht="15" hidden="false" customHeight="false" outlineLevel="0" collapsed="false">
      <c r="A1774" s="12"/>
      <c r="B1774" s="13"/>
      <c r="C1774" s="14"/>
      <c r="D1774" s="13"/>
      <c r="E1774" s="15"/>
      <c r="F1774" s="15"/>
      <c r="G1774" s="15"/>
      <c r="H1774" s="14"/>
      <c r="I1774" s="16" t="str">
        <f aca="false">IF(OR(A1774="",C1774=""),"",IF(OR(H1774="İade",H1774="İptal"),0,E1774*IFERROR(INDEX(Kanallar!$B$5:$B$19,MATCH(C1774,Kanallar!$A$5:$A$19,0)),0)))</f>
        <v/>
      </c>
      <c r="J1774" s="16" t="str">
        <f aca="false">IF(I1774="","",IF(H1774="İptal",0,IF(H1774="İade",-G1774,E1774-I1774-F1774-G1774)))</f>
        <v/>
      </c>
    </row>
    <row r="1775" customFormat="false" ht="15" hidden="false" customHeight="false" outlineLevel="0" collapsed="false">
      <c r="A1775" s="12"/>
      <c r="B1775" s="13"/>
      <c r="C1775" s="14"/>
      <c r="D1775" s="13"/>
      <c r="E1775" s="15"/>
      <c r="F1775" s="15"/>
      <c r="G1775" s="15"/>
      <c r="H1775" s="14"/>
      <c r="I1775" s="16" t="str">
        <f aca="false">IF(OR(A1775="",C1775=""),"",IF(OR(H1775="İade",H1775="İptal"),0,E1775*IFERROR(INDEX(Kanallar!$B$5:$B$19,MATCH(C1775,Kanallar!$A$5:$A$19,0)),0)))</f>
        <v/>
      </c>
      <c r="J1775" s="16" t="str">
        <f aca="false">IF(I1775="","",IF(H1775="İptal",0,IF(H1775="İade",-G1775,E1775-I1775-F1775-G1775)))</f>
        <v/>
      </c>
    </row>
    <row r="1776" customFormat="false" ht="15" hidden="false" customHeight="false" outlineLevel="0" collapsed="false">
      <c r="A1776" s="12"/>
      <c r="B1776" s="13"/>
      <c r="C1776" s="14"/>
      <c r="D1776" s="13"/>
      <c r="E1776" s="15"/>
      <c r="F1776" s="15"/>
      <c r="G1776" s="15"/>
      <c r="H1776" s="14"/>
      <c r="I1776" s="16" t="str">
        <f aca="false">IF(OR(A1776="",C1776=""),"",IF(OR(H1776="İade",H1776="İptal"),0,E1776*IFERROR(INDEX(Kanallar!$B$5:$B$19,MATCH(C1776,Kanallar!$A$5:$A$19,0)),0)))</f>
        <v/>
      </c>
      <c r="J1776" s="16" t="str">
        <f aca="false">IF(I1776="","",IF(H1776="İptal",0,IF(H1776="İade",-G1776,E1776-I1776-F1776-G1776)))</f>
        <v/>
      </c>
    </row>
    <row r="1777" customFormat="false" ht="15" hidden="false" customHeight="false" outlineLevel="0" collapsed="false">
      <c r="A1777" s="12"/>
      <c r="B1777" s="13"/>
      <c r="C1777" s="14"/>
      <c r="D1777" s="13"/>
      <c r="E1777" s="15"/>
      <c r="F1777" s="15"/>
      <c r="G1777" s="15"/>
      <c r="H1777" s="14"/>
      <c r="I1777" s="16" t="str">
        <f aca="false">IF(OR(A1777="",C1777=""),"",IF(OR(H1777="İade",H1777="İptal"),0,E1777*IFERROR(INDEX(Kanallar!$B$5:$B$19,MATCH(C1777,Kanallar!$A$5:$A$19,0)),0)))</f>
        <v/>
      </c>
      <c r="J1777" s="16" t="str">
        <f aca="false">IF(I1777="","",IF(H1777="İptal",0,IF(H1777="İade",-G1777,E1777-I1777-F1777-G1777)))</f>
        <v/>
      </c>
    </row>
    <row r="1778" customFormat="false" ht="15" hidden="false" customHeight="false" outlineLevel="0" collapsed="false">
      <c r="A1778" s="12"/>
      <c r="B1778" s="13"/>
      <c r="C1778" s="14"/>
      <c r="D1778" s="13"/>
      <c r="E1778" s="15"/>
      <c r="F1778" s="15"/>
      <c r="G1778" s="15"/>
      <c r="H1778" s="14"/>
      <c r="I1778" s="16" t="str">
        <f aca="false">IF(OR(A1778="",C1778=""),"",IF(OR(H1778="İade",H1778="İptal"),0,E1778*IFERROR(INDEX(Kanallar!$B$5:$B$19,MATCH(C1778,Kanallar!$A$5:$A$19,0)),0)))</f>
        <v/>
      </c>
      <c r="J1778" s="16" t="str">
        <f aca="false">IF(I1778="","",IF(H1778="İptal",0,IF(H1778="İade",-G1778,E1778-I1778-F1778-G1778)))</f>
        <v/>
      </c>
    </row>
    <row r="1779" customFormat="false" ht="15" hidden="false" customHeight="false" outlineLevel="0" collapsed="false">
      <c r="A1779" s="12"/>
      <c r="B1779" s="13"/>
      <c r="C1779" s="14"/>
      <c r="D1779" s="13"/>
      <c r="E1779" s="15"/>
      <c r="F1779" s="15"/>
      <c r="G1779" s="15"/>
      <c r="H1779" s="14"/>
      <c r="I1779" s="16" t="str">
        <f aca="false">IF(OR(A1779="",C1779=""),"",IF(OR(H1779="İade",H1779="İptal"),0,E1779*IFERROR(INDEX(Kanallar!$B$5:$B$19,MATCH(C1779,Kanallar!$A$5:$A$19,0)),0)))</f>
        <v/>
      </c>
      <c r="J1779" s="16" t="str">
        <f aca="false">IF(I1779="","",IF(H1779="İptal",0,IF(H1779="İade",-G1779,E1779-I1779-F1779-G1779)))</f>
        <v/>
      </c>
    </row>
    <row r="1780" customFormat="false" ht="15" hidden="false" customHeight="false" outlineLevel="0" collapsed="false">
      <c r="A1780" s="12"/>
      <c r="B1780" s="13"/>
      <c r="C1780" s="14"/>
      <c r="D1780" s="13"/>
      <c r="E1780" s="15"/>
      <c r="F1780" s="15"/>
      <c r="G1780" s="15"/>
      <c r="H1780" s="14"/>
      <c r="I1780" s="16" t="str">
        <f aca="false">IF(OR(A1780="",C1780=""),"",IF(OR(H1780="İade",H1780="İptal"),0,E1780*IFERROR(INDEX(Kanallar!$B$5:$B$19,MATCH(C1780,Kanallar!$A$5:$A$19,0)),0)))</f>
        <v/>
      </c>
      <c r="J1780" s="16" t="str">
        <f aca="false">IF(I1780="","",IF(H1780="İptal",0,IF(H1780="İade",-G1780,E1780-I1780-F1780-G1780)))</f>
        <v/>
      </c>
    </row>
    <row r="1781" customFormat="false" ht="15" hidden="false" customHeight="false" outlineLevel="0" collapsed="false">
      <c r="A1781" s="12"/>
      <c r="B1781" s="13"/>
      <c r="C1781" s="14"/>
      <c r="D1781" s="13"/>
      <c r="E1781" s="15"/>
      <c r="F1781" s="15"/>
      <c r="G1781" s="15"/>
      <c r="H1781" s="14"/>
      <c r="I1781" s="16" t="str">
        <f aca="false">IF(OR(A1781="",C1781=""),"",IF(OR(H1781="İade",H1781="İptal"),0,E1781*IFERROR(INDEX(Kanallar!$B$5:$B$19,MATCH(C1781,Kanallar!$A$5:$A$19,0)),0)))</f>
        <v/>
      </c>
      <c r="J1781" s="16" t="str">
        <f aca="false">IF(I1781="","",IF(H1781="İptal",0,IF(H1781="İade",-G1781,E1781-I1781-F1781-G1781)))</f>
        <v/>
      </c>
    </row>
    <row r="1782" customFormat="false" ht="15" hidden="false" customHeight="false" outlineLevel="0" collapsed="false">
      <c r="A1782" s="12"/>
      <c r="B1782" s="13"/>
      <c r="C1782" s="14"/>
      <c r="D1782" s="13"/>
      <c r="E1782" s="15"/>
      <c r="F1782" s="15"/>
      <c r="G1782" s="15"/>
      <c r="H1782" s="14"/>
      <c r="I1782" s="16" t="str">
        <f aca="false">IF(OR(A1782="",C1782=""),"",IF(OR(H1782="İade",H1782="İptal"),0,E1782*IFERROR(INDEX(Kanallar!$B$5:$B$19,MATCH(C1782,Kanallar!$A$5:$A$19,0)),0)))</f>
        <v/>
      </c>
      <c r="J1782" s="16" t="str">
        <f aca="false">IF(I1782="","",IF(H1782="İptal",0,IF(H1782="İade",-G1782,E1782-I1782-F1782-G1782)))</f>
        <v/>
      </c>
    </row>
    <row r="1783" customFormat="false" ht="15" hidden="false" customHeight="false" outlineLevel="0" collapsed="false">
      <c r="A1783" s="12"/>
      <c r="B1783" s="13"/>
      <c r="C1783" s="14"/>
      <c r="D1783" s="13"/>
      <c r="E1783" s="15"/>
      <c r="F1783" s="15"/>
      <c r="G1783" s="15"/>
      <c r="H1783" s="14"/>
      <c r="I1783" s="16" t="str">
        <f aca="false">IF(OR(A1783="",C1783=""),"",IF(OR(H1783="İade",H1783="İptal"),0,E1783*IFERROR(INDEX(Kanallar!$B$5:$B$19,MATCH(C1783,Kanallar!$A$5:$A$19,0)),0)))</f>
        <v/>
      </c>
      <c r="J1783" s="16" t="str">
        <f aca="false">IF(I1783="","",IF(H1783="İptal",0,IF(H1783="İade",-G1783,E1783-I1783-F1783-G1783)))</f>
        <v/>
      </c>
    </row>
    <row r="1784" customFormat="false" ht="15" hidden="false" customHeight="false" outlineLevel="0" collapsed="false">
      <c r="A1784" s="12"/>
      <c r="B1784" s="13"/>
      <c r="C1784" s="14"/>
      <c r="D1784" s="13"/>
      <c r="E1784" s="15"/>
      <c r="F1784" s="15"/>
      <c r="G1784" s="15"/>
      <c r="H1784" s="14"/>
      <c r="I1784" s="16" t="str">
        <f aca="false">IF(OR(A1784="",C1784=""),"",IF(OR(H1784="İade",H1784="İptal"),0,E1784*IFERROR(INDEX(Kanallar!$B$5:$B$19,MATCH(C1784,Kanallar!$A$5:$A$19,0)),0)))</f>
        <v/>
      </c>
      <c r="J1784" s="16" t="str">
        <f aca="false">IF(I1784="","",IF(H1784="İptal",0,IF(H1784="İade",-G1784,E1784-I1784-F1784-G1784)))</f>
        <v/>
      </c>
    </row>
    <row r="1785" customFormat="false" ht="15" hidden="false" customHeight="false" outlineLevel="0" collapsed="false">
      <c r="A1785" s="12"/>
      <c r="B1785" s="13"/>
      <c r="C1785" s="14"/>
      <c r="D1785" s="13"/>
      <c r="E1785" s="15"/>
      <c r="F1785" s="15"/>
      <c r="G1785" s="15"/>
      <c r="H1785" s="14"/>
      <c r="I1785" s="16" t="str">
        <f aca="false">IF(OR(A1785="",C1785=""),"",IF(OR(H1785="İade",H1785="İptal"),0,E1785*IFERROR(INDEX(Kanallar!$B$5:$B$19,MATCH(C1785,Kanallar!$A$5:$A$19,0)),0)))</f>
        <v/>
      </c>
      <c r="J1785" s="16" t="str">
        <f aca="false">IF(I1785="","",IF(H1785="İptal",0,IF(H1785="İade",-G1785,E1785-I1785-F1785-G1785)))</f>
        <v/>
      </c>
    </row>
    <row r="1786" customFormat="false" ht="15" hidden="false" customHeight="false" outlineLevel="0" collapsed="false">
      <c r="A1786" s="12"/>
      <c r="B1786" s="13"/>
      <c r="C1786" s="14"/>
      <c r="D1786" s="13"/>
      <c r="E1786" s="15"/>
      <c r="F1786" s="15"/>
      <c r="G1786" s="15"/>
      <c r="H1786" s="14"/>
      <c r="I1786" s="16" t="str">
        <f aca="false">IF(OR(A1786="",C1786=""),"",IF(OR(H1786="İade",H1786="İptal"),0,E1786*IFERROR(INDEX(Kanallar!$B$5:$B$19,MATCH(C1786,Kanallar!$A$5:$A$19,0)),0)))</f>
        <v/>
      </c>
      <c r="J1786" s="16" t="str">
        <f aca="false">IF(I1786="","",IF(H1786="İptal",0,IF(H1786="İade",-G1786,E1786-I1786-F1786-G1786)))</f>
        <v/>
      </c>
    </row>
    <row r="1787" customFormat="false" ht="15" hidden="false" customHeight="false" outlineLevel="0" collapsed="false">
      <c r="A1787" s="12"/>
      <c r="B1787" s="13"/>
      <c r="C1787" s="14"/>
      <c r="D1787" s="13"/>
      <c r="E1787" s="15"/>
      <c r="F1787" s="15"/>
      <c r="G1787" s="15"/>
      <c r="H1787" s="14"/>
      <c r="I1787" s="16" t="str">
        <f aca="false">IF(OR(A1787="",C1787=""),"",IF(OR(H1787="İade",H1787="İptal"),0,E1787*IFERROR(INDEX(Kanallar!$B$5:$B$19,MATCH(C1787,Kanallar!$A$5:$A$19,0)),0)))</f>
        <v/>
      </c>
      <c r="J1787" s="16" t="str">
        <f aca="false">IF(I1787="","",IF(H1787="İptal",0,IF(H1787="İade",-G1787,E1787-I1787-F1787-G1787)))</f>
        <v/>
      </c>
    </row>
    <row r="1788" customFormat="false" ht="15" hidden="false" customHeight="false" outlineLevel="0" collapsed="false">
      <c r="A1788" s="12"/>
      <c r="B1788" s="13"/>
      <c r="C1788" s="14"/>
      <c r="D1788" s="13"/>
      <c r="E1788" s="15"/>
      <c r="F1788" s="15"/>
      <c r="G1788" s="15"/>
      <c r="H1788" s="14"/>
      <c r="I1788" s="16" t="str">
        <f aca="false">IF(OR(A1788="",C1788=""),"",IF(OR(H1788="İade",H1788="İptal"),0,E1788*IFERROR(INDEX(Kanallar!$B$5:$B$19,MATCH(C1788,Kanallar!$A$5:$A$19,0)),0)))</f>
        <v/>
      </c>
      <c r="J1788" s="16" t="str">
        <f aca="false">IF(I1788="","",IF(H1788="İptal",0,IF(H1788="İade",-G1788,E1788-I1788-F1788-G1788)))</f>
        <v/>
      </c>
    </row>
    <row r="1789" customFormat="false" ht="15" hidden="false" customHeight="false" outlineLevel="0" collapsed="false">
      <c r="A1789" s="12"/>
      <c r="B1789" s="13"/>
      <c r="C1789" s="14"/>
      <c r="D1789" s="13"/>
      <c r="E1789" s="15"/>
      <c r="F1789" s="15"/>
      <c r="G1789" s="15"/>
      <c r="H1789" s="14"/>
      <c r="I1789" s="16" t="str">
        <f aca="false">IF(OR(A1789="",C1789=""),"",IF(OR(H1789="İade",H1789="İptal"),0,E1789*IFERROR(INDEX(Kanallar!$B$5:$B$19,MATCH(C1789,Kanallar!$A$5:$A$19,0)),0)))</f>
        <v/>
      </c>
      <c r="J1789" s="16" t="str">
        <f aca="false">IF(I1789="","",IF(H1789="İptal",0,IF(H1789="İade",-G1789,E1789-I1789-F1789-G1789)))</f>
        <v/>
      </c>
    </row>
    <row r="1790" customFormat="false" ht="15" hidden="false" customHeight="false" outlineLevel="0" collapsed="false">
      <c r="A1790" s="12"/>
      <c r="B1790" s="13"/>
      <c r="C1790" s="14"/>
      <c r="D1790" s="13"/>
      <c r="E1790" s="15"/>
      <c r="F1790" s="15"/>
      <c r="G1790" s="15"/>
      <c r="H1790" s="14"/>
      <c r="I1790" s="16" t="str">
        <f aca="false">IF(OR(A1790="",C1790=""),"",IF(OR(H1790="İade",H1790="İptal"),0,E1790*IFERROR(INDEX(Kanallar!$B$5:$B$19,MATCH(C1790,Kanallar!$A$5:$A$19,0)),0)))</f>
        <v/>
      </c>
      <c r="J1790" s="16" t="str">
        <f aca="false">IF(I1790="","",IF(H1790="İptal",0,IF(H1790="İade",-G1790,E1790-I1790-F1790-G1790)))</f>
        <v/>
      </c>
    </row>
    <row r="1791" customFormat="false" ht="15" hidden="false" customHeight="false" outlineLevel="0" collapsed="false">
      <c r="A1791" s="12"/>
      <c r="B1791" s="13"/>
      <c r="C1791" s="14"/>
      <c r="D1791" s="13"/>
      <c r="E1791" s="15"/>
      <c r="F1791" s="15"/>
      <c r="G1791" s="15"/>
      <c r="H1791" s="14"/>
      <c r="I1791" s="16" t="str">
        <f aca="false">IF(OR(A1791="",C1791=""),"",IF(OR(H1791="İade",H1791="İptal"),0,E1791*IFERROR(INDEX(Kanallar!$B$5:$B$19,MATCH(C1791,Kanallar!$A$5:$A$19,0)),0)))</f>
        <v/>
      </c>
      <c r="J1791" s="16" t="str">
        <f aca="false">IF(I1791="","",IF(H1791="İptal",0,IF(H1791="İade",-G1791,E1791-I1791-F1791-G1791)))</f>
        <v/>
      </c>
    </row>
    <row r="1792" customFormat="false" ht="15" hidden="false" customHeight="false" outlineLevel="0" collapsed="false">
      <c r="A1792" s="12"/>
      <c r="B1792" s="13"/>
      <c r="C1792" s="14"/>
      <c r="D1792" s="13"/>
      <c r="E1792" s="15"/>
      <c r="F1792" s="15"/>
      <c r="G1792" s="15"/>
      <c r="H1792" s="14"/>
      <c r="I1792" s="16" t="str">
        <f aca="false">IF(OR(A1792="",C1792=""),"",IF(OR(H1792="İade",H1792="İptal"),0,E1792*IFERROR(INDEX(Kanallar!$B$5:$B$19,MATCH(C1792,Kanallar!$A$5:$A$19,0)),0)))</f>
        <v/>
      </c>
      <c r="J1792" s="16" t="str">
        <f aca="false">IF(I1792="","",IF(H1792="İptal",0,IF(H1792="İade",-G1792,E1792-I1792-F1792-G1792)))</f>
        <v/>
      </c>
    </row>
    <row r="1793" customFormat="false" ht="15" hidden="false" customHeight="false" outlineLevel="0" collapsed="false">
      <c r="A1793" s="12"/>
      <c r="B1793" s="13"/>
      <c r="C1793" s="14"/>
      <c r="D1793" s="13"/>
      <c r="E1793" s="15"/>
      <c r="F1793" s="15"/>
      <c r="G1793" s="15"/>
      <c r="H1793" s="14"/>
      <c r="I1793" s="16" t="str">
        <f aca="false">IF(OR(A1793="",C1793=""),"",IF(OR(H1793="İade",H1793="İptal"),0,E1793*IFERROR(INDEX(Kanallar!$B$5:$B$19,MATCH(C1793,Kanallar!$A$5:$A$19,0)),0)))</f>
        <v/>
      </c>
      <c r="J1793" s="16" t="str">
        <f aca="false">IF(I1793="","",IF(H1793="İptal",0,IF(H1793="İade",-G1793,E1793-I1793-F1793-G1793)))</f>
        <v/>
      </c>
    </row>
    <row r="1794" customFormat="false" ht="15" hidden="false" customHeight="false" outlineLevel="0" collapsed="false">
      <c r="A1794" s="12"/>
      <c r="B1794" s="13"/>
      <c r="C1794" s="14"/>
      <c r="D1794" s="13"/>
      <c r="E1794" s="15"/>
      <c r="F1794" s="15"/>
      <c r="G1794" s="15"/>
      <c r="H1794" s="14"/>
      <c r="I1794" s="16" t="str">
        <f aca="false">IF(OR(A1794="",C1794=""),"",IF(OR(H1794="İade",H1794="İptal"),0,E1794*IFERROR(INDEX(Kanallar!$B$5:$B$19,MATCH(C1794,Kanallar!$A$5:$A$19,0)),0)))</f>
        <v/>
      </c>
      <c r="J1794" s="16" t="str">
        <f aca="false">IF(I1794="","",IF(H1794="İptal",0,IF(H1794="İade",-G1794,E1794-I1794-F1794-G1794)))</f>
        <v/>
      </c>
    </row>
    <row r="1795" customFormat="false" ht="15" hidden="false" customHeight="false" outlineLevel="0" collapsed="false">
      <c r="A1795" s="12"/>
      <c r="B1795" s="13"/>
      <c r="C1795" s="14"/>
      <c r="D1795" s="13"/>
      <c r="E1795" s="15"/>
      <c r="F1795" s="15"/>
      <c r="G1795" s="15"/>
      <c r="H1795" s="14"/>
      <c r="I1795" s="16" t="str">
        <f aca="false">IF(OR(A1795="",C1795=""),"",IF(OR(H1795="İade",H1795="İptal"),0,E1795*IFERROR(INDEX(Kanallar!$B$5:$B$19,MATCH(C1795,Kanallar!$A$5:$A$19,0)),0)))</f>
        <v/>
      </c>
      <c r="J1795" s="16" t="str">
        <f aca="false">IF(I1795="","",IF(H1795="İptal",0,IF(H1795="İade",-G1795,E1795-I1795-F1795-G1795)))</f>
        <v/>
      </c>
    </row>
    <row r="1796" customFormat="false" ht="15" hidden="false" customHeight="false" outlineLevel="0" collapsed="false">
      <c r="A1796" s="12"/>
      <c r="B1796" s="13"/>
      <c r="C1796" s="14"/>
      <c r="D1796" s="13"/>
      <c r="E1796" s="15"/>
      <c r="F1796" s="15"/>
      <c r="G1796" s="15"/>
      <c r="H1796" s="14"/>
      <c r="I1796" s="16" t="str">
        <f aca="false">IF(OR(A1796="",C1796=""),"",IF(OR(H1796="İade",H1796="İptal"),0,E1796*IFERROR(INDEX(Kanallar!$B$5:$B$19,MATCH(C1796,Kanallar!$A$5:$A$19,0)),0)))</f>
        <v/>
      </c>
      <c r="J1796" s="16" t="str">
        <f aca="false">IF(I1796="","",IF(H1796="İptal",0,IF(H1796="İade",-G1796,E1796-I1796-F1796-G1796)))</f>
        <v/>
      </c>
    </row>
    <row r="1797" customFormat="false" ht="15" hidden="false" customHeight="false" outlineLevel="0" collapsed="false">
      <c r="A1797" s="12"/>
      <c r="B1797" s="13"/>
      <c r="C1797" s="14"/>
      <c r="D1797" s="13"/>
      <c r="E1797" s="15"/>
      <c r="F1797" s="15"/>
      <c r="G1797" s="15"/>
      <c r="H1797" s="14"/>
      <c r="I1797" s="16" t="str">
        <f aca="false">IF(OR(A1797="",C1797=""),"",IF(OR(H1797="İade",H1797="İptal"),0,E1797*IFERROR(INDEX(Kanallar!$B$5:$B$19,MATCH(C1797,Kanallar!$A$5:$A$19,0)),0)))</f>
        <v/>
      </c>
      <c r="J1797" s="16" t="str">
        <f aca="false">IF(I1797="","",IF(H1797="İptal",0,IF(H1797="İade",-G1797,E1797-I1797-F1797-G1797)))</f>
        <v/>
      </c>
    </row>
    <row r="1798" customFormat="false" ht="15" hidden="false" customHeight="false" outlineLevel="0" collapsed="false">
      <c r="A1798" s="12"/>
      <c r="B1798" s="13"/>
      <c r="C1798" s="14"/>
      <c r="D1798" s="13"/>
      <c r="E1798" s="15"/>
      <c r="F1798" s="15"/>
      <c r="G1798" s="15"/>
      <c r="H1798" s="14"/>
      <c r="I1798" s="16" t="str">
        <f aca="false">IF(OR(A1798="",C1798=""),"",IF(OR(H1798="İade",H1798="İptal"),0,E1798*IFERROR(INDEX(Kanallar!$B$5:$B$19,MATCH(C1798,Kanallar!$A$5:$A$19,0)),0)))</f>
        <v/>
      </c>
      <c r="J1798" s="16" t="str">
        <f aca="false">IF(I1798="","",IF(H1798="İptal",0,IF(H1798="İade",-G1798,E1798-I1798-F1798-G1798)))</f>
        <v/>
      </c>
    </row>
    <row r="1799" customFormat="false" ht="15" hidden="false" customHeight="false" outlineLevel="0" collapsed="false">
      <c r="A1799" s="12"/>
      <c r="B1799" s="13"/>
      <c r="C1799" s="14"/>
      <c r="D1799" s="13"/>
      <c r="E1799" s="15"/>
      <c r="F1799" s="15"/>
      <c r="G1799" s="15"/>
      <c r="H1799" s="14"/>
      <c r="I1799" s="16" t="str">
        <f aca="false">IF(OR(A1799="",C1799=""),"",IF(OR(H1799="İade",H1799="İptal"),0,E1799*IFERROR(INDEX(Kanallar!$B$5:$B$19,MATCH(C1799,Kanallar!$A$5:$A$19,0)),0)))</f>
        <v/>
      </c>
      <c r="J1799" s="16" t="str">
        <f aca="false">IF(I1799="","",IF(H1799="İptal",0,IF(H1799="İade",-G1799,E1799-I1799-F1799-G1799)))</f>
        <v/>
      </c>
    </row>
    <row r="1800" customFormat="false" ht="15" hidden="false" customHeight="false" outlineLevel="0" collapsed="false">
      <c r="A1800" s="12"/>
      <c r="B1800" s="13"/>
      <c r="C1800" s="14"/>
      <c r="D1800" s="13"/>
      <c r="E1800" s="15"/>
      <c r="F1800" s="15"/>
      <c r="G1800" s="15"/>
      <c r="H1800" s="14"/>
      <c r="I1800" s="16" t="str">
        <f aca="false">IF(OR(A1800="",C1800=""),"",IF(OR(H1800="İade",H1800="İptal"),0,E1800*IFERROR(INDEX(Kanallar!$B$5:$B$19,MATCH(C1800,Kanallar!$A$5:$A$19,0)),0)))</f>
        <v/>
      </c>
      <c r="J1800" s="16" t="str">
        <f aca="false">IF(I1800="","",IF(H1800="İptal",0,IF(H1800="İade",-G1800,E1800-I1800-F1800-G1800)))</f>
        <v/>
      </c>
    </row>
    <row r="1801" customFormat="false" ht="15" hidden="false" customHeight="false" outlineLevel="0" collapsed="false">
      <c r="A1801" s="12"/>
      <c r="B1801" s="13"/>
      <c r="C1801" s="14"/>
      <c r="D1801" s="13"/>
      <c r="E1801" s="15"/>
      <c r="F1801" s="15"/>
      <c r="G1801" s="15"/>
      <c r="H1801" s="14"/>
      <c r="I1801" s="16" t="str">
        <f aca="false">IF(OR(A1801="",C1801=""),"",IF(OR(H1801="İade",H1801="İptal"),0,E1801*IFERROR(INDEX(Kanallar!$B$5:$B$19,MATCH(C1801,Kanallar!$A$5:$A$19,0)),0)))</f>
        <v/>
      </c>
      <c r="J1801" s="16" t="str">
        <f aca="false">IF(I1801="","",IF(H1801="İptal",0,IF(H1801="İade",-G1801,E1801-I1801-F1801-G1801)))</f>
        <v/>
      </c>
    </row>
    <row r="1802" customFormat="false" ht="15" hidden="false" customHeight="false" outlineLevel="0" collapsed="false">
      <c r="A1802" s="12"/>
      <c r="B1802" s="13"/>
      <c r="C1802" s="14"/>
      <c r="D1802" s="13"/>
      <c r="E1802" s="15"/>
      <c r="F1802" s="15"/>
      <c r="G1802" s="15"/>
      <c r="H1802" s="14"/>
      <c r="I1802" s="16" t="str">
        <f aca="false">IF(OR(A1802="",C1802=""),"",IF(OR(H1802="İade",H1802="İptal"),0,E1802*IFERROR(INDEX(Kanallar!$B$5:$B$19,MATCH(C1802,Kanallar!$A$5:$A$19,0)),0)))</f>
        <v/>
      </c>
      <c r="J1802" s="16" t="str">
        <f aca="false">IF(I1802="","",IF(H1802="İptal",0,IF(H1802="İade",-G1802,E1802-I1802-F1802-G1802)))</f>
        <v/>
      </c>
    </row>
    <row r="1803" customFormat="false" ht="15" hidden="false" customHeight="false" outlineLevel="0" collapsed="false">
      <c r="A1803" s="12"/>
      <c r="B1803" s="13"/>
      <c r="C1803" s="14"/>
      <c r="D1803" s="13"/>
      <c r="E1803" s="15"/>
      <c r="F1803" s="15"/>
      <c r="G1803" s="15"/>
      <c r="H1803" s="14"/>
      <c r="I1803" s="16" t="str">
        <f aca="false">IF(OR(A1803="",C1803=""),"",IF(OR(H1803="İade",H1803="İptal"),0,E1803*IFERROR(INDEX(Kanallar!$B$5:$B$19,MATCH(C1803,Kanallar!$A$5:$A$19,0)),0)))</f>
        <v/>
      </c>
      <c r="J1803" s="16" t="str">
        <f aca="false">IF(I1803="","",IF(H1803="İptal",0,IF(H1803="İade",-G1803,E1803-I1803-F1803-G1803)))</f>
        <v/>
      </c>
    </row>
    <row r="1804" customFormat="false" ht="15" hidden="false" customHeight="false" outlineLevel="0" collapsed="false">
      <c r="A1804" s="12"/>
      <c r="B1804" s="13"/>
      <c r="C1804" s="14"/>
      <c r="D1804" s="13"/>
      <c r="E1804" s="15"/>
      <c r="F1804" s="15"/>
      <c r="G1804" s="15"/>
      <c r="H1804" s="14"/>
      <c r="I1804" s="16" t="str">
        <f aca="false">IF(OR(A1804="",C1804=""),"",IF(OR(H1804="İade",H1804="İptal"),0,E1804*IFERROR(INDEX(Kanallar!$B$5:$B$19,MATCH(C1804,Kanallar!$A$5:$A$19,0)),0)))</f>
        <v/>
      </c>
      <c r="J1804" s="16" t="str">
        <f aca="false">IF(I1804="","",IF(H1804="İptal",0,IF(H1804="İade",-G1804,E1804-I1804-F1804-G1804)))</f>
        <v/>
      </c>
    </row>
    <row r="1805" customFormat="false" ht="15" hidden="false" customHeight="false" outlineLevel="0" collapsed="false">
      <c r="A1805" s="12"/>
      <c r="B1805" s="13"/>
      <c r="C1805" s="14"/>
      <c r="D1805" s="13"/>
      <c r="E1805" s="15"/>
      <c r="F1805" s="15"/>
      <c r="G1805" s="15"/>
      <c r="H1805" s="14"/>
      <c r="I1805" s="16" t="str">
        <f aca="false">IF(OR(A1805="",C1805=""),"",IF(OR(H1805="İade",H1805="İptal"),0,E1805*IFERROR(INDEX(Kanallar!$B$5:$B$19,MATCH(C1805,Kanallar!$A$5:$A$19,0)),0)))</f>
        <v/>
      </c>
      <c r="J1805" s="16" t="str">
        <f aca="false">IF(I1805="","",IF(H1805="İptal",0,IF(H1805="İade",-G1805,E1805-I1805-F1805-G1805)))</f>
        <v/>
      </c>
    </row>
    <row r="1806" customFormat="false" ht="15" hidden="false" customHeight="false" outlineLevel="0" collapsed="false">
      <c r="A1806" s="12"/>
      <c r="B1806" s="13"/>
      <c r="C1806" s="14"/>
      <c r="D1806" s="13"/>
      <c r="E1806" s="15"/>
      <c r="F1806" s="15"/>
      <c r="G1806" s="15"/>
      <c r="H1806" s="14"/>
      <c r="I1806" s="16" t="str">
        <f aca="false">IF(OR(A1806="",C1806=""),"",IF(OR(H1806="İade",H1806="İptal"),0,E1806*IFERROR(INDEX(Kanallar!$B$5:$B$19,MATCH(C1806,Kanallar!$A$5:$A$19,0)),0)))</f>
        <v/>
      </c>
      <c r="J1806" s="16" t="str">
        <f aca="false">IF(I1806="","",IF(H1806="İptal",0,IF(H1806="İade",-G1806,E1806-I1806-F1806-G1806)))</f>
        <v/>
      </c>
    </row>
    <row r="1807" customFormat="false" ht="15" hidden="false" customHeight="false" outlineLevel="0" collapsed="false">
      <c r="A1807" s="12"/>
      <c r="B1807" s="13"/>
      <c r="C1807" s="14"/>
      <c r="D1807" s="13"/>
      <c r="E1807" s="15"/>
      <c r="F1807" s="15"/>
      <c r="G1807" s="15"/>
      <c r="H1807" s="14"/>
      <c r="I1807" s="16" t="str">
        <f aca="false">IF(OR(A1807="",C1807=""),"",IF(OR(H1807="İade",H1807="İptal"),0,E1807*IFERROR(INDEX(Kanallar!$B$5:$B$19,MATCH(C1807,Kanallar!$A$5:$A$19,0)),0)))</f>
        <v/>
      </c>
      <c r="J1807" s="16" t="str">
        <f aca="false">IF(I1807="","",IF(H1807="İptal",0,IF(H1807="İade",-G1807,E1807-I1807-F1807-G1807)))</f>
        <v/>
      </c>
    </row>
    <row r="1808" customFormat="false" ht="15" hidden="false" customHeight="false" outlineLevel="0" collapsed="false">
      <c r="A1808" s="12"/>
      <c r="B1808" s="13"/>
      <c r="C1808" s="14"/>
      <c r="D1808" s="13"/>
      <c r="E1808" s="15"/>
      <c r="F1808" s="15"/>
      <c r="G1808" s="15"/>
      <c r="H1808" s="14"/>
      <c r="I1808" s="16" t="str">
        <f aca="false">IF(OR(A1808="",C1808=""),"",IF(OR(H1808="İade",H1808="İptal"),0,E1808*IFERROR(INDEX(Kanallar!$B$5:$B$19,MATCH(C1808,Kanallar!$A$5:$A$19,0)),0)))</f>
        <v/>
      </c>
      <c r="J1808" s="16" t="str">
        <f aca="false">IF(I1808="","",IF(H1808="İptal",0,IF(H1808="İade",-G1808,E1808-I1808-F1808-G1808)))</f>
        <v/>
      </c>
    </row>
    <row r="1809" customFormat="false" ht="15" hidden="false" customHeight="false" outlineLevel="0" collapsed="false">
      <c r="A1809" s="12"/>
      <c r="B1809" s="13"/>
      <c r="C1809" s="14"/>
      <c r="D1809" s="13"/>
      <c r="E1809" s="15"/>
      <c r="F1809" s="15"/>
      <c r="G1809" s="15"/>
      <c r="H1809" s="14"/>
      <c r="I1809" s="16" t="str">
        <f aca="false">IF(OR(A1809="",C1809=""),"",IF(OR(H1809="İade",H1809="İptal"),0,E1809*IFERROR(INDEX(Kanallar!$B$5:$B$19,MATCH(C1809,Kanallar!$A$5:$A$19,0)),0)))</f>
        <v/>
      </c>
      <c r="J1809" s="16" t="str">
        <f aca="false">IF(I1809="","",IF(H1809="İptal",0,IF(H1809="İade",-G1809,E1809-I1809-F1809-G1809)))</f>
        <v/>
      </c>
    </row>
    <row r="1810" customFormat="false" ht="15" hidden="false" customHeight="false" outlineLevel="0" collapsed="false">
      <c r="A1810" s="12"/>
      <c r="B1810" s="13"/>
      <c r="C1810" s="14"/>
      <c r="D1810" s="13"/>
      <c r="E1810" s="15"/>
      <c r="F1810" s="15"/>
      <c r="G1810" s="15"/>
      <c r="H1810" s="14"/>
      <c r="I1810" s="16" t="str">
        <f aca="false">IF(OR(A1810="",C1810=""),"",IF(OR(H1810="İade",H1810="İptal"),0,E1810*IFERROR(INDEX(Kanallar!$B$5:$B$19,MATCH(C1810,Kanallar!$A$5:$A$19,0)),0)))</f>
        <v/>
      </c>
      <c r="J1810" s="16" t="str">
        <f aca="false">IF(I1810="","",IF(H1810="İptal",0,IF(H1810="İade",-G1810,E1810-I1810-F1810-G1810)))</f>
        <v/>
      </c>
    </row>
    <row r="1811" customFormat="false" ht="15" hidden="false" customHeight="false" outlineLevel="0" collapsed="false">
      <c r="A1811" s="12"/>
      <c r="B1811" s="13"/>
      <c r="C1811" s="14"/>
      <c r="D1811" s="13"/>
      <c r="E1811" s="15"/>
      <c r="F1811" s="15"/>
      <c r="G1811" s="15"/>
      <c r="H1811" s="14"/>
      <c r="I1811" s="16" t="str">
        <f aca="false">IF(OR(A1811="",C1811=""),"",IF(OR(H1811="İade",H1811="İptal"),0,E1811*IFERROR(INDEX(Kanallar!$B$5:$B$19,MATCH(C1811,Kanallar!$A$5:$A$19,0)),0)))</f>
        <v/>
      </c>
      <c r="J1811" s="16" t="str">
        <f aca="false">IF(I1811="","",IF(H1811="İptal",0,IF(H1811="İade",-G1811,E1811-I1811-F1811-G1811)))</f>
        <v/>
      </c>
    </row>
    <row r="1812" customFormat="false" ht="15" hidden="false" customHeight="false" outlineLevel="0" collapsed="false">
      <c r="A1812" s="12"/>
      <c r="B1812" s="13"/>
      <c r="C1812" s="14"/>
      <c r="D1812" s="13"/>
      <c r="E1812" s="15"/>
      <c r="F1812" s="15"/>
      <c r="G1812" s="15"/>
      <c r="H1812" s="14"/>
      <c r="I1812" s="16" t="str">
        <f aca="false">IF(OR(A1812="",C1812=""),"",IF(OR(H1812="İade",H1812="İptal"),0,E1812*IFERROR(INDEX(Kanallar!$B$5:$B$19,MATCH(C1812,Kanallar!$A$5:$A$19,0)),0)))</f>
        <v/>
      </c>
      <c r="J1812" s="16" t="str">
        <f aca="false">IF(I1812="","",IF(H1812="İptal",0,IF(H1812="İade",-G1812,E1812-I1812-F1812-G1812)))</f>
        <v/>
      </c>
    </row>
    <row r="1813" customFormat="false" ht="15" hidden="false" customHeight="false" outlineLevel="0" collapsed="false">
      <c r="A1813" s="12"/>
      <c r="B1813" s="13"/>
      <c r="C1813" s="14"/>
      <c r="D1813" s="13"/>
      <c r="E1813" s="15"/>
      <c r="F1813" s="15"/>
      <c r="G1813" s="15"/>
      <c r="H1813" s="14"/>
      <c r="I1813" s="16" t="str">
        <f aca="false">IF(OR(A1813="",C1813=""),"",IF(OR(H1813="İade",H1813="İptal"),0,E1813*IFERROR(INDEX(Kanallar!$B$5:$B$19,MATCH(C1813,Kanallar!$A$5:$A$19,0)),0)))</f>
        <v/>
      </c>
      <c r="J1813" s="16" t="str">
        <f aca="false">IF(I1813="","",IF(H1813="İptal",0,IF(H1813="İade",-G1813,E1813-I1813-F1813-G1813)))</f>
        <v/>
      </c>
    </row>
    <row r="1814" customFormat="false" ht="15" hidden="false" customHeight="false" outlineLevel="0" collapsed="false">
      <c r="A1814" s="12"/>
      <c r="B1814" s="13"/>
      <c r="C1814" s="14"/>
      <c r="D1814" s="13"/>
      <c r="E1814" s="15"/>
      <c r="F1814" s="15"/>
      <c r="G1814" s="15"/>
      <c r="H1814" s="14"/>
      <c r="I1814" s="16" t="str">
        <f aca="false">IF(OR(A1814="",C1814=""),"",IF(OR(H1814="İade",H1814="İptal"),0,E1814*IFERROR(INDEX(Kanallar!$B$5:$B$19,MATCH(C1814,Kanallar!$A$5:$A$19,0)),0)))</f>
        <v/>
      </c>
      <c r="J1814" s="16" t="str">
        <f aca="false">IF(I1814="","",IF(H1814="İptal",0,IF(H1814="İade",-G1814,E1814-I1814-F1814-G1814)))</f>
        <v/>
      </c>
    </row>
    <row r="1815" customFormat="false" ht="15" hidden="false" customHeight="false" outlineLevel="0" collapsed="false">
      <c r="A1815" s="12"/>
      <c r="B1815" s="13"/>
      <c r="C1815" s="14"/>
      <c r="D1815" s="13"/>
      <c r="E1815" s="15"/>
      <c r="F1815" s="15"/>
      <c r="G1815" s="15"/>
      <c r="H1815" s="14"/>
      <c r="I1815" s="16" t="str">
        <f aca="false">IF(OR(A1815="",C1815=""),"",IF(OR(H1815="İade",H1815="İptal"),0,E1815*IFERROR(INDEX(Kanallar!$B$5:$B$19,MATCH(C1815,Kanallar!$A$5:$A$19,0)),0)))</f>
        <v/>
      </c>
      <c r="J1815" s="16" t="str">
        <f aca="false">IF(I1815="","",IF(H1815="İptal",0,IF(H1815="İade",-G1815,E1815-I1815-F1815-G1815)))</f>
        <v/>
      </c>
    </row>
    <row r="1816" customFormat="false" ht="15" hidden="false" customHeight="false" outlineLevel="0" collapsed="false">
      <c r="A1816" s="12"/>
      <c r="B1816" s="13"/>
      <c r="C1816" s="14"/>
      <c r="D1816" s="13"/>
      <c r="E1816" s="15"/>
      <c r="F1816" s="15"/>
      <c r="G1816" s="15"/>
      <c r="H1816" s="14"/>
      <c r="I1816" s="16" t="str">
        <f aca="false">IF(OR(A1816="",C1816=""),"",IF(OR(H1816="İade",H1816="İptal"),0,E1816*IFERROR(INDEX(Kanallar!$B$5:$B$19,MATCH(C1816,Kanallar!$A$5:$A$19,0)),0)))</f>
        <v/>
      </c>
      <c r="J1816" s="16" t="str">
        <f aca="false">IF(I1816="","",IF(H1816="İptal",0,IF(H1816="İade",-G1816,E1816-I1816-F1816-G1816)))</f>
        <v/>
      </c>
    </row>
    <row r="1817" customFormat="false" ht="15" hidden="false" customHeight="false" outlineLevel="0" collapsed="false">
      <c r="A1817" s="12"/>
      <c r="B1817" s="13"/>
      <c r="C1817" s="14"/>
      <c r="D1817" s="13"/>
      <c r="E1817" s="15"/>
      <c r="F1817" s="15"/>
      <c r="G1817" s="15"/>
      <c r="H1817" s="14"/>
      <c r="I1817" s="16" t="str">
        <f aca="false">IF(OR(A1817="",C1817=""),"",IF(OR(H1817="İade",H1817="İptal"),0,E1817*IFERROR(INDEX(Kanallar!$B$5:$B$19,MATCH(C1817,Kanallar!$A$5:$A$19,0)),0)))</f>
        <v/>
      </c>
      <c r="J1817" s="16" t="str">
        <f aca="false">IF(I1817="","",IF(H1817="İptal",0,IF(H1817="İade",-G1817,E1817-I1817-F1817-G1817)))</f>
        <v/>
      </c>
    </row>
    <row r="1818" customFormat="false" ht="15" hidden="false" customHeight="false" outlineLevel="0" collapsed="false">
      <c r="A1818" s="12"/>
      <c r="B1818" s="13"/>
      <c r="C1818" s="14"/>
      <c r="D1818" s="13"/>
      <c r="E1818" s="15"/>
      <c r="F1818" s="15"/>
      <c r="G1818" s="15"/>
      <c r="H1818" s="14"/>
      <c r="I1818" s="16" t="str">
        <f aca="false">IF(OR(A1818="",C1818=""),"",IF(OR(H1818="İade",H1818="İptal"),0,E1818*IFERROR(INDEX(Kanallar!$B$5:$B$19,MATCH(C1818,Kanallar!$A$5:$A$19,0)),0)))</f>
        <v/>
      </c>
      <c r="J1818" s="16" t="str">
        <f aca="false">IF(I1818="","",IF(H1818="İptal",0,IF(H1818="İade",-G1818,E1818-I1818-F1818-G1818)))</f>
        <v/>
      </c>
    </row>
    <row r="1819" customFormat="false" ht="15" hidden="false" customHeight="false" outlineLevel="0" collapsed="false">
      <c r="A1819" s="12"/>
      <c r="B1819" s="13"/>
      <c r="C1819" s="14"/>
      <c r="D1819" s="13"/>
      <c r="E1819" s="15"/>
      <c r="F1819" s="15"/>
      <c r="G1819" s="15"/>
      <c r="H1819" s="14"/>
      <c r="I1819" s="16" t="str">
        <f aca="false">IF(OR(A1819="",C1819=""),"",IF(OR(H1819="İade",H1819="İptal"),0,E1819*IFERROR(INDEX(Kanallar!$B$5:$B$19,MATCH(C1819,Kanallar!$A$5:$A$19,0)),0)))</f>
        <v/>
      </c>
      <c r="J1819" s="16" t="str">
        <f aca="false">IF(I1819="","",IF(H1819="İptal",0,IF(H1819="İade",-G1819,E1819-I1819-F1819-G1819)))</f>
        <v/>
      </c>
    </row>
    <row r="1820" customFormat="false" ht="15" hidden="false" customHeight="false" outlineLevel="0" collapsed="false">
      <c r="A1820" s="12"/>
      <c r="B1820" s="13"/>
      <c r="C1820" s="14"/>
      <c r="D1820" s="13"/>
      <c r="E1820" s="15"/>
      <c r="F1820" s="15"/>
      <c r="G1820" s="15"/>
      <c r="H1820" s="14"/>
      <c r="I1820" s="16" t="str">
        <f aca="false">IF(OR(A1820="",C1820=""),"",IF(OR(H1820="İade",H1820="İptal"),0,E1820*IFERROR(INDEX(Kanallar!$B$5:$B$19,MATCH(C1820,Kanallar!$A$5:$A$19,0)),0)))</f>
        <v/>
      </c>
      <c r="J1820" s="16" t="str">
        <f aca="false">IF(I1820="","",IF(H1820="İptal",0,IF(H1820="İade",-G1820,E1820-I1820-F1820-G1820)))</f>
        <v/>
      </c>
    </row>
    <row r="1821" customFormat="false" ht="15" hidden="false" customHeight="false" outlineLevel="0" collapsed="false">
      <c r="A1821" s="12"/>
      <c r="B1821" s="13"/>
      <c r="C1821" s="14"/>
      <c r="D1821" s="13"/>
      <c r="E1821" s="15"/>
      <c r="F1821" s="15"/>
      <c r="G1821" s="15"/>
      <c r="H1821" s="14"/>
      <c r="I1821" s="16" t="str">
        <f aca="false">IF(OR(A1821="",C1821=""),"",IF(OR(H1821="İade",H1821="İptal"),0,E1821*IFERROR(INDEX(Kanallar!$B$5:$B$19,MATCH(C1821,Kanallar!$A$5:$A$19,0)),0)))</f>
        <v/>
      </c>
      <c r="J1821" s="16" t="str">
        <f aca="false">IF(I1821="","",IF(H1821="İptal",0,IF(H1821="İade",-G1821,E1821-I1821-F1821-G1821)))</f>
        <v/>
      </c>
    </row>
    <row r="1822" customFormat="false" ht="15" hidden="false" customHeight="false" outlineLevel="0" collapsed="false">
      <c r="A1822" s="12"/>
      <c r="B1822" s="13"/>
      <c r="C1822" s="14"/>
      <c r="D1822" s="13"/>
      <c r="E1822" s="15"/>
      <c r="F1822" s="15"/>
      <c r="G1822" s="15"/>
      <c r="H1822" s="14"/>
      <c r="I1822" s="16" t="str">
        <f aca="false">IF(OR(A1822="",C1822=""),"",IF(OR(H1822="İade",H1822="İptal"),0,E1822*IFERROR(INDEX(Kanallar!$B$5:$B$19,MATCH(C1822,Kanallar!$A$5:$A$19,0)),0)))</f>
        <v/>
      </c>
      <c r="J1822" s="16" t="str">
        <f aca="false">IF(I1822="","",IF(H1822="İptal",0,IF(H1822="İade",-G1822,E1822-I1822-F1822-G1822)))</f>
        <v/>
      </c>
    </row>
    <row r="1823" customFormat="false" ht="15" hidden="false" customHeight="false" outlineLevel="0" collapsed="false">
      <c r="A1823" s="12"/>
      <c r="B1823" s="13"/>
      <c r="C1823" s="14"/>
      <c r="D1823" s="13"/>
      <c r="E1823" s="15"/>
      <c r="F1823" s="15"/>
      <c r="G1823" s="15"/>
      <c r="H1823" s="14"/>
      <c r="I1823" s="16" t="str">
        <f aca="false">IF(OR(A1823="",C1823=""),"",IF(OR(H1823="İade",H1823="İptal"),0,E1823*IFERROR(INDEX(Kanallar!$B$5:$B$19,MATCH(C1823,Kanallar!$A$5:$A$19,0)),0)))</f>
        <v/>
      </c>
      <c r="J1823" s="16" t="str">
        <f aca="false">IF(I1823="","",IF(H1823="İptal",0,IF(H1823="İade",-G1823,E1823-I1823-F1823-G1823)))</f>
        <v/>
      </c>
    </row>
    <row r="1824" customFormat="false" ht="15" hidden="false" customHeight="false" outlineLevel="0" collapsed="false">
      <c r="A1824" s="12"/>
      <c r="B1824" s="13"/>
      <c r="C1824" s="14"/>
      <c r="D1824" s="13"/>
      <c r="E1824" s="15"/>
      <c r="F1824" s="15"/>
      <c r="G1824" s="15"/>
      <c r="H1824" s="14"/>
      <c r="I1824" s="16" t="str">
        <f aca="false">IF(OR(A1824="",C1824=""),"",IF(OR(H1824="İade",H1824="İptal"),0,E1824*IFERROR(INDEX(Kanallar!$B$5:$B$19,MATCH(C1824,Kanallar!$A$5:$A$19,0)),0)))</f>
        <v/>
      </c>
      <c r="J1824" s="16" t="str">
        <f aca="false">IF(I1824="","",IF(H1824="İptal",0,IF(H1824="İade",-G1824,E1824-I1824-F1824-G1824)))</f>
        <v/>
      </c>
    </row>
    <row r="1825" customFormat="false" ht="15" hidden="false" customHeight="false" outlineLevel="0" collapsed="false">
      <c r="A1825" s="12"/>
      <c r="B1825" s="13"/>
      <c r="C1825" s="14"/>
      <c r="D1825" s="13"/>
      <c r="E1825" s="15"/>
      <c r="F1825" s="15"/>
      <c r="G1825" s="15"/>
      <c r="H1825" s="14"/>
      <c r="I1825" s="16" t="str">
        <f aca="false">IF(OR(A1825="",C1825=""),"",IF(OR(H1825="İade",H1825="İptal"),0,E1825*IFERROR(INDEX(Kanallar!$B$5:$B$19,MATCH(C1825,Kanallar!$A$5:$A$19,0)),0)))</f>
        <v/>
      </c>
      <c r="J1825" s="16" t="str">
        <f aca="false">IF(I1825="","",IF(H1825="İptal",0,IF(H1825="İade",-G1825,E1825-I1825-F1825-G1825)))</f>
        <v/>
      </c>
    </row>
    <row r="1826" customFormat="false" ht="15" hidden="false" customHeight="false" outlineLevel="0" collapsed="false">
      <c r="A1826" s="12"/>
      <c r="B1826" s="13"/>
      <c r="C1826" s="14"/>
      <c r="D1826" s="13"/>
      <c r="E1826" s="15"/>
      <c r="F1826" s="15"/>
      <c r="G1826" s="15"/>
      <c r="H1826" s="14"/>
      <c r="I1826" s="16" t="str">
        <f aca="false">IF(OR(A1826="",C1826=""),"",IF(OR(H1826="İade",H1826="İptal"),0,E1826*IFERROR(INDEX(Kanallar!$B$5:$B$19,MATCH(C1826,Kanallar!$A$5:$A$19,0)),0)))</f>
        <v/>
      </c>
      <c r="J1826" s="16" t="str">
        <f aca="false">IF(I1826="","",IF(H1826="İptal",0,IF(H1826="İade",-G1826,E1826-I1826-F1826-G1826)))</f>
        <v/>
      </c>
    </row>
    <row r="1827" customFormat="false" ht="15" hidden="false" customHeight="false" outlineLevel="0" collapsed="false">
      <c r="A1827" s="12"/>
      <c r="B1827" s="13"/>
      <c r="C1827" s="14"/>
      <c r="D1827" s="13"/>
      <c r="E1827" s="15"/>
      <c r="F1827" s="15"/>
      <c r="G1827" s="15"/>
      <c r="H1827" s="14"/>
      <c r="I1827" s="16" t="str">
        <f aca="false">IF(OR(A1827="",C1827=""),"",IF(OR(H1827="İade",H1827="İptal"),0,E1827*IFERROR(INDEX(Kanallar!$B$5:$B$19,MATCH(C1827,Kanallar!$A$5:$A$19,0)),0)))</f>
        <v/>
      </c>
      <c r="J1827" s="16" t="str">
        <f aca="false">IF(I1827="","",IF(H1827="İptal",0,IF(H1827="İade",-G1827,E1827-I1827-F1827-G1827)))</f>
        <v/>
      </c>
    </row>
    <row r="1828" customFormat="false" ht="15" hidden="false" customHeight="false" outlineLevel="0" collapsed="false">
      <c r="A1828" s="12"/>
      <c r="B1828" s="13"/>
      <c r="C1828" s="14"/>
      <c r="D1828" s="13"/>
      <c r="E1828" s="15"/>
      <c r="F1828" s="15"/>
      <c r="G1828" s="15"/>
      <c r="H1828" s="14"/>
      <c r="I1828" s="16" t="str">
        <f aca="false">IF(OR(A1828="",C1828=""),"",IF(OR(H1828="İade",H1828="İptal"),0,E1828*IFERROR(INDEX(Kanallar!$B$5:$B$19,MATCH(C1828,Kanallar!$A$5:$A$19,0)),0)))</f>
        <v/>
      </c>
      <c r="J1828" s="16" t="str">
        <f aca="false">IF(I1828="","",IF(H1828="İptal",0,IF(H1828="İade",-G1828,E1828-I1828-F1828-G1828)))</f>
        <v/>
      </c>
    </row>
    <row r="1829" customFormat="false" ht="15" hidden="false" customHeight="false" outlineLevel="0" collapsed="false">
      <c r="A1829" s="12"/>
      <c r="B1829" s="13"/>
      <c r="C1829" s="14"/>
      <c r="D1829" s="13"/>
      <c r="E1829" s="15"/>
      <c r="F1829" s="15"/>
      <c r="G1829" s="15"/>
      <c r="H1829" s="14"/>
      <c r="I1829" s="16" t="str">
        <f aca="false">IF(OR(A1829="",C1829=""),"",IF(OR(H1829="İade",H1829="İptal"),0,E1829*IFERROR(INDEX(Kanallar!$B$5:$B$19,MATCH(C1829,Kanallar!$A$5:$A$19,0)),0)))</f>
        <v/>
      </c>
      <c r="J1829" s="16" t="str">
        <f aca="false">IF(I1829="","",IF(H1829="İptal",0,IF(H1829="İade",-G1829,E1829-I1829-F1829-G1829)))</f>
        <v/>
      </c>
    </row>
    <row r="1830" customFormat="false" ht="15" hidden="false" customHeight="false" outlineLevel="0" collapsed="false">
      <c r="A1830" s="12"/>
      <c r="B1830" s="13"/>
      <c r="C1830" s="14"/>
      <c r="D1830" s="13"/>
      <c r="E1830" s="15"/>
      <c r="F1830" s="15"/>
      <c r="G1830" s="15"/>
      <c r="H1830" s="14"/>
      <c r="I1830" s="16" t="str">
        <f aca="false">IF(OR(A1830="",C1830=""),"",IF(OR(H1830="İade",H1830="İptal"),0,E1830*IFERROR(INDEX(Kanallar!$B$5:$B$19,MATCH(C1830,Kanallar!$A$5:$A$19,0)),0)))</f>
        <v/>
      </c>
      <c r="J1830" s="16" t="str">
        <f aca="false">IF(I1830="","",IF(H1830="İptal",0,IF(H1830="İade",-G1830,E1830-I1830-F1830-G1830)))</f>
        <v/>
      </c>
    </row>
    <row r="1831" customFormat="false" ht="15" hidden="false" customHeight="false" outlineLevel="0" collapsed="false">
      <c r="A1831" s="12"/>
      <c r="B1831" s="13"/>
      <c r="C1831" s="14"/>
      <c r="D1831" s="13"/>
      <c r="E1831" s="15"/>
      <c r="F1831" s="15"/>
      <c r="G1831" s="15"/>
      <c r="H1831" s="14"/>
      <c r="I1831" s="16" t="str">
        <f aca="false">IF(OR(A1831="",C1831=""),"",IF(OR(H1831="İade",H1831="İptal"),0,E1831*IFERROR(INDEX(Kanallar!$B$5:$B$19,MATCH(C1831,Kanallar!$A$5:$A$19,0)),0)))</f>
        <v/>
      </c>
      <c r="J1831" s="16" t="str">
        <f aca="false">IF(I1831="","",IF(H1831="İptal",0,IF(H1831="İade",-G1831,E1831-I1831-F1831-G1831)))</f>
        <v/>
      </c>
    </row>
    <row r="1832" customFormat="false" ht="15" hidden="false" customHeight="false" outlineLevel="0" collapsed="false">
      <c r="A1832" s="12"/>
      <c r="B1832" s="13"/>
      <c r="C1832" s="14"/>
      <c r="D1832" s="13"/>
      <c r="E1832" s="15"/>
      <c r="F1832" s="15"/>
      <c r="G1832" s="15"/>
      <c r="H1832" s="14"/>
      <c r="I1832" s="16" t="str">
        <f aca="false">IF(OR(A1832="",C1832=""),"",IF(OR(H1832="İade",H1832="İptal"),0,E1832*IFERROR(INDEX(Kanallar!$B$5:$B$19,MATCH(C1832,Kanallar!$A$5:$A$19,0)),0)))</f>
        <v/>
      </c>
      <c r="J1832" s="16" t="str">
        <f aca="false">IF(I1832="","",IF(H1832="İptal",0,IF(H1832="İade",-G1832,E1832-I1832-F1832-G1832)))</f>
        <v/>
      </c>
    </row>
    <row r="1833" customFormat="false" ht="15" hidden="false" customHeight="false" outlineLevel="0" collapsed="false">
      <c r="A1833" s="12"/>
      <c r="B1833" s="13"/>
      <c r="C1833" s="14"/>
      <c r="D1833" s="13"/>
      <c r="E1833" s="15"/>
      <c r="F1833" s="15"/>
      <c r="G1833" s="15"/>
      <c r="H1833" s="14"/>
      <c r="I1833" s="16" t="str">
        <f aca="false">IF(OR(A1833="",C1833=""),"",IF(OR(H1833="İade",H1833="İptal"),0,E1833*IFERROR(INDEX(Kanallar!$B$5:$B$19,MATCH(C1833,Kanallar!$A$5:$A$19,0)),0)))</f>
        <v/>
      </c>
      <c r="J1833" s="16" t="str">
        <f aca="false">IF(I1833="","",IF(H1833="İptal",0,IF(H1833="İade",-G1833,E1833-I1833-F1833-G1833)))</f>
        <v/>
      </c>
    </row>
    <row r="1834" customFormat="false" ht="15" hidden="false" customHeight="false" outlineLevel="0" collapsed="false">
      <c r="A1834" s="12"/>
      <c r="B1834" s="13"/>
      <c r="C1834" s="14"/>
      <c r="D1834" s="13"/>
      <c r="E1834" s="15"/>
      <c r="F1834" s="15"/>
      <c r="G1834" s="15"/>
      <c r="H1834" s="14"/>
      <c r="I1834" s="16" t="str">
        <f aca="false">IF(OR(A1834="",C1834=""),"",IF(OR(H1834="İade",H1834="İptal"),0,E1834*IFERROR(INDEX(Kanallar!$B$5:$B$19,MATCH(C1834,Kanallar!$A$5:$A$19,0)),0)))</f>
        <v/>
      </c>
      <c r="J1834" s="16" t="str">
        <f aca="false">IF(I1834="","",IF(H1834="İptal",0,IF(H1834="İade",-G1834,E1834-I1834-F1834-G1834)))</f>
        <v/>
      </c>
    </row>
    <row r="1835" customFormat="false" ht="15" hidden="false" customHeight="false" outlineLevel="0" collapsed="false">
      <c r="A1835" s="12"/>
      <c r="B1835" s="13"/>
      <c r="C1835" s="14"/>
      <c r="D1835" s="13"/>
      <c r="E1835" s="15"/>
      <c r="F1835" s="15"/>
      <c r="G1835" s="15"/>
      <c r="H1835" s="14"/>
      <c r="I1835" s="16" t="str">
        <f aca="false">IF(OR(A1835="",C1835=""),"",IF(OR(H1835="İade",H1835="İptal"),0,E1835*IFERROR(INDEX(Kanallar!$B$5:$B$19,MATCH(C1835,Kanallar!$A$5:$A$19,0)),0)))</f>
        <v/>
      </c>
      <c r="J1835" s="16" t="str">
        <f aca="false">IF(I1835="","",IF(H1835="İptal",0,IF(H1835="İade",-G1835,E1835-I1835-F1835-G1835)))</f>
        <v/>
      </c>
    </row>
    <row r="1836" customFormat="false" ht="15" hidden="false" customHeight="false" outlineLevel="0" collapsed="false">
      <c r="A1836" s="12"/>
      <c r="B1836" s="13"/>
      <c r="C1836" s="14"/>
      <c r="D1836" s="13"/>
      <c r="E1836" s="15"/>
      <c r="F1836" s="15"/>
      <c r="G1836" s="15"/>
      <c r="H1836" s="14"/>
      <c r="I1836" s="16" t="str">
        <f aca="false">IF(OR(A1836="",C1836=""),"",IF(OR(H1836="İade",H1836="İptal"),0,E1836*IFERROR(INDEX(Kanallar!$B$5:$B$19,MATCH(C1836,Kanallar!$A$5:$A$19,0)),0)))</f>
        <v/>
      </c>
      <c r="J1836" s="16" t="str">
        <f aca="false">IF(I1836="","",IF(H1836="İptal",0,IF(H1836="İade",-G1836,E1836-I1836-F1836-G1836)))</f>
        <v/>
      </c>
    </row>
    <row r="1837" customFormat="false" ht="15" hidden="false" customHeight="false" outlineLevel="0" collapsed="false">
      <c r="A1837" s="12"/>
      <c r="B1837" s="13"/>
      <c r="C1837" s="14"/>
      <c r="D1837" s="13"/>
      <c r="E1837" s="15"/>
      <c r="F1837" s="15"/>
      <c r="G1837" s="15"/>
      <c r="H1837" s="14"/>
      <c r="I1837" s="16" t="str">
        <f aca="false">IF(OR(A1837="",C1837=""),"",IF(OR(H1837="İade",H1837="İptal"),0,E1837*IFERROR(INDEX(Kanallar!$B$5:$B$19,MATCH(C1837,Kanallar!$A$5:$A$19,0)),0)))</f>
        <v/>
      </c>
      <c r="J1837" s="16" t="str">
        <f aca="false">IF(I1837="","",IF(H1837="İptal",0,IF(H1837="İade",-G1837,E1837-I1837-F1837-G1837)))</f>
        <v/>
      </c>
    </row>
    <row r="1838" customFormat="false" ht="15" hidden="false" customHeight="false" outlineLevel="0" collapsed="false">
      <c r="A1838" s="12"/>
      <c r="B1838" s="13"/>
      <c r="C1838" s="14"/>
      <c r="D1838" s="13"/>
      <c r="E1838" s="15"/>
      <c r="F1838" s="15"/>
      <c r="G1838" s="15"/>
      <c r="H1838" s="14"/>
      <c r="I1838" s="16" t="str">
        <f aca="false">IF(OR(A1838="",C1838=""),"",IF(OR(H1838="İade",H1838="İptal"),0,E1838*IFERROR(INDEX(Kanallar!$B$5:$B$19,MATCH(C1838,Kanallar!$A$5:$A$19,0)),0)))</f>
        <v/>
      </c>
      <c r="J1838" s="16" t="str">
        <f aca="false">IF(I1838="","",IF(H1838="İptal",0,IF(H1838="İade",-G1838,E1838-I1838-F1838-G1838)))</f>
        <v/>
      </c>
    </row>
    <row r="1839" customFormat="false" ht="15" hidden="false" customHeight="false" outlineLevel="0" collapsed="false">
      <c r="A1839" s="12"/>
      <c r="B1839" s="13"/>
      <c r="C1839" s="14"/>
      <c r="D1839" s="13"/>
      <c r="E1839" s="15"/>
      <c r="F1839" s="15"/>
      <c r="G1839" s="15"/>
      <c r="H1839" s="14"/>
      <c r="I1839" s="16" t="str">
        <f aca="false">IF(OR(A1839="",C1839=""),"",IF(OR(H1839="İade",H1839="İptal"),0,E1839*IFERROR(INDEX(Kanallar!$B$5:$B$19,MATCH(C1839,Kanallar!$A$5:$A$19,0)),0)))</f>
        <v/>
      </c>
      <c r="J1839" s="16" t="str">
        <f aca="false">IF(I1839="","",IF(H1839="İptal",0,IF(H1839="İade",-G1839,E1839-I1839-F1839-G1839)))</f>
        <v/>
      </c>
    </row>
    <row r="1840" customFormat="false" ht="15" hidden="false" customHeight="false" outlineLevel="0" collapsed="false">
      <c r="A1840" s="12"/>
      <c r="B1840" s="13"/>
      <c r="C1840" s="14"/>
      <c r="D1840" s="13"/>
      <c r="E1840" s="15"/>
      <c r="F1840" s="15"/>
      <c r="G1840" s="15"/>
      <c r="H1840" s="14"/>
      <c r="I1840" s="16" t="str">
        <f aca="false">IF(OR(A1840="",C1840=""),"",IF(OR(H1840="İade",H1840="İptal"),0,E1840*IFERROR(INDEX(Kanallar!$B$5:$B$19,MATCH(C1840,Kanallar!$A$5:$A$19,0)),0)))</f>
        <v/>
      </c>
      <c r="J1840" s="16" t="str">
        <f aca="false">IF(I1840="","",IF(H1840="İptal",0,IF(H1840="İade",-G1840,E1840-I1840-F1840-G1840)))</f>
        <v/>
      </c>
    </row>
    <row r="1841" customFormat="false" ht="15" hidden="false" customHeight="false" outlineLevel="0" collapsed="false">
      <c r="A1841" s="12"/>
      <c r="B1841" s="13"/>
      <c r="C1841" s="14"/>
      <c r="D1841" s="13"/>
      <c r="E1841" s="15"/>
      <c r="F1841" s="15"/>
      <c r="G1841" s="15"/>
      <c r="H1841" s="14"/>
      <c r="I1841" s="16" t="str">
        <f aca="false">IF(OR(A1841="",C1841=""),"",IF(OR(H1841="İade",H1841="İptal"),0,E1841*IFERROR(INDEX(Kanallar!$B$5:$B$19,MATCH(C1841,Kanallar!$A$5:$A$19,0)),0)))</f>
        <v/>
      </c>
      <c r="J1841" s="16" t="str">
        <f aca="false">IF(I1841="","",IF(H1841="İptal",0,IF(H1841="İade",-G1841,E1841-I1841-F1841-G1841)))</f>
        <v/>
      </c>
    </row>
    <row r="1842" customFormat="false" ht="15" hidden="false" customHeight="false" outlineLevel="0" collapsed="false">
      <c r="A1842" s="12"/>
      <c r="B1842" s="13"/>
      <c r="C1842" s="14"/>
      <c r="D1842" s="13"/>
      <c r="E1842" s="15"/>
      <c r="F1842" s="15"/>
      <c r="G1842" s="15"/>
      <c r="H1842" s="14"/>
      <c r="I1842" s="16" t="str">
        <f aca="false">IF(OR(A1842="",C1842=""),"",IF(OR(H1842="İade",H1842="İptal"),0,E1842*IFERROR(INDEX(Kanallar!$B$5:$B$19,MATCH(C1842,Kanallar!$A$5:$A$19,0)),0)))</f>
        <v/>
      </c>
      <c r="J1842" s="16" t="str">
        <f aca="false">IF(I1842="","",IF(H1842="İptal",0,IF(H1842="İade",-G1842,E1842-I1842-F1842-G1842)))</f>
        <v/>
      </c>
    </row>
    <row r="1843" customFormat="false" ht="15" hidden="false" customHeight="false" outlineLevel="0" collapsed="false">
      <c r="A1843" s="12"/>
      <c r="B1843" s="13"/>
      <c r="C1843" s="14"/>
      <c r="D1843" s="13"/>
      <c r="E1843" s="15"/>
      <c r="F1843" s="15"/>
      <c r="G1843" s="15"/>
      <c r="H1843" s="14"/>
      <c r="I1843" s="16" t="str">
        <f aca="false">IF(OR(A1843="",C1843=""),"",IF(OR(H1843="İade",H1843="İptal"),0,E1843*IFERROR(INDEX(Kanallar!$B$5:$B$19,MATCH(C1843,Kanallar!$A$5:$A$19,0)),0)))</f>
        <v/>
      </c>
      <c r="J1843" s="16" t="str">
        <f aca="false">IF(I1843="","",IF(H1843="İptal",0,IF(H1843="İade",-G1843,E1843-I1843-F1843-G1843)))</f>
        <v/>
      </c>
    </row>
    <row r="1844" customFormat="false" ht="15" hidden="false" customHeight="false" outlineLevel="0" collapsed="false">
      <c r="A1844" s="12"/>
      <c r="B1844" s="13"/>
      <c r="C1844" s="14"/>
      <c r="D1844" s="13"/>
      <c r="E1844" s="15"/>
      <c r="F1844" s="15"/>
      <c r="G1844" s="15"/>
      <c r="H1844" s="14"/>
      <c r="I1844" s="16" t="str">
        <f aca="false">IF(OR(A1844="",C1844=""),"",IF(OR(H1844="İade",H1844="İptal"),0,E1844*IFERROR(INDEX(Kanallar!$B$5:$B$19,MATCH(C1844,Kanallar!$A$5:$A$19,0)),0)))</f>
        <v/>
      </c>
      <c r="J1844" s="16" t="str">
        <f aca="false">IF(I1844="","",IF(H1844="İptal",0,IF(H1844="İade",-G1844,E1844-I1844-F1844-G1844)))</f>
        <v/>
      </c>
    </row>
    <row r="1845" customFormat="false" ht="15" hidden="false" customHeight="false" outlineLevel="0" collapsed="false">
      <c r="A1845" s="12"/>
      <c r="B1845" s="13"/>
      <c r="C1845" s="14"/>
      <c r="D1845" s="13"/>
      <c r="E1845" s="15"/>
      <c r="F1845" s="15"/>
      <c r="G1845" s="15"/>
      <c r="H1845" s="14"/>
      <c r="I1845" s="16" t="str">
        <f aca="false">IF(OR(A1845="",C1845=""),"",IF(OR(H1845="İade",H1845="İptal"),0,E1845*IFERROR(INDEX(Kanallar!$B$5:$B$19,MATCH(C1845,Kanallar!$A$5:$A$19,0)),0)))</f>
        <v/>
      </c>
      <c r="J1845" s="16" t="str">
        <f aca="false">IF(I1845="","",IF(H1845="İptal",0,IF(H1845="İade",-G1845,E1845-I1845-F1845-G1845)))</f>
        <v/>
      </c>
    </row>
    <row r="1846" customFormat="false" ht="15" hidden="false" customHeight="false" outlineLevel="0" collapsed="false">
      <c r="A1846" s="12"/>
      <c r="B1846" s="13"/>
      <c r="C1846" s="14"/>
      <c r="D1846" s="13"/>
      <c r="E1846" s="15"/>
      <c r="F1846" s="15"/>
      <c r="G1846" s="15"/>
      <c r="H1846" s="14"/>
      <c r="I1846" s="16" t="str">
        <f aca="false">IF(OR(A1846="",C1846=""),"",IF(OR(H1846="İade",H1846="İptal"),0,E1846*IFERROR(INDEX(Kanallar!$B$5:$B$19,MATCH(C1846,Kanallar!$A$5:$A$19,0)),0)))</f>
        <v/>
      </c>
      <c r="J1846" s="16" t="str">
        <f aca="false">IF(I1846="","",IF(H1846="İptal",0,IF(H1846="İade",-G1846,E1846-I1846-F1846-G1846)))</f>
        <v/>
      </c>
    </row>
    <row r="1847" customFormat="false" ht="15" hidden="false" customHeight="false" outlineLevel="0" collapsed="false">
      <c r="A1847" s="12"/>
      <c r="B1847" s="13"/>
      <c r="C1847" s="14"/>
      <c r="D1847" s="13"/>
      <c r="E1847" s="15"/>
      <c r="F1847" s="15"/>
      <c r="G1847" s="15"/>
      <c r="H1847" s="14"/>
      <c r="I1847" s="16" t="str">
        <f aca="false">IF(OR(A1847="",C1847=""),"",IF(OR(H1847="İade",H1847="İptal"),0,E1847*IFERROR(INDEX(Kanallar!$B$5:$B$19,MATCH(C1847,Kanallar!$A$5:$A$19,0)),0)))</f>
        <v/>
      </c>
      <c r="J1847" s="16" t="str">
        <f aca="false">IF(I1847="","",IF(H1847="İptal",0,IF(H1847="İade",-G1847,E1847-I1847-F1847-G1847)))</f>
        <v/>
      </c>
    </row>
    <row r="1848" customFormat="false" ht="15" hidden="false" customHeight="false" outlineLevel="0" collapsed="false">
      <c r="A1848" s="12"/>
      <c r="B1848" s="13"/>
      <c r="C1848" s="14"/>
      <c r="D1848" s="13"/>
      <c r="E1848" s="15"/>
      <c r="F1848" s="15"/>
      <c r="G1848" s="15"/>
      <c r="H1848" s="14"/>
      <c r="I1848" s="16" t="str">
        <f aca="false">IF(OR(A1848="",C1848=""),"",IF(OR(H1848="İade",H1848="İptal"),0,E1848*IFERROR(INDEX(Kanallar!$B$5:$B$19,MATCH(C1848,Kanallar!$A$5:$A$19,0)),0)))</f>
        <v/>
      </c>
      <c r="J1848" s="16" t="str">
        <f aca="false">IF(I1848="","",IF(H1848="İptal",0,IF(H1848="İade",-G1848,E1848-I1848-F1848-G1848)))</f>
        <v/>
      </c>
    </row>
    <row r="1849" customFormat="false" ht="15" hidden="false" customHeight="false" outlineLevel="0" collapsed="false">
      <c r="A1849" s="12"/>
      <c r="B1849" s="13"/>
      <c r="C1849" s="14"/>
      <c r="D1849" s="13"/>
      <c r="E1849" s="15"/>
      <c r="F1849" s="15"/>
      <c r="G1849" s="15"/>
      <c r="H1849" s="14"/>
      <c r="I1849" s="16" t="str">
        <f aca="false">IF(OR(A1849="",C1849=""),"",IF(OR(H1849="İade",H1849="İptal"),0,E1849*IFERROR(INDEX(Kanallar!$B$5:$B$19,MATCH(C1849,Kanallar!$A$5:$A$19,0)),0)))</f>
        <v/>
      </c>
      <c r="J1849" s="16" t="str">
        <f aca="false">IF(I1849="","",IF(H1849="İptal",0,IF(H1849="İade",-G1849,E1849-I1849-F1849-G1849)))</f>
        <v/>
      </c>
    </row>
    <row r="1850" customFormat="false" ht="15" hidden="false" customHeight="false" outlineLevel="0" collapsed="false">
      <c r="A1850" s="12"/>
      <c r="B1850" s="13"/>
      <c r="C1850" s="14"/>
      <c r="D1850" s="13"/>
      <c r="E1850" s="15"/>
      <c r="F1850" s="15"/>
      <c r="G1850" s="15"/>
      <c r="H1850" s="14"/>
      <c r="I1850" s="16" t="str">
        <f aca="false">IF(OR(A1850="",C1850=""),"",IF(OR(H1850="İade",H1850="İptal"),0,E1850*IFERROR(INDEX(Kanallar!$B$5:$B$19,MATCH(C1850,Kanallar!$A$5:$A$19,0)),0)))</f>
        <v/>
      </c>
      <c r="J1850" s="16" t="str">
        <f aca="false">IF(I1850="","",IF(H1850="İptal",0,IF(H1850="İade",-G1850,E1850-I1850-F1850-G1850)))</f>
        <v/>
      </c>
    </row>
    <row r="1851" customFormat="false" ht="15" hidden="false" customHeight="false" outlineLevel="0" collapsed="false">
      <c r="A1851" s="12"/>
      <c r="B1851" s="13"/>
      <c r="C1851" s="14"/>
      <c r="D1851" s="13"/>
      <c r="E1851" s="15"/>
      <c r="F1851" s="15"/>
      <c r="G1851" s="15"/>
      <c r="H1851" s="14"/>
      <c r="I1851" s="16" t="str">
        <f aca="false">IF(OR(A1851="",C1851=""),"",IF(OR(H1851="İade",H1851="İptal"),0,E1851*IFERROR(INDEX(Kanallar!$B$5:$B$19,MATCH(C1851,Kanallar!$A$5:$A$19,0)),0)))</f>
        <v/>
      </c>
      <c r="J1851" s="16" t="str">
        <f aca="false">IF(I1851="","",IF(H1851="İptal",0,IF(H1851="İade",-G1851,E1851-I1851-F1851-G1851)))</f>
        <v/>
      </c>
    </row>
    <row r="1852" customFormat="false" ht="15" hidden="false" customHeight="false" outlineLevel="0" collapsed="false">
      <c r="A1852" s="12"/>
      <c r="B1852" s="13"/>
      <c r="C1852" s="14"/>
      <c r="D1852" s="13"/>
      <c r="E1852" s="15"/>
      <c r="F1852" s="15"/>
      <c r="G1852" s="15"/>
      <c r="H1852" s="14"/>
      <c r="I1852" s="16" t="str">
        <f aca="false">IF(OR(A1852="",C1852=""),"",IF(OR(H1852="İade",H1852="İptal"),0,E1852*IFERROR(INDEX(Kanallar!$B$5:$B$19,MATCH(C1852,Kanallar!$A$5:$A$19,0)),0)))</f>
        <v/>
      </c>
      <c r="J1852" s="16" t="str">
        <f aca="false">IF(I1852="","",IF(H1852="İptal",0,IF(H1852="İade",-G1852,E1852-I1852-F1852-G1852)))</f>
        <v/>
      </c>
    </row>
    <row r="1853" customFormat="false" ht="15" hidden="false" customHeight="false" outlineLevel="0" collapsed="false">
      <c r="A1853" s="12"/>
      <c r="B1853" s="13"/>
      <c r="C1853" s="14"/>
      <c r="D1853" s="13"/>
      <c r="E1853" s="15"/>
      <c r="F1853" s="15"/>
      <c r="G1853" s="15"/>
      <c r="H1853" s="14"/>
      <c r="I1853" s="16" t="str">
        <f aca="false">IF(OR(A1853="",C1853=""),"",IF(OR(H1853="İade",H1853="İptal"),0,E1853*IFERROR(INDEX(Kanallar!$B$5:$B$19,MATCH(C1853,Kanallar!$A$5:$A$19,0)),0)))</f>
        <v/>
      </c>
      <c r="J1853" s="16" t="str">
        <f aca="false">IF(I1853="","",IF(H1853="İptal",0,IF(H1853="İade",-G1853,E1853-I1853-F1853-G1853)))</f>
        <v/>
      </c>
    </row>
    <row r="1854" customFormat="false" ht="15" hidden="false" customHeight="false" outlineLevel="0" collapsed="false">
      <c r="A1854" s="12"/>
      <c r="B1854" s="13"/>
      <c r="C1854" s="14"/>
      <c r="D1854" s="13"/>
      <c r="E1854" s="15"/>
      <c r="F1854" s="15"/>
      <c r="G1854" s="15"/>
      <c r="H1854" s="14"/>
      <c r="I1854" s="16" t="str">
        <f aca="false">IF(OR(A1854="",C1854=""),"",IF(OR(H1854="İade",H1854="İptal"),0,E1854*IFERROR(INDEX(Kanallar!$B$5:$B$19,MATCH(C1854,Kanallar!$A$5:$A$19,0)),0)))</f>
        <v/>
      </c>
      <c r="J1854" s="16" t="str">
        <f aca="false">IF(I1854="","",IF(H1854="İptal",0,IF(H1854="İade",-G1854,E1854-I1854-F1854-G1854)))</f>
        <v/>
      </c>
    </row>
    <row r="1855" customFormat="false" ht="15" hidden="false" customHeight="false" outlineLevel="0" collapsed="false">
      <c r="A1855" s="12"/>
      <c r="B1855" s="13"/>
      <c r="C1855" s="14"/>
      <c r="D1855" s="13"/>
      <c r="E1855" s="15"/>
      <c r="F1855" s="15"/>
      <c r="G1855" s="15"/>
      <c r="H1855" s="14"/>
      <c r="I1855" s="16" t="str">
        <f aca="false">IF(OR(A1855="",C1855=""),"",IF(OR(H1855="İade",H1855="İptal"),0,E1855*IFERROR(INDEX(Kanallar!$B$5:$B$19,MATCH(C1855,Kanallar!$A$5:$A$19,0)),0)))</f>
        <v/>
      </c>
      <c r="J1855" s="16" t="str">
        <f aca="false">IF(I1855="","",IF(H1855="İptal",0,IF(H1855="İade",-G1855,E1855-I1855-F1855-G1855)))</f>
        <v/>
      </c>
    </row>
    <row r="1856" customFormat="false" ht="15" hidden="false" customHeight="false" outlineLevel="0" collapsed="false">
      <c r="A1856" s="12"/>
      <c r="B1856" s="13"/>
      <c r="C1856" s="14"/>
      <c r="D1856" s="13"/>
      <c r="E1856" s="15"/>
      <c r="F1856" s="15"/>
      <c r="G1856" s="15"/>
      <c r="H1856" s="14"/>
      <c r="I1856" s="16" t="str">
        <f aca="false">IF(OR(A1856="",C1856=""),"",IF(OR(H1856="İade",H1856="İptal"),0,E1856*IFERROR(INDEX(Kanallar!$B$5:$B$19,MATCH(C1856,Kanallar!$A$5:$A$19,0)),0)))</f>
        <v/>
      </c>
      <c r="J1856" s="16" t="str">
        <f aca="false">IF(I1856="","",IF(H1856="İptal",0,IF(H1856="İade",-G1856,E1856-I1856-F1856-G1856)))</f>
        <v/>
      </c>
    </row>
    <row r="1857" customFormat="false" ht="15" hidden="false" customHeight="false" outlineLevel="0" collapsed="false">
      <c r="A1857" s="12"/>
      <c r="B1857" s="13"/>
      <c r="C1857" s="14"/>
      <c r="D1857" s="13"/>
      <c r="E1857" s="15"/>
      <c r="F1857" s="15"/>
      <c r="G1857" s="15"/>
      <c r="H1857" s="14"/>
      <c r="I1857" s="16" t="str">
        <f aca="false">IF(OR(A1857="",C1857=""),"",IF(OR(H1857="İade",H1857="İptal"),0,E1857*IFERROR(INDEX(Kanallar!$B$5:$B$19,MATCH(C1857,Kanallar!$A$5:$A$19,0)),0)))</f>
        <v/>
      </c>
      <c r="J1857" s="16" t="str">
        <f aca="false">IF(I1857="","",IF(H1857="İptal",0,IF(H1857="İade",-G1857,E1857-I1857-F1857-G1857)))</f>
        <v/>
      </c>
    </row>
    <row r="1858" customFormat="false" ht="15" hidden="false" customHeight="false" outlineLevel="0" collapsed="false">
      <c r="A1858" s="12"/>
      <c r="B1858" s="13"/>
      <c r="C1858" s="14"/>
      <c r="D1858" s="13"/>
      <c r="E1858" s="15"/>
      <c r="F1858" s="15"/>
      <c r="G1858" s="15"/>
      <c r="H1858" s="14"/>
      <c r="I1858" s="16" t="str">
        <f aca="false">IF(OR(A1858="",C1858=""),"",IF(OR(H1858="İade",H1858="İptal"),0,E1858*IFERROR(INDEX(Kanallar!$B$5:$B$19,MATCH(C1858,Kanallar!$A$5:$A$19,0)),0)))</f>
        <v/>
      </c>
      <c r="J1858" s="16" t="str">
        <f aca="false">IF(I1858="","",IF(H1858="İptal",0,IF(H1858="İade",-G1858,E1858-I1858-F1858-G1858)))</f>
        <v/>
      </c>
    </row>
    <row r="1859" customFormat="false" ht="15" hidden="false" customHeight="false" outlineLevel="0" collapsed="false">
      <c r="A1859" s="12"/>
      <c r="B1859" s="13"/>
      <c r="C1859" s="14"/>
      <c r="D1859" s="13"/>
      <c r="E1859" s="15"/>
      <c r="F1859" s="15"/>
      <c r="G1859" s="15"/>
      <c r="H1859" s="14"/>
      <c r="I1859" s="16" t="str">
        <f aca="false">IF(OR(A1859="",C1859=""),"",IF(OR(H1859="İade",H1859="İptal"),0,E1859*IFERROR(INDEX(Kanallar!$B$5:$B$19,MATCH(C1859,Kanallar!$A$5:$A$19,0)),0)))</f>
        <v/>
      </c>
      <c r="J1859" s="16" t="str">
        <f aca="false">IF(I1859="","",IF(H1859="İptal",0,IF(H1859="İade",-G1859,E1859-I1859-F1859-G1859)))</f>
        <v/>
      </c>
    </row>
    <row r="1860" customFormat="false" ht="15" hidden="false" customHeight="false" outlineLevel="0" collapsed="false">
      <c r="A1860" s="12"/>
      <c r="B1860" s="13"/>
      <c r="C1860" s="14"/>
      <c r="D1860" s="13"/>
      <c r="E1860" s="15"/>
      <c r="F1860" s="15"/>
      <c r="G1860" s="15"/>
      <c r="H1860" s="14"/>
      <c r="I1860" s="16" t="str">
        <f aca="false">IF(OR(A1860="",C1860=""),"",IF(OR(H1860="İade",H1860="İptal"),0,E1860*IFERROR(INDEX(Kanallar!$B$5:$B$19,MATCH(C1860,Kanallar!$A$5:$A$19,0)),0)))</f>
        <v/>
      </c>
      <c r="J1860" s="16" t="str">
        <f aca="false">IF(I1860="","",IF(H1860="İptal",0,IF(H1860="İade",-G1860,E1860-I1860-F1860-G1860)))</f>
        <v/>
      </c>
    </row>
    <row r="1861" customFormat="false" ht="15" hidden="false" customHeight="false" outlineLevel="0" collapsed="false">
      <c r="A1861" s="12"/>
      <c r="B1861" s="13"/>
      <c r="C1861" s="14"/>
      <c r="D1861" s="13"/>
      <c r="E1861" s="15"/>
      <c r="F1861" s="15"/>
      <c r="G1861" s="15"/>
      <c r="H1861" s="14"/>
      <c r="I1861" s="16" t="str">
        <f aca="false">IF(OR(A1861="",C1861=""),"",IF(OR(H1861="İade",H1861="İptal"),0,E1861*IFERROR(INDEX(Kanallar!$B$5:$B$19,MATCH(C1861,Kanallar!$A$5:$A$19,0)),0)))</f>
        <v/>
      </c>
      <c r="J1861" s="16" t="str">
        <f aca="false">IF(I1861="","",IF(H1861="İptal",0,IF(H1861="İade",-G1861,E1861-I1861-F1861-G1861)))</f>
        <v/>
      </c>
    </row>
    <row r="1862" customFormat="false" ht="15" hidden="false" customHeight="false" outlineLevel="0" collapsed="false">
      <c r="A1862" s="12"/>
      <c r="B1862" s="13"/>
      <c r="C1862" s="14"/>
      <c r="D1862" s="13"/>
      <c r="E1862" s="15"/>
      <c r="F1862" s="15"/>
      <c r="G1862" s="15"/>
      <c r="H1862" s="14"/>
      <c r="I1862" s="16" t="str">
        <f aca="false">IF(OR(A1862="",C1862=""),"",IF(OR(H1862="İade",H1862="İptal"),0,E1862*IFERROR(INDEX(Kanallar!$B$5:$B$19,MATCH(C1862,Kanallar!$A$5:$A$19,0)),0)))</f>
        <v/>
      </c>
      <c r="J1862" s="16" t="str">
        <f aca="false">IF(I1862="","",IF(H1862="İptal",0,IF(H1862="İade",-G1862,E1862-I1862-F1862-G1862)))</f>
        <v/>
      </c>
    </row>
    <row r="1863" customFormat="false" ht="15" hidden="false" customHeight="false" outlineLevel="0" collapsed="false">
      <c r="A1863" s="12"/>
      <c r="B1863" s="13"/>
      <c r="C1863" s="14"/>
      <c r="D1863" s="13"/>
      <c r="E1863" s="15"/>
      <c r="F1863" s="15"/>
      <c r="G1863" s="15"/>
      <c r="H1863" s="14"/>
      <c r="I1863" s="16" t="str">
        <f aca="false">IF(OR(A1863="",C1863=""),"",IF(OR(H1863="İade",H1863="İptal"),0,E1863*IFERROR(INDEX(Kanallar!$B$5:$B$19,MATCH(C1863,Kanallar!$A$5:$A$19,0)),0)))</f>
        <v/>
      </c>
      <c r="J1863" s="16" t="str">
        <f aca="false">IF(I1863="","",IF(H1863="İptal",0,IF(H1863="İade",-G1863,E1863-I1863-F1863-G1863)))</f>
        <v/>
      </c>
    </row>
    <row r="1864" customFormat="false" ht="15" hidden="false" customHeight="false" outlineLevel="0" collapsed="false">
      <c r="A1864" s="12"/>
      <c r="B1864" s="13"/>
      <c r="C1864" s="14"/>
      <c r="D1864" s="13"/>
      <c r="E1864" s="15"/>
      <c r="F1864" s="15"/>
      <c r="G1864" s="15"/>
      <c r="H1864" s="14"/>
      <c r="I1864" s="16" t="str">
        <f aca="false">IF(OR(A1864="",C1864=""),"",IF(OR(H1864="İade",H1864="İptal"),0,E1864*IFERROR(INDEX(Kanallar!$B$5:$B$19,MATCH(C1864,Kanallar!$A$5:$A$19,0)),0)))</f>
        <v/>
      </c>
      <c r="J1864" s="16" t="str">
        <f aca="false">IF(I1864="","",IF(H1864="İptal",0,IF(H1864="İade",-G1864,E1864-I1864-F1864-G1864)))</f>
        <v/>
      </c>
    </row>
    <row r="1865" customFormat="false" ht="15" hidden="false" customHeight="false" outlineLevel="0" collapsed="false">
      <c r="A1865" s="12"/>
      <c r="B1865" s="13"/>
      <c r="C1865" s="14"/>
      <c r="D1865" s="13"/>
      <c r="E1865" s="15"/>
      <c r="F1865" s="15"/>
      <c r="G1865" s="15"/>
      <c r="H1865" s="14"/>
      <c r="I1865" s="16" t="str">
        <f aca="false">IF(OR(A1865="",C1865=""),"",IF(OR(H1865="İade",H1865="İptal"),0,E1865*IFERROR(INDEX(Kanallar!$B$5:$B$19,MATCH(C1865,Kanallar!$A$5:$A$19,0)),0)))</f>
        <v/>
      </c>
      <c r="J1865" s="16" t="str">
        <f aca="false">IF(I1865="","",IF(H1865="İptal",0,IF(H1865="İade",-G1865,E1865-I1865-F1865-G1865)))</f>
        <v/>
      </c>
    </row>
    <row r="1866" customFormat="false" ht="15" hidden="false" customHeight="false" outlineLevel="0" collapsed="false">
      <c r="A1866" s="12"/>
      <c r="B1866" s="13"/>
      <c r="C1866" s="14"/>
      <c r="D1866" s="13"/>
      <c r="E1866" s="15"/>
      <c r="F1866" s="15"/>
      <c r="G1866" s="15"/>
      <c r="H1866" s="14"/>
      <c r="I1866" s="16" t="str">
        <f aca="false">IF(OR(A1866="",C1866=""),"",IF(OR(H1866="İade",H1866="İptal"),0,E1866*IFERROR(INDEX(Kanallar!$B$5:$B$19,MATCH(C1866,Kanallar!$A$5:$A$19,0)),0)))</f>
        <v/>
      </c>
      <c r="J1866" s="16" t="str">
        <f aca="false">IF(I1866="","",IF(H1866="İptal",0,IF(H1866="İade",-G1866,E1866-I1866-F1866-G1866)))</f>
        <v/>
      </c>
    </row>
    <row r="1867" customFormat="false" ht="15" hidden="false" customHeight="false" outlineLevel="0" collapsed="false">
      <c r="A1867" s="12"/>
      <c r="B1867" s="13"/>
      <c r="C1867" s="14"/>
      <c r="D1867" s="13"/>
      <c r="E1867" s="15"/>
      <c r="F1867" s="15"/>
      <c r="G1867" s="15"/>
      <c r="H1867" s="14"/>
      <c r="I1867" s="16" t="str">
        <f aca="false">IF(OR(A1867="",C1867=""),"",IF(OR(H1867="İade",H1867="İptal"),0,E1867*IFERROR(INDEX(Kanallar!$B$5:$B$19,MATCH(C1867,Kanallar!$A$5:$A$19,0)),0)))</f>
        <v/>
      </c>
      <c r="J1867" s="16" t="str">
        <f aca="false">IF(I1867="","",IF(H1867="İptal",0,IF(H1867="İade",-G1867,E1867-I1867-F1867-G1867)))</f>
        <v/>
      </c>
    </row>
    <row r="1868" customFormat="false" ht="15" hidden="false" customHeight="false" outlineLevel="0" collapsed="false">
      <c r="A1868" s="12"/>
      <c r="B1868" s="13"/>
      <c r="C1868" s="14"/>
      <c r="D1868" s="13"/>
      <c r="E1868" s="15"/>
      <c r="F1868" s="15"/>
      <c r="G1868" s="15"/>
      <c r="H1868" s="14"/>
      <c r="I1868" s="16" t="str">
        <f aca="false">IF(OR(A1868="",C1868=""),"",IF(OR(H1868="İade",H1868="İptal"),0,E1868*IFERROR(INDEX(Kanallar!$B$5:$B$19,MATCH(C1868,Kanallar!$A$5:$A$19,0)),0)))</f>
        <v/>
      </c>
      <c r="J1868" s="16" t="str">
        <f aca="false">IF(I1868="","",IF(H1868="İptal",0,IF(H1868="İade",-G1868,E1868-I1868-F1868-G1868)))</f>
        <v/>
      </c>
    </row>
    <row r="1869" customFormat="false" ht="15" hidden="false" customHeight="false" outlineLevel="0" collapsed="false">
      <c r="A1869" s="12"/>
      <c r="B1869" s="13"/>
      <c r="C1869" s="14"/>
      <c r="D1869" s="13"/>
      <c r="E1869" s="15"/>
      <c r="F1869" s="15"/>
      <c r="G1869" s="15"/>
      <c r="H1869" s="14"/>
      <c r="I1869" s="16" t="str">
        <f aca="false">IF(OR(A1869="",C1869=""),"",IF(OR(H1869="İade",H1869="İptal"),0,E1869*IFERROR(INDEX(Kanallar!$B$5:$B$19,MATCH(C1869,Kanallar!$A$5:$A$19,0)),0)))</f>
        <v/>
      </c>
      <c r="J1869" s="16" t="str">
        <f aca="false">IF(I1869="","",IF(H1869="İptal",0,IF(H1869="İade",-G1869,E1869-I1869-F1869-G1869)))</f>
        <v/>
      </c>
    </row>
    <row r="1870" customFormat="false" ht="15" hidden="false" customHeight="false" outlineLevel="0" collapsed="false">
      <c r="A1870" s="12"/>
      <c r="B1870" s="13"/>
      <c r="C1870" s="14"/>
      <c r="D1870" s="13"/>
      <c r="E1870" s="15"/>
      <c r="F1870" s="15"/>
      <c r="G1870" s="15"/>
      <c r="H1870" s="14"/>
      <c r="I1870" s="16" t="str">
        <f aca="false">IF(OR(A1870="",C1870=""),"",IF(OR(H1870="İade",H1870="İptal"),0,E1870*IFERROR(INDEX(Kanallar!$B$5:$B$19,MATCH(C1870,Kanallar!$A$5:$A$19,0)),0)))</f>
        <v/>
      </c>
      <c r="J1870" s="16" t="str">
        <f aca="false">IF(I1870="","",IF(H1870="İptal",0,IF(H1870="İade",-G1870,E1870-I1870-F1870-G1870)))</f>
        <v/>
      </c>
    </row>
    <row r="1871" customFormat="false" ht="15" hidden="false" customHeight="false" outlineLevel="0" collapsed="false">
      <c r="A1871" s="12"/>
      <c r="B1871" s="13"/>
      <c r="C1871" s="14"/>
      <c r="D1871" s="13"/>
      <c r="E1871" s="15"/>
      <c r="F1871" s="15"/>
      <c r="G1871" s="15"/>
      <c r="H1871" s="14"/>
      <c r="I1871" s="16" t="str">
        <f aca="false">IF(OR(A1871="",C1871=""),"",IF(OR(H1871="İade",H1871="İptal"),0,E1871*IFERROR(INDEX(Kanallar!$B$5:$B$19,MATCH(C1871,Kanallar!$A$5:$A$19,0)),0)))</f>
        <v/>
      </c>
      <c r="J1871" s="16" t="str">
        <f aca="false">IF(I1871="","",IF(H1871="İptal",0,IF(H1871="İade",-G1871,E1871-I1871-F1871-G1871)))</f>
        <v/>
      </c>
    </row>
    <row r="1872" customFormat="false" ht="15" hidden="false" customHeight="false" outlineLevel="0" collapsed="false">
      <c r="A1872" s="12"/>
      <c r="B1872" s="13"/>
      <c r="C1872" s="14"/>
      <c r="D1872" s="13"/>
      <c r="E1872" s="15"/>
      <c r="F1872" s="15"/>
      <c r="G1872" s="15"/>
      <c r="H1872" s="14"/>
      <c r="I1872" s="16" t="str">
        <f aca="false">IF(OR(A1872="",C1872=""),"",IF(OR(H1872="İade",H1872="İptal"),0,E1872*IFERROR(INDEX(Kanallar!$B$5:$B$19,MATCH(C1872,Kanallar!$A$5:$A$19,0)),0)))</f>
        <v/>
      </c>
      <c r="J1872" s="16" t="str">
        <f aca="false">IF(I1872="","",IF(H1872="İptal",0,IF(H1872="İade",-G1872,E1872-I1872-F1872-G1872)))</f>
        <v/>
      </c>
    </row>
    <row r="1873" customFormat="false" ht="15" hidden="false" customHeight="false" outlineLevel="0" collapsed="false">
      <c r="A1873" s="12"/>
      <c r="B1873" s="13"/>
      <c r="C1873" s="14"/>
      <c r="D1873" s="13"/>
      <c r="E1873" s="15"/>
      <c r="F1873" s="15"/>
      <c r="G1873" s="15"/>
      <c r="H1873" s="14"/>
      <c r="I1873" s="16" t="str">
        <f aca="false">IF(OR(A1873="",C1873=""),"",IF(OR(H1873="İade",H1873="İptal"),0,E1873*IFERROR(INDEX(Kanallar!$B$5:$B$19,MATCH(C1873,Kanallar!$A$5:$A$19,0)),0)))</f>
        <v/>
      </c>
      <c r="J1873" s="16" t="str">
        <f aca="false">IF(I1873="","",IF(H1873="İptal",0,IF(H1873="İade",-G1873,E1873-I1873-F1873-G1873)))</f>
        <v/>
      </c>
    </row>
    <row r="1874" customFormat="false" ht="15" hidden="false" customHeight="false" outlineLevel="0" collapsed="false">
      <c r="A1874" s="12"/>
      <c r="B1874" s="13"/>
      <c r="C1874" s="14"/>
      <c r="D1874" s="13"/>
      <c r="E1874" s="15"/>
      <c r="F1874" s="15"/>
      <c r="G1874" s="15"/>
      <c r="H1874" s="14"/>
      <c r="I1874" s="16" t="str">
        <f aca="false">IF(OR(A1874="",C1874=""),"",IF(OR(H1874="İade",H1874="İptal"),0,E1874*IFERROR(INDEX(Kanallar!$B$5:$B$19,MATCH(C1874,Kanallar!$A$5:$A$19,0)),0)))</f>
        <v/>
      </c>
      <c r="J1874" s="16" t="str">
        <f aca="false">IF(I1874="","",IF(H1874="İptal",0,IF(H1874="İade",-G1874,E1874-I1874-F1874-G1874)))</f>
        <v/>
      </c>
    </row>
    <row r="1875" customFormat="false" ht="15" hidden="false" customHeight="false" outlineLevel="0" collapsed="false">
      <c r="A1875" s="12"/>
      <c r="B1875" s="13"/>
      <c r="C1875" s="14"/>
      <c r="D1875" s="13"/>
      <c r="E1875" s="15"/>
      <c r="F1875" s="15"/>
      <c r="G1875" s="15"/>
      <c r="H1875" s="14"/>
      <c r="I1875" s="16" t="str">
        <f aca="false">IF(OR(A1875="",C1875=""),"",IF(OR(H1875="İade",H1875="İptal"),0,E1875*IFERROR(INDEX(Kanallar!$B$5:$B$19,MATCH(C1875,Kanallar!$A$5:$A$19,0)),0)))</f>
        <v/>
      </c>
      <c r="J1875" s="16" t="str">
        <f aca="false">IF(I1875="","",IF(H1875="İptal",0,IF(H1875="İade",-G1875,E1875-I1875-F1875-G1875)))</f>
        <v/>
      </c>
    </row>
    <row r="1876" customFormat="false" ht="15" hidden="false" customHeight="false" outlineLevel="0" collapsed="false">
      <c r="A1876" s="12"/>
      <c r="B1876" s="13"/>
      <c r="C1876" s="14"/>
      <c r="D1876" s="13"/>
      <c r="E1876" s="15"/>
      <c r="F1876" s="15"/>
      <c r="G1876" s="15"/>
      <c r="H1876" s="14"/>
      <c r="I1876" s="16" t="str">
        <f aca="false">IF(OR(A1876="",C1876=""),"",IF(OR(H1876="İade",H1876="İptal"),0,E1876*IFERROR(INDEX(Kanallar!$B$5:$B$19,MATCH(C1876,Kanallar!$A$5:$A$19,0)),0)))</f>
        <v/>
      </c>
      <c r="J1876" s="16" t="str">
        <f aca="false">IF(I1876="","",IF(H1876="İptal",0,IF(H1876="İade",-G1876,E1876-I1876-F1876-G1876)))</f>
        <v/>
      </c>
    </row>
    <row r="1877" customFormat="false" ht="15" hidden="false" customHeight="false" outlineLevel="0" collapsed="false">
      <c r="A1877" s="12"/>
      <c r="B1877" s="13"/>
      <c r="C1877" s="14"/>
      <c r="D1877" s="13"/>
      <c r="E1877" s="15"/>
      <c r="F1877" s="15"/>
      <c r="G1877" s="15"/>
      <c r="H1877" s="14"/>
      <c r="I1877" s="16" t="str">
        <f aca="false">IF(OR(A1877="",C1877=""),"",IF(OR(H1877="İade",H1877="İptal"),0,E1877*IFERROR(INDEX(Kanallar!$B$5:$B$19,MATCH(C1877,Kanallar!$A$5:$A$19,0)),0)))</f>
        <v/>
      </c>
      <c r="J1877" s="16" t="str">
        <f aca="false">IF(I1877="","",IF(H1877="İptal",0,IF(H1877="İade",-G1877,E1877-I1877-F1877-G1877)))</f>
        <v/>
      </c>
    </row>
    <row r="1878" customFormat="false" ht="15" hidden="false" customHeight="false" outlineLevel="0" collapsed="false">
      <c r="A1878" s="12"/>
      <c r="B1878" s="13"/>
      <c r="C1878" s="14"/>
      <c r="D1878" s="13"/>
      <c r="E1878" s="15"/>
      <c r="F1878" s="15"/>
      <c r="G1878" s="15"/>
      <c r="H1878" s="14"/>
      <c r="I1878" s="16" t="str">
        <f aca="false">IF(OR(A1878="",C1878=""),"",IF(OR(H1878="İade",H1878="İptal"),0,E1878*IFERROR(INDEX(Kanallar!$B$5:$B$19,MATCH(C1878,Kanallar!$A$5:$A$19,0)),0)))</f>
        <v/>
      </c>
      <c r="J1878" s="16" t="str">
        <f aca="false">IF(I1878="","",IF(H1878="İptal",0,IF(H1878="İade",-G1878,E1878-I1878-F1878-G1878)))</f>
        <v/>
      </c>
    </row>
    <row r="1879" customFormat="false" ht="15" hidden="false" customHeight="false" outlineLevel="0" collapsed="false">
      <c r="A1879" s="12"/>
      <c r="B1879" s="13"/>
      <c r="C1879" s="14"/>
      <c r="D1879" s="13"/>
      <c r="E1879" s="15"/>
      <c r="F1879" s="15"/>
      <c r="G1879" s="15"/>
      <c r="H1879" s="14"/>
      <c r="I1879" s="16" t="str">
        <f aca="false">IF(OR(A1879="",C1879=""),"",IF(OR(H1879="İade",H1879="İptal"),0,E1879*IFERROR(INDEX(Kanallar!$B$5:$B$19,MATCH(C1879,Kanallar!$A$5:$A$19,0)),0)))</f>
        <v/>
      </c>
      <c r="J1879" s="16" t="str">
        <f aca="false">IF(I1879="","",IF(H1879="İptal",0,IF(H1879="İade",-G1879,E1879-I1879-F1879-G1879)))</f>
        <v/>
      </c>
    </row>
    <row r="1880" customFormat="false" ht="15" hidden="false" customHeight="false" outlineLevel="0" collapsed="false">
      <c r="A1880" s="12"/>
      <c r="B1880" s="13"/>
      <c r="C1880" s="14"/>
      <c r="D1880" s="13"/>
      <c r="E1880" s="15"/>
      <c r="F1880" s="15"/>
      <c r="G1880" s="15"/>
      <c r="H1880" s="14"/>
      <c r="I1880" s="16" t="str">
        <f aca="false">IF(OR(A1880="",C1880=""),"",IF(OR(H1880="İade",H1880="İptal"),0,E1880*IFERROR(INDEX(Kanallar!$B$5:$B$19,MATCH(C1880,Kanallar!$A$5:$A$19,0)),0)))</f>
        <v/>
      </c>
      <c r="J1880" s="16" t="str">
        <f aca="false">IF(I1880="","",IF(H1880="İptal",0,IF(H1880="İade",-G1880,E1880-I1880-F1880-G1880)))</f>
        <v/>
      </c>
    </row>
    <row r="1881" customFormat="false" ht="15" hidden="false" customHeight="false" outlineLevel="0" collapsed="false">
      <c r="A1881" s="12"/>
      <c r="B1881" s="13"/>
      <c r="C1881" s="14"/>
      <c r="D1881" s="13"/>
      <c r="E1881" s="15"/>
      <c r="F1881" s="15"/>
      <c r="G1881" s="15"/>
      <c r="H1881" s="14"/>
      <c r="I1881" s="16" t="str">
        <f aca="false">IF(OR(A1881="",C1881=""),"",IF(OR(H1881="İade",H1881="İptal"),0,E1881*IFERROR(INDEX(Kanallar!$B$5:$B$19,MATCH(C1881,Kanallar!$A$5:$A$19,0)),0)))</f>
        <v/>
      </c>
      <c r="J1881" s="16" t="str">
        <f aca="false">IF(I1881="","",IF(H1881="İptal",0,IF(H1881="İade",-G1881,E1881-I1881-F1881-G1881)))</f>
        <v/>
      </c>
    </row>
    <row r="1882" customFormat="false" ht="15" hidden="false" customHeight="false" outlineLevel="0" collapsed="false">
      <c r="A1882" s="12"/>
      <c r="B1882" s="13"/>
      <c r="C1882" s="14"/>
      <c r="D1882" s="13"/>
      <c r="E1882" s="15"/>
      <c r="F1882" s="15"/>
      <c r="G1882" s="15"/>
      <c r="H1882" s="14"/>
      <c r="I1882" s="16" t="str">
        <f aca="false">IF(OR(A1882="",C1882=""),"",IF(OR(H1882="İade",H1882="İptal"),0,E1882*IFERROR(INDEX(Kanallar!$B$5:$B$19,MATCH(C1882,Kanallar!$A$5:$A$19,0)),0)))</f>
        <v/>
      </c>
      <c r="J1882" s="16" t="str">
        <f aca="false">IF(I1882="","",IF(H1882="İptal",0,IF(H1882="İade",-G1882,E1882-I1882-F1882-G1882)))</f>
        <v/>
      </c>
    </row>
    <row r="1883" customFormat="false" ht="15" hidden="false" customHeight="false" outlineLevel="0" collapsed="false">
      <c r="A1883" s="12"/>
      <c r="B1883" s="13"/>
      <c r="C1883" s="14"/>
      <c r="D1883" s="13"/>
      <c r="E1883" s="15"/>
      <c r="F1883" s="15"/>
      <c r="G1883" s="15"/>
      <c r="H1883" s="14"/>
      <c r="I1883" s="16" t="str">
        <f aca="false">IF(OR(A1883="",C1883=""),"",IF(OR(H1883="İade",H1883="İptal"),0,E1883*IFERROR(INDEX(Kanallar!$B$5:$B$19,MATCH(C1883,Kanallar!$A$5:$A$19,0)),0)))</f>
        <v/>
      </c>
      <c r="J1883" s="16" t="str">
        <f aca="false">IF(I1883="","",IF(H1883="İptal",0,IF(H1883="İade",-G1883,E1883-I1883-F1883-G1883)))</f>
        <v/>
      </c>
    </row>
    <row r="1884" customFormat="false" ht="15" hidden="false" customHeight="false" outlineLevel="0" collapsed="false">
      <c r="A1884" s="12"/>
      <c r="B1884" s="13"/>
      <c r="C1884" s="14"/>
      <c r="D1884" s="13"/>
      <c r="E1884" s="15"/>
      <c r="F1884" s="15"/>
      <c r="G1884" s="15"/>
      <c r="H1884" s="14"/>
      <c r="I1884" s="16" t="str">
        <f aca="false">IF(OR(A1884="",C1884=""),"",IF(OR(H1884="İade",H1884="İptal"),0,E1884*IFERROR(INDEX(Kanallar!$B$5:$B$19,MATCH(C1884,Kanallar!$A$5:$A$19,0)),0)))</f>
        <v/>
      </c>
      <c r="J1884" s="16" t="str">
        <f aca="false">IF(I1884="","",IF(H1884="İptal",0,IF(H1884="İade",-G1884,E1884-I1884-F1884-G1884)))</f>
        <v/>
      </c>
    </row>
    <row r="1885" customFormat="false" ht="15" hidden="false" customHeight="false" outlineLevel="0" collapsed="false">
      <c r="A1885" s="12"/>
      <c r="B1885" s="13"/>
      <c r="C1885" s="14"/>
      <c r="D1885" s="13"/>
      <c r="E1885" s="15"/>
      <c r="F1885" s="15"/>
      <c r="G1885" s="15"/>
      <c r="H1885" s="14"/>
      <c r="I1885" s="16" t="str">
        <f aca="false">IF(OR(A1885="",C1885=""),"",IF(OR(H1885="İade",H1885="İptal"),0,E1885*IFERROR(INDEX(Kanallar!$B$5:$B$19,MATCH(C1885,Kanallar!$A$5:$A$19,0)),0)))</f>
        <v/>
      </c>
      <c r="J1885" s="16" t="str">
        <f aca="false">IF(I1885="","",IF(H1885="İptal",0,IF(H1885="İade",-G1885,E1885-I1885-F1885-G1885)))</f>
        <v/>
      </c>
    </row>
    <row r="1886" customFormat="false" ht="15" hidden="false" customHeight="false" outlineLevel="0" collapsed="false">
      <c r="A1886" s="12"/>
      <c r="B1886" s="13"/>
      <c r="C1886" s="14"/>
      <c r="D1886" s="13"/>
      <c r="E1886" s="15"/>
      <c r="F1886" s="15"/>
      <c r="G1886" s="15"/>
      <c r="H1886" s="14"/>
      <c r="I1886" s="16" t="str">
        <f aca="false">IF(OR(A1886="",C1886=""),"",IF(OR(H1886="İade",H1886="İptal"),0,E1886*IFERROR(INDEX(Kanallar!$B$5:$B$19,MATCH(C1886,Kanallar!$A$5:$A$19,0)),0)))</f>
        <v/>
      </c>
      <c r="J1886" s="16" t="str">
        <f aca="false">IF(I1886="","",IF(H1886="İptal",0,IF(H1886="İade",-G1886,E1886-I1886-F1886-G1886)))</f>
        <v/>
      </c>
    </row>
    <row r="1887" customFormat="false" ht="15" hidden="false" customHeight="false" outlineLevel="0" collapsed="false">
      <c r="A1887" s="12"/>
      <c r="B1887" s="13"/>
      <c r="C1887" s="14"/>
      <c r="D1887" s="13"/>
      <c r="E1887" s="15"/>
      <c r="F1887" s="15"/>
      <c r="G1887" s="15"/>
      <c r="H1887" s="14"/>
      <c r="I1887" s="16" t="str">
        <f aca="false">IF(OR(A1887="",C1887=""),"",IF(OR(H1887="İade",H1887="İptal"),0,E1887*IFERROR(INDEX(Kanallar!$B$5:$B$19,MATCH(C1887,Kanallar!$A$5:$A$19,0)),0)))</f>
        <v/>
      </c>
      <c r="J1887" s="16" t="str">
        <f aca="false">IF(I1887="","",IF(H1887="İptal",0,IF(H1887="İade",-G1887,E1887-I1887-F1887-G1887)))</f>
        <v/>
      </c>
    </row>
    <row r="1888" customFormat="false" ht="15" hidden="false" customHeight="false" outlineLevel="0" collapsed="false">
      <c r="A1888" s="12"/>
      <c r="B1888" s="13"/>
      <c r="C1888" s="14"/>
      <c r="D1888" s="13"/>
      <c r="E1888" s="15"/>
      <c r="F1888" s="15"/>
      <c r="G1888" s="15"/>
      <c r="H1888" s="14"/>
      <c r="I1888" s="16" t="str">
        <f aca="false">IF(OR(A1888="",C1888=""),"",IF(OR(H1888="İade",H1888="İptal"),0,E1888*IFERROR(INDEX(Kanallar!$B$5:$B$19,MATCH(C1888,Kanallar!$A$5:$A$19,0)),0)))</f>
        <v/>
      </c>
      <c r="J1888" s="16" t="str">
        <f aca="false">IF(I1888="","",IF(H1888="İptal",0,IF(H1888="İade",-G1888,E1888-I1888-F1888-G1888)))</f>
        <v/>
      </c>
    </row>
    <row r="1889" customFormat="false" ht="15" hidden="false" customHeight="false" outlineLevel="0" collapsed="false">
      <c r="A1889" s="12"/>
      <c r="B1889" s="13"/>
      <c r="C1889" s="14"/>
      <c r="D1889" s="13"/>
      <c r="E1889" s="15"/>
      <c r="F1889" s="15"/>
      <c r="G1889" s="15"/>
      <c r="H1889" s="14"/>
      <c r="I1889" s="16" t="str">
        <f aca="false">IF(OR(A1889="",C1889=""),"",IF(OR(H1889="İade",H1889="İptal"),0,E1889*IFERROR(INDEX(Kanallar!$B$5:$B$19,MATCH(C1889,Kanallar!$A$5:$A$19,0)),0)))</f>
        <v/>
      </c>
      <c r="J1889" s="16" t="str">
        <f aca="false">IF(I1889="","",IF(H1889="İptal",0,IF(H1889="İade",-G1889,E1889-I1889-F1889-G1889)))</f>
        <v/>
      </c>
    </row>
    <row r="1890" customFormat="false" ht="15" hidden="false" customHeight="false" outlineLevel="0" collapsed="false">
      <c r="A1890" s="12"/>
      <c r="B1890" s="13"/>
      <c r="C1890" s="14"/>
      <c r="D1890" s="13"/>
      <c r="E1890" s="15"/>
      <c r="F1890" s="15"/>
      <c r="G1890" s="15"/>
      <c r="H1890" s="14"/>
      <c r="I1890" s="16" t="str">
        <f aca="false">IF(OR(A1890="",C1890=""),"",IF(OR(H1890="İade",H1890="İptal"),0,E1890*IFERROR(INDEX(Kanallar!$B$5:$B$19,MATCH(C1890,Kanallar!$A$5:$A$19,0)),0)))</f>
        <v/>
      </c>
      <c r="J1890" s="16" t="str">
        <f aca="false">IF(I1890="","",IF(H1890="İptal",0,IF(H1890="İade",-G1890,E1890-I1890-F1890-G1890)))</f>
        <v/>
      </c>
    </row>
    <row r="1891" customFormat="false" ht="15" hidden="false" customHeight="false" outlineLevel="0" collapsed="false">
      <c r="A1891" s="12"/>
      <c r="B1891" s="13"/>
      <c r="C1891" s="14"/>
      <c r="D1891" s="13"/>
      <c r="E1891" s="15"/>
      <c r="F1891" s="15"/>
      <c r="G1891" s="15"/>
      <c r="H1891" s="14"/>
      <c r="I1891" s="16" t="str">
        <f aca="false">IF(OR(A1891="",C1891=""),"",IF(OR(H1891="İade",H1891="İptal"),0,E1891*IFERROR(INDEX(Kanallar!$B$5:$B$19,MATCH(C1891,Kanallar!$A$5:$A$19,0)),0)))</f>
        <v/>
      </c>
      <c r="J1891" s="16" t="str">
        <f aca="false">IF(I1891="","",IF(H1891="İptal",0,IF(H1891="İade",-G1891,E1891-I1891-F1891-G1891)))</f>
        <v/>
      </c>
    </row>
    <row r="1892" customFormat="false" ht="15" hidden="false" customHeight="false" outlineLevel="0" collapsed="false">
      <c r="A1892" s="12"/>
      <c r="B1892" s="13"/>
      <c r="C1892" s="14"/>
      <c r="D1892" s="13"/>
      <c r="E1892" s="15"/>
      <c r="F1892" s="15"/>
      <c r="G1892" s="15"/>
      <c r="H1892" s="14"/>
      <c r="I1892" s="16" t="str">
        <f aca="false">IF(OR(A1892="",C1892=""),"",IF(OR(H1892="İade",H1892="İptal"),0,E1892*IFERROR(INDEX(Kanallar!$B$5:$B$19,MATCH(C1892,Kanallar!$A$5:$A$19,0)),0)))</f>
        <v/>
      </c>
      <c r="J1892" s="16" t="str">
        <f aca="false">IF(I1892="","",IF(H1892="İptal",0,IF(H1892="İade",-G1892,E1892-I1892-F1892-G1892)))</f>
        <v/>
      </c>
    </row>
    <row r="1893" customFormat="false" ht="15" hidden="false" customHeight="false" outlineLevel="0" collapsed="false">
      <c r="A1893" s="12"/>
      <c r="B1893" s="13"/>
      <c r="C1893" s="14"/>
      <c r="D1893" s="13"/>
      <c r="E1893" s="15"/>
      <c r="F1893" s="15"/>
      <c r="G1893" s="15"/>
      <c r="H1893" s="14"/>
      <c r="I1893" s="16" t="str">
        <f aca="false">IF(OR(A1893="",C1893=""),"",IF(OR(H1893="İade",H1893="İptal"),0,E1893*IFERROR(INDEX(Kanallar!$B$5:$B$19,MATCH(C1893,Kanallar!$A$5:$A$19,0)),0)))</f>
        <v/>
      </c>
      <c r="J1893" s="16" t="str">
        <f aca="false">IF(I1893="","",IF(H1893="İptal",0,IF(H1893="İade",-G1893,E1893-I1893-F1893-G1893)))</f>
        <v/>
      </c>
    </row>
    <row r="1894" customFormat="false" ht="15" hidden="false" customHeight="false" outlineLevel="0" collapsed="false">
      <c r="A1894" s="12"/>
      <c r="B1894" s="13"/>
      <c r="C1894" s="14"/>
      <c r="D1894" s="13"/>
      <c r="E1894" s="15"/>
      <c r="F1894" s="15"/>
      <c r="G1894" s="15"/>
      <c r="H1894" s="14"/>
      <c r="I1894" s="16" t="str">
        <f aca="false">IF(OR(A1894="",C1894=""),"",IF(OR(H1894="İade",H1894="İptal"),0,E1894*IFERROR(INDEX(Kanallar!$B$5:$B$19,MATCH(C1894,Kanallar!$A$5:$A$19,0)),0)))</f>
        <v/>
      </c>
      <c r="J1894" s="16" t="str">
        <f aca="false">IF(I1894="","",IF(H1894="İptal",0,IF(H1894="İade",-G1894,E1894-I1894-F1894-G1894)))</f>
        <v/>
      </c>
    </row>
    <row r="1895" customFormat="false" ht="15" hidden="false" customHeight="false" outlineLevel="0" collapsed="false">
      <c r="A1895" s="12"/>
      <c r="B1895" s="13"/>
      <c r="C1895" s="14"/>
      <c r="D1895" s="13"/>
      <c r="E1895" s="15"/>
      <c r="F1895" s="15"/>
      <c r="G1895" s="15"/>
      <c r="H1895" s="14"/>
      <c r="I1895" s="16" t="str">
        <f aca="false">IF(OR(A1895="",C1895=""),"",IF(OR(H1895="İade",H1895="İptal"),0,E1895*IFERROR(INDEX(Kanallar!$B$5:$B$19,MATCH(C1895,Kanallar!$A$5:$A$19,0)),0)))</f>
        <v/>
      </c>
      <c r="J1895" s="16" t="str">
        <f aca="false">IF(I1895="","",IF(H1895="İptal",0,IF(H1895="İade",-G1895,E1895-I1895-F1895-G1895)))</f>
        <v/>
      </c>
    </row>
    <row r="1896" customFormat="false" ht="15" hidden="false" customHeight="false" outlineLevel="0" collapsed="false">
      <c r="A1896" s="12"/>
      <c r="B1896" s="13"/>
      <c r="C1896" s="14"/>
      <c r="D1896" s="13"/>
      <c r="E1896" s="15"/>
      <c r="F1896" s="15"/>
      <c r="G1896" s="15"/>
      <c r="H1896" s="14"/>
      <c r="I1896" s="16" t="str">
        <f aca="false">IF(OR(A1896="",C1896=""),"",IF(OR(H1896="İade",H1896="İptal"),0,E1896*IFERROR(INDEX(Kanallar!$B$5:$B$19,MATCH(C1896,Kanallar!$A$5:$A$19,0)),0)))</f>
        <v/>
      </c>
      <c r="J1896" s="16" t="str">
        <f aca="false">IF(I1896="","",IF(H1896="İptal",0,IF(H1896="İade",-G1896,E1896-I1896-F1896-G1896)))</f>
        <v/>
      </c>
    </row>
    <row r="1897" customFormat="false" ht="15" hidden="false" customHeight="false" outlineLevel="0" collapsed="false">
      <c r="A1897" s="12"/>
      <c r="B1897" s="13"/>
      <c r="C1897" s="14"/>
      <c r="D1897" s="13"/>
      <c r="E1897" s="15"/>
      <c r="F1897" s="15"/>
      <c r="G1897" s="15"/>
      <c r="H1897" s="14"/>
      <c r="I1897" s="16" t="str">
        <f aca="false">IF(OR(A1897="",C1897=""),"",IF(OR(H1897="İade",H1897="İptal"),0,E1897*IFERROR(INDEX(Kanallar!$B$5:$B$19,MATCH(C1897,Kanallar!$A$5:$A$19,0)),0)))</f>
        <v/>
      </c>
      <c r="J1897" s="16" t="str">
        <f aca="false">IF(I1897="","",IF(H1897="İptal",0,IF(H1897="İade",-G1897,E1897-I1897-F1897-G1897)))</f>
        <v/>
      </c>
    </row>
    <row r="1898" customFormat="false" ht="15" hidden="false" customHeight="false" outlineLevel="0" collapsed="false">
      <c r="A1898" s="12"/>
      <c r="B1898" s="13"/>
      <c r="C1898" s="14"/>
      <c r="D1898" s="13"/>
      <c r="E1898" s="15"/>
      <c r="F1898" s="15"/>
      <c r="G1898" s="15"/>
      <c r="H1898" s="14"/>
      <c r="I1898" s="16" t="str">
        <f aca="false">IF(OR(A1898="",C1898=""),"",IF(OR(H1898="İade",H1898="İptal"),0,E1898*IFERROR(INDEX(Kanallar!$B$5:$B$19,MATCH(C1898,Kanallar!$A$5:$A$19,0)),0)))</f>
        <v/>
      </c>
      <c r="J1898" s="16" t="str">
        <f aca="false">IF(I1898="","",IF(H1898="İptal",0,IF(H1898="İade",-G1898,E1898-I1898-F1898-G1898)))</f>
        <v/>
      </c>
    </row>
    <row r="1899" customFormat="false" ht="15" hidden="false" customHeight="false" outlineLevel="0" collapsed="false">
      <c r="A1899" s="12"/>
      <c r="B1899" s="13"/>
      <c r="C1899" s="14"/>
      <c r="D1899" s="13"/>
      <c r="E1899" s="15"/>
      <c r="F1899" s="15"/>
      <c r="G1899" s="15"/>
      <c r="H1899" s="14"/>
      <c r="I1899" s="16" t="str">
        <f aca="false">IF(OR(A1899="",C1899=""),"",IF(OR(H1899="İade",H1899="İptal"),0,E1899*IFERROR(INDEX(Kanallar!$B$5:$B$19,MATCH(C1899,Kanallar!$A$5:$A$19,0)),0)))</f>
        <v/>
      </c>
      <c r="J1899" s="16" t="str">
        <f aca="false">IF(I1899="","",IF(H1899="İptal",0,IF(H1899="İade",-G1899,E1899-I1899-F1899-G1899)))</f>
        <v/>
      </c>
    </row>
    <row r="1900" customFormat="false" ht="15" hidden="false" customHeight="false" outlineLevel="0" collapsed="false">
      <c r="A1900" s="12"/>
      <c r="B1900" s="13"/>
      <c r="C1900" s="14"/>
      <c r="D1900" s="13"/>
      <c r="E1900" s="15"/>
      <c r="F1900" s="15"/>
      <c r="G1900" s="15"/>
      <c r="H1900" s="14"/>
      <c r="I1900" s="16" t="str">
        <f aca="false">IF(OR(A1900="",C1900=""),"",IF(OR(H1900="İade",H1900="İptal"),0,E1900*IFERROR(INDEX(Kanallar!$B$5:$B$19,MATCH(C1900,Kanallar!$A$5:$A$19,0)),0)))</f>
        <v/>
      </c>
      <c r="J1900" s="16" t="str">
        <f aca="false">IF(I1900="","",IF(H1900="İptal",0,IF(H1900="İade",-G1900,E1900-I1900-F1900-G1900)))</f>
        <v/>
      </c>
    </row>
    <row r="1901" customFormat="false" ht="15" hidden="false" customHeight="false" outlineLevel="0" collapsed="false">
      <c r="A1901" s="12"/>
      <c r="B1901" s="13"/>
      <c r="C1901" s="14"/>
      <c r="D1901" s="13"/>
      <c r="E1901" s="15"/>
      <c r="F1901" s="15"/>
      <c r="G1901" s="15"/>
      <c r="H1901" s="14"/>
      <c r="I1901" s="16" t="str">
        <f aca="false">IF(OR(A1901="",C1901=""),"",IF(OR(H1901="İade",H1901="İptal"),0,E1901*IFERROR(INDEX(Kanallar!$B$5:$B$19,MATCH(C1901,Kanallar!$A$5:$A$19,0)),0)))</f>
        <v/>
      </c>
      <c r="J1901" s="16" t="str">
        <f aca="false">IF(I1901="","",IF(H1901="İptal",0,IF(H1901="İade",-G1901,E1901-I1901-F1901-G1901)))</f>
        <v/>
      </c>
    </row>
    <row r="1902" customFormat="false" ht="15" hidden="false" customHeight="false" outlineLevel="0" collapsed="false">
      <c r="A1902" s="12"/>
      <c r="B1902" s="13"/>
      <c r="C1902" s="14"/>
      <c r="D1902" s="13"/>
      <c r="E1902" s="15"/>
      <c r="F1902" s="15"/>
      <c r="G1902" s="15"/>
      <c r="H1902" s="14"/>
      <c r="I1902" s="16" t="str">
        <f aca="false">IF(OR(A1902="",C1902=""),"",IF(OR(H1902="İade",H1902="İptal"),0,E1902*IFERROR(INDEX(Kanallar!$B$5:$B$19,MATCH(C1902,Kanallar!$A$5:$A$19,0)),0)))</f>
        <v/>
      </c>
      <c r="J1902" s="16" t="str">
        <f aca="false">IF(I1902="","",IF(H1902="İptal",0,IF(H1902="İade",-G1902,E1902-I1902-F1902-G1902)))</f>
        <v/>
      </c>
    </row>
    <row r="1903" customFormat="false" ht="15" hidden="false" customHeight="false" outlineLevel="0" collapsed="false">
      <c r="A1903" s="12"/>
      <c r="B1903" s="13"/>
      <c r="C1903" s="14"/>
      <c r="D1903" s="13"/>
      <c r="E1903" s="15"/>
      <c r="F1903" s="15"/>
      <c r="G1903" s="15"/>
      <c r="H1903" s="14"/>
      <c r="I1903" s="16" t="str">
        <f aca="false">IF(OR(A1903="",C1903=""),"",IF(OR(H1903="İade",H1903="İptal"),0,E1903*IFERROR(INDEX(Kanallar!$B$5:$B$19,MATCH(C1903,Kanallar!$A$5:$A$19,0)),0)))</f>
        <v/>
      </c>
      <c r="J1903" s="16" t="str">
        <f aca="false">IF(I1903="","",IF(H1903="İptal",0,IF(H1903="İade",-G1903,E1903-I1903-F1903-G1903)))</f>
        <v/>
      </c>
    </row>
    <row r="1904" customFormat="false" ht="15" hidden="false" customHeight="false" outlineLevel="0" collapsed="false">
      <c r="A1904" s="12"/>
      <c r="B1904" s="13"/>
      <c r="C1904" s="14"/>
      <c r="D1904" s="13"/>
      <c r="E1904" s="15"/>
      <c r="F1904" s="15"/>
      <c r="G1904" s="15"/>
      <c r="H1904" s="14"/>
      <c r="I1904" s="16" t="str">
        <f aca="false">IF(OR(A1904="",C1904=""),"",IF(OR(H1904="İade",H1904="İptal"),0,E1904*IFERROR(INDEX(Kanallar!$B$5:$B$19,MATCH(C1904,Kanallar!$A$5:$A$19,0)),0)))</f>
        <v/>
      </c>
      <c r="J1904" s="16" t="str">
        <f aca="false">IF(I1904="","",IF(H1904="İptal",0,IF(H1904="İade",-G1904,E1904-I1904-F1904-G1904)))</f>
        <v/>
      </c>
    </row>
    <row r="1905" customFormat="false" ht="15" hidden="false" customHeight="false" outlineLevel="0" collapsed="false">
      <c r="A1905" s="12"/>
      <c r="B1905" s="13"/>
      <c r="C1905" s="14"/>
      <c r="D1905" s="13"/>
      <c r="E1905" s="15"/>
      <c r="F1905" s="15"/>
      <c r="G1905" s="15"/>
      <c r="H1905" s="14"/>
      <c r="I1905" s="16" t="str">
        <f aca="false">IF(OR(A1905="",C1905=""),"",IF(OR(H1905="İade",H1905="İptal"),0,E1905*IFERROR(INDEX(Kanallar!$B$5:$B$19,MATCH(C1905,Kanallar!$A$5:$A$19,0)),0)))</f>
        <v/>
      </c>
      <c r="J1905" s="16" t="str">
        <f aca="false">IF(I1905="","",IF(H1905="İptal",0,IF(H1905="İade",-G1905,E1905-I1905-F1905-G1905)))</f>
        <v/>
      </c>
    </row>
    <row r="1906" customFormat="false" ht="15" hidden="false" customHeight="false" outlineLevel="0" collapsed="false">
      <c r="A1906" s="12"/>
      <c r="B1906" s="13"/>
      <c r="C1906" s="14"/>
      <c r="D1906" s="13"/>
      <c r="E1906" s="15"/>
      <c r="F1906" s="15"/>
      <c r="G1906" s="15"/>
      <c r="H1906" s="14"/>
      <c r="I1906" s="16" t="str">
        <f aca="false">IF(OR(A1906="",C1906=""),"",IF(OR(H1906="İade",H1906="İptal"),0,E1906*IFERROR(INDEX(Kanallar!$B$5:$B$19,MATCH(C1906,Kanallar!$A$5:$A$19,0)),0)))</f>
        <v/>
      </c>
      <c r="J1906" s="16" t="str">
        <f aca="false">IF(I1906="","",IF(H1906="İptal",0,IF(H1906="İade",-G1906,E1906-I1906-F1906-G1906)))</f>
        <v/>
      </c>
    </row>
    <row r="1907" customFormat="false" ht="15" hidden="false" customHeight="false" outlineLevel="0" collapsed="false">
      <c r="A1907" s="12"/>
      <c r="B1907" s="13"/>
      <c r="C1907" s="14"/>
      <c r="D1907" s="13"/>
      <c r="E1907" s="15"/>
      <c r="F1907" s="15"/>
      <c r="G1907" s="15"/>
      <c r="H1907" s="14"/>
      <c r="I1907" s="16" t="str">
        <f aca="false">IF(OR(A1907="",C1907=""),"",IF(OR(H1907="İade",H1907="İptal"),0,E1907*IFERROR(INDEX(Kanallar!$B$5:$B$19,MATCH(C1907,Kanallar!$A$5:$A$19,0)),0)))</f>
        <v/>
      </c>
      <c r="J1907" s="16" t="str">
        <f aca="false">IF(I1907="","",IF(H1907="İptal",0,IF(H1907="İade",-G1907,E1907-I1907-F1907-G1907)))</f>
        <v/>
      </c>
    </row>
    <row r="1908" customFormat="false" ht="15" hidden="false" customHeight="false" outlineLevel="0" collapsed="false">
      <c r="A1908" s="12"/>
      <c r="B1908" s="13"/>
      <c r="C1908" s="14"/>
      <c r="D1908" s="13"/>
      <c r="E1908" s="15"/>
      <c r="F1908" s="15"/>
      <c r="G1908" s="15"/>
      <c r="H1908" s="14"/>
      <c r="I1908" s="16" t="str">
        <f aca="false">IF(OR(A1908="",C1908=""),"",IF(OR(H1908="İade",H1908="İptal"),0,E1908*IFERROR(INDEX(Kanallar!$B$5:$B$19,MATCH(C1908,Kanallar!$A$5:$A$19,0)),0)))</f>
        <v/>
      </c>
      <c r="J1908" s="16" t="str">
        <f aca="false">IF(I1908="","",IF(H1908="İptal",0,IF(H1908="İade",-G1908,E1908-I1908-F1908-G1908)))</f>
        <v/>
      </c>
    </row>
    <row r="1909" customFormat="false" ht="15" hidden="false" customHeight="false" outlineLevel="0" collapsed="false">
      <c r="A1909" s="12"/>
      <c r="B1909" s="13"/>
      <c r="C1909" s="14"/>
      <c r="D1909" s="13"/>
      <c r="E1909" s="15"/>
      <c r="F1909" s="15"/>
      <c r="G1909" s="15"/>
      <c r="H1909" s="14"/>
      <c r="I1909" s="16" t="str">
        <f aca="false">IF(OR(A1909="",C1909=""),"",IF(OR(H1909="İade",H1909="İptal"),0,E1909*IFERROR(INDEX(Kanallar!$B$5:$B$19,MATCH(C1909,Kanallar!$A$5:$A$19,0)),0)))</f>
        <v/>
      </c>
      <c r="J1909" s="16" t="str">
        <f aca="false">IF(I1909="","",IF(H1909="İptal",0,IF(H1909="İade",-G1909,E1909-I1909-F1909-G1909)))</f>
        <v/>
      </c>
    </row>
    <row r="1910" customFormat="false" ht="15" hidden="false" customHeight="false" outlineLevel="0" collapsed="false">
      <c r="A1910" s="12"/>
      <c r="B1910" s="13"/>
      <c r="C1910" s="14"/>
      <c r="D1910" s="13"/>
      <c r="E1910" s="15"/>
      <c r="F1910" s="15"/>
      <c r="G1910" s="15"/>
      <c r="H1910" s="14"/>
      <c r="I1910" s="16" t="str">
        <f aca="false">IF(OR(A1910="",C1910=""),"",IF(OR(H1910="İade",H1910="İptal"),0,E1910*IFERROR(INDEX(Kanallar!$B$5:$B$19,MATCH(C1910,Kanallar!$A$5:$A$19,0)),0)))</f>
        <v/>
      </c>
      <c r="J1910" s="16" t="str">
        <f aca="false">IF(I1910="","",IF(H1910="İptal",0,IF(H1910="İade",-G1910,E1910-I1910-F1910-G1910)))</f>
        <v/>
      </c>
    </row>
    <row r="1911" customFormat="false" ht="15" hidden="false" customHeight="false" outlineLevel="0" collapsed="false">
      <c r="A1911" s="12"/>
      <c r="B1911" s="13"/>
      <c r="C1911" s="14"/>
      <c r="D1911" s="13"/>
      <c r="E1911" s="15"/>
      <c r="F1911" s="15"/>
      <c r="G1911" s="15"/>
      <c r="H1911" s="14"/>
      <c r="I1911" s="16" t="str">
        <f aca="false">IF(OR(A1911="",C1911=""),"",IF(OR(H1911="İade",H1911="İptal"),0,E1911*IFERROR(INDEX(Kanallar!$B$5:$B$19,MATCH(C1911,Kanallar!$A$5:$A$19,0)),0)))</f>
        <v/>
      </c>
      <c r="J1911" s="16" t="str">
        <f aca="false">IF(I1911="","",IF(H1911="İptal",0,IF(H1911="İade",-G1911,E1911-I1911-F1911-G1911)))</f>
        <v/>
      </c>
    </row>
    <row r="1912" customFormat="false" ht="15" hidden="false" customHeight="false" outlineLevel="0" collapsed="false">
      <c r="A1912" s="12"/>
      <c r="B1912" s="13"/>
      <c r="C1912" s="14"/>
      <c r="D1912" s="13"/>
      <c r="E1912" s="15"/>
      <c r="F1912" s="15"/>
      <c r="G1912" s="15"/>
      <c r="H1912" s="14"/>
      <c r="I1912" s="16" t="str">
        <f aca="false">IF(OR(A1912="",C1912=""),"",IF(OR(H1912="İade",H1912="İptal"),0,E1912*IFERROR(INDEX(Kanallar!$B$5:$B$19,MATCH(C1912,Kanallar!$A$5:$A$19,0)),0)))</f>
        <v/>
      </c>
      <c r="J1912" s="16" t="str">
        <f aca="false">IF(I1912="","",IF(H1912="İptal",0,IF(H1912="İade",-G1912,E1912-I1912-F1912-G1912)))</f>
        <v/>
      </c>
    </row>
    <row r="1913" customFormat="false" ht="15" hidden="false" customHeight="false" outlineLevel="0" collapsed="false">
      <c r="A1913" s="12"/>
      <c r="B1913" s="13"/>
      <c r="C1913" s="14"/>
      <c r="D1913" s="13"/>
      <c r="E1913" s="15"/>
      <c r="F1913" s="15"/>
      <c r="G1913" s="15"/>
      <c r="H1913" s="14"/>
      <c r="I1913" s="16" t="str">
        <f aca="false">IF(OR(A1913="",C1913=""),"",IF(OR(H1913="İade",H1913="İptal"),0,E1913*IFERROR(INDEX(Kanallar!$B$5:$B$19,MATCH(C1913,Kanallar!$A$5:$A$19,0)),0)))</f>
        <v/>
      </c>
      <c r="J1913" s="16" t="str">
        <f aca="false">IF(I1913="","",IF(H1913="İptal",0,IF(H1913="İade",-G1913,E1913-I1913-F1913-G1913)))</f>
        <v/>
      </c>
    </row>
    <row r="1914" customFormat="false" ht="15" hidden="false" customHeight="false" outlineLevel="0" collapsed="false">
      <c r="A1914" s="12"/>
      <c r="B1914" s="13"/>
      <c r="C1914" s="14"/>
      <c r="D1914" s="13"/>
      <c r="E1914" s="15"/>
      <c r="F1914" s="15"/>
      <c r="G1914" s="15"/>
      <c r="H1914" s="14"/>
      <c r="I1914" s="16" t="str">
        <f aca="false">IF(OR(A1914="",C1914=""),"",IF(OR(H1914="İade",H1914="İptal"),0,E1914*IFERROR(INDEX(Kanallar!$B$5:$B$19,MATCH(C1914,Kanallar!$A$5:$A$19,0)),0)))</f>
        <v/>
      </c>
      <c r="J1914" s="16" t="str">
        <f aca="false">IF(I1914="","",IF(H1914="İptal",0,IF(H1914="İade",-G1914,E1914-I1914-F1914-G1914)))</f>
        <v/>
      </c>
    </row>
    <row r="1915" customFormat="false" ht="15" hidden="false" customHeight="false" outlineLevel="0" collapsed="false">
      <c r="A1915" s="12"/>
      <c r="B1915" s="13"/>
      <c r="C1915" s="14"/>
      <c r="D1915" s="13"/>
      <c r="E1915" s="15"/>
      <c r="F1915" s="15"/>
      <c r="G1915" s="15"/>
      <c r="H1915" s="14"/>
      <c r="I1915" s="16" t="str">
        <f aca="false">IF(OR(A1915="",C1915=""),"",IF(OR(H1915="İade",H1915="İptal"),0,E1915*IFERROR(INDEX(Kanallar!$B$5:$B$19,MATCH(C1915,Kanallar!$A$5:$A$19,0)),0)))</f>
        <v/>
      </c>
      <c r="J1915" s="16" t="str">
        <f aca="false">IF(I1915="","",IF(H1915="İptal",0,IF(H1915="İade",-G1915,E1915-I1915-F1915-G1915)))</f>
        <v/>
      </c>
    </row>
    <row r="1916" customFormat="false" ht="15" hidden="false" customHeight="false" outlineLevel="0" collapsed="false">
      <c r="A1916" s="12"/>
      <c r="B1916" s="13"/>
      <c r="C1916" s="14"/>
      <c r="D1916" s="13"/>
      <c r="E1916" s="15"/>
      <c r="F1916" s="15"/>
      <c r="G1916" s="15"/>
      <c r="H1916" s="14"/>
      <c r="I1916" s="16" t="str">
        <f aca="false">IF(OR(A1916="",C1916=""),"",IF(OR(H1916="İade",H1916="İptal"),0,E1916*IFERROR(INDEX(Kanallar!$B$5:$B$19,MATCH(C1916,Kanallar!$A$5:$A$19,0)),0)))</f>
        <v/>
      </c>
      <c r="J1916" s="16" t="str">
        <f aca="false">IF(I1916="","",IF(H1916="İptal",0,IF(H1916="İade",-G1916,E1916-I1916-F1916-G1916)))</f>
        <v/>
      </c>
    </row>
    <row r="1917" customFormat="false" ht="15" hidden="false" customHeight="false" outlineLevel="0" collapsed="false">
      <c r="A1917" s="12"/>
      <c r="B1917" s="13"/>
      <c r="C1917" s="14"/>
      <c r="D1917" s="13"/>
      <c r="E1917" s="15"/>
      <c r="F1917" s="15"/>
      <c r="G1917" s="15"/>
      <c r="H1917" s="14"/>
      <c r="I1917" s="16" t="str">
        <f aca="false">IF(OR(A1917="",C1917=""),"",IF(OR(H1917="İade",H1917="İptal"),0,E1917*IFERROR(INDEX(Kanallar!$B$5:$B$19,MATCH(C1917,Kanallar!$A$5:$A$19,0)),0)))</f>
        <v/>
      </c>
      <c r="J1917" s="16" t="str">
        <f aca="false">IF(I1917="","",IF(H1917="İptal",0,IF(H1917="İade",-G1917,E1917-I1917-F1917-G1917)))</f>
        <v/>
      </c>
    </row>
    <row r="1918" customFormat="false" ht="15" hidden="false" customHeight="false" outlineLevel="0" collapsed="false">
      <c r="A1918" s="12"/>
      <c r="B1918" s="13"/>
      <c r="C1918" s="14"/>
      <c r="D1918" s="13"/>
      <c r="E1918" s="15"/>
      <c r="F1918" s="15"/>
      <c r="G1918" s="15"/>
      <c r="H1918" s="14"/>
      <c r="I1918" s="16" t="str">
        <f aca="false">IF(OR(A1918="",C1918=""),"",IF(OR(H1918="İade",H1918="İptal"),0,E1918*IFERROR(INDEX(Kanallar!$B$5:$B$19,MATCH(C1918,Kanallar!$A$5:$A$19,0)),0)))</f>
        <v/>
      </c>
      <c r="J1918" s="16" t="str">
        <f aca="false">IF(I1918="","",IF(H1918="İptal",0,IF(H1918="İade",-G1918,E1918-I1918-F1918-G1918)))</f>
        <v/>
      </c>
    </row>
    <row r="1919" customFormat="false" ht="15" hidden="false" customHeight="false" outlineLevel="0" collapsed="false">
      <c r="A1919" s="12"/>
      <c r="B1919" s="13"/>
      <c r="C1919" s="14"/>
      <c r="D1919" s="13"/>
      <c r="E1919" s="15"/>
      <c r="F1919" s="15"/>
      <c r="G1919" s="15"/>
      <c r="H1919" s="14"/>
      <c r="I1919" s="16" t="str">
        <f aca="false">IF(OR(A1919="",C1919=""),"",IF(OR(H1919="İade",H1919="İptal"),0,E1919*IFERROR(INDEX(Kanallar!$B$5:$B$19,MATCH(C1919,Kanallar!$A$5:$A$19,0)),0)))</f>
        <v/>
      </c>
      <c r="J1919" s="16" t="str">
        <f aca="false">IF(I1919="","",IF(H1919="İptal",0,IF(H1919="İade",-G1919,E1919-I1919-F1919-G1919)))</f>
        <v/>
      </c>
    </row>
    <row r="1920" customFormat="false" ht="15" hidden="false" customHeight="false" outlineLevel="0" collapsed="false">
      <c r="A1920" s="12"/>
      <c r="B1920" s="13"/>
      <c r="C1920" s="14"/>
      <c r="D1920" s="13"/>
      <c r="E1920" s="15"/>
      <c r="F1920" s="15"/>
      <c r="G1920" s="15"/>
      <c r="H1920" s="14"/>
      <c r="I1920" s="16" t="str">
        <f aca="false">IF(OR(A1920="",C1920=""),"",IF(OR(H1920="İade",H1920="İptal"),0,E1920*IFERROR(INDEX(Kanallar!$B$5:$B$19,MATCH(C1920,Kanallar!$A$5:$A$19,0)),0)))</f>
        <v/>
      </c>
      <c r="J1920" s="16" t="str">
        <f aca="false">IF(I1920="","",IF(H1920="İptal",0,IF(H1920="İade",-G1920,E1920-I1920-F1920-G1920)))</f>
        <v/>
      </c>
    </row>
    <row r="1921" customFormat="false" ht="15" hidden="false" customHeight="false" outlineLevel="0" collapsed="false">
      <c r="A1921" s="12"/>
      <c r="B1921" s="13"/>
      <c r="C1921" s="14"/>
      <c r="D1921" s="13"/>
      <c r="E1921" s="15"/>
      <c r="F1921" s="15"/>
      <c r="G1921" s="15"/>
      <c r="H1921" s="14"/>
      <c r="I1921" s="16" t="str">
        <f aca="false">IF(OR(A1921="",C1921=""),"",IF(OR(H1921="İade",H1921="İptal"),0,E1921*IFERROR(INDEX(Kanallar!$B$5:$B$19,MATCH(C1921,Kanallar!$A$5:$A$19,0)),0)))</f>
        <v/>
      </c>
      <c r="J1921" s="16" t="str">
        <f aca="false">IF(I1921="","",IF(H1921="İptal",0,IF(H1921="İade",-G1921,E1921-I1921-F1921-G1921)))</f>
        <v/>
      </c>
    </row>
    <row r="1922" customFormat="false" ht="15" hidden="false" customHeight="false" outlineLevel="0" collapsed="false">
      <c r="A1922" s="12"/>
      <c r="B1922" s="13"/>
      <c r="C1922" s="14"/>
      <c r="D1922" s="13"/>
      <c r="E1922" s="15"/>
      <c r="F1922" s="15"/>
      <c r="G1922" s="15"/>
      <c r="H1922" s="14"/>
      <c r="I1922" s="16" t="str">
        <f aca="false">IF(OR(A1922="",C1922=""),"",IF(OR(H1922="İade",H1922="İptal"),0,E1922*IFERROR(INDEX(Kanallar!$B$5:$B$19,MATCH(C1922,Kanallar!$A$5:$A$19,0)),0)))</f>
        <v/>
      </c>
      <c r="J1922" s="16" t="str">
        <f aca="false">IF(I1922="","",IF(H1922="İptal",0,IF(H1922="İade",-G1922,E1922-I1922-F1922-G1922)))</f>
        <v/>
      </c>
    </row>
    <row r="1923" customFormat="false" ht="15" hidden="false" customHeight="false" outlineLevel="0" collapsed="false">
      <c r="A1923" s="12"/>
      <c r="B1923" s="13"/>
      <c r="C1923" s="14"/>
      <c r="D1923" s="13"/>
      <c r="E1923" s="15"/>
      <c r="F1923" s="15"/>
      <c r="G1923" s="15"/>
      <c r="H1923" s="14"/>
      <c r="I1923" s="16" t="str">
        <f aca="false">IF(OR(A1923="",C1923=""),"",IF(OR(H1923="İade",H1923="İptal"),0,E1923*IFERROR(INDEX(Kanallar!$B$5:$B$19,MATCH(C1923,Kanallar!$A$5:$A$19,0)),0)))</f>
        <v/>
      </c>
      <c r="J1923" s="16" t="str">
        <f aca="false">IF(I1923="","",IF(H1923="İptal",0,IF(H1923="İade",-G1923,E1923-I1923-F1923-G1923)))</f>
        <v/>
      </c>
    </row>
    <row r="1924" customFormat="false" ht="15" hidden="false" customHeight="false" outlineLevel="0" collapsed="false">
      <c r="A1924" s="12"/>
      <c r="B1924" s="13"/>
      <c r="C1924" s="14"/>
      <c r="D1924" s="13"/>
      <c r="E1924" s="15"/>
      <c r="F1924" s="15"/>
      <c r="G1924" s="15"/>
      <c r="H1924" s="14"/>
      <c r="I1924" s="16" t="str">
        <f aca="false">IF(OR(A1924="",C1924=""),"",IF(OR(H1924="İade",H1924="İptal"),0,E1924*IFERROR(INDEX(Kanallar!$B$5:$B$19,MATCH(C1924,Kanallar!$A$5:$A$19,0)),0)))</f>
        <v/>
      </c>
      <c r="J1924" s="16" t="str">
        <f aca="false">IF(I1924="","",IF(H1924="İptal",0,IF(H1924="İade",-G1924,E1924-I1924-F1924-G1924)))</f>
        <v/>
      </c>
    </row>
    <row r="1925" customFormat="false" ht="15" hidden="false" customHeight="false" outlineLevel="0" collapsed="false">
      <c r="A1925" s="12"/>
      <c r="B1925" s="13"/>
      <c r="C1925" s="14"/>
      <c r="D1925" s="13"/>
      <c r="E1925" s="15"/>
      <c r="F1925" s="15"/>
      <c r="G1925" s="15"/>
      <c r="H1925" s="14"/>
      <c r="I1925" s="16" t="str">
        <f aca="false">IF(OR(A1925="",C1925=""),"",IF(OR(H1925="İade",H1925="İptal"),0,E1925*IFERROR(INDEX(Kanallar!$B$5:$B$19,MATCH(C1925,Kanallar!$A$5:$A$19,0)),0)))</f>
        <v/>
      </c>
      <c r="J1925" s="16" t="str">
        <f aca="false">IF(I1925="","",IF(H1925="İptal",0,IF(H1925="İade",-G1925,E1925-I1925-F1925-G1925)))</f>
        <v/>
      </c>
    </row>
    <row r="1926" customFormat="false" ht="15" hidden="false" customHeight="false" outlineLevel="0" collapsed="false">
      <c r="A1926" s="12"/>
      <c r="B1926" s="13"/>
      <c r="C1926" s="14"/>
      <c r="D1926" s="13"/>
      <c r="E1926" s="15"/>
      <c r="F1926" s="15"/>
      <c r="G1926" s="15"/>
      <c r="H1926" s="14"/>
      <c r="I1926" s="16" t="str">
        <f aca="false">IF(OR(A1926="",C1926=""),"",IF(OR(H1926="İade",H1926="İptal"),0,E1926*IFERROR(INDEX(Kanallar!$B$5:$B$19,MATCH(C1926,Kanallar!$A$5:$A$19,0)),0)))</f>
        <v/>
      </c>
      <c r="J1926" s="16" t="str">
        <f aca="false">IF(I1926="","",IF(H1926="İptal",0,IF(H1926="İade",-G1926,E1926-I1926-F1926-G1926)))</f>
        <v/>
      </c>
    </row>
    <row r="1927" customFormat="false" ht="15" hidden="false" customHeight="false" outlineLevel="0" collapsed="false">
      <c r="A1927" s="12"/>
      <c r="B1927" s="13"/>
      <c r="C1927" s="14"/>
      <c r="D1927" s="13"/>
      <c r="E1927" s="15"/>
      <c r="F1927" s="15"/>
      <c r="G1927" s="15"/>
      <c r="H1927" s="14"/>
      <c r="I1927" s="16" t="str">
        <f aca="false">IF(OR(A1927="",C1927=""),"",IF(OR(H1927="İade",H1927="İptal"),0,E1927*IFERROR(INDEX(Kanallar!$B$5:$B$19,MATCH(C1927,Kanallar!$A$5:$A$19,0)),0)))</f>
        <v/>
      </c>
      <c r="J1927" s="16" t="str">
        <f aca="false">IF(I1927="","",IF(H1927="İptal",0,IF(H1927="İade",-G1927,E1927-I1927-F1927-G1927)))</f>
        <v/>
      </c>
    </row>
    <row r="1928" customFormat="false" ht="15" hidden="false" customHeight="false" outlineLevel="0" collapsed="false">
      <c r="A1928" s="12"/>
      <c r="B1928" s="13"/>
      <c r="C1928" s="14"/>
      <c r="D1928" s="13"/>
      <c r="E1928" s="15"/>
      <c r="F1928" s="15"/>
      <c r="G1928" s="15"/>
      <c r="H1928" s="14"/>
      <c r="I1928" s="16" t="str">
        <f aca="false">IF(OR(A1928="",C1928=""),"",IF(OR(H1928="İade",H1928="İptal"),0,E1928*IFERROR(INDEX(Kanallar!$B$5:$B$19,MATCH(C1928,Kanallar!$A$5:$A$19,0)),0)))</f>
        <v/>
      </c>
      <c r="J1928" s="16" t="str">
        <f aca="false">IF(I1928="","",IF(H1928="İptal",0,IF(H1928="İade",-G1928,E1928-I1928-F1928-G1928)))</f>
        <v/>
      </c>
    </row>
    <row r="1929" customFormat="false" ht="15" hidden="false" customHeight="false" outlineLevel="0" collapsed="false">
      <c r="A1929" s="12"/>
      <c r="B1929" s="13"/>
      <c r="C1929" s="14"/>
      <c r="D1929" s="13"/>
      <c r="E1929" s="15"/>
      <c r="F1929" s="15"/>
      <c r="G1929" s="15"/>
      <c r="H1929" s="14"/>
      <c r="I1929" s="16" t="str">
        <f aca="false">IF(OR(A1929="",C1929=""),"",IF(OR(H1929="İade",H1929="İptal"),0,E1929*IFERROR(INDEX(Kanallar!$B$5:$B$19,MATCH(C1929,Kanallar!$A$5:$A$19,0)),0)))</f>
        <v/>
      </c>
      <c r="J1929" s="16" t="str">
        <f aca="false">IF(I1929="","",IF(H1929="İptal",0,IF(H1929="İade",-G1929,E1929-I1929-F1929-G1929)))</f>
        <v/>
      </c>
    </row>
    <row r="1930" customFormat="false" ht="15" hidden="false" customHeight="false" outlineLevel="0" collapsed="false">
      <c r="A1930" s="12"/>
      <c r="B1930" s="13"/>
      <c r="C1930" s="14"/>
      <c r="D1930" s="13"/>
      <c r="E1930" s="15"/>
      <c r="F1930" s="15"/>
      <c r="G1930" s="15"/>
      <c r="H1930" s="14"/>
      <c r="I1930" s="16" t="str">
        <f aca="false">IF(OR(A1930="",C1930=""),"",IF(OR(H1930="İade",H1930="İptal"),0,E1930*IFERROR(INDEX(Kanallar!$B$5:$B$19,MATCH(C1930,Kanallar!$A$5:$A$19,0)),0)))</f>
        <v/>
      </c>
      <c r="J1930" s="16" t="str">
        <f aca="false">IF(I1930="","",IF(H1930="İptal",0,IF(H1930="İade",-G1930,E1930-I1930-F1930-G1930)))</f>
        <v/>
      </c>
    </row>
    <row r="1931" customFormat="false" ht="15" hidden="false" customHeight="false" outlineLevel="0" collapsed="false">
      <c r="A1931" s="12"/>
      <c r="B1931" s="13"/>
      <c r="C1931" s="14"/>
      <c r="D1931" s="13"/>
      <c r="E1931" s="15"/>
      <c r="F1931" s="15"/>
      <c r="G1931" s="15"/>
      <c r="H1931" s="14"/>
      <c r="I1931" s="16" t="str">
        <f aca="false">IF(OR(A1931="",C1931=""),"",IF(OR(H1931="İade",H1931="İptal"),0,E1931*IFERROR(INDEX(Kanallar!$B$5:$B$19,MATCH(C1931,Kanallar!$A$5:$A$19,0)),0)))</f>
        <v/>
      </c>
      <c r="J1931" s="16" t="str">
        <f aca="false">IF(I1931="","",IF(H1931="İptal",0,IF(H1931="İade",-G1931,E1931-I1931-F1931-G1931)))</f>
        <v/>
      </c>
    </row>
    <row r="1932" customFormat="false" ht="15" hidden="false" customHeight="false" outlineLevel="0" collapsed="false">
      <c r="A1932" s="12"/>
      <c r="B1932" s="13"/>
      <c r="C1932" s="14"/>
      <c r="D1932" s="13"/>
      <c r="E1932" s="15"/>
      <c r="F1932" s="15"/>
      <c r="G1932" s="15"/>
      <c r="H1932" s="14"/>
      <c r="I1932" s="16" t="str">
        <f aca="false">IF(OR(A1932="",C1932=""),"",IF(OR(H1932="İade",H1932="İptal"),0,E1932*IFERROR(INDEX(Kanallar!$B$5:$B$19,MATCH(C1932,Kanallar!$A$5:$A$19,0)),0)))</f>
        <v/>
      </c>
      <c r="J1932" s="16" t="str">
        <f aca="false">IF(I1932="","",IF(H1932="İptal",0,IF(H1932="İade",-G1932,E1932-I1932-F1932-G1932)))</f>
        <v/>
      </c>
    </row>
    <row r="1933" customFormat="false" ht="15" hidden="false" customHeight="false" outlineLevel="0" collapsed="false">
      <c r="A1933" s="12"/>
      <c r="B1933" s="13"/>
      <c r="C1933" s="14"/>
      <c r="D1933" s="13"/>
      <c r="E1933" s="15"/>
      <c r="F1933" s="15"/>
      <c r="G1933" s="15"/>
      <c r="H1933" s="14"/>
      <c r="I1933" s="16" t="str">
        <f aca="false">IF(OR(A1933="",C1933=""),"",IF(OR(H1933="İade",H1933="İptal"),0,E1933*IFERROR(INDEX(Kanallar!$B$5:$B$19,MATCH(C1933,Kanallar!$A$5:$A$19,0)),0)))</f>
        <v/>
      </c>
      <c r="J1933" s="16" t="str">
        <f aca="false">IF(I1933="","",IF(H1933="İptal",0,IF(H1933="İade",-G1933,E1933-I1933-F1933-G1933)))</f>
        <v/>
      </c>
    </row>
    <row r="1934" customFormat="false" ht="15" hidden="false" customHeight="false" outlineLevel="0" collapsed="false">
      <c r="A1934" s="12"/>
      <c r="B1934" s="13"/>
      <c r="C1934" s="14"/>
      <c r="D1934" s="13"/>
      <c r="E1934" s="15"/>
      <c r="F1934" s="15"/>
      <c r="G1934" s="15"/>
      <c r="H1934" s="14"/>
      <c r="I1934" s="16" t="str">
        <f aca="false">IF(OR(A1934="",C1934=""),"",IF(OR(H1934="İade",H1934="İptal"),0,E1934*IFERROR(INDEX(Kanallar!$B$5:$B$19,MATCH(C1934,Kanallar!$A$5:$A$19,0)),0)))</f>
        <v/>
      </c>
      <c r="J1934" s="16" t="str">
        <f aca="false">IF(I1934="","",IF(H1934="İptal",0,IF(H1934="İade",-G1934,E1934-I1934-F1934-G1934)))</f>
        <v/>
      </c>
    </row>
    <row r="1935" customFormat="false" ht="15" hidden="false" customHeight="false" outlineLevel="0" collapsed="false">
      <c r="A1935" s="12"/>
      <c r="B1935" s="13"/>
      <c r="C1935" s="14"/>
      <c r="D1935" s="13"/>
      <c r="E1935" s="15"/>
      <c r="F1935" s="15"/>
      <c r="G1935" s="15"/>
      <c r="H1935" s="14"/>
      <c r="I1935" s="16" t="str">
        <f aca="false">IF(OR(A1935="",C1935=""),"",IF(OR(H1935="İade",H1935="İptal"),0,E1935*IFERROR(INDEX(Kanallar!$B$5:$B$19,MATCH(C1935,Kanallar!$A$5:$A$19,0)),0)))</f>
        <v/>
      </c>
      <c r="J1935" s="16" t="str">
        <f aca="false">IF(I1935="","",IF(H1935="İptal",0,IF(H1935="İade",-G1935,E1935-I1935-F1935-G1935)))</f>
        <v/>
      </c>
    </row>
    <row r="1936" customFormat="false" ht="15" hidden="false" customHeight="false" outlineLevel="0" collapsed="false">
      <c r="A1936" s="12"/>
      <c r="B1936" s="13"/>
      <c r="C1936" s="14"/>
      <c r="D1936" s="13"/>
      <c r="E1936" s="15"/>
      <c r="F1936" s="15"/>
      <c r="G1936" s="15"/>
      <c r="H1936" s="14"/>
      <c r="I1936" s="16" t="str">
        <f aca="false">IF(OR(A1936="",C1936=""),"",IF(OR(H1936="İade",H1936="İptal"),0,E1936*IFERROR(INDEX(Kanallar!$B$5:$B$19,MATCH(C1936,Kanallar!$A$5:$A$19,0)),0)))</f>
        <v/>
      </c>
      <c r="J1936" s="16" t="str">
        <f aca="false">IF(I1936="","",IF(H1936="İptal",0,IF(H1936="İade",-G1936,E1936-I1936-F1936-G1936)))</f>
        <v/>
      </c>
    </row>
    <row r="1937" customFormat="false" ht="15" hidden="false" customHeight="false" outlineLevel="0" collapsed="false">
      <c r="A1937" s="12"/>
      <c r="B1937" s="13"/>
      <c r="C1937" s="14"/>
      <c r="D1937" s="13"/>
      <c r="E1937" s="15"/>
      <c r="F1937" s="15"/>
      <c r="G1937" s="15"/>
      <c r="H1937" s="14"/>
      <c r="I1937" s="16" t="str">
        <f aca="false">IF(OR(A1937="",C1937=""),"",IF(OR(H1937="İade",H1937="İptal"),0,E1937*IFERROR(INDEX(Kanallar!$B$5:$B$19,MATCH(C1937,Kanallar!$A$5:$A$19,0)),0)))</f>
        <v/>
      </c>
      <c r="J1937" s="16" t="str">
        <f aca="false">IF(I1937="","",IF(H1937="İptal",0,IF(H1937="İade",-G1937,E1937-I1937-F1937-G1937)))</f>
        <v/>
      </c>
    </row>
    <row r="1938" customFormat="false" ht="15" hidden="false" customHeight="false" outlineLevel="0" collapsed="false">
      <c r="A1938" s="12"/>
      <c r="B1938" s="13"/>
      <c r="C1938" s="14"/>
      <c r="D1938" s="13"/>
      <c r="E1938" s="15"/>
      <c r="F1938" s="15"/>
      <c r="G1938" s="15"/>
      <c r="H1938" s="14"/>
      <c r="I1938" s="16" t="str">
        <f aca="false">IF(OR(A1938="",C1938=""),"",IF(OR(H1938="İade",H1938="İptal"),0,E1938*IFERROR(INDEX(Kanallar!$B$5:$B$19,MATCH(C1938,Kanallar!$A$5:$A$19,0)),0)))</f>
        <v/>
      </c>
      <c r="J1938" s="16" t="str">
        <f aca="false">IF(I1938="","",IF(H1938="İptal",0,IF(H1938="İade",-G1938,E1938-I1938-F1938-G1938)))</f>
        <v/>
      </c>
    </row>
    <row r="1939" customFormat="false" ht="15" hidden="false" customHeight="false" outlineLevel="0" collapsed="false">
      <c r="A1939" s="12"/>
      <c r="B1939" s="13"/>
      <c r="C1939" s="14"/>
      <c r="D1939" s="13"/>
      <c r="E1939" s="15"/>
      <c r="F1939" s="15"/>
      <c r="G1939" s="15"/>
      <c r="H1939" s="14"/>
      <c r="I1939" s="16" t="str">
        <f aca="false">IF(OR(A1939="",C1939=""),"",IF(OR(H1939="İade",H1939="İptal"),0,E1939*IFERROR(INDEX(Kanallar!$B$5:$B$19,MATCH(C1939,Kanallar!$A$5:$A$19,0)),0)))</f>
        <v/>
      </c>
      <c r="J1939" s="16" t="str">
        <f aca="false">IF(I1939="","",IF(H1939="İptal",0,IF(H1939="İade",-G1939,E1939-I1939-F1939-G1939)))</f>
        <v/>
      </c>
    </row>
    <row r="1940" customFormat="false" ht="15" hidden="false" customHeight="false" outlineLevel="0" collapsed="false">
      <c r="A1940" s="12"/>
      <c r="B1940" s="13"/>
      <c r="C1940" s="14"/>
      <c r="D1940" s="13"/>
      <c r="E1940" s="15"/>
      <c r="F1940" s="15"/>
      <c r="G1940" s="15"/>
      <c r="H1940" s="14"/>
      <c r="I1940" s="16" t="str">
        <f aca="false">IF(OR(A1940="",C1940=""),"",IF(OR(H1940="İade",H1940="İptal"),0,E1940*IFERROR(INDEX(Kanallar!$B$5:$B$19,MATCH(C1940,Kanallar!$A$5:$A$19,0)),0)))</f>
        <v/>
      </c>
      <c r="J1940" s="16" t="str">
        <f aca="false">IF(I1940="","",IF(H1940="İptal",0,IF(H1940="İade",-G1940,E1940-I1940-F1940-G1940)))</f>
        <v/>
      </c>
    </row>
    <row r="1941" customFormat="false" ht="15" hidden="false" customHeight="false" outlineLevel="0" collapsed="false">
      <c r="A1941" s="12"/>
      <c r="B1941" s="13"/>
      <c r="C1941" s="14"/>
      <c r="D1941" s="13"/>
      <c r="E1941" s="15"/>
      <c r="F1941" s="15"/>
      <c r="G1941" s="15"/>
      <c r="H1941" s="14"/>
      <c r="I1941" s="16" t="str">
        <f aca="false">IF(OR(A1941="",C1941=""),"",IF(OR(H1941="İade",H1941="İptal"),0,E1941*IFERROR(INDEX(Kanallar!$B$5:$B$19,MATCH(C1941,Kanallar!$A$5:$A$19,0)),0)))</f>
        <v/>
      </c>
      <c r="J1941" s="16" t="str">
        <f aca="false">IF(I1941="","",IF(H1941="İptal",0,IF(H1941="İade",-G1941,E1941-I1941-F1941-G1941)))</f>
        <v/>
      </c>
    </row>
    <row r="1942" customFormat="false" ht="15" hidden="false" customHeight="false" outlineLevel="0" collapsed="false">
      <c r="A1942" s="12"/>
      <c r="B1942" s="13"/>
      <c r="C1942" s="14"/>
      <c r="D1942" s="13"/>
      <c r="E1942" s="15"/>
      <c r="F1942" s="15"/>
      <c r="G1942" s="15"/>
      <c r="H1942" s="14"/>
      <c r="I1942" s="16" t="str">
        <f aca="false">IF(OR(A1942="",C1942=""),"",IF(OR(H1942="İade",H1942="İptal"),0,E1942*IFERROR(INDEX(Kanallar!$B$5:$B$19,MATCH(C1942,Kanallar!$A$5:$A$19,0)),0)))</f>
        <v/>
      </c>
      <c r="J1942" s="16" t="str">
        <f aca="false">IF(I1942="","",IF(H1942="İptal",0,IF(H1942="İade",-G1942,E1942-I1942-F1942-G1942)))</f>
        <v/>
      </c>
    </row>
    <row r="1943" customFormat="false" ht="15" hidden="false" customHeight="false" outlineLevel="0" collapsed="false">
      <c r="A1943" s="12"/>
      <c r="B1943" s="13"/>
      <c r="C1943" s="14"/>
      <c r="D1943" s="13"/>
      <c r="E1943" s="15"/>
      <c r="F1943" s="15"/>
      <c r="G1943" s="15"/>
      <c r="H1943" s="14"/>
      <c r="I1943" s="16" t="str">
        <f aca="false">IF(OR(A1943="",C1943=""),"",IF(OR(H1943="İade",H1943="İptal"),0,E1943*IFERROR(INDEX(Kanallar!$B$5:$B$19,MATCH(C1943,Kanallar!$A$5:$A$19,0)),0)))</f>
        <v/>
      </c>
      <c r="J1943" s="16" t="str">
        <f aca="false">IF(I1943="","",IF(H1943="İptal",0,IF(H1943="İade",-G1943,E1943-I1943-F1943-G1943)))</f>
        <v/>
      </c>
    </row>
    <row r="1944" customFormat="false" ht="15" hidden="false" customHeight="false" outlineLevel="0" collapsed="false">
      <c r="A1944" s="12"/>
      <c r="B1944" s="13"/>
      <c r="C1944" s="14"/>
      <c r="D1944" s="13"/>
      <c r="E1944" s="15"/>
      <c r="F1944" s="15"/>
      <c r="G1944" s="15"/>
      <c r="H1944" s="14"/>
      <c r="I1944" s="16" t="str">
        <f aca="false">IF(OR(A1944="",C1944=""),"",IF(OR(H1944="İade",H1944="İptal"),0,E1944*IFERROR(INDEX(Kanallar!$B$5:$B$19,MATCH(C1944,Kanallar!$A$5:$A$19,0)),0)))</f>
        <v/>
      </c>
      <c r="J1944" s="16" t="str">
        <f aca="false">IF(I1944="","",IF(H1944="İptal",0,IF(H1944="İade",-G1944,E1944-I1944-F1944-G1944)))</f>
        <v/>
      </c>
    </row>
    <row r="1945" customFormat="false" ht="15" hidden="false" customHeight="false" outlineLevel="0" collapsed="false">
      <c r="A1945" s="12"/>
      <c r="B1945" s="13"/>
      <c r="C1945" s="14"/>
      <c r="D1945" s="13"/>
      <c r="E1945" s="15"/>
      <c r="F1945" s="15"/>
      <c r="G1945" s="15"/>
      <c r="H1945" s="14"/>
      <c r="I1945" s="16" t="str">
        <f aca="false">IF(OR(A1945="",C1945=""),"",IF(OR(H1945="İade",H1945="İptal"),0,E1945*IFERROR(INDEX(Kanallar!$B$5:$B$19,MATCH(C1945,Kanallar!$A$5:$A$19,0)),0)))</f>
        <v/>
      </c>
      <c r="J1945" s="16" t="str">
        <f aca="false">IF(I1945="","",IF(H1945="İptal",0,IF(H1945="İade",-G1945,E1945-I1945-F1945-G1945)))</f>
        <v/>
      </c>
    </row>
    <row r="1946" customFormat="false" ht="15" hidden="false" customHeight="false" outlineLevel="0" collapsed="false">
      <c r="A1946" s="12"/>
      <c r="B1946" s="13"/>
      <c r="C1946" s="14"/>
      <c r="D1946" s="13"/>
      <c r="E1946" s="15"/>
      <c r="F1946" s="15"/>
      <c r="G1946" s="15"/>
      <c r="H1946" s="14"/>
      <c r="I1946" s="16" t="str">
        <f aca="false">IF(OR(A1946="",C1946=""),"",IF(OR(H1946="İade",H1946="İptal"),0,E1946*IFERROR(INDEX(Kanallar!$B$5:$B$19,MATCH(C1946,Kanallar!$A$5:$A$19,0)),0)))</f>
        <v/>
      </c>
      <c r="J1946" s="16" t="str">
        <f aca="false">IF(I1946="","",IF(H1946="İptal",0,IF(H1946="İade",-G1946,E1946-I1946-F1946-G1946)))</f>
        <v/>
      </c>
    </row>
    <row r="1947" customFormat="false" ht="15" hidden="false" customHeight="false" outlineLevel="0" collapsed="false">
      <c r="A1947" s="12"/>
      <c r="B1947" s="13"/>
      <c r="C1947" s="14"/>
      <c r="D1947" s="13"/>
      <c r="E1947" s="15"/>
      <c r="F1947" s="15"/>
      <c r="G1947" s="15"/>
      <c r="H1947" s="14"/>
      <c r="I1947" s="16" t="str">
        <f aca="false">IF(OR(A1947="",C1947=""),"",IF(OR(H1947="İade",H1947="İptal"),0,E1947*IFERROR(INDEX(Kanallar!$B$5:$B$19,MATCH(C1947,Kanallar!$A$5:$A$19,0)),0)))</f>
        <v/>
      </c>
      <c r="J1947" s="16" t="str">
        <f aca="false">IF(I1947="","",IF(H1947="İptal",0,IF(H1947="İade",-G1947,E1947-I1947-F1947-G1947)))</f>
        <v/>
      </c>
    </row>
    <row r="1948" customFormat="false" ht="15" hidden="false" customHeight="false" outlineLevel="0" collapsed="false">
      <c r="A1948" s="12"/>
      <c r="B1948" s="13"/>
      <c r="C1948" s="14"/>
      <c r="D1948" s="13"/>
      <c r="E1948" s="15"/>
      <c r="F1948" s="15"/>
      <c r="G1948" s="15"/>
      <c r="H1948" s="14"/>
      <c r="I1948" s="16" t="str">
        <f aca="false">IF(OR(A1948="",C1948=""),"",IF(OR(H1948="İade",H1948="İptal"),0,E1948*IFERROR(INDEX(Kanallar!$B$5:$B$19,MATCH(C1948,Kanallar!$A$5:$A$19,0)),0)))</f>
        <v/>
      </c>
      <c r="J1948" s="16" t="str">
        <f aca="false">IF(I1948="","",IF(H1948="İptal",0,IF(H1948="İade",-G1948,E1948-I1948-F1948-G1948)))</f>
        <v/>
      </c>
    </row>
    <row r="1949" customFormat="false" ht="15" hidden="false" customHeight="false" outlineLevel="0" collapsed="false">
      <c r="A1949" s="12"/>
      <c r="B1949" s="13"/>
      <c r="C1949" s="14"/>
      <c r="D1949" s="13"/>
      <c r="E1949" s="15"/>
      <c r="F1949" s="15"/>
      <c r="G1949" s="15"/>
      <c r="H1949" s="14"/>
      <c r="I1949" s="16" t="str">
        <f aca="false">IF(OR(A1949="",C1949=""),"",IF(OR(H1949="İade",H1949="İptal"),0,E1949*IFERROR(INDEX(Kanallar!$B$5:$B$19,MATCH(C1949,Kanallar!$A$5:$A$19,0)),0)))</f>
        <v/>
      </c>
      <c r="J1949" s="16" t="str">
        <f aca="false">IF(I1949="","",IF(H1949="İptal",0,IF(H1949="İade",-G1949,E1949-I1949-F1949-G1949)))</f>
        <v/>
      </c>
    </row>
    <row r="1950" customFormat="false" ht="15" hidden="false" customHeight="false" outlineLevel="0" collapsed="false">
      <c r="A1950" s="12"/>
      <c r="B1950" s="13"/>
      <c r="C1950" s="14"/>
      <c r="D1950" s="13"/>
      <c r="E1950" s="15"/>
      <c r="F1950" s="15"/>
      <c r="G1950" s="15"/>
      <c r="H1950" s="14"/>
      <c r="I1950" s="16" t="str">
        <f aca="false">IF(OR(A1950="",C1950=""),"",IF(OR(H1950="İade",H1950="İptal"),0,E1950*IFERROR(INDEX(Kanallar!$B$5:$B$19,MATCH(C1950,Kanallar!$A$5:$A$19,0)),0)))</f>
        <v/>
      </c>
      <c r="J1950" s="16" t="str">
        <f aca="false">IF(I1950="","",IF(H1950="İptal",0,IF(H1950="İade",-G1950,E1950-I1950-F1950-G1950)))</f>
        <v/>
      </c>
    </row>
    <row r="1951" customFormat="false" ht="15" hidden="false" customHeight="false" outlineLevel="0" collapsed="false">
      <c r="A1951" s="12"/>
      <c r="B1951" s="13"/>
      <c r="C1951" s="14"/>
      <c r="D1951" s="13"/>
      <c r="E1951" s="15"/>
      <c r="F1951" s="15"/>
      <c r="G1951" s="15"/>
      <c r="H1951" s="14"/>
      <c r="I1951" s="16" t="str">
        <f aca="false">IF(OR(A1951="",C1951=""),"",IF(OR(H1951="İade",H1951="İptal"),0,E1951*IFERROR(INDEX(Kanallar!$B$5:$B$19,MATCH(C1951,Kanallar!$A$5:$A$19,0)),0)))</f>
        <v/>
      </c>
      <c r="J1951" s="16" t="str">
        <f aca="false">IF(I1951="","",IF(H1951="İptal",0,IF(H1951="İade",-G1951,E1951-I1951-F1951-G1951)))</f>
        <v/>
      </c>
    </row>
    <row r="1952" customFormat="false" ht="15" hidden="false" customHeight="false" outlineLevel="0" collapsed="false">
      <c r="A1952" s="12"/>
      <c r="B1952" s="13"/>
      <c r="C1952" s="14"/>
      <c r="D1952" s="13"/>
      <c r="E1952" s="15"/>
      <c r="F1952" s="15"/>
      <c r="G1952" s="15"/>
      <c r="H1952" s="14"/>
      <c r="I1952" s="16" t="str">
        <f aca="false">IF(OR(A1952="",C1952=""),"",IF(OR(H1952="İade",H1952="İptal"),0,E1952*IFERROR(INDEX(Kanallar!$B$5:$B$19,MATCH(C1952,Kanallar!$A$5:$A$19,0)),0)))</f>
        <v/>
      </c>
      <c r="J1952" s="16" t="str">
        <f aca="false">IF(I1952="","",IF(H1952="İptal",0,IF(H1952="İade",-G1952,E1952-I1952-F1952-G1952)))</f>
        <v/>
      </c>
    </row>
    <row r="1953" customFormat="false" ht="15" hidden="false" customHeight="false" outlineLevel="0" collapsed="false">
      <c r="A1953" s="12"/>
      <c r="B1953" s="13"/>
      <c r="C1953" s="14"/>
      <c r="D1953" s="13"/>
      <c r="E1953" s="15"/>
      <c r="F1953" s="15"/>
      <c r="G1953" s="15"/>
      <c r="H1953" s="14"/>
      <c r="I1953" s="16" t="str">
        <f aca="false">IF(OR(A1953="",C1953=""),"",IF(OR(H1953="İade",H1953="İptal"),0,E1953*IFERROR(INDEX(Kanallar!$B$5:$B$19,MATCH(C1953,Kanallar!$A$5:$A$19,0)),0)))</f>
        <v/>
      </c>
      <c r="J1953" s="16" t="str">
        <f aca="false">IF(I1953="","",IF(H1953="İptal",0,IF(H1953="İade",-G1953,E1953-I1953-F1953-G1953)))</f>
        <v/>
      </c>
    </row>
    <row r="1954" customFormat="false" ht="15" hidden="false" customHeight="false" outlineLevel="0" collapsed="false">
      <c r="A1954" s="12"/>
      <c r="B1954" s="13"/>
      <c r="C1954" s="14"/>
      <c r="D1954" s="13"/>
      <c r="E1954" s="15"/>
      <c r="F1954" s="15"/>
      <c r="G1954" s="15"/>
      <c r="H1954" s="14"/>
      <c r="I1954" s="16" t="str">
        <f aca="false">IF(OR(A1954="",C1954=""),"",IF(OR(H1954="İade",H1954="İptal"),0,E1954*IFERROR(INDEX(Kanallar!$B$5:$B$19,MATCH(C1954,Kanallar!$A$5:$A$19,0)),0)))</f>
        <v/>
      </c>
      <c r="J1954" s="16" t="str">
        <f aca="false">IF(I1954="","",IF(H1954="İptal",0,IF(H1954="İade",-G1954,E1954-I1954-F1954-G1954)))</f>
        <v/>
      </c>
    </row>
    <row r="1955" customFormat="false" ht="15" hidden="false" customHeight="false" outlineLevel="0" collapsed="false">
      <c r="A1955" s="12"/>
      <c r="B1955" s="13"/>
      <c r="C1955" s="14"/>
      <c r="D1955" s="13"/>
      <c r="E1955" s="15"/>
      <c r="F1955" s="15"/>
      <c r="G1955" s="15"/>
      <c r="H1955" s="14"/>
      <c r="I1955" s="16" t="str">
        <f aca="false">IF(OR(A1955="",C1955=""),"",IF(OR(H1955="İade",H1955="İptal"),0,E1955*IFERROR(INDEX(Kanallar!$B$5:$B$19,MATCH(C1955,Kanallar!$A$5:$A$19,0)),0)))</f>
        <v/>
      </c>
      <c r="J1955" s="16" t="str">
        <f aca="false">IF(I1955="","",IF(H1955="İptal",0,IF(H1955="İade",-G1955,E1955-I1955-F1955-G1955)))</f>
        <v/>
      </c>
    </row>
    <row r="1956" customFormat="false" ht="15" hidden="false" customHeight="false" outlineLevel="0" collapsed="false">
      <c r="A1956" s="12"/>
      <c r="B1956" s="13"/>
      <c r="C1956" s="14"/>
      <c r="D1956" s="13"/>
      <c r="E1956" s="15"/>
      <c r="F1956" s="15"/>
      <c r="G1956" s="15"/>
      <c r="H1956" s="14"/>
      <c r="I1956" s="16" t="str">
        <f aca="false">IF(OR(A1956="",C1956=""),"",IF(OR(H1956="İade",H1956="İptal"),0,E1956*IFERROR(INDEX(Kanallar!$B$5:$B$19,MATCH(C1956,Kanallar!$A$5:$A$19,0)),0)))</f>
        <v/>
      </c>
      <c r="J1956" s="16" t="str">
        <f aca="false">IF(I1956="","",IF(H1956="İptal",0,IF(H1956="İade",-G1956,E1956-I1956-F1956-G1956)))</f>
        <v/>
      </c>
    </row>
    <row r="1957" customFormat="false" ht="15" hidden="false" customHeight="false" outlineLevel="0" collapsed="false">
      <c r="A1957" s="12"/>
      <c r="B1957" s="13"/>
      <c r="C1957" s="14"/>
      <c r="D1957" s="13"/>
      <c r="E1957" s="15"/>
      <c r="F1957" s="15"/>
      <c r="G1957" s="15"/>
      <c r="H1957" s="14"/>
      <c r="I1957" s="16" t="str">
        <f aca="false">IF(OR(A1957="",C1957=""),"",IF(OR(H1957="İade",H1957="İptal"),0,E1957*IFERROR(INDEX(Kanallar!$B$5:$B$19,MATCH(C1957,Kanallar!$A$5:$A$19,0)),0)))</f>
        <v/>
      </c>
      <c r="J1957" s="16" t="str">
        <f aca="false">IF(I1957="","",IF(H1957="İptal",0,IF(H1957="İade",-G1957,E1957-I1957-F1957-G1957)))</f>
        <v/>
      </c>
    </row>
    <row r="1958" customFormat="false" ht="15" hidden="false" customHeight="false" outlineLevel="0" collapsed="false">
      <c r="A1958" s="12"/>
      <c r="B1958" s="13"/>
      <c r="C1958" s="14"/>
      <c r="D1958" s="13"/>
      <c r="E1958" s="15"/>
      <c r="F1958" s="15"/>
      <c r="G1958" s="15"/>
      <c r="H1958" s="14"/>
      <c r="I1958" s="16" t="str">
        <f aca="false">IF(OR(A1958="",C1958=""),"",IF(OR(H1958="İade",H1958="İptal"),0,E1958*IFERROR(INDEX(Kanallar!$B$5:$B$19,MATCH(C1958,Kanallar!$A$5:$A$19,0)),0)))</f>
        <v/>
      </c>
      <c r="J1958" s="16" t="str">
        <f aca="false">IF(I1958="","",IF(H1958="İptal",0,IF(H1958="İade",-G1958,E1958-I1958-F1958-G1958)))</f>
        <v/>
      </c>
    </row>
    <row r="1959" customFormat="false" ht="15" hidden="false" customHeight="false" outlineLevel="0" collapsed="false">
      <c r="A1959" s="12"/>
      <c r="B1959" s="13"/>
      <c r="C1959" s="14"/>
      <c r="D1959" s="13"/>
      <c r="E1959" s="15"/>
      <c r="F1959" s="15"/>
      <c r="G1959" s="15"/>
      <c r="H1959" s="14"/>
      <c r="I1959" s="16" t="str">
        <f aca="false">IF(OR(A1959="",C1959=""),"",IF(OR(H1959="İade",H1959="İptal"),0,E1959*IFERROR(INDEX(Kanallar!$B$5:$B$19,MATCH(C1959,Kanallar!$A$5:$A$19,0)),0)))</f>
        <v/>
      </c>
      <c r="J1959" s="16" t="str">
        <f aca="false">IF(I1959="","",IF(H1959="İptal",0,IF(H1959="İade",-G1959,E1959-I1959-F1959-G1959)))</f>
        <v/>
      </c>
    </row>
    <row r="1960" customFormat="false" ht="15" hidden="false" customHeight="false" outlineLevel="0" collapsed="false">
      <c r="A1960" s="12"/>
      <c r="B1960" s="13"/>
      <c r="C1960" s="14"/>
      <c r="D1960" s="13"/>
      <c r="E1960" s="15"/>
      <c r="F1960" s="15"/>
      <c r="G1960" s="15"/>
      <c r="H1960" s="14"/>
      <c r="I1960" s="16" t="str">
        <f aca="false">IF(OR(A1960="",C1960=""),"",IF(OR(H1960="İade",H1960="İptal"),0,E1960*IFERROR(INDEX(Kanallar!$B$5:$B$19,MATCH(C1960,Kanallar!$A$5:$A$19,0)),0)))</f>
        <v/>
      </c>
      <c r="J1960" s="16" t="str">
        <f aca="false">IF(I1960="","",IF(H1960="İptal",0,IF(H1960="İade",-G1960,E1960-I1960-F1960-G1960)))</f>
        <v/>
      </c>
    </row>
    <row r="1961" customFormat="false" ht="15" hidden="false" customHeight="false" outlineLevel="0" collapsed="false">
      <c r="A1961" s="12"/>
      <c r="B1961" s="13"/>
      <c r="C1961" s="14"/>
      <c r="D1961" s="13"/>
      <c r="E1961" s="15"/>
      <c r="F1961" s="15"/>
      <c r="G1961" s="15"/>
      <c r="H1961" s="14"/>
      <c r="I1961" s="16" t="str">
        <f aca="false">IF(OR(A1961="",C1961=""),"",IF(OR(H1961="İade",H1961="İptal"),0,E1961*IFERROR(INDEX(Kanallar!$B$5:$B$19,MATCH(C1961,Kanallar!$A$5:$A$19,0)),0)))</f>
        <v/>
      </c>
      <c r="J1961" s="16" t="str">
        <f aca="false">IF(I1961="","",IF(H1961="İptal",0,IF(H1961="İade",-G1961,E1961-I1961-F1961-G1961)))</f>
        <v/>
      </c>
    </row>
    <row r="1962" customFormat="false" ht="15" hidden="false" customHeight="false" outlineLevel="0" collapsed="false">
      <c r="A1962" s="12"/>
      <c r="B1962" s="13"/>
      <c r="C1962" s="14"/>
      <c r="D1962" s="13"/>
      <c r="E1962" s="15"/>
      <c r="F1962" s="15"/>
      <c r="G1962" s="15"/>
      <c r="H1962" s="14"/>
      <c r="I1962" s="16" t="str">
        <f aca="false">IF(OR(A1962="",C1962=""),"",IF(OR(H1962="İade",H1962="İptal"),0,E1962*IFERROR(INDEX(Kanallar!$B$5:$B$19,MATCH(C1962,Kanallar!$A$5:$A$19,0)),0)))</f>
        <v/>
      </c>
      <c r="J1962" s="16" t="str">
        <f aca="false">IF(I1962="","",IF(H1962="İptal",0,IF(H1962="İade",-G1962,E1962-I1962-F1962-G1962)))</f>
        <v/>
      </c>
    </row>
    <row r="1963" customFormat="false" ht="15" hidden="false" customHeight="false" outlineLevel="0" collapsed="false">
      <c r="A1963" s="12"/>
      <c r="B1963" s="13"/>
      <c r="C1963" s="14"/>
      <c r="D1963" s="13"/>
      <c r="E1963" s="15"/>
      <c r="F1963" s="15"/>
      <c r="G1963" s="15"/>
      <c r="H1963" s="14"/>
      <c r="I1963" s="16" t="str">
        <f aca="false">IF(OR(A1963="",C1963=""),"",IF(OR(H1963="İade",H1963="İptal"),0,E1963*IFERROR(INDEX(Kanallar!$B$5:$B$19,MATCH(C1963,Kanallar!$A$5:$A$19,0)),0)))</f>
        <v/>
      </c>
      <c r="J1963" s="16" t="str">
        <f aca="false">IF(I1963="","",IF(H1963="İptal",0,IF(H1963="İade",-G1963,E1963-I1963-F1963-G1963)))</f>
        <v/>
      </c>
    </row>
    <row r="1964" customFormat="false" ht="15" hidden="false" customHeight="false" outlineLevel="0" collapsed="false">
      <c r="A1964" s="12"/>
      <c r="B1964" s="13"/>
      <c r="C1964" s="14"/>
      <c r="D1964" s="13"/>
      <c r="E1964" s="15"/>
      <c r="F1964" s="15"/>
      <c r="G1964" s="15"/>
      <c r="H1964" s="14"/>
      <c r="I1964" s="16" t="str">
        <f aca="false">IF(OR(A1964="",C1964=""),"",IF(OR(H1964="İade",H1964="İptal"),0,E1964*IFERROR(INDEX(Kanallar!$B$5:$B$19,MATCH(C1964,Kanallar!$A$5:$A$19,0)),0)))</f>
        <v/>
      </c>
      <c r="J1964" s="16" t="str">
        <f aca="false">IF(I1964="","",IF(H1964="İptal",0,IF(H1964="İade",-G1964,E1964-I1964-F1964-G1964)))</f>
        <v/>
      </c>
    </row>
    <row r="1965" customFormat="false" ht="15" hidden="false" customHeight="false" outlineLevel="0" collapsed="false">
      <c r="A1965" s="12"/>
      <c r="B1965" s="13"/>
      <c r="C1965" s="14"/>
      <c r="D1965" s="13"/>
      <c r="E1965" s="15"/>
      <c r="F1965" s="15"/>
      <c r="G1965" s="15"/>
      <c r="H1965" s="14"/>
      <c r="I1965" s="16" t="str">
        <f aca="false">IF(OR(A1965="",C1965=""),"",IF(OR(H1965="İade",H1965="İptal"),0,E1965*IFERROR(INDEX(Kanallar!$B$5:$B$19,MATCH(C1965,Kanallar!$A$5:$A$19,0)),0)))</f>
        <v/>
      </c>
      <c r="J1965" s="16" t="str">
        <f aca="false">IF(I1965="","",IF(H1965="İptal",0,IF(H1965="İade",-G1965,E1965-I1965-F1965-G1965)))</f>
        <v/>
      </c>
    </row>
    <row r="1966" customFormat="false" ht="15" hidden="false" customHeight="false" outlineLevel="0" collapsed="false">
      <c r="A1966" s="12"/>
      <c r="B1966" s="13"/>
      <c r="C1966" s="14"/>
      <c r="D1966" s="13"/>
      <c r="E1966" s="15"/>
      <c r="F1966" s="15"/>
      <c r="G1966" s="15"/>
      <c r="H1966" s="14"/>
      <c r="I1966" s="16" t="str">
        <f aca="false">IF(OR(A1966="",C1966=""),"",IF(OR(H1966="İade",H1966="İptal"),0,E1966*IFERROR(INDEX(Kanallar!$B$5:$B$19,MATCH(C1966,Kanallar!$A$5:$A$19,0)),0)))</f>
        <v/>
      </c>
      <c r="J1966" s="16" t="str">
        <f aca="false">IF(I1966="","",IF(H1966="İptal",0,IF(H1966="İade",-G1966,E1966-I1966-F1966-G1966)))</f>
        <v/>
      </c>
    </row>
    <row r="1967" customFormat="false" ht="15" hidden="false" customHeight="false" outlineLevel="0" collapsed="false">
      <c r="A1967" s="12"/>
      <c r="B1967" s="13"/>
      <c r="C1967" s="14"/>
      <c r="D1967" s="13"/>
      <c r="E1967" s="15"/>
      <c r="F1967" s="15"/>
      <c r="G1967" s="15"/>
      <c r="H1967" s="14"/>
      <c r="I1967" s="16" t="str">
        <f aca="false">IF(OR(A1967="",C1967=""),"",IF(OR(H1967="İade",H1967="İptal"),0,E1967*IFERROR(INDEX(Kanallar!$B$5:$B$19,MATCH(C1967,Kanallar!$A$5:$A$19,0)),0)))</f>
        <v/>
      </c>
      <c r="J1967" s="16" t="str">
        <f aca="false">IF(I1967="","",IF(H1967="İptal",0,IF(H1967="İade",-G1967,E1967-I1967-F1967-G1967)))</f>
        <v/>
      </c>
    </row>
    <row r="1968" customFormat="false" ht="15" hidden="false" customHeight="false" outlineLevel="0" collapsed="false">
      <c r="A1968" s="12"/>
      <c r="B1968" s="13"/>
      <c r="C1968" s="14"/>
      <c r="D1968" s="13"/>
      <c r="E1968" s="15"/>
      <c r="F1968" s="15"/>
      <c r="G1968" s="15"/>
      <c r="H1968" s="14"/>
      <c r="I1968" s="16" t="str">
        <f aca="false">IF(OR(A1968="",C1968=""),"",IF(OR(H1968="İade",H1968="İptal"),0,E1968*IFERROR(INDEX(Kanallar!$B$5:$B$19,MATCH(C1968,Kanallar!$A$5:$A$19,0)),0)))</f>
        <v/>
      </c>
      <c r="J1968" s="16" t="str">
        <f aca="false">IF(I1968="","",IF(H1968="İptal",0,IF(H1968="İade",-G1968,E1968-I1968-F1968-G1968)))</f>
        <v/>
      </c>
    </row>
    <row r="1969" customFormat="false" ht="15" hidden="false" customHeight="false" outlineLevel="0" collapsed="false">
      <c r="A1969" s="12"/>
      <c r="B1969" s="13"/>
      <c r="C1969" s="14"/>
      <c r="D1969" s="13"/>
      <c r="E1969" s="15"/>
      <c r="F1969" s="15"/>
      <c r="G1969" s="15"/>
      <c r="H1969" s="14"/>
      <c r="I1969" s="16" t="str">
        <f aca="false">IF(OR(A1969="",C1969=""),"",IF(OR(H1969="İade",H1969="İptal"),0,E1969*IFERROR(INDEX(Kanallar!$B$5:$B$19,MATCH(C1969,Kanallar!$A$5:$A$19,0)),0)))</f>
        <v/>
      </c>
      <c r="J1969" s="16" t="str">
        <f aca="false">IF(I1969="","",IF(H1969="İptal",0,IF(H1969="İade",-G1969,E1969-I1969-F1969-G1969)))</f>
        <v/>
      </c>
    </row>
    <row r="1970" customFormat="false" ht="15" hidden="false" customHeight="false" outlineLevel="0" collapsed="false">
      <c r="A1970" s="12"/>
      <c r="B1970" s="13"/>
      <c r="C1970" s="14"/>
      <c r="D1970" s="13"/>
      <c r="E1970" s="15"/>
      <c r="F1970" s="15"/>
      <c r="G1970" s="15"/>
      <c r="H1970" s="14"/>
      <c r="I1970" s="16" t="str">
        <f aca="false">IF(OR(A1970="",C1970=""),"",IF(OR(H1970="İade",H1970="İptal"),0,E1970*IFERROR(INDEX(Kanallar!$B$5:$B$19,MATCH(C1970,Kanallar!$A$5:$A$19,0)),0)))</f>
        <v/>
      </c>
      <c r="J1970" s="16" t="str">
        <f aca="false">IF(I1970="","",IF(H1970="İptal",0,IF(H1970="İade",-G1970,E1970-I1970-F1970-G1970)))</f>
        <v/>
      </c>
    </row>
    <row r="1971" customFormat="false" ht="15" hidden="false" customHeight="false" outlineLevel="0" collapsed="false">
      <c r="A1971" s="12"/>
      <c r="B1971" s="13"/>
      <c r="C1971" s="14"/>
      <c r="D1971" s="13"/>
      <c r="E1971" s="15"/>
      <c r="F1971" s="15"/>
      <c r="G1971" s="15"/>
      <c r="H1971" s="14"/>
      <c r="I1971" s="16" t="str">
        <f aca="false">IF(OR(A1971="",C1971=""),"",IF(OR(H1971="İade",H1971="İptal"),0,E1971*IFERROR(INDEX(Kanallar!$B$5:$B$19,MATCH(C1971,Kanallar!$A$5:$A$19,0)),0)))</f>
        <v/>
      </c>
      <c r="J1971" s="16" t="str">
        <f aca="false">IF(I1971="","",IF(H1971="İptal",0,IF(H1971="İade",-G1971,E1971-I1971-F1971-G1971)))</f>
        <v/>
      </c>
    </row>
    <row r="1972" customFormat="false" ht="15" hidden="false" customHeight="false" outlineLevel="0" collapsed="false">
      <c r="A1972" s="12"/>
      <c r="B1972" s="13"/>
      <c r="C1972" s="14"/>
      <c r="D1972" s="13"/>
      <c r="E1972" s="15"/>
      <c r="F1972" s="15"/>
      <c r="G1972" s="15"/>
      <c r="H1972" s="14"/>
      <c r="I1972" s="16" t="str">
        <f aca="false">IF(OR(A1972="",C1972=""),"",IF(OR(H1972="İade",H1972="İptal"),0,E1972*IFERROR(INDEX(Kanallar!$B$5:$B$19,MATCH(C1972,Kanallar!$A$5:$A$19,0)),0)))</f>
        <v/>
      </c>
      <c r="J1972" s="16" t="str">
        <f aca="false">IF(I1972="","",IF(H1972="İptal",0,IF(H1972="İade",-G1972,E1972-I1972-F1972-G1972)))</f>
        <v/>
      </c>
    </row>
    <row r="1973" customFormat="false" ht="15" hidden="false" customHeight="false" outlineLevel="0" collapsed="false">
      <c r="A1973" s="12"/>
      <c r="B1973" s="13"/>
      <c r="C1973" s="14"/>
      <c r="D1973" s="13"/>
      <c r="E1973" s="15"/>
      <c r="F1973" s="15"/>
      <c r="G1973" s="15"/>
      <c r="H1973" s="14"/>
      <c r="I1973" s="16" t="str">
        <f aca="false">IF(OR(A1973="",C1973=""),"",IF(OR(H1973="İade",H1973="İptal"),0,E1973*IFERROR(INDEX(Kanallar!$B$5:$B$19,MATCH(C1973,Kanallar!$A$5:$A$19,0)),0)))</f>
        <v/>
      </c>
      <c r="J1973" s="16" t="str">
        <f aca="false">IF(I1973="","",IF(H1973="İptal",0,IF(H1973="İade",-G1973,E1973-I1973-F1973-G1973)))</f>
        <v/>
      </c>
    </row>
    <row r="1974" customFormat="false" ht="15" hidden="false" customHeight="false" outlineLevel="0" collapsed="false">
      <c r="A1974" s="12"/>
      <c r="B1974" s="13"/>
      <c r="C1974" s="14"/>
      <c r="D1974" s="13"/>
      <c r="E1974" s="15"/>
      <c r="F1974" s="15"/>
      <c r="G1974" s="15"/>
      <c r="H1974" s="14"/>
      <c r="I1974" s="16" t="str">
        <f aca="false">IF(OR(A1974="",C1974=""),"",IF(OR(H1974="İade",H1974="İptal"),0,E1974*IFERROR(INDEX(Kanallar!$B$5:$B$19,MATCH(C1974,Kanallar!$A$5:$A$19,0)),0)))</f>
        <v/>
      </c>
      <c r="J1974" s="16" t="str">
        <f aca="false">IF(I1974="","",IF(H1974="İptal",0,IF(H1974="İade",-G1974,E1974-I1974-F1974-G1974)))</f>
        <v/>
      </c>
    </row>
    <row r="1975" customFormat="false" ht="15" hidden="false" customHeight="false" outlineLevel="0" collapsed="false">
      <c r="A1975" s="12"/>
      <c r="B1975" s="13"/>
      <c r="C1975" s="14"/>
      <c r="D1975" s="13"/>
      <c r="E1975" s="15"/>
      <c r="F1975" s="15"/>
      <c r="G1975" s="15"/>
      <c r="H1975" s="14"/>
      <c r="I1975" s="16" t="str">
        <f aca="false">IF(OR(A1975="",C1975=""),"",IF(OR(H1975="İade",H1975="İptal"),0,E1975*IFERROR(INDEX(Kanallar!$B$5:$B$19,MATCH(C1975,Kanallar!$A$5:$A$19,0)),0)))</f>
        <v/>
      </c>
      <c r="J1975" s="16" t="str">
        <f aca="false">IF(I1975="","",IF(H1975="İptal",0,IF(H1975="İade",-G1975,E1975-I1975-F1975-G1975)))</f>
        <v/>
      </c>
    </row>
    <row r="1976" customFormat="false" ht="15" hidden="false" customHeight="false" outlineLevel="0" collapsed="false">
      <c r="A1976" s="12"/>
      <c r="B1976" s="13"/>
      <c r="C1976" s="14"/>
      <c r="D1976" s="13"/>
      <c r="E1976" s="15"/>
      <c r="F1976" s="15"/>
      <c r="G1976" s="15"/>
      <c r="H1976" s="14"/>
      <c r="I1976" s="16" t="str">
        <f aca="false">IF(OR(A1976="",C1976=""),"",IF(OR(H1976="İade",H1976="İptal"),0,E1976*IFERROR(INDEX(Kanallar!$B$5:$B$19,MATCH(C1976,Kanallar!$A$5:$A$19,0)),0)))</f>
        <v/>
      </c>
      <c r="J1976" s="16" t="str">
        <f aca="false">IF(I1976="","",IF(H1976="İptal",0,IF(H1976="İade",-G1976,E1976-I1976-F1976-G1976)))</f>
        <v/>
      </c>
    </row>
    <row r="1977" customFormat="false" ht="15" hidden="false" customHeight="false" outlineLevel="0" collapsed="false">
      <c r="A1977" s="12"/>
      <c r="B1977" s="13"/>
      <c r="C1977" s="14"/>
      <c r="D1977" s="13"/>
      <c r="E1977" s="15"/>
      <c r="F1977" s="15"/>
      <c r="G1977" s="15"/>
      <c r="H1977" s="14"/>
      <c r="I1977" s="16" t="str">
        <f aca="false">IF(OR(A1977="",C1977=""),"",IF(OR(H1977="İade",H1977="İptal"),0,E1977*IFERROR(INDEX(Kanallar!$B$5:$B$19,MATCH(C1977,Kanallar!$A$5:$A$19,0)),0)))</f>
        <v/>
      </c>
      <c r="J1977" s="16" t="str">
        <f aca="false">IF(I1977="","",IF(H1977="İptal",0,IF(H1977="İade",-G1977,E1977-I1977-F1977-G1977)))</f>
        <v/>
      </c>
    </row>
    <row r="1978" customFormat="false" ht="15" hidden="false" customHeight="false" outlineLevel="0" collapsed="false">
      <c r="A1978" s="12"/>
      <c r="B1978" s="13"/>
      <c r="C1978" s="14"/>
      <c r="D1978" s="13"/>
      <c r="E1978" s="15"/>
      <c r="F1978" s="15"/>
      <c r="G1978" s="15"/>
      <c r="H1978" s="14"/>
      <c r="I1978" s="16" t="str">
        <f aca="false">IF(OR(A1978="",C1978=""),"",IF(OR(H1978="İade",H1978="İptal"),0,E1978*IFERROR(INDEX(Kanallar!$B$5:$B$19,MATCH(C1978,Kanallar!$A$5:$A$19,0)),0)))</f>
        <v/>
      </c>
      <c r="J1978" s="16" t="str">
        <f aca="false">IF(I1978="","",IF(H1978="İptal",0,IF(H1978="İade",-G1978,E1978-I1978-F1978-G1978)))</f>
        <v/>
      </c>
    </row>
    <row r="1979" customFormat="false" ht="15" hidden="false" customHeight="false" outlineLevel="0" collapsed="false">
      <c r="A1979" s="12"/>
      <c r="B1979" s="13"/>
      <c r="C1979" s="14"/>
      <c r="D1979" s="13"/>
      <c r="E1979" s="15"/>
      <c r="F1979" s="15"/>
      <c r="G1979" s="15"/>
      <c r="H1979" s="14"/>
      <c r="I1979" s="16" t="str">
        <f aca="false">IF(OR(A1979="",C1979=""),"",IF(OR(H1979="İade",H1979="İptal"),0,E1979*IFERROR(INDEX(Kanallar!$B$5:$B$19,MATCH(C1979,Kanallar!$A$5:$A$19,0)),0)))</f>
        <v/>
      </c>
      <c r="J1979" s="16" t="str">
        <f aca="false">IF(I1979="","",IF(H1979="İptal",0,IF(H1979="İade",-G1979,E1979-I1979-F1979-G1979)))</f>
        <v/>
      </c>
    </row>
    <row r="1980" customFormat="false" ht="15" hidden="false" customHeight="false" outlineLevel="0" collapsed="false">
      <c r="A1980" s="12"/>
      <c r="B1980" s="13"/>
      <c r="C1980" s="14"/>
      <c r="D1980" s="13"/>
      <c r="E1980" s="15"/>
      <c r="F1980" s="15"/>
      <c r="G1980" s="15"/>
      <c r="H1980" s="14"/>
      <c r="I1980" s="16" t="str">
        <f aca="false">IF(OR(A1980="",C1980=""),"",IF(OR(H1980="İade",H1980="İptal"),0,E1980*IFERROR(INDEX(Kanallar!$B$5:$B$19,MATCH(C1980,Kanallar!$A$5:$A$19,0)),0)))</f>
        <v/>
      </c>
      <c r="J1980" s="16" t="str">
        <f aca="false">IF(I1980="","",IF(H1980="İptal",0,IF(H1980="İade",-G1980,E1980-I1980-F1980-G1980)))</f>
        <v/>
      </c>
    </row>
    <row r="1981" customFormat="false" ht="15" hidden="false" customHeight="false" outlineLevel="0" collapsed="false">
      <c r="A1981" s="12"/>
      <c r="B1981" s="13"/>
      <c r="C1981" s="14"/>
      <c r="D1981" s="13"/>
      <c r="E1981" s="15"/>
      <c r="F1981" s="15"/>
      <c r="G1981" s="15"/>
      <c r="H1981" s="14"/>
      <c r="I1981" s="16" t="str">
        <f aca="false">IF(OR(A1981="",C1981=""),"",IF(OR(H1981="İade",H1981="İptal"),0,E1981*IFERROR(INDEX(Kanallar!$B$5:$B$19,MATCH(C1981,Kanallar!$A$5:$A$19,0)),0)))</f>
        <v/>
      </c>
      <c r="J1981" s="16" t="str">
        <f aca="false">IF(I1981="","",IF(H1981="İptal",0,IF(H1981="İade",-G1981,E1981-I1981-F1981-G1981)))</f>
        <v/>
      </c>
    </row>
    <row r="1982" customFormat="false" ht="15" hidden="false" customHeight="false" outlineLevel="0" collapsed="false">
      <c r="A1982" s="12"/>
      <c r="B1982" s="13"/>
      <c r="C1982" s="14"/>
      <c r="D1982" s="13"/>
      <c r="E1982" s="15"/>
      <c r="F1982" s="15"/>
      <c r="G1982" s="15"/>
      <c r="H1982" s="14"/>
      <c r="I1982" s="16" t="str">
        <f aca="false">IF(OR(A1982="",C1982=""),"",IF(OR(H1982="İade",H1982="İptal"),0,E1982*IFERROR(INDEX(Kanallar!$B$5:$B$19,MATCH(C1982,Kanallar!$A$5:$A$19,0)),0)))</f>
        <v/>
      </c>
      <c r="J1982" s="16" t="str">
        <f aca="false">IF(I1982="","",IF(H1982="İptal",0,IF(H1982="İade",-G1982,E1982-I1982-F1982-G1982)))</f>
        <v/>
      </c>
    </row>
    <row r="1983" customFormat="false" ht="15" hidden="false" customHeight="false" outlineLevel="0" collapsed="false">
      <c r="A1983" s="12"/>
      <c r="B1983" s="13"/>
      <c r="C1983" s="14"/>
      <c r="D1983" s="13"/>
      <c r="E1983" s="15"/>
      <c r="F1983" s="15"/>
      <c r="G1983" s="15"/>
      <c r="H1983" s="14"/>
      <c r="I1983" s="16" t="str">
        <f aca="false">IF(OR(A1983="",C1983=""),"",IF(OR(H1983="İade",H1983="İptal"),0,E1983*IFERROR(INDEX(Kanallar!$B$5:$B$19,MATCH(C1983,Kanallar!$A$5:$A$19,0)),0)))</f>
        <v/>
      </c>
      <c r="J1983" s="16" t="str">
        <f aca="false">IF(I1983="","",IF(H1983="İptal",0,IF(H1983="İade",-G1983,E1983-I1983-F1983-G1983)))</f>
        <v/>
      </c>
    </row>
    <row r="1984" customFormat="false" ht="15" hidden="false" customHeight="false" outlineLevel="0" collapsed="false">
      <c r="A1984" s="12"/>
      <c r="B1984" s="13"/>
      <c r="C1984" s="14"/>
      <c r="D1984" s="13"/>
      <c r="E1984" s="15"/>
      <c r="F1984" s="15"/>
      <c r="G1984" s="15"/>
      <c r="H1984" s="14"/>
      <c r="I1984" s="16" t="str">
        <f aca="false">IF(OR(A1984="",C1984=""),"",IF(OR(H1984="İade",H1984="İptal"),0,E1984*IFERROR(INDEX(Kanallar!$B$5:$B$19,MATCH(C1984,Kanallar!$A$5:$A$19,0)),0)))</f>
        <v/>
      </c>
      <c r="J1984" s="16" t="str">
        <f aca="false">IF(I1984="","",IF(H1984="İptal",0,IF(H1984="İade",-G1984,E1984-I1984-F1984-G1984)))</f>
        <v/>
      </c>
    </row>
    <row r="1985" customFormat="false" ht="15" hidden="false" customHeight="false" outlineLevel="0" collapsed="false">
      <c r="A1985" s="12"/>
      <c r="B1985" s="13"/>
      <c r="C1985" s="14"/>
      <c r="D1985" s="13"/>
      <c r="E1985" s="15"/>
      <c r="F1985" s="15"/>
      <c r="G1985" s="15"/>
      <c r="H1985" s="14"/>
      <c r="I1985" s="16" t="str">
        <f aca="false">IF(OR(A1985="",C1985=""),"",IF(OR(H1985="İade",H1985="İptal"),0,E1985*IFERROR(INDEX(Kanallar!$B$5:$B$19,MATCH(C1985,Kanallar!$A$5:$A$19,0)),0)))</f>
        <v/>
      </c>
      <c r="J1985" s="16" t="str">
        <f aca="false">IF(I1985="","",IF(H1985="İptal",0,IF(H1985="İade",-G1985,E1985-I1985-F1985-G1985)))</f>
        <v/>
      </c>
    </row>
    <row r="1986" customFormat="false" ht="15" hidden="false" customHeight="false" outlineLevel="0" collapsed="false">
      <c r="A1986" s="12"/>
      <c r="B1986" s="13"/>
      <c r="C1986" s="14"/>
      <c r="D1986" s="13"/>
      <c r="E1986" s="15"/>
      <c r="F1986" s="15"/>
      <c r="G1986" s="15"/>
      <c r="H1986" s="14"/>
      <c r="I1986" s="16" t="str">
        <f aca="false">IF(OR(A1986="",C1986=""),"",IF(OR(H1986="İade",H1986="İptal"),0,E1986*IFERROR(INDEX(Kanallar!$B$5:$B$19,MATCH(C1986,Kanallar!$A$5:$A$19,0)),0)))</f>
        <v/>
      </c>
      <c r="J1986" s="16" t="str">
        <f aca="false">IF(I1986="","",IF(H1986="İptal",0,IF(H1986="İade",-G1986,E1986-I1986-F1986-G1986)))</f>
        <v/>
      </c>
    </row>
    <row r="1987" customFormat="false" ht="15" hidden="false" customHeight="false" outlineLevel="0" collapsed="false">
      <c r="A1987" s="12"/>
      <c r="B1987" s="13"/>
      <c r="C1987" s="14"/>
      <c r="D1987" s="13"/>
      <c r="E1987" s="15"/>
      <c r="F1987" s="15"/>
      <c r="G1987" s="15"/>
      <c r="H1987" s="14"/>
      <c r="I1987" s="16" t="str">
        <f aca="false">IF(OR(A1987="",C1987=""),"",IF(OR(H1987="İade",H1987="İptal"),0,E1987*IFERROR(INDEX(Kanallar!$B$5:$B$19,MATCH(C1987,Kanallar!$A$5:$A$19,0)),0)))</f>
        <v/>
      </c>
      <c r="J1987" s="16" t="str">
        <f aca="false">IF(I1987="","",IF(H1987="İptal",0,IF(H1987="İade",-G1987,E1987-I1987-F1987-G1987)))</f>
        <v/>
      </c>
    </row>
    <row r="1988" customFormat="false" ht="15" hidden="false" customHeight="false" outlineLevel="0" collapsed="false">
      <c r="A1988" s="12"/>
      <c r="B1988" s="13"/>
      <c r="C1988" s="14"/>
      <c r="D1988" s="13"/>
      <c r="E1988" s="15"/>
      <c r="F1988" s="15"/>
      <c r="G1988" s="15"/>
      <c r="H1988" s="14"/>
      <c r="I1988" s="16" t="str">
        <f aca="false">IF(OR(A1988="",C1988=""),"",IF(OR(H1988="İade",H1988="İptal"),0,E1988*IFERROR(INDEX(Kanallar!$B$5:$B$19,MATCH(C1988,Kanallar!$A$5:$A$19,0)),0)))</f>
        <v/>
      </c>
      <c r="J1988" s="16" t="str">
        <f aca="false">IF(I1988="","",IF(H1988="İptal",0,IF(H1988="İade",-G1988,E1988-I1988-F1988-G1988)))</f>
        <v/>
      </c>
    </row>
    <row r="1989" customFormat="false" ht="15" hidden="false" customHeight="false" outlineLevel="0" collapsed="false">
      <c r="A1989" s="12"/>
      <c r="B1989" s="13"/>
      <c r="C1989" s="14"/>
      <c r="D1989" s="13"/>
      <c r="E1989" s="15"/>
      <c r="F1989" s="15"/>
      <c r="G1989" s="15"/>
      <c r="H1989" s="14"/>
      <c r="I1989" s="16" t="str">
        <f aca="false">IF(OR(A1989="",C1989=""),"",IF(OR(H1989="İade",H1989="İptal"),0,E1989*IFERROR(INDEX(Kanallar!$B$5:$B$19,MATCH(C1989,Kanallar!$A$5:$A$19,0)),0)))</f>
        <v/>
      </c>
      <c r="J1989" s="16" t="str">
        <f aca="false">IF(I1989="","",IF(H1989="İptal",0,IF(H1989="İade",-G1989,E1989-I1989-F1989-G1989)))</f>
        <v/>
      </c>
    </row>
    <row r="1990" customFormat="false" ht="15" hidden="false" customHeight="false" outlineLevel="0" collapsed="false">
      <c r="A1990" s="12"/>
      <c r="B1990" s="13"/>
      <c r="C1990" s="14"/>
      <c r="D1990" s="13"/>
      <c r="E1990" s="15"/>
      <c r="F1990" s="15"/>
      <c r="G1990" s="15"/>
      <c r="H1990" s="14"/>
      <c r="I1990" s="16" t="str">
        <f aca="false">IF(OR(A1990="",C1990=""),"",IF(OR(H1990="İade",H1990="İptal"),0,E1990*IFERROR(INDEX(Kanallar!$B$5:$B$19,MATCH(C1990,Kanallar!$A$5:$A$19,0)),0)))</f>
        <v/>
      </c>
      <c r="J1990" s="16" t="str">
        <f aca="false">IF(I1990="","",IF(H1990="İptal",0,IF(H1990="İade",-G1990,E1990-I1990-F1990-G1990)))</f>
        <v/>
      </c>
    </row>
    <row r="1991" customFormat="false" ht="15" hidden="false" customHeight="false" outlineLevel="0" collapsed="false">
      <c r="A1991" s="12"/>
      <c r="B1991" s="13"/>
      <c r="C1991" s="14"/>
      <c r="D1991" s="13"/>
      <c r="E1991" s="15"/>
      <c r="F1991" s="15"/>
      <c r="G1991" s="15"/>
      <c r="H1991" s="14"/>
      <c r="I1991" s="16" t="str">
        <f aca="false">IF(OR(A1991="",C1991=""),"",IF(OR(H1991="İade",H1991="İptal"),0,E1991*IFERROR(INDEX(Kanallar!$B$5:$B$19,MATCH(C1991,Kanallar!$A$5:$A$19,0)),0)))</f>
        <v/>
      </c>
      <c r="J1991" s="16" t="str">
        <f aca="false">IF(I1991="","",IF(H1991="İptal",0,IF(H1991="İade",-G1991,E1991-I1991-F1991-G1991)))</f>
        <v/>
      </c>
    </row>
    <row r="1992" customFormat="false" ht="15" hidden="false" customHeight="false" outlineLevel="0" collapsed="false">
      <c r="A1992" s="12"/>
      <c r="B1992" s="13"/>
      <c r="C1992" s="14"/>
      <c r="D1992" s="13"/>
      <c r="E1992" s="15"/>
      <c r="F1992" s="15"/>
      <c r="G1992" s="15"/>
      <c r="H1992" s="14"/>
      <c r="I1992" s="16" t="str">
        <f aca="false">IF(OR(A1992="",C1992=""),"",IF(OR(H1992="İade",H1992="İptal"),0,E1992*IFERROR(INDEX(Kanallar!$B$5:$B$19,MATCH(C1992,Kanallar!$A$5:$A$19,0)),0)))</f>
        <v/>
      </c>
      <c r="J1992" s="16" t="str">
        <f aca="false">IF(I1992="","",IF(H1992="İptal",0,IF(H1992="İade",-G1992,E1992-I1992-F1992-G1992)))</f>
        <v/>
      </c>
    </row>
    <row r="1993" customFormat="false" ht="15" hidden="false" customHeight="false" outlineLevel="0" collapsed="false">
      <c r="A1993" s="12"/>
      <c r="B1993" s="13"/>
      <c r="C1993" s="14"/>
      <c r="D1993" s="13"/>
      <c r="E1993" s="15"/>
      <c r="F1993" s="15"/>
      <c r="G1993" s="15"/>
      <c r="H1993" s="14"/>
      <c r="I1993" s="16" t="str">
        <f aca="false">IF(OR(A1993="",C1993=""),"",IF(OR(H1993="İade",H1993="İptal"),0,E1993*IFERROR(INDEX(Kanallar!$B$5:$B$19,MATCH(C1993,Kanallar!$A$5:$A$19,0)),0)))</f>
        <v/>
      </c>
      <c r="J1993" s="16" t="str">
        <f aca="false">IF(I1993="","",IF(H1993="İptal",0,IF(H1993="İade",-G1993,E1993-I1993-F1993-G1993)))</f>
        <v/>
      </c>
    </row>
    <row r="1994" customFormat="false" ht="15" hidden="false" customHeight="false" outlineLevel="0" collapsed="false">
      <c r="A1994" s="12"/>
      <c r="B1994" s="13"/>
      <c r="C1994" s="14"/>
      <c r="D1994" s="13"/>
      <c r="E1994" s="15"/>
      <c r="F1994" s="15"/>
      <c r="G1994" s="15"/>
      <c r="H1994" s="14"/>
      <c r="I1994" s="16" t="str">
        <f aca="false">IF(OR(A1994="",C1994=""),"",IF(OR(H1994="İade",H1994="İptal"),0,E1994*IFERROR(INDEX(Kanallar!$B$5:$B$19,MATCH(C1994,Kanallar!$A$5:$A$19,0)),0)))</f>
        <v/>
      </c>
      <c r="J1994" s="16" t="str">
        <f aca="false">IF(I1994="","",IF(H1994="İptal",0,IF(H1994="İade",-G1994,E1994-I1994-F1994-G1994)))</f>
        <v/>
      </c>
    </row>
    <row r="1995" customFormat="false" ht="15" hidden="false" customHeight="false" outlineLevel="0" collapsed="false">
      <c r="A1995" s="12"/>
      <c r="B1995" s="13"/>
      <c r="C1995" s="14"/>
      <c r="D1995" s="13"/>
      <c r="E1995" s="15"/>
      <c r="F1995" s="15"/>
      <c r="G1995" s="15"/>
      <c r="H1995" s="14"/>
      <c r="I1995" s="16" t="str">
        <f aca="false">IF(OR(A1995="",C1995=""),"",IF(OR(H1995="İade",H1995="İptal"),0,E1995*IFERROR(INDEX(Kanallar!$B$5:$B$19,MATCH(C1995,Kanallar!$A$5:$A$19,0)),0)))</f>
        <v/>
      </c>
      <c r="J1995" s="16" t="str">
        <f aca="false">IF(I1995="","",IF(H1995="İptal",0,IF(H1995="İade",-G1995,E1995-I1995-F1995-G1995)))</f>
        <v/>
      </c>
    </row>
    <row r="1996" customFormat="false" ht="15" hidden="false" customHeight="false" outlineLevel="0" collapsed="false">
      <c r="A1996" s="12"/>
      <c r="B1996" s="13"/>
      <c r="C1996" s="14"/>
      <c r="D1996" s="13"/>
      <c r="E1996" s="15"/>
      <c r="F1996" s="15"/>
      <c r="G1996" s="15"/>
      <c r="H1996" s="14"/>
      <c r="I1996" s="16" t="str">
        <f aca="false">IF(OR(A1996="",C1996=""),"",IF(OR(H1996="İade",H1996="İptal"),0,E1996*IFERROR(INDEX(Kanallar!$B$5:$B$19,MATCH(C1996,Kanallar!$A$5:$A$19,0)),0)))</f>
        <v/>
      </c>
      <c r="J1996" s="16" t="str">
        <f aca="false">IF(I1996="","",IF(H1996="İptal",0,IF(H1996="İade",-G1996,E1996-I1996-F1996-G1996)))</f>
        <v/>
      </c>
    </row>
    <row r="1997" customFormat="false" ht="15" hidden="false" customHeight="false" outlineLevel="0" collapsed="false">
      <c r="A1997" s="12"/>
      <c r="B1997" s="13"/>
      <c r="C1997" s="14"/>
      <c r="D1997" s="13"/>
      <c r="E1997" s="15"/>
      <c r="F1997" s="15"/>
      <c r="G1997" s="15"/>
      <c r="H1997" s="14"/>
      <c r="I1997" s="16" t="str">
        <f aca="false">IF(OR(A1997="",C1997=""),"",IF(OR(H1997="İade",H1997="İptal"),0,E1997*IFERROR(INDEX(Kanallar!$B$5:$B$19,MATCH(C1997,Kanallar!$A$5:$A$19,0)),0)))</f>
        <v/>
      </c>
      <c r="J1997" s="16" t="str">
        <f aca="false">IF(I1997="","",IF(H1997="İptal",0,IF(H1997="İade",-G1997,E1997-I1997-F1997-G1997)))</f>
        <v/>
      </c>
    </row>
    <row r="1998" customFormat="false" ht="15" hidden="false" customHeight="false" outlineLevel="0" collapsed="false">
      <c r="A1998" s="12"/>
      <c r="B1998" s="13"/>
      <c r="C1998" s="14"/>
      <c r="D1998" s="13"/>
      <c r="E1998" s="15"/>
      <c r="F1998" s="15"/>
      <c r="G1998" s="15"/>
      <c r="H1998" s="14"/>
      <c r="I1998" s="16" t="str">
        <f aca="false">IF(OR(A1998="",C1998=""),"",IF(OR(H1998="İade",H1998="İptal"),0,E1998*IFERROR(INDEX(Kanallar!$B$5:$B$19,MATCH(C1998,Kanallar!$A$5:$A$19,0)),0)))</f>
        <v/>
      </c>
      <c r="J1998" s="16" t="str">
        <f aca="false">IF(I1998="","",IF(H1998="İptal",0,IF(H1998="İade",-G1998,E1998-I1998-F1998-G1998)))</f>
        <v/>
      </c>
    </row>
    <row r="1999" customFormat="false" ht="15" hidden="false" customHeight="false" outlineLevel="0" collapsed="false">
      <c r="A1999" s="12"/>
      <c r="B1999" s="13"/>
      <c r="C1999" s="14"/>
      <c r="D1999" s="13"/>
      <c r="E1999" s="15"/>
      <c r="F1999" s="15"/>
      <c r="G1999" s="15"/>
      <c r="H1999" s="14"/>
      <c r="I1999" s="16" t="str">
        <f aca="false">IF(OR(A1999="",C1999=""),"",IF(OR(H1999="İade",H1999="İptal"),0,E1999*IFERROR(INDEX(Kanallar!$B$5:$B$19,MATCH(C1999,Kanallar!$A$5:$A$19,0)),0)))</f>
        <v/>
      </c>
      <c r="J1999" s="16" t="str">
        <f aca="false">IF(I1999="","",IF(H1999="İptal",0,IF(H1999="İade",-G1999,E1999-I1999-F1999-G1999)))</f>
        <v/>
      </c>
    </row>
    <row r="2000" customFormat="false" ht="15" hidden="false" customHeight="false" outlineLevel="0" collapsed="false">
      <c r="A2000" s="12"/>
      <c r="B2000" s="13"/>
      <c r="C2000" s="14"/>
      <c r="D2000" s="13"/>
      <c r="E2000" s="15"/>
      <c r="F2000" s="15"/>
      <c r="G2000" s="15"/>
      <c r="H2000" s="14"/>
      <c r="I2000" s="16" t="str">
        <f aca="false">IF(OR(A2000="",C2000=""),"",IF(OR(H2000="İade",H2000="İptal"),0,E2000*IFERROR(INDEX(Kanallar!$B$5:$B$19,MATCH(C2000,Kanallar!$A$5:$A$19,0)),0)))</f>
        <v/>
      </c>
      <c r="J2000" s="16" t="str">
        <f aca="false">IF(I2000="","",IF(H2000="İptal",0,IF(H2000="İade",-G2000,E2000-I2000-F2000-G2000)))</f>
        <v/>
      </c>
    </row>
    <row r="2001" customFormat="false" ht="15" hidden="false" customHeight="false" outlineLevel="0" collapsed="false">
      <c r="A2001" s="12"/>
      <c r="B2001" s="13"/>
      <c r="C2001" s="14"/>
      <c r="D2001" s="13"/>
      <c r="E2001" s="15"/>
      <c r="F2001" s="15"/>
      <c r="G2001" s="15"/>
      <c r="H2001" s="14"/>
      <c r="I2001" s="16" t="str">
        <f aca="false">IF(OR(A2001="",C2001=""),"",IF(OR(H2001="İade",H2001="İptal"),0,E2001*IFERROR(INDEX(Kanallar!$B$5:$B$19,MATCH(C2001,Kanallar!$A$5:$A$19,0)),0)))</f>
        <v/>
      </c>
      <c r="J2001" s="16" t="str">
        <f aca="false">IF(I2001="","",IF(H2001="İptal",0,IF(H2001="İade",-G2001,E2001-I2001-F2001-G2001)))</f>
        <v/>
      </c>
    </row>
    <row r="2002" customFormat="false" ht="15" hidden="false" customHeight="false" outlineLevel="0" collapsed="false">
      <c r="A2002" s="12"/>
      <c r="B2002" s="13"/>
      <c r="C2002" s="14"/>
      <c r="D2002" s="13"/>
      <c r="E2002" s="15"/>
      <c r="F2002" s="15"/>
      <c r="G2002" s="15"/>
      <c r="H2002" s="14"/>
      <c r="I2002" s="16" t="str">
        <f aca="false">IF(OR(A2002="",C2002=""),"",IF(OR(H2002="İade",H2002="İptal"),0,E2002*IFERROR(INDEX(Kanallar!$B$5:$B$19,MATCH(C2002,Kanallar!$A$5:$A$19,0)),0)))</f>
        <v/>
      </c>
      <c r="J2002" s="16" t="str">
        <f aca="false">IF(I2002="","",IF(H2002="İptal",0,IF(H2002="İade",-G2002,E2002-I2002-F2002-G2002)))</f>
        <v/>
      </c>
    </row>
    <row r="2003" customFormat="false" ht="15" hidden="false" customHeight="false" outlineLevel="0" collapsed="false">
      <c r="A2003" s="12"/>
      <c r="B2003" s="13"/>
      <c r="C2003" s="14"/>
      <c r="D2003" s="13"/>
      <c r="E2003" s="15"/>
      <c r="F2003" s="15"/>
      <c r="G2003" s="15"/>
      <c r="H2003" s="14"/>
      <c r="I2003" s="16" t="str">
        <f aca="false">IF(OR(A2003="",C2003=""),"",IF(OR(H2003="İade",H2003="İptal"),0,E2003*IFERROR(INDEX(Kanallar!$B$5:$B$19,MATCH(C2003,Kanallar!$A$5:$A$19,0)),0)))</f>
        <v/>
      </c>
      <c r="J2003" s="16" t="str">
        <f aca="false">IF(I2003="","",IF(H2003="İptal",0,IF(H2003="İade",-G2003,E2003-I2003-F2003-G2003)))</f>
        <v/>
      </c>
    </row>
    <row r="2004" customFormat="false" ht="15" hidden="false" customHeight="false" outlineLevel="0" collapsed="false">
      <c r="A2004" s="12"/>
      <c r="B2004" s="13"/>
      <c r="C2004" s="14"/>
      <c r="D2004" s="13"/>
      <c r="E2004" s="15"/>
      <c r="F2004" s="15"/>
      <c r="G2004" s="15"/>
      <c r="H2004" s="14"/>
      <c r="I2004" s="16" t="str">
        <f aca="false">IF(OR(A2004="",C2004=""),"",IF(OR(H2004="İade",H2004="İptal"),0,E2004*IFERROR(INDEX(Kanallar!$B$5:$B$19,MATCH(C2004,Kanallar!$A$5:$A$19,0)),0)))</f>
        <v/>
      </c>
      <c r="J2004" s="16" t="str">
        <f aca="false">IF(I2004="","",IF(H2004="İptal",0,IF(H2004="İade",-G2004,E2004-I2004-F2004-G2004)))</f>
        <v/>
      </c>
    </row>
    <row r="2005" customFormat="false" ht="15" hidden="false" customHeight="false" outlineLevel="0" collapsed="false">
      <c r="A2005" s="12"/>
      <c r="B2005" s="13"/>
      <c r="C2005" s="14"/>
      <c r="D2005" s="13"/>
      <c r="E2005" s="15"/>
      <c r="F2005" s="15"/>
      <c r="G2005" s="15"/>
      <c r="H2005" s="14"/>
      <c r="I2005" s="16" t="str">
        <f aca="false">IF(OR(A2005="",C2005=""),"",IF(OR(H2005="İade",H2005="İptal"),0,E2005*IFERROR(INDEX(Kanallar!$B$5:$B$19,MATCH(C2005,Kanallar!$A$5:$A$19,0)),0)))</f>
        <v/>
      </c>
      <c r="J2005" s="16" t="str">
        <f aca="false">IF(I2005="","",IF(H2005="İptal",0,IF(H2005="İade",-G2005,E2005-I2005-F2005-G2005)))</f>
        <v/>
      </c>
    </row>
    <row r="2006" customFormat="false" ht="15" hidden="false" customHeight="false" outlineLevel="0" collapsed="false">
      <c r="A2006" s="12"/>
      <c r="B2006" s="13"/>
      <c r="C2006" s="14"/>
      <c r="D2006" s="13"/>
      <c r="E2006" s="15"/>
      <c r="F2006" s="15"/>
      <c r="G2006" s="15"/>
      <c r="H2006" s="14"/>
      <c r="I2006" s="16" t="str">
        <f aca="false">IF(OR(A2006="",C2006=""),"",IF(OR(H2006="İade",H2006="İptal"),0,E2006*IFERROR(INDEX(Kanallar!$B$5:$B$19,MATCH(C2006,Kanallar!$A$5:$A$19,0)),0)))</f>
        <v/>
      </c>
      <c r="J2006" s="16" t="str">
        <f aca="false">IF(I2006="","",IF(H2006="İptal",0,IF(H2006="İade",-G2006,E2006-I2006-F2006-G2006)))</f>
        <v/>
      </c>
    </row>
    <row r="2007" customFormat="false" ht="15" hidden="false" customHeight="false" outlineLevel="0" collapsed="false">
      <c r="A2007" s="12"/>
      <c r="B2007" s="13"/>
      <c r="C2007" s="14"/>
      <c r="D2007" s="13"/>
      <c r="E2007" s="15"/>
      <c r="F2007" s="15"/>
      <c r="G2007" s="15"/>
      <c r="H2007" s="14"/>
      <c r="I2007" s="16" t="str">
        <f aca="false">IF(OR(A2007="",C2007=""),"",IF(OR(H2007="İade",H2007="İptal"),0,E2007*IFERROR(INDEX(Kanallar!$B$5:$B$19,MATCH(C2007,Kanallar!$A$5:$A$19,0)),0)))</f>
        <v/>
      </c>
      <c r="J2007" s="16" t="str">
        <f aca="false">IF(I2007="","",IF(H2007="İptal",0,IF(H2007="İade",-G2007,E2007-I2007-F2007-G2007)))</f>
        <v/>
      </c>
    </row>
    <row r="2008" customFormat="false" ht="15" hidden="false" customHeight="false" outlineLevel="0" collapsed="false">
      <c r="A2008" s="12"/>
      <c r="B2008" s="13"/>
      <c r="C2008" s="14"/>
      <c r="D2008" s="13"/>
      <c r="E2008" s="15"/>
      <c r="F2008" s="15"/>
      <c r="G2008" s="15"/>
      <c r="H2008" s="14"/>
      <c r="I2008" s="16" t="str">
        <f aca="false">IF(OR(A2008="",C2008=""),"",IF(OR(H2008="İade",H2008="İptal"),0,E2008*IFERROR(INDEX(Kanallar!$B$5:$B$19,MATCH(C2008,Kanallar!$A$5:$A$19,0)),0)))</f>
        <v/>
      </c>
      <c r="J2008" s="16" t="str">
        <f aca="false">IF(I2008="","",IF(H2008="İptal",0,IF(H2008="İade",-G2008,E2008-I2008-F2008-G2008)))</f>
        <v/>
      </c>
    </row>
    <row r="2009" customFormat="false" ht="15" hidden="false" customHeight="false" outlineLevel="0" collapsed="false">
      <c r="A2009" s="12"/>
      <c r="B2009" s="13"/>
      <c r="C2009" s="14"/>
      <c r="D2009" s="13"/>
      <c r="E2009" s="15"/>
      <c r="F2009" s="15"/>
      <c r="G2009" s="15"/>
      <c r="H2009" s="14"/>
      <c r="I2009" s="16" t="str">
        <f aca="false">IF(OR(A2009="",C2009=""),"",IF(OR(H2009="İade",H2009="İptal"),0,E2009*IFERROR(INDEX(Kanallar!$B$5:$B$19,MATCH(C2009,Kanallar!$A$5:$A$19,0)),0)))</f>
        <v/>
      </c>
      <c r="J2009" s="16" t="str">
        <f aca="false">IF(I2009="","",IF(H2009="İptal",0,IF(H2009="İade",-G2009,E2009-I2009-F2009-G2009)))</f>
        <v/>
      </c>
    </row>
    <row r="2010" customFormat="false" ht="15" hidden="false" customHeight="false" outlineLevel="0" collapsed="false">
      <c r="A2010" s="12"/>
      <c r="B2010" s="13"/>
      <c r="C2010" s="14"/>
      <c r="D2010" s="13"/>
      <c r="E2010" s="15"/>
      <c r="F2010" s="15"/>
      <c r="G2010" s="15"/>
      <c r="H2010" s="14"/>
      <c r="I2010" s="16" t="str">
        <f aca="false">IF(OR(A2010="",C2010=""),"",IF(OR(H2010="İade",H2010="İptal"),0,E2010*IFERROR(INDEX(Kanallar!$B$5:$B$19,MATCH(C2010,Kanallar!$A$5:$A$19,0)),0)))</f>
        <v/>
      </c>
      <c r="J2010" s="16" t="str">
        <f aca="false">IF(I2010="","",IF(H2010="İptal",0,IF(H2010="İade",-G2010,E2010-I2010-F2010-G2010)))</f>
        <v/>
      </c>
    </row>
    <row r="2011" customFormat="false" ht="15" hidden="false" customHeight="false" outlineLevel="0" collapsed="false">
      <c r="A2011" s="12"/>
      <c r="B2011" s="13"/>
      <c r="C2011" s="14"/>
      <c r="D2011" s="13"/>
      <c r="E2011" s="15"/>
      <c r="F2011" s="15"/>
      <c r="G2011" s="15"/>
      <c r="H2011" s="14"/>
      <c r="I2011" s="16" t="str">
        <f aca="false">IF(OR(A2011="",C2011=""),"",IF(OR(H2011="İade",H2011="İptal"),0,E2011*IFERROR(INDEX(Kanallar!$B$5:$B$19,MATCH(C2011,Kanallar!$A$5:$A$19,0)),0)))</f>
        <v/>
      </c>
      <c r="J2011" s="16" t="str">
        <f aca="false">IF(I2011="","",IF(H2011="İptal",0,IF(H2011="İade",-G2011,E2011-I2011-F2011-G2011)))</f>
        <v/>
      </c>
    </row>
    <row r="2012" customFormat="false" ht="15" hidden="false" customHeight="false" outlineLevel="0" collapsed="false">
      <c r="A2012" s="12"/>
      <c r="B2012" s="13"/>
      <c r="C2012" s="14"/>
      <c r="D2012" s="13"/>
      <c r="E2012" s="15"/>
      <c r="F2012" s="15"/>
      <c r="G2012" s="15"/>
      <c r="H2012" s="14"/>
      <c r="I2012" s="16" t="str">
        <f aca="false">IF(OR(A2012="",C2012=""),"",IF(OR(H2012="İade",H2012="İptal"),0,E2012*IFERROR(INDEX(Kanallar!$B$5:$B$19,MATCH(C2012,Kanallar!$A$5:$A$19,0)),0)))</f>
        <v/>
      </c>
      <c r="J2012" s="16" t="str">
        <f aca="false">IF(I2012="","",IF(H2012="İptal",0,IF(H2012="İade",-G2012,E2012-I2012-F2012-G2012)))</f>
        <v/>
      </c>
    </row>
    <row r="2013" customFormat="false" ht="15" hidden="false" customHeight="false" outlineLevel="0" collapsed="false">
      <c r="A2013" s="12"/>
      <c r="B2013" s="13"/>
      <c r="C2013" s="14"/>
      <c r="D2013" s="13"/>
      <c r="E2013" s="15"/>
      <c r="F2013" s="15"/>
      <c r="G2013" s="15"/>
      <c r="H2013" s="14"/>
      <c r="I2013" s="16" t="str">
        <f aca="false">IF(OR(A2013="",C2013=""),"",IF(OR(H2013="İade",H2013="İptal"),0,E2013*IFERROR(INDEX(Kanallar!$B$5:$B$19,MATCH(C2013,Kanallar!$A$5:$A$19,0)),0)))</f>
        <v/>
      </c>
      <c r="J2013" s="16" t="str">
        <f aca="false">IF(I2013="","",IF(H2013="İptal",0,IF(H2013="İade",-G2013,E2013-I2013-F2013-G2013)))</f>
        <v/>
      </c>
    </row>
    <row r="2014" customFormat="false" ht="15" hidden="false" customHeight="false" outlineLevel="0" collapsed="false">
      <c r="A2014" s="12"/>
      <c r="B2014" s="13"/>
      <c r="C2014" s="14"/>
      <c r="D2014" s="13"/>
      <c r="E2014" s="15"/>
      <c r="F2014" s="15"/>
      <c r="G2014" s="15"/>
      <c r="H2014" s="14"/>
      <c r="I2014" s="16" t="str">
        <f aca="false">IF(OR(A2014="",C2014=""),"",IF(OR(H2014="İade",H2014="İptal"),0,E2014*IFERROR(INDEX(Kanallar!$B$5:$B$19,MATCH(C2014,Kanallar!$A$5:$A$19,0)),0)))</f>
        <v/>
      </c>
      <c r="J2014" s="16" t="str">
        <f aca="false">IF(I2014="","",IF(H2014="İptal",0,IF(H2014="İade",-G2014,E2014-I2014-F2014-G2014)))</f>
        <v/>
      </c>
    </row>
    <row r="2015" customFormat="false" ht="15" hidden="false" customHeight="false" outlineLevel="0" collapsed="false">
      <c r="A2015" s="12"/>
      <c r="B2015" s="13"/>
      <c r="C2015" s="14"/>
      <c r="D2015" s="13"/>
      <c r="E2015" s="15"/>
      <c r="F2015" s="15"/>
      <c r="G2015" s="15"/>
      <c r="H2015" s="14"/>
      <c r="I2015" s="16" t="str">
        <f aca="false">IF(OR(A2015="",C2015=""),"",IF(OR(H2015="İade",H2015="İptal"),0,E2015*IFERROR(INDEX(Kanallar!$B$5:$B$19,MATCH(C2015,Kanallar!$A$5:$A$19,0)),0)))</f>
        <v/>
      </c>
      <c r="J2015" s="16" t="str">
        <f aca="false">IF(I2015="","",IF(H2015="İptal",0,IF(H2015="İade",-G2015,E2015-I2015-F2015-G2015)))</f>
        <v/>
      </c>
    </row>
    <row r="2016" customFormat="false" ht="15" hidden="false" customHeight="false" outlineLevel="0" collapsed="false">
      <c r="A2016" s="12"/>
      <c r="B2016" s="13"/>
      <c r="C2016" s="14"/>
      <c r="D2016" s="13"/>
      <c r="E2016" s="15"/>
      <c r="F2016" s="15"/>
      <c r="G2016" s="15"/>
      <c r="H2016" s="14"/>
      <c r="I2016" s="16" t="str">
        <f aca="false">IF(OR(A2016="",C2016=""),"",IF(OR(H2016="İade",H2016="İptal"),0,E2016*IFERROR(INDEX(Kanallar!$B$5:$B$19,MATCH(C2016,Kanallar!$A$5:$A$19,0)),0)))</f>
        <v/>
      </c>
      <c r="J2016" s="16" t="str">
        <f aca="false">IF(I2016="","",IF(H2016="İptal",0,IF(H2016="İade",-G2016,E2016-I2016-F2016-G2016)))</f>
        <v/>
      </c>
    </row>
    <row r="2017" customFormat="false" ht="15" hidden="false" customHeight="false" outlineLevel="0" collapsed="false">
      <c r="A2017" s="12"/>
      <c r="B2017" s="13"/>
      <c r="C2017" s="14"/>
      <c r="D2017" s="13"/>
      <c r="E2017" s="15"/>
      <c r="F2017" s="15"/>
      <c r="G2017" s="15"/>
      <c r="H2017" s="14"/>
      <c r="I2017" s="16" t="str">
        <f aca="false">IF(OR(A2017="",C2017=""),"",IF(OR(H2017="İade",H2017="İptal"),0,E2017*IFERROR(INDEX(Kanallar!$B$5:$B$19,MATCH(C2017,Kanallar!$A$5:$A$19,0)),0)))</f>
        <v/>
      </c>
      <c r="J2017" s="16" t="str">
        <f aca="false">IF(I2017="","",IF(H2017="İptal",0,IF(H2017="İade",-G2017,E2017-I2017-F2017-G2017)))</f>
        <v/>
      </c>
    </row>
    <row r="2018" customFormat="false" ht="15" hidden="false" customHeight="false" outlineLevel="0" collapsed="false">
      <c r="A2018" s="12"/>
      <c r="B2018" s="13"/>
      <c r="C2018" s="14"/>
      <c r="D2018" s="13"/>
      <c r="E2018" s="15"/>
      <c r="F2018" s="15"/>
      <c r="G2018" s="15"/>
      <c r="H2018" s="14"/>
      <c r="I2018" s="16" t="str">
        <f aca="false">IF(OR(A2018="",C2018=""),"",IF(OR(H2018="İade",H2018="İptal"),0,E2018*IFERROR(INDEX(Kanallar!$B$5:$B$19,MATCH(C2018,Kanallar!$A$5:$A$19,0)),0)))</f>
        <v/>
      </c>
      <c r="J2018" s="16" t="str">
        <f aca="false">IF(I2018="","",IF(H2018="İptal",0,IF(H2018="İade",-G2018,E2018-I2018-F2018-G2018)))</f>
        <v/>
      </c>
    </row>
    <row r="2019" customFormat="false" ht="15" hidden="false" customHeight="false" outlineLevel="0" collapsed="false">
      <c r="A2019" s="12"/>
      <c r="B2019" s="13"/>
      <c r="C2019" s="14"/>
      <c r="D2019" s="13"/>
      <c r="E2019" s="15"/>
      <c r="F2019" s="15"/>
      <c r="G2019" s="15"/>
      <c r="H2019" s="14"/>
      <c r="I2019" s="16" t="str">
        <f aca="false">IF(OR(A2019="",C2019=""),"",IF(OR(H2019="İade",H2019="İptal"),0,E2019*IFERROR(INDEX(Kanallar!$B$5:$B$19,MATCH(C2019,Kanallar!$A$5:$A$19,0)),0)))</f>
        <v/>
      </c>
      <c r="J2019" s="16" t="str">
        <f aca="false">IF(I2019="","",IF(H2019="İptal",0,IF(H2019="İade",-G2019,E2019-I2019-F2019-G2019)))</f>
        <v/>
      </c>
    </row>
    <row r="2020" customFormat="false" ht="15" hidden="false" customHeight="false" outlineLevel="0" collapsed="false">
      <c r="A2020" s="12"/>
      <c r="B2020" s="13"/>
      <c r="C2020" s="14"/>
      <c r="D2020" s="13"/>
      <c r="E2020" s="15"/>
      <c r="F2020" s="15"/>
      <c r="G2020" s="15"/>
      <c r="H2020" s="14"/>
      <c r="I2020" s="16" t="str">
        <f aca="false">IF(OR(A2020="",C2020=""),"",IF(OR(H2020="İade",H2020="İptal"),0,E2020*IFERROR(INDEX(Kanallar!$B$5:$B$19,MATCH(C2020,Kanallar!$A$5:$A$19,0)),0)))</f>
        <v/>
      </c>
      <c r="J2020" s="16" t="str">
        <f aca="false">IF(I2020="","",IF(H2020="İptal",0,IF(H2020="İade",-G2020,E2020-I2020-F2020-G2020)))</f>
        <v/>
      </c>
    </row>
    <row r="2021" customFormat="false" ht="15" hidden="false" customHeight="false" outlineLevel="0" collapsed="false">
      <c r="A2021" s="12"/>
      <c r="B2021" s="13"/>
      <c r="C2021" s="14"/>
      <c r="D2021" s="13"/>
      <c r="E2021" s="15"/>
      <c r="F2021" s="15"/>
      <c r="G2021" s="15"/>
      <c r="H2021" s="14"/>
      <c r="I2021" s="16" t="str">
        <f aca="false">IF(OR(A2021="",C2021=""),"",IF(OR(H2021="İade",H2021="İptal"),0,E2021*IFERROR(INDEX(Kanallar!$B$5:$B$19,MATCH(C2021,Kanallar!$A$5:$A$19,0)),0)))</f>
        <v/>
      </c>
      <c r="J2021" s="16" t="str">
        <f aca="false">IF(I2021="","",IF(H2021="İptal",0,IF(H2021="İade",-G2021,E2021-I2021-F2021-G2021)))</f>
        <v/>
      </c>
    </row>
    <row r="2022" customFormat="false" ht="15" hidden="false" customHeight="false" outlineLevel="0" collapsed="false">
      <c r="A2022" s="12"/>
      <c r="B2022" s="13"/>
      <c r="C2022" s="14"/>
      <c r="D2022" s="13"/>
      <c r="E2022" s="15"/>
      <c r="F2022" s="15"/>
      <c r="G2022" s="15"/>
      <c r="H2022" s="14"/>
      <c r="I2022" s="16" t="str">
        <f aca="false">IF(OR(A2022="",C2022=""),"",IF(OR(H2022="İade",H2022="İptal"),0,E2022*IFERROR(INDEX(Kanallar!$B$5:$B$19,MATCH(C2022,Kanallar!$A$5:$A$19,0)),0)))</f>
        <v/>
      </c>
      <c r="J2022" s="16" t="str">
        <f aca="false">IF(I2022="","",IF(H2022="İptal",0,IF(H2022="İade",-G2022,E2022-I2022-F2022-G2022)))</f>
        <v/>
      </c>
    </row>
    <row r="2023" customFormat="false" ht="15" hidden="false" customHeight="false" outlineLevel="0" collapsed="false">
      <c r="A2023" s="12"/>
      <c r="B2023" s="13"/>
      <c r="C2023" s="14"/>
      <c r="D2023" s="13"/>
      <c r="E2023" s="15"/>
      <c r="F2023" s="15"/>
      <c r="G2023" s="15"/>
      <c r="H2023" s="14"/>
      <c r="I2023" s="16" t="str">
        <f aca="false">IF(OR(A2023="",C2023=""),"",IF(OR(H2023="İade",H2023="İptal"),0,E2023*IFERROR(INDEX(Kanallar!$B$5:$B$19,MATCH(C2023,Kanallar!$A$5:$A$19,0)),0)))</f>
        <v/>
      </c>
      <c r="J2023" s="16" t="str">
        <f aca="false">IF(I2023="","",IF(H2023="İptal",0,IF(H2023="İade",-G2023,E2023-I2023-F2023-G2023)))</f>
        <v/>
      </c>
    </row>
    <row r="2024" customFormat="false" ht="15" hidden="false" customHeight="false" outlineLevel="0" collapsed="false">
      <c r="A2024" s="12"/>
      <c r="B2024" s="13"/>
      <c r="C2024" s="14"/>
      <c r="D2024" s="13"/>
      <c r="E2024" s="15"/>
      <c r="F2024" s="15"/>
      <c r="G2024" s="15"/>
      <c r="H2024" s="14"/>
      <c r="I2024" s="16" t="str">
        <f aca="false">IF(OR(A2024="",C2024=""),"",IF(OR(H2024="İade",H2024="İptal"),0,E2024*IFERROR(INDEX(Kanallar!$B$5:$B$19,MATCH(C2024,Kanallar!$A$5:$A$19,0)),0)))</f>
        <v/>
      </c>
      <c r="J2024" s="16" t="str">
        <f aca="false">IF(I2024="","",IF(H2024="İptal",0,IF(H2024="İade",-G2024,E2024-I2024-F2024-G2024)))</f>
        <v/>
      </c>
    </row>
    <row r="2025" customFormat="false" ht="15" hidden="false" customHeight="false" outlineLevel="0" collapsed="false">
      <c r="A2025" s="12"/>
      <c r="B2025" s="13"/>
      <c r="C2025" s="14"/>
      <c r="D2025" s="13"/>
      <c r="E2025" s="15"/>
      <c r="F2025" s="15"/>
      <c r="G2025" s="15"/>
      <c r="H2025" s="14"/>
      <c r="I2025" s="16" t="str">
        <f aca="false">IF(OR(A2025="",C2025=""),"",IF(OR(H2025="İade",H2025="İptal"),0,E2025*IFERROR(INDEX(Kanallar!$B$5:$B$19,MATCH(C2025,Kanallar!$A$5:$A$19,0)),0)))</f>
        <v/>
      </c>
      <c r="J2025" s="16" t="str">
        <f aca="false">IF(I2025="","",IF(H2025="İptal",0,IF(H2025="İade",-G2025,E2025-I2025-F2025-G2025)))</f>
        <v/>
      </c>
    </row>
    <row r="2026" customFormat="false" ht="15" hidden="false" customHeight="false" outlineLevel="0" collapsed="false">
      <c r="A2026" s="12"/>
      <c r="B2026" s="13"/>
      <c r="C2026" s="14"/>
      <c r="D2026" s="13"/>
      <c r="E2026" s="15"/>
      <c r="F2026" s="15"/>
      <c r="G2026" s="15"/>
      <c r="H2026" s="14"/>
      <c r="I2026" s="16" t="str">
        <f aca="false">IF(OR(A2026="",C2026=""),"",IF(OR(H2026="İade",H2026="İptal"),0,E2026*IFERROR(INDEX(Kanallar!$B$5:$B$19,MATCH(C2026,Kanallar!$A$5:$A$19,0)),0)))</f>
        <v/>
      </c>
      <c r="J2026" s="16" t="str">
        <f aca="false">IF(I2026="","",IF(H2026="İptal",0,IF(H2026="İade",-G2026,E2026-I2026-F2026-G2026)))</f>
        <v/>
      </c>
    </row>
    <row r="2027" customFormat="false" ht="15" hidden="false" customHeight="false" outlineLevel="0" collapsed="false">
      <c r="A2027" s="12"/>
      <c r="B2027" s="13"/>
      <c r="C2027" s="14"/>
      <c r="D2027" s="13"/>
      <c r="E2027" s="15"/>
      <c r="F2027" s="15"/>
      <c r="G2027" s="15"/>
      <c r="H2027" s="14"/>
      <c r="I2027" s="16" t="str">
        <f aca="false">IF(OR(A2027="",C2027=""),"",IF(OR(H2027="İade",H2027="İptal"),0,E2027*IFERROR(INDEX(Kanallar!$B$5:$B$19,MATCH(C2027,Kanallar!$A$5:$A$19,0)),0)))</f>
        <v/>
      </c>
      <c r="J2027" s="16" t="str">
        <f aca="false">IF(I2027="","",IF(H2027="İptal",0,IF(H2027="İade",-G2027,E2027-I2027-F2027-G2027)))</f>
        <v/>
      </c>
    </row>
    <row r="2028" customFormat="false" ht="15" hidden="false" customHeight="false" outlineLevel="0" collapsed="false">
      <c r="A2028" s="12"/>
      <c r="B2028" s="13"/>
      <c r="C2028" s="14"/>
      <c r="D2028" s="13"/>
      <c r="E2028" s="15"/>
      <c r="F2028" s="15"/>
      <c r="G2028" s="15"/>
      <c r="H2028" s="14"/>
      <c r="I2028" s="16" t="str">
        <f aca="false">IF(OR(A2028="",C2028=""),"",IF(OR(H2028="İade",H2028="İptal"),0,E2028*IFERROR(INDEX(Kanallar!$B$5:$B$19,MATCH(C2028,Kanallar!$A$5:$A$19,0)),0)))</f>
        <v/>
      </c>
      <c r="J2028" s="16" t="str">
        <f aca="false">IF(I2028="","",IF(H2028="İptal",0,IF(H2028="İade",-G2028,E2028-I2028-F2028-G2028)))</f>
        <v/>
      </c>
    </row>
    <row r="2029" customFormat="false" ht="15" hidden="false" customHeight="false" outlineLevel="0" collapsed="false">
      <c r="A2029" s="12"/>
      <c r="B2029" s="13"/>
      <c r="C2029" s="14"/>
      <c r="D2029" s="13"/>
      <c r="E2029" s="15"/>
      <c r="F2029" s="15"/>
      <c r="G2029" s="15"/>
      <c r="H2029" s="14"/>
      <c r="I2029" s="16" t="str">
        <f aca="false">IF(OR(A2029="",C2029=""),"",IF(OR(H2029="İade",H2029="İptal"),0,E2029*IFERROR(INDEX(Kanallar!$B$5:$B$19,MATCH(C2029,Kanallar!$A$5:$A$19,0)),0)))</f>
        <v/>
      </c>
      <c r="J2029" s="16" t="str">
        <f aca="false">IF(I2029="","",IF(H2029="İptal",0,IF(H2029="İade",-G2029,E2029-I2029-F2029-G2029)))</f>
        <v/>
      </c>
    </row>
    <row r="2030" customFormat="false" ht="15" hidden="false" customHeight="false" outlineLevel="0" collapsed="false">
      <c r="A2030" s="12"/>
      <c r="B2030" s="13"/>
      <c r="C2030" s="14"/>
      <c r="D2030" s="13"/>
      <c r="E2030" s="15"/>
      <c r="F2030" s="15"/>
      <c r="G2030" s="15"/>
      <c r="H2030" s="14"/>
      <c r="I2030" s="16" t="str">
        <f aca="false">IF(OR(A2030="",C2030=""),"",IF(OR(H2030="İade",H2030="İptal"),0,E2030*IFERROR(INDEX(Kanallar!$B$5:$B$19,MATCH(C2030,Kanallar!$A$5:$A$19,0)),0)))</f>
        <v/>
      </c>
      <c r="J2030" s="16" t="str">
        <f aca="false">IF(I2030="","",IF(H2030="İptal",0,IF(H2030="İade",-G2030,E2030-I2030-F2030-G2030)))</f>
        <v/>
      </c>
    </row>
    <row r="2031" customFormat="false" ht="15" hidden="false" customHeight="false" outlineLevel="0" collapsed="false">
      <c r="A2031" s="12"/>
      <c r="B2031" s="13"/>
      <c r="C2031" s="14"/>
      <c r="D2031" s="13"/>
      <c r="E2031" s="15"/>
      <c r="F2031" s="15"/>
      <c r="G2031" s="15"/>
      <c r="H2031" s="14"/>
      <c r="I2031" s="16" t="str">
        <f aca="false">IF(OR(A2031="",C2031=""),"",IF(OR(H2031="İade",H2031="İptal"),0,E2031*IFERROR(INDEX(Kanallar!$B$5:$B$19,MATCH(C2031,Kanallar!$A$5:$A$19,0)),0)))</f>
        <v/>
      </c>
      <c r="J2031" s="16" t="str">
        <f aca="false">IF(I2031="","",IF(H2031="İptal",0,IF(H2031="İade",-G2031,E2031-I2031-F2031-G2031)))</f>
        <v/>
      </c>
    </row>
    <row r="2032" customFormat="false" ht="15" hidden="false" customHeight="false" outlineLevel="0" collapsed="false">
      <c r="A2032" s="12"/>
      <c r="B2032" s="13"/>
      <c r="C2032" s="14"/>
      <c r="D2032" s="13"/>
      <c r="E2032" s="15"/>
      <c r="F2032" s="15"/>
      <c r="G2032" s="15"/>
      <c r="H2032" s="14"/>
      <c r="I2032" s="16" t="str">
        <f aca="false">IF(OR(A2032="",C2032=""),"",IF(OR(H2032="İade",H2032="İptal"),0,E2032*IFERROR(INDEX(Kanallar!$B$5:$B$19,MATCH(C2032,Kanallar!$A$5:$A$19,0)),0)))</f>
        <v/>
      </c>
      <c r="J2032" s="16" t="str">
        <f aca="false">IF(I2032="","",IF(H2032="İptal",0,IF(H2032="İade",-G2032,E2032-I2032-F2032-G2032)))</f>
        <v/>
      </c>
    </row>
    <row r="2033" customFormat="false" ht="15" hidden="false" customHeight="false" outlineLevel="0" collapsed="false">
      <c r="A2033" s="12"/>
      <c r="B2033" s="13"/>
      <c r="C2033" s="14"/>
      <c r="D2033" s="13"/>
      <c r="E2033" s="15"/>
      <c r="F2033" s="15"/>
      <c r="G2033" s="15"/>
      <c r="H2033" s="14"/>
      <c r="I2033" s="16" t="str">
        <f aca="false">IF(OR(A2033="",C2033=""),"",IF(OR(H2033="İade",H2033="İptal"),0,E2033*IFERROR(INDEX(Kanallar!$B$5:$B$19,MATCH(C2033,Kanallar!$A$5:$A$19,0)),0)))</f>
        <v/>
      </c>
      <c r="J2033" s="16" t="str">
        <f aca="false">IF(I2033="","",IF(H2033="İptal",0,IF(H2033="İade",-G2033,E2033-I2033-F2033-G2033)))</f>
        <v/>
      </c>
    </row>
    <row r="2034" customFormat="false" ht="15" hidden="false" customHeight="false" outlineLevel="0" collapsed="false">
      <c r="A2034" s="12"/>
      <c r="B2034" s="13"/>
      <c r="C2034" s="14"/>
      <c r="D2034" s="13"/>
      <c r="E2034" s="15"/>
      <c r="F2034" s="15"/>
      <c r="G2034" s="15"/>
      <c r="H2034" s="14"/>
      <c r="I2034" s="16" t="str">
        <f aca="false">IF(OR(A2034="",C2034=""),"",IF(OR(H2034="İade",H2034="İptal"),0,E2034*IFERROR(INDEX(Kanallar!$B$5:$B$19,MATCH(C2034,Kanallar!$A$5:$A$19,0)),0)))</f>
        <v/>
      </c>
      <c r="J2034" s="16" t="str">
        <f aca="false">IF(I2034="","",IF(H2034="İptal",0,IF(H2034="İade",-G2034,E2034-I2034-F2034-G2034)))</f>
        <v/>
      </c>
    </row>
    <row r="2035" customFormat="false" ht="15" hidden="false" customHeight="false" outlineLevel="0" collapsed="false">
      <c r="A2035" s="12"/>
      <c r="B2035" s="13"/>
      <c r="C2035" s="14"/>
      <c r="D2035" s="13"/>
      <c r="E2035" s="15"/>
      <c r="F2035" s="15"/>
      <c r="G2035" s="15"/>
      <c r="H2035" s="14"/>
      <c r="I2035" s="16" t="str">
        <f aca="false">IF(OR(A2035="",C2035=""),"",IF(OR(H2035="İade",H2035="İptal"),0,E2035*IFERROR(INDEX(Kanallar!$B$5:$B$19,MATCH(C2035,Kanallar!$A$5:$A$19,0)),0)))</f>
        <v/>
      </c>
      <c r="J2035" s="16" t="str">
        <f aca="false">IF(I2035="","",IF(H2035="İptal",0,IF(H2035="İade",-G2035,E2035-I2035-F2035-G2035)))</f>
        <v/>
      </c>
    </row>
    <row r="2036" customFormat="false" ht="15" hidden="false" customHeight="false" outlineLevel="0" collapsed="false">
      <c r="A2036" s="12"/>
      <c r="B2036" s="13"/>
      <c r="C2036" s="14"/>
      <c r="D2036" s="13"/>
      <c r="E2036" s="15"/>
      <c r="F2036" s="15"/>
      <c r="G2036" s="15"/>
      <c r="H2036" s="14"/>
      <c r="I2036" s="16" t="str">
        <f aca="false">IF(OR(A2036="",C2036=""),"",IF(OR(H2036="İade",H2036="İptal"),0,E2036*IFERROR(INDEX(Kanallar!$B$5:$B$19,MATCH(C2036,Kanallar!$A$5:$A$19,0)),0)))</f>
        <v/>
      </c>
      <c r="J2036" s="16" t="str">
        <f aca="false">IF(I2036="","",IF(H2036="İptal",0,IF(H2036="İade",-G2036,E2036-I2036-F2036-G2036)))</f>
        <v/>
      </c>
    </row>
    <row r="2037" customFormat="false" ht="15" hidden="false" customHeight="false" outlineLevel="0" collapsed="false">
      <c r="A2037" s="12"/>
      <c r="B2037" s="13"/>
      <c r="C2037" s="14"/>
      <c r="D2037" s="13"/>
      <c r="E2037" s="15"/>
      <c r="F2037" s="15"/>
      <c r="G2037" s="15"/>
      <c r="H2037" s="14"/>
      <c r="I2037" s="16" t="str">
        <f aca="false">IF(OR(A2037="",C2037=""),"",IF(OR(H2037="İade",H2037="İptal"),0,E2037*IFERROR(INDEX(Kanallar!$B$5:$B$19,MATCH(C2037,Kanallar!$A$5:$A$19,0)),0)))</f>
        <v/>
      </c>
      <c r="J2037" s="16" t="str">
        <f aca="false">IF(I2037="","",IF(H2037="İptal",0,IF(H2037="İade",-G2037,E2037-I2037-F2037-G2037)))</f>
        <v/>
      </c>
    </row>
    <row r="2038" customFormat="false" ht="15" hidden="false" customHeight="false" outlineLevel="0" collapsed="false">
      <c r="A2038" s="12"/>
      <c r="B2038" s="13"/>
      <c r="C2038" s="14"/>
      <c r="D2038" s="13"/>
      <c r="E2038" s="15"/>
      <c r="F2038" s="15"/>
      <c r="G2038" s="15"/>
      <c r="H2038" s="14"/>
      <c r="I2038" s="16" t="str">
        <f aca="false">IF(OR(A2038="",C2038=""),"",IF(OR(H2038="İade",H2038="İptal"),0,E2038*IFERROR(INDEX(Kanallar!$B$5:$B$19,MATCH(C2038,Kanallar!$A$5:$A$19,0)),0)))</f>
        <v/>
      </c>
      <c r="J2038" s="16" t="str">
        <f aca="false">IF(I2038="","",IF(H2038="İptal",0,IF(H2038="İade",-G2038,E2038-I2038-F2038-G2038)))</f>
        <v/>
      </c>
    </row>
    <row r="2039" customFormat="false" ht="15" hidden="false" customHeight="false" outlineLevel="0" collapsed="false">
      <c r="A2039" s="12"/>
      <c r="B2039" s="13"/>
      <c r="C2039" s="14"/>
      <c r="D2039" s="13"/>
      <c r="E2039" s="15"/>
      <c r="F2039" s="15"/>
      <c r="G2039" s="15"/>
      <c r="H2039" s="14"/>
      <c r="I2039" s="16" t="str">
        <f aca="false">IF(OR(A2039="",C2039=""),"",IF(OR(H2039="İade",H2039="İptal"),0,E2039*IFERROR(INDEX(Kanallar!$B$5:$B$19,MATCH(C2039,Kanallar!$A$5:$A$19,0)),0)))</f>
        <v/>
      </c>
      <c r="J2039" s="16" t="str">
        <f aca="false">IF(I2039="","",IF(H2039="İptal",0,IF(H2039="İade",-G2039,E2039-I2039-F2039-G2039)))</f>
        <v/>
      </c>
    </row>
    <row r="2040" customFormat="false" ht="15" hidden="false" customHeight="false" outlineLevel="0" collapsed="false">
      <c r="A2040" s="12"/>
      <c r="B2040" s="13"/>
      <c r="C2040" s="14"/>
      <c r="D2040" s="13"/>
      <c r="E2040" s="15"/>
      <c r="F2040" s="15"/>
      <c r="G2040" s="15"/>
      <c r="H2040" s="14"/>
      <c r="I2040" s="16" t="str">
        <f aca="false">IF(OR(A2040="",C2040=""),"",IF(OR(H2040="İade",H2040="İptal"),0,E2040*IFERROR(INDEX(Kanallar!$B$5:$B$19,MATCH(C2040,Kanallar!$A$5:$A$19,0)),0)))</f>
        <v/>
      </c>
      <c r="J2040" s="16" t="str">
        <f aca="false">IF(I2040="","",IF(H2040="İptal",0,IF(H2040="İade",-G2040,E2040-I2040-F2040-G2040)))</f>
        <v/>
      </c>
    </row>
    <row r="2041" customFormat="false" ht="15" hidden="false" customHeight="false" outlineLevel="0" collapsed="false">
      <c r="A2041" s="12"/>
      <c r="B2041" s="13"/>
      <c r="C2041" s="14"/>
      <c r="D2041" s="13"/>
      <c r="E2041" s="15"/>
      <c r="F2041" s="15"/>
      <c r="G2041" s="15"/>
      <c r="H2041" s="14"/>
      <c r="I2041" s="16" t="str">
        <f aca="false">IF(OR(A2041="",C2041=""),"",IF(OR(H2041="İade",H2041="İptal"),0,E2041*IFERROR(INDEX(Kanallar!$B$5:$B$19,MATCH(C2041,Kanallar!$A$5:$A$19,0)),0)))</f>
        <v/>
      </c>
      <c r="J2041" s="16" t="str">
        <f aca="false">IF(I2041="","",IF(H2041="İptal",0,IF(H2041="İade",-G2041,E2041-I2041-F2041-G2041)))</f>
        <v/>
      </c>
    </row>
    <row r="2042" customFormat="false" ht="15" hidden="false" customHeight="false" outlineLevel="0" collapsed="false">
      <c r="A2042" s="12"/>
      <c r="B2042" s="13"/>
      <c r="C2042" s="14"/>
      <c r="D2042" s="13"/>
      <c r="E2042" s="15"/>
      <c r="F2042" s="15"/>
      <c r="G2042" s="15"/>
      <c r="H2042" s="14"/>
      <c r="I2042" s="16" t="str">
        <f aca="false">IF(OR(A2042="",C2042=""),"",IF(OR(H2042="İade",H2042="İptal"),0,E2042*IFERROR(INDEX(Kanallar!$B$5:$B$19,MATCH(C2042,Kanallar!$A$5:$A$19,0)),0)))</f>
        <v/>
      </c>
      <c r="J2042" s="16" t="str">
        <f aca="false">IF(I2042="","",IF(H2042="İptal",0,IF(H2042="İade",-G2042,E2042-I2042-F2042-G2042)))</f>
        <v/>
      </c>
    </row>
    <row r="2043" customFormat="false" ht="15" hidden="false" customHeight="false" outlineLevel="0" collapsed="false">
      <c r="A2043" s="12"/>
      <c r="B2043" s="13"/>
      <c r="C2043" s="14"/>
      <c r="D2043" s="13"/>
      <c r="E2043" s="15"/>
      <c r="F2043" s="15"/>
      <c r="G2043" s="15"/>
      <c r="H2043" s="14"/>
      <c r="I2043" s="16" t="str">
        <f aca="false">IF(OR(A2043="",C2043=""),"",IF(OR(H2043="İade",H2043="İptal"),0,E2043*IFERROR(INDEX(Kanallar!$B$5:$B$19,MATCH(C2043,Kanallar!$A$5:$A$19,0)),0)))</f>
        <v/>
      </c>
      <c r="J2043" s="16" t="str">
        <f aca="false">IF(I2043="","",IF(H2043="İptal",0,IF(H2043="İade",-G2043,E2043-I2043-F2043-G2043)))</f>
        <v/>
      </c>
    </row>
    <row r="2044" customFormat="false" ht="15" hidden="false" customHeight="false" outlineLevel="0" collapsed="false">
      <c r="A2044" s="12"/>
      <c r="B2044" s="13"/>
      <c r="C2044" s="14"/>
      <c r="D2044" s="13"/>
      <c r="E2044" s="15"/>
      <c r="F2044" s="15"/>
      <c r="G2044" s="15"/>
      <c r="H2044" s="14"/>
      <c r="I2044" s="16" t="str">
        <f aca="false">IF(OR(A2044="",C2044=""),"",IF(OR(H2044="İade",H2044="İptal"),0,E2044*IFERROR(INDEX(Kanallar!$B$5:$B$19,MATCH(C2044,Kanallar!$A$5:$A$19,0)),0)))</f>
        <v/>
      </c>
      <c r="J2044" s="16" t="str">
        <f aca="false">IF(I2044="","",IF(H2044="İptal",0,IF(H2044="İade",-G2044,E2044-I2044-F2044-G2044)))</f>
        <v/>
      </c>
    </row>
    <row r="2045" customFormat="false" ht="15" hidden="false" customHeight="false" outlineLevel="0" collapsed="false">
      <c r="A2045" s="12"/>
      <c r="B2045" s="13"/>
      <c r="C2045" s="14"/>
      <c r="D2045" s="13"/>
      <c r="E2045" s="15"/>
      <c r="F2045" s="15"/>
      <c r="G2045" s="15"/>
      <c r="H2045" s="14"/>
      <c r="I2045" s="16" t="str">
        <f aca="false">IF(OR(A2045="",C2045=""),"",IF(OR(H2045="İade",H2045="İptal"),0,E2045*IFERROR(INDEX(Kanallar!$B$5:$B$19,MATCH(C2045,Kanallar!$A$5:$A$19,0)),0)))</f>
        <v/>
      </c>
      <c r="J2045" s="16" t="str">
        <f aca="false">IF(I2045="","",IF(H2045="İptal",0,IF(H2045="İade",-G2045,E2045-I2045-F2045-G2045)))</f>
        <v/>
      </c>
    </row>
    <row r="2046" customFormat="false" ht="15" hidden="false" customHeight="false" outlineLevel="0" collapsed="false">
      <c r="A2046" s="12"/>
      <c r="B2046" s="13"/>
      <c r="C2046" s="14"/>
      <c r="D2046" s="13"/>
      <c r="E2046" s="15"/>
      <c r="F2046" s="15"/>
      <c r="G2046" s="15"/>
      <c r="H2046" s="14"/>
      <c r="I2046" s="16" t="str">
        <f aca="false">IF(OR(A2046="",C2046=""),"",IF(OR(H2046="İade",H2046="İptal"),0,E2046*IFERROR(INDEX(Kanallar!$B$5:$B$19,MATCH(C2046,Kanallar!$A$5:$A$19,0)),0)))</f>
        <v/>
      </c>
      <c r="J2046" s="16" t="str">
        <f aca="false">IF(I2046="","",IF(H2046="İptal",0,IF(H2046="İade",-G2046,E2046-I2046-F2046-G2046)))</f>
        <v/>
      </c>
    </row>
    <row r="2047" customFormat="false" ht="15" hidden="false" customHeight="false" outlineLevel="0" collapsed="false">
      <c r="A2047" s="12"/>
      <c r="B2047" s="13"/>
      <c r="C2047" s="14"/>
      <c r="D2047" s="13"/>
      <c r="E2047" s="15"/>
      <c r="F2047" s="15"/>
      <c r="G2047" s="15"/>
      <c r="H2047" s="14"/>
      <c r="I2047" s="16" t="str">
        <f aca="false">IF(OR(A2047="",C2047=""),"",IF(OR(H2047="İade",H2047="İptal"),0,E2047*IFERROR(INDEX(Kanallar!$B$5:$B$19,MATCH(C2047,Kanallar!$A$5:$A$19,0)),0)))</f>
        <v/>
      </c>
      <c r="J2047" s="16" t="str">
        <f aca="false">IF(I2047="","",IF(H2047="İptal",0,IF(H2047="İade",-G2047,E2047-I2047-F2047-G2047)))</f>
        <v/>
      </c>
    </row>
    <row r="2048" customFormat="false" ht="15" hidden="false" customHeight="false" outlineLevel="0" collapsed="false">
      <c r="A2048" s="12"/>
      <c r="B2048" s="13"/>
      <c r="C2048" s="14"/>
      <c r="D2048" s="13"/>
      <c r="E2048" s="15"/>
      <c r="F2048" s="15"/>
      <c r="G2048" s="15"/>
      <c r="H2048" s="14"/>
      <c r="I2048" s="16" t="str">
        <f aca="false">IF(OR(A2048="",C2048=""),"",IF(OR(H2048="İade",H2048="İptal"),0,E2048*IFERROR(INDEX(Kanallar!$B$5:$B$19,MATCH(C2048,Kanallar!$A$5:$A$19,0)),0)))</f>
        <v/>
      </c>
      <c r="J2048" s="16" t="str">
        <f aca="false">IF(I2048="","",IF(H2048="İptal",0,IF(H2048="İade",-G2048,E2048-I2048-F2048-G2048)))</f>
        <v/>
      </c>
    </row>
    <row r="2049" customFormat="false" ht="15" hidden="false" customHeight="false" outlineLevel="0" collapsed="false">
      <c r="A2049" s="12"/>
      <c r="B2049" s="13"/>
      <c r="C2049" s="14"/>
      <c r="D2049" s="13"/>
      <c r="E2049" s="15"/>
      <c r="F2049" s="15"/>
      <c r="G2049" s="15"/>
      <c r="H2049" s="14"/>
      <c r="I2049" s="16" t="str">
        <f aca="false">IF(OR(A2049="",C2049=""),"",IF(OR(H2049="İade",H2049="İptal"),0,E2049*IFERROR(INDEX(Kanallar!$B$5:$B$19,MATCH(C2049,Kanallar!$A$5:$A$19,0)),0)))</f>
        <v/>
      </c>
      <c r="J2049" s="16" t="str">
        <f aca="false">IF(I2049="","",IF(H2049="İptal",0,IF(H2049="İade",-G2049,E2049-I2049-F2049-G2049)))</f>
        <v/>
      </c>
    </row>
    <row r="2050" customFormat="false" ht="15" hidden="false" customHeight="false" outlineLevel="0" collapsed="false">
      <c r="A2050" s="12"/>
      <c r="B2050" s="13"/>
      <c r="C2050" s="14"/>
      <c r="D2050" s="13"/>
      <c r="E2050" s="15"/>
      <c r="F2050" s="15"/>
      <c r="G2050" s="15"/>
      <c r="H2050" s="14"/>
      <c r="I2050" s="16" t="str">
        <f aca="false">IF(OR(A2050="",C2050=""),"",IF(OR(H2050="İade",H2050="İptal"),0,E2050*IFERROR(INDEX(Kanallar!$B$5:$B$19,MATCH(C2050,Kanallar!$A$5:$A$19,0)),0)))</f>
        <v/>
      </c>
      <c r="J2050" s="16" t="str">
        <f aca="false">IF(I2050="","",IF(H2050="İptal",0,IF(H2050="İade",-G2050,E2050-I2050-F2050-G2050)))</f>
        <v/>
      </c>
    </row>
    <row r="2051" customFormat="false" ht="15" hidden="false" customHeight="false" outlineLevel="0" collapsed="false">
      <c r="A2051" s="12"/>
      <c r="B2051" s="13"/>
      <c r="C2051" s="14"/>
      <c r="D2051" s="13"/>
      <c r="E2051" s="15"/>
      <c r="F2051" s="15"/>
      <c r="G2051" s="15"/>
      <c r="H2051" s="14"/>
      <c r="I2051" s="16" t="str">
        <f aca="false">IF(OR(A2051="",C2051=""),"",IF(OR(H2051="İade",H2051="İptal"),0,E2051*IFERROR(INDEX(Kanallar!$B$5:$B$19,MATCH(C2051,Kanallar!$A$5:$A$19,0)),0)))</f>
        <v/>
      </c>
      <c r="J2051" s="16" t="str">
        <f aca="false">IF(I2051="","",IF(H2051="İptal",0,IF(H2051="İade",-G2051,E2051-I2051-F2051-G2051)))</f>
        <v/>
      </c>
    </row>
    <row r="2052" customFormat="false" ht="15" hidden="false" customHeight="false" outlineLevel="0" collapsed="false">
      <c r="A2052" s="12"/>
      <c r="B2052" s="13"/>
      <c r="C2052" s="14"/>
      <c r="D2052" s="13"/>
      <c r="E2052" s="15"/>
      <c r="F2052" s="15"/>
      <c r="G2052" s="15"/>
      <c r="H2052" s="14"/>
      <c r="I2052" s="16" t="str">
        <f aca="false">IF(OR(A2052="",C2052=""),"",IF(OR(H2052="İade",H2052="İptal"),0,E2052*IFERROR(INDEX(Kanallar!$B$5:$B$19,MATCH(C2052,Kanallar!$A$5:$A$19,0)),0)))</f>
        <v/>
      </c>
      <c r="J2052" s="16" t="str">
        <f aca="false">IF(I2052="","",IF(H2052="İptal",0,IF(H2052="İade",-G2052,E2052-I2052-F2052-G2052)))</f>
        <v/>
      </c>
    </row>
    <row r="2053" customFormat="false" ht="15" hidden="false" customHeight="false" outlineLevel="0" collapsed="false">
      <c r="A2053" s="12"/>
      <c r="B2053" s="13"/>
      <c r="C2053" s="14"/>
      <c r="D2053" s="13"/>
      <c r="E2053" s="15"/>
      <c r="F2053" s="15"/>
      <c r="G2053" s="15"/>
      <c r="H2053" s="14"/>
      <c r="I2053" s="16" t="str">
        <f aca="false">IF(OR(A2053="",C2053=""),"",IF(OR(H2053="İade",H2053="İptal"),0,E2053*IFERROR(INDEX(Kanallar!$B$5:$B$19,MATCH(C2053,Kanallar!$A$5:$A$19,0)),0)))</f>
        <v/>
      </c>
      <c r="J2053" s="16" t="str">
        <f aca="false">IF(I2053="","",IF(H2053="İptal",0,IF(H2053="İade",-G2053,E2053-I2053-F2053-G2053)))</f>
        <v/>
      </c>
    </row>
    <row r="2054" customFormat="false" ht="15" hidden="false" customHeight="false" outlineLevel="0" collapsed="false">
      <c r="A2054" s="12"/>
      <c r="B2054" s="13"/>
      <c r="C2054" s="14"/>
      <c r="D2054" s="13"/>
      <c r="E2054" s="15"/>
      <c r="F2054" s="15"/>
      <c r="G2054" s="15"/>
      <c r="H2054" s="14"/>
      <c r="I2054" s="16" t="str">
        <f aca="false">IF(OR(A2054="",C2054=""),"",IF(OR(H2054="İade",H2054="İptal"),0,E2054*IFERROR(INDEX(Kanallar!$B$5:$B$19,MATCH(C2054,Kanallar!$A$5:$A$19,0)),0)))</f>
        <v/>
      </c>
      <c r="J2054" s="16" t="str">
        <f aca="false">IF(I2054="","",IF(H2054="İptal",0,IF(H2054="İade",-G2054,E2054-I2054-F2054-G2054)))</f>
        <v/>
      </c>
    </row>
    <row r="2055" customFormat="false" ht="15" hidden="false" customHeight="false" outlineLevel="0" collapsed="false">
      <c r="A2055" s="12"/>
      <c r="B2055" s="13"/>
      <c r="C2055" s="14"/>
      <c r="D2055" s="13"/>
      <c r="E2055" s="15"/>
      <c r="F2055" s="15"/>
      <c r="G2055" s="15"/>
      <c r="H2055" s="14"/>
      <c r="I2055" s="16" t="str">
        <f aca="false">IF(OR(A2055="",C2055=""),"",IF(OR(H2055="İade",H2055="İptal"),0,E2055*IFERROR(INDEX(Kanallar!$B$5:$B$19,MATCH(C2055,Kanallar!$A$5:$A$19,0)),0)))</f>
        <v/>
      </c>
      <c r="J2055" s="16" t="str">
        <f aca="false">IF(I2055="","",IF(H2055="İptal",0,IF(H2055="İade",-G2055,E2055-I2055-F2055-G2055)))</f>
        <v/>
      </c>
    </row>
    <row r="2056" customFormat="false" ht="15" hidden="false" customHeight="false" outlineLevel="0" collapsed="false">
      <c r="A2056" s="12"/>
      <c r="B2056" s="13"/>
      <c r="C2056" s="14"/>
      <c r="D2056" s="13"/>
      <c r="E2056" s="15"/>
      <c r="F2056" s="15"/>
      <c r="G2056" s="15"/>
      <c r="H2056" s="14"/>
      <c r="I2056" s="16" t="str">
        <f aca="false">IF(OR(A2056="",C2056=""),"",IF(OR(H2056="İade",H2056="İptal"),0,E2056*IFERROR(INDEX(Kanallar!$B$5:$B$19,MATCH(C2056,Kanallar!$A$5:$A$19,0)),0)))</f>
        <v/>
      </c>
      <c r="J2056" s="16" t="str">
        <f aca="false">IF(I2056="","",IF(H2056="İptal",0,IF(H2056="İade",-G2056,E2056-I2056-F2056-G2056)))</f>
        <v/>
      </c>
    </row>
    <row r="2057" customFormat="false" ht="15" hidden="false" customHeight="false" outlineLevel="0" collapsed="false">
      <c r="A2057" s="12"/>
      <c r="B2057" s="13"/>
      <c r="C2057" s="14"/>
      <c r="D2057" s="13"/>
      <c r="E2057" s="15"/>
      <c r="F2057" s="15"/>
      <c r="G2057" s="15"/>
      <c r="H2057" s="14"/>
      <c r="I2057" s="16" t="str">
        <f aca="false">IF(OR(A2057="",C2057=""),"",IF(OR(H2057="İade",H2057="İptal"),0,E2057*IFERROR(INDEX(Kanallar!$B$5:$B$19,MATCH(C2057,Kanallar!$A$5:$A$19,0)),0)))</f>
        <v/>
      </c>
      <c r="J2057" s="16" t="str">
        <f aca="false">IF(I2057="","",IF(H2057="İptal",0,IF(H2057="İade",-G2057,E2057-I2057-F2057-G2057)))</f>
        <v/>
      </c>
    </row>
    <row r="2058" customFormat="false" ht="15" hidden="false" customHeight="false" outlineLevel="0" collapsed="false">
      <c r="A2058" s="12"/>
      <c r="B2058" s="13"/>
      <c r="C2058" s="14"/>
      <c r="D2058" s="13"/>
      <c r="E2058" s="15"/>
      <c r="F2058" s="15"/>
      <c r="G2058" s="15"/>
      <c r="H2058" s="14"/>
      <c r="I2058" s="16" t="str">
        <f aca="false">IF(OR(A2058="",C2058=""),"",IF(OR(H2058="İade",H2058="İptal"),0,E2058*IFERROR(INDEX(Kanallar!$B$5:$B$19,MATCH(C2058,Kanallar!$A$5:$A$19,0)),0)))</f>
        <v/>
      </c>
      <c r="J2058" s="16" t="str">
        <f aca="false">IF(I2058="","",IF(H2058="İptal",0,IF(H2058="İade",-G2058,E2058-I2058-F2058-G2058)))</f>
        <v/>
      </c>
    </row>
    <row r="2059" customFormat="false" ht="15" hidden="false" customHeight="false" outlineLevel="0" collapsed="false">
      <c r="A2059" s="12"/>
      <c r="B2059" s="13"/>
      <c r="C2059" s="14"/>
      <c r="D2059" s="13"/>
      <c r="E2059" s="15"/>
      <c r="F2059" s="15"/>
      <c r="G2059" s="15"/>
      <c r="H2059" s="14"/>
      <c r="I2059" s="16" t="str">
        <f aca="false">IF(OR(A2059="",C2059=""),"",IF(OR(H2059="İade",H2059="İptal"),0,E2059*IFERROR(INDEX(Kanallar!$B$5:$B$19,MATCH(C2059,Kanallar!$A$5:$A$19,0)),0)))</f>
        <v/>
      </c>
      <c r="J2059" s="16" t="str">
        <f aca="false">IF(I2059="","",IF(H2059="İptal",0,IF(H2059="İade",-G2059,E2059-I2059-F2059-G2059)))</f>
        <v/>
      </c>
    </row>
    <row r="2060" customFormat="false" ht="15" hidden="false" customHeight="false" outlineLevel="0" collapsed="false">
      <c r="A2060" s="12"/>
      <c r="B2060" s="13"/>
      <c r="C2060" s="14"/>
      <c r="D2060" s="13"/>
      <c r="E2060" s="15"/>
      <c r="F2060" s="15"/>
      <c r="G2060" s="15"/>
      <c r="H2060" s="14"/>
      <c r="I2060" s="16" t="str">
        <f aca="false">IF(OR(A2060="",C2060=""),"",IF(OR(H2060="İade",H2060="İptal"),0,E2060*IFERROR(INDEX(Kanallar!$B$5:$B$19,MATCH(C2060,Kanallar!$A$5:$A$19,0)),0)))</f>
        <v/>
      </c>
      <c r="J2060" s="16" t="str">
        <f aca="false">IF(I2060="","",IF(H2060="İptal",0,IF(H2060="İade",-G2060,E2060-I2060-F2060-G2060)))</f>
        <v/>
      </c>
    </row>
    <row r="2061" customFormat="false" ht="15" hidden="false" customHeight="false" outlineLevel="0" collapsed="false">
      <c r="A2061" s="12"/>
      <c r="B2061" s="13"/>
      <c r="C2061" s="14"/>
      <c r="D2061" s="13"/>
      <c r="E2061" s="15"/>
      <c r="F2061" s="15"/>
      <c r="G2061" s="15"/>
      <c r="H2061" s="14"/>
      <c r="I2061" s="16" t="str">
        <f aca="false">IF(OR(A2061="",C2061=""),"",IF(OR(H2061="İade",H2061="İptal"),0,E2061*IFERROR(INDEX(Kanallar!$B$5:$B$19,MATCH(C2061,Kanallar!$A$5:$A$19,0)),0)))</f>
        <v/>
      </c>
      <c r="J2061" s="16" t="str">
        <f aca="false">IF(I2061="","",IF(H2061="İptal",0,IF(H2061="İade",-G2061,E2061-I2061-F2061-G2061)))</f>
        <v/>
      </c>
    </row>
    <row r="2062" customFormat="false" ht="15" hidden="false" customHeight="false" outlineLevel="0" collapsed="false">
      <c r="A2062" s="12"/>
      <c r="B2062" s="13"/>
      <c r="C2062" s="14"/>
      <c r="D2062" s="13"/>
      <c r="E2062" s="15"/>
      <c r="F2062" s="15"/>
      <c r="G2062" s="15"/>
      <c r="H2062" s="14"/>
      <c r="I2062" s="16" t="str">
        <f aca="false">IF(OR(A2062="",C2062=""),"",IF(OR(H2062="İade",H2062="İptal"),0,E2062*IFERROR(INDEX(Kanallar!$B$5:$B$19,MATCH(C2062,Kanallar!$A$5:$A$19,0)),0)))</f>
        <v/>
      </c>
      <c r="J2062" s="16" t="str">
        <f aca="false">IF(I2062="","",IF(H2062="İptal",0,IF(H2062="İade",-G2062,E2062-I2062-F2062-G2062)))</f>
        <v/>
      </c>
    </row>
    <row r="2063" customFormat="false" ht="15" hidden="false" customHeight="false" outlineLevel="0" collapsed="false">
      <c r="A2063" s="12"/>
      <c r="B2063" s="13"/>
      <c r="C2063" s="14"/>
      <c r="D2063" s="13"/>
      <c r="E2063" s="15"/>
      <c r="F2063" s="15"/>
      <c r="G2063" s="15"/>
      <c r="H2063" s="14"/>
      <c r="I2063" s="16" t="str">
        <f aca="false">IF(OR(A2063="",C2063=""),"",IF(OR(H2063="İade",H2063="İptal"),0,E2063*IFERROR(INDEX(Kanallar!$B$5:$B$19,MATCH(C2063,Kanallar!$A$5:$A$19,0)),0)))</f>
        <v/>
      </c>
      <c r="J2063" s="16" t="str">
        <f aca="false">IF(I2063="","",IF(H2063="İptal",0,IF(H2063="İade",-G2063,E2063-I2063-F2063-G2063)))</f>
        <v/>
      </c>
    </row>
    <row r="2064" customFormat="false" ht="15" hidden="false" customHeight="false" outlineLevel="0" collapsed="false">
      <c r="A2064" s="12"/>
      <c r="B2064" s="13"/>
      <c r="C2064" s="14"/>
      <c r="D2064" s="13"/>
      <c r="E2064" s="15"/>
      <c r="F2064" s="15"/>
      <c r="G2064" s="15"/>
      <c r="H2064" s="14"/>
      <c r="I2064" s="16" t="str">
        <f aca="false">IF(OR(A2064="",C2064=""),"",IF(OR(H2064="İade",H2064="İptal"),0,E2064*IFERROR(INDEX(Kanallar!$B$5:$B$19,MATCH(C2064,Kanallar!$A$5:$A$19,0)),0)))</f>
        <v/>
      </c>
      <c r="J2064" s="16" t="str">
        <f aca="false">IF(I2064="","",IF(H2064="İptal",0,IF(H2064="İade",-G2064,E2064-I2064-F2064-G2064)))</f>
        <v/>
      </c>
    </row>
    <row r="2065" customFormat="false" ht="15" hidden="false" customHeight="false" outlineLevel="0" collapsed="false">
      <c r="A2065" s="12"/>
      <c r="B2065" s="13"/>
      <c r="C2065" s="14"/>
      <c r="D2065" s="13"/>
      <c r="E2065" s="15"/>
      <c r="F2065" s="15"/>
      <c r="G2065" s="15"/>
      <c r="H2065" s="14"/>
      <c r="I2065" s="16" t="str">
        <f aca="false">IF(OR(A2065="",C2065=""),"",IF(OR(H2065="İade",H2065="İptal"),0,E2065*IFERROR(INDEX(Kanallar!$B$5:$B$19,MATCH(C2065,Kanallar!$A$5:$A$19,0)),0)))</f>
        <v/>
      </c>
      <c r="J2065" s="16" t="str">
        <f aca="false">IF(I2065="","",IF(H2065="İptal",0,IF(H2065="İade",-G2065,E2065-I2065-F2065-G2065)))</f>
        <v/>
      </c>
    </row>
    <row r="2066" customFormat="false" ht="15" hidden="false" customHeight="false" outlineLevel="0" collapsed="false">
      <c r="A2066" s="12"/>
      <c r="B2066" s="13"/>
      <c r="C2066" s="14"/>
      <c r="D2066" s="13"/>
      <c r="E2066" s="15"/>
      <c r="F2066" s="15"/>
      <c r="G2066" s="15"/>
      <c r="H2066" s="14"/>
      <c r="I2066" s="16" t="str">
        <f aca="false">IF(OR(A2066="",C2066=""),"",IF(OR(H2066="İade",H2066="İptal"),0,E2066*IFERROR(INDEX(Kanallar!$B$5:$B$19,MATCH(C2066,Kanallar!$A$5:$A$19,0)),0)))</f>
        <v/>
      </c>
      <c r="J2066" s="16" t="str">
        <f aca="false">IF(I2066="","",IF(H2066="İptal",0,IF(H2066="İade",-G2066,E2066-I2066-F2066-G2066)))</f>
        <v/>
      </c>
    </row>
    <row r="2067" customFormat="false" ht="15" hidden="false" customHeight="false" outlineLevel="0" collapsed="false">
      <c r="A2067" s="12"/>
      <c r="B2067" s="13"/>
      <c r="C2067" s="14"/>
      <c r="D2067" s="13"/>
      <c r="E2067" s="15"/>
      <c r="F2067" s="15"/>
      <c r="G2067" s="15"/>
      <c r="H2067" s="14"/>
      <c r="I2067" s="16" t="str">
        <f aca="false">IF(OR(A2067="",C2067=""),"",IF(OR(H2067="İade",H2067="İptal"),0,E2067*IFERROR(INDEX(Kanallar!$B$5:$B$19,MATCH(C2067,Kanallar!$A$5:$A$19,0)),0)))</f>
        <v/>
      </c>
      <c r="J2067" s="16" t="str">
        <f aca="false">IF(I2067="","",IF(H2067="İptal",0,IF(H2067="İade",-G2067,E2067-I2067-F2067-G2067)))</f>
        <v/>
      </c>
    </row>
    <row r="2068" customFormat="false" ht="15" hidden="false" customHeight="false" outlineLevel="0" collapsed="false">
      <c r="A2068" s="12"/>
      <c r="B2068" s="13"/>
      <c r="C2068" s="14"/>
      <c r="D2068" s="13"/>
      <c r="E2068" s="15"/>
      <c r="F2068" s="15"/>
      <c r="G2068" s="15"/>
      <c r="H2068" s="14"/>
      <c r="I2068" s="16" t="str">
        <f aca="false">IF(OR(A2068="",C2068=""),"",IF(OR(H2068="İade",H2068="İptal"),0,E2068*IFERROR(INDEX(Kanallar!$B$5:$B$19,MATCH(C2068,Kanallar!$A$5:$A$19,0)),0)))</f>
        <v/>
      </c>
      <c r="J2068" s="16" t="str">
        <f aca="false">IF(I2068="","",IF(H2068="İptal",0,IF(H2068="İade",-G2068,E2068-I2068-F2068-G2068)))</f>
        <v/>
      </c>
    </row>
    <row r="2069" customFormat="false" ht="15" hidden="false" customHeight="false" outlineLevel="0" collapsed="false">
      <c r="A2069" s="12"/>
      <c r="B2069" s="13"/>
      <c r="C2069" s="14"/>
      <c r="D2069" s="13"/>
      <c r="E2069" s="15"/>
      <c r="F2069" s="15"/>
      <c r="G2069" s="15"/>
      <c r="H2069" s="14"/>
      <c r="I2069" s="16" t="str">
        <f aca="false">IF(OR(A2069="",C2069=""),"",IF(OR(H2069="İade",H2069="İptal"),0,E2069*IFERROR(INDEX(Kanallar!$B$5:$B$19,MATCH(C2069,Kanallar!$A$5:$A$19,0)),0)))</f>
        <v/>
      </c>
      <c r="J2069" s="16" t="str">
        <f aca="false">IF(I2069="","",IF(H2069="İptal",0,IF(H2069="İade",-G2069,E2069-I2069-F2069-G2069)))</f>
        <v/>
      </c>
    </row>
    <row r="2070" customFormat="false" ht="15" hidden="false" customHeight="false" outlineLevel="0" collapsed="false">
      <c r="A2070" s="12"/>
      <c r="B2070" s="13"/>
      <c r="C2070" s="14"/>
      <c r="D2070" s="13"/>
      <c r="E2070" s="15"/>
      <c r="F2070" s="15"/>
      <c r="G2070" s="15"/>
      <c r="H2070" s="14"/>
      <c r="I2070" s="16" t="str">
        <f aca="false">IF(OR(A2070="",C2070=""),"",IF(OR(H2070="İade",H2070="İptal"),0,E2070*IFERROR(INDEX(Kanallar!$B$5:$B$19,MATCH(C2070,Kanallar!$A$5:$A$19,0)),0)))</f>
        <v/>
      </c>
      <c r="J2070" s="16" t="str">
        <f aca="false">IF(I2070="","",IF(H2070="İptal",0,IF(H2070="İade",-G2070,E2070-I2070-F2070-G2070)))</f>
        <v/>
      </c>
    </row>
    <row r="2071" customFormat="false" ht="15" hidden="false" customHeight="false" outlineLevel="0" collapsed="false">
      <c r="A2071" s="12"/>
      <c r="B2071" s="13"/>
      <c r="C2071" s="14"/>
      <c r="D2071" s="13"/>
      <c r="E2071" s="15"/>
      <c r="F2071" s="15"/>
      <c r="G2071" s="15"/>
      <c r="H2071" s="14"/>
      <c r="I2071" s="16" t="str">
        <f aca="false">IF(OR(A2071="",C2071=""),"",IF(OR(H2071="İade",H2071="İptal"),0,E2071*IFERROR(INDEX(Kanallar!$B$5:$B$19,MATCH(C2071,Kanallar!$A$5:$A$19,0)),0)))</f>
        <v/>
      </c>
      <c r="J2071" s="16" t="str">
        <f aca="false">IF(I2071="","",IF(H2071="İptal",0,IF(H2071="İade",-G2071,E2071-I2071-F2071-G2071)))</f>
        <v/>
      </c>
    </row>
    <row r="2072" customFormat="false" ht="15" hidden="false" customHeight="false" outlineLevel="0" collapsed="false">
      <c r="A2072" s="12"/>
      <c r="B2072" s="13"/>
      <c r="C2072" s="14"/>
      <c r="D2072" s="13"/>
      <c r="E2072" s="15"/>
      <c r="F2072" s="15"/>
      <c r="G2072" s="15"/>
      <c r="H2072" s="14"/>
      <c r="I2072" s="16" t="str">
        <f aca="false">IF(OR(A2072="",C2072=""),"",IF(OR(H2072="İade",H2072="İptal"),0,E2072*IFERROR(INDEX(Kanallar!$B$5:$B$19,MATCH(C2072,Kanallar!$A$5:$A$19,0)),0)))</f>
        <v/>
      </c>
      <c r="J2072" s="16" t="str">
        <f aca="false">IF(I2072="","",IF(H2072="İptal",0,IF(H2072="İade",-G2072,E2072-I2072-F2072-G2072)))</f>
        <v/>
      </c>
    </row>
    <row r="2073" customFormat="false" ht="15" hidden="false" customHeight="false" outlineLevel="0" collapsed="false">
      <c r="A2073" s="12"/>
      <c r="B2073" s="13"/>
      <c r="C2073" s="14"/>
      <c r="D2073" s="13"/>
      <c r="E2073" s="15"/>
      <c r="F2073" s="15"/>
      <c r="G2073" s="15"/>
      <c r="H2073" s="14"/>
      <c r="I2073" s="16" t="str">
        <f aca="false">IF(OR(A2073="",C2073=""),"",IF(OR(H2073="İade",H2073="İptal"),0,E2073*IFERROR(INDEX(Kanallar!$B$5:$B$19,MATCH(C2073,Kanallar!$A$5:$A$19,0)),0)))</f>
        <v/>
      </c>
      <c r="J2073" s="16" t="str">
        <f aca="false">IF(I2073="","",IF(H2073="İptal",0,IF(H2073="İade",-G2073,E2073-I2073-F2073-G2073)))</f>
        <v/>
      </c>
    </row>
    <row r="2074" customFormat="false" ht="15" hidden="false" customHeight="false" outlineLevel="0" collapsed="false">
      <c r="A2074" s="12"/>
      <c r="B2074" s="13"/>
      <c r="C2074" s="14"/>
      <c r="D2074" s="13"/>
      <c r="E2074" s="15"/>
      <c r="F2074" s="15"/>
      <c r="G2074" s="15"/>
      <c r="H2074" s="14"/>
      <c r="I2074" s="16" t="str">
        <f aca="false">IF(OR(A2074="",C2074=""),"",IF(OR(H2074="İade",H2074="İptal"),0,E2074*IFERROR(INDEX(Kanallar!$B$5:$B$19,MATCH(C2074,Kanallar!$A$5:$A$19,0)),0)))</f>
        <v/>
      </c>
      <c r="J2074" s="16" t="str">
        <f aca="false">IF(I2074="","",IF(H2074="İptal",0,IF(H2074="İade",-G2074,E2074-I2074-F2074-G2074)))</f>
        <v/>
      </c>
    </row>
    <row r="2075" customFormat="false" ht="15" hidden="false" customHeight="false" outlineLevel="0" collapsed="false">
      <c r="A2075" s="12"/>
      <c r="B2075" s="13"/>
      <c r="C2075" s="14"/>
      <c r="D2075" s="13"/>
      <c r="E2075" s="15"/>
      <c r="F2075" s="15"/>
      <c r="G2075" s="15"/>
      <c r="H2075" s="14"/>
      <c r="I2075" s="16" t="str">
        <f aca="false">IF(OR(A2075="",C2075=""),"",IF(OR(H2075="İade",H2075="İptal"),0,E2075*IFERROR(INDEX(Kanallar!$B$5:$B$19,MATCH(C2075,Kanallar!$A$5:$A$19,0)),0)))</f>
        <v/>
      </c>
      <c r="J2075" s="16" t="str">
        <f aca="false">IF(I2075="","",IF(H2075="İptal",0,IF(H2075="İade",-G2075,E2075-I2075-F2075-G2075)))</f>
        <v/>
      </c>
    </row>
    <row r="2076" customFormat="false" ht="15" hidden="false" customHeight="false" outlineLevel="0" collapsed="false">
      <c r="A2076" s="12"/>
      <c r="B2076" s="13"/>
      <c r="C2076" s="14"/>
      <c r="D2076" s="13"/>
      <c r="E2076" s="15"/>
      <c r="F2076" s="15"/>
      <c r="G2076" s="15"/>
      <c r="H2076" s="14"/>
      <c r="I2076" s="16" t="str">
        <f aca="false">IF(OR(A2076="",C2076=""),"",IF(OR(H2076="İade",H2076="İptal"),0,E2076*IFERROR(INDEX(Kanallar!$B$5:$B$19,MATCH(C2076,Kanallar!$A$5:$A$19,0)),0)))</f>
        <v/>
      </c>
      <c r="J2076" s="16" t="str">
        <f aca="false">IF(I2076="","",IF(H2076="İptal",0,IF(H2076="İade",-G2076,E2076-I2076-F2076-G2076)))</f>
        <v/>
      </c>
    </row>
    <row r="2077" customFormat="false" ht="15" hidden="false" customHeight="false" outlineLevel="0" collapsed="false">
      <c r="A2077" s="12"/>
      <c r="B2077" s="13"/>
      <c r="C2077" s="14"/>
      <c r="D2077" s="13"/>
      <c r="E2077" s="15"/>
      <c r="F2077" s="15"/>
      <c r="G2077" s="15"/>
      <c r="H2077" s="14"/>
      <c r="I2077" s="16" t="str">
        <f aca="false">IF(OR(A2077="",C2077=""),"",IF(OR(H2077="İade",H2077="İptal"),0,E2077*IFERROR(INDEX(Kanallar!$B$5:$B$19,MATCH(C2077,Kanallar!$A$5:$A$19,0)),0)))</f>
        <v/>
      </c>
      <c r="J2077" s="16" t="str">
        <f aca="false">IF(I2077="","",IF(H2077="İptal",0,IF(H2077="İade",-G2077,E2077-I2077-F2077-G2077)))</f>
        <v/>
      </c>
    </row>
    <row r="2078" customFormat="false" ht="15" hidden="false" customHeight="false" outlineLevel="0" collapsed="false">
      <c r="A2078" s="12"/>
      <c r="B2078" s="13"/>
      <c r="C2078" s="14"/>
      <c r="D2078" s="13"/>
      <c r="E2078" s="15"/>
      <c r="F2078" s="15"/>
      <c r="G2078" s="15"/>
      <c r="H2078" s="14"/>
      <c r="I2078" s="16" t="str">
        <f aca="false">IF(OR(A2078="",C2078=""),"",IF(OR(H2078="İade",H2078="İptal"),0,E2078*IFERROR(INDEX(Kanallar!$B$5:$B$19,MATCH(C2078,Kanallar!$A$5:$A$19,0)),0)))</f>
        <v/>
      </c>
      <c r="J2078" s="16" t="str">
        <f aca="false">IF(I2078="","",IF(H2078="İptal",0,IF(H2078="İade",-G2078,E2078-I2078-F2078-G2078)))</f>
        <v/>
      </c>
    </row>
    <row r="2079" customFormat="false" ht="15" hidden="false" customHeight="false" outlineLevel="0" collapsed="false">
      <c r="A2079" s="12"/>
      <c r="B2079" s="13"/>
      <c r="C2079" s="14"/>
      <c r="D2079" s="13"/>
      <c r="E2079" s="15"/>
      <c r="F2079" s="15"/>
      <c r="G2079" s="15"/>
      <c r="H2079" s="14"/>
      <c r="I2079" s="16" t="str">
        <f aca="false">IF(OR(A2079="",C2079=""),"",IF(OR(H2079="İade",H2079="İptal"),0,E2079*IFERROR(INDEX(Kanallar!$B$5:$B$19,MATCH(C2079,Kanallar!$A$5:$A$19,0)),0)))</f>
        <v/>
      </c>
      <c r="J2079" s="16" t="str">
        <f aca="false">IF(I2079="","",IF(H2079="İptal",0,IF(H2079="İade",-G2079,E2079-I2079-F2079-G2079)))</f>
        <v/>
      </c>
    </row>
    <row r="2080" customFormat="false" ht="15" hidden="false" customHeight="false" outlineLevel="0" collapsed="false">
      <c r="A2080" s="12"/>
      <c r="B2080" s="13"/>
      <c r="C2080" s="14"/>
      <c r="D2080" s="13"/>
      <c r="E2080" s="15"/>
      <c r="F2080" s="15"/>
      <c r="G2080" s="15"/>
      <c r="H2080" s="14"/>
      <c r="I2080" s="16" t="str">
        <f aca="false">IF(OR(A2080="",C2080=""),"",IF(OR(H2080="İade",H2080="İptal"),0,E2080*IFERROR(INDEX(Kanallar!$B$5:$B$19,MATCH(C2080,Kanallar!$A$5:$A$19,0)),0)))</f>
        <v/>
      </c>
      <c r="J2080" s="16" t="str">
        <f aca="false">IF(I2080="","",IF(H2080="İptal",0,IF(H2080="İade",-G2080,E2080-I2080-F2080-G2080)))</f>
        <v/>
      </c>
    </row>
    <row r="2081" customFormat="false" ht="15" hidden="false" customHeight="false" outlineLevel="0" collapsed="false">
      <c r="A2081" s="12"/>
      <c r="B2081" s="13"/>
      <c r="C2081" s="14"/>
      <c r="D2081" s="13"/>
      <c r="E2081" s="15"/>
      <c r="F2081" s="15"/>
      <c r="G2081" s="15"/>
      <c r="H2081" s="14"/>
      <c r="I2081" s="16" t="str">
        <f aca="false">IF(OR(A2081="",C2081=""),"",IF(OR(H2081="İade",H2081="İptal"),0,E2081*IFERROR(INDEX(Kanallar!$B$5:$B$19,MATCH(C2081,Kanallar!$A$5:$A$19,0)),0)))</f>
        <v/>
      </c>
      <c r="J2081" s="16" t="str">
        <f aca="false">IF(I2081="","",IF(H2081="İptal",0,IF(H2081="İade",-G2081,E2081-I2081-F2081-G2081)))</f>
        <v/>
      </c>
    </row>
    <row r="2082" customFormat="false" ht="15" hidden="false" customHeight="false" outlineLevel="0" collapsed="false">
      <c r="A2082" s="12"/>
      <c r="B2082" s="13"/>
      <c r="C2082" s="14"/>
      <c r="D2082" s="13"/>
      <c r="E2082" s="15"/>
      <c r="F2082" s="15"/>
      <c r="G2082" s="15"/>
      <c r="H2082" s="14"/>
      <c r="I2082" s="16" t="str">
        <f aca="false">IF(OR(A2082="",C2082=""),"",IF(OR(H2082="İade",H2082="İptal"),0,E2082*IFERROR(INDEX(Kanallar!$B$5:$B$19,MATCH(C2082,Kanallar!$A$5:$A$19,0)),0)))</f>
        <v/>
      </c>
      <c r="J2082" s="16" t="str">
        <f aca="false">IF(I2082="","",IF(H2082="İptal",0,IF(H2082="İade",-G2082,E2082-I2082-F2082-G2082)))</f>
        <v/>
      </c>
    </row>
    <row r="2083" customFormat="false" ht="15" hidden="false" customHeight="false" outlineLevel="0" collapsed="false">
      <c r="A2083" s="12"/>
      <c r="B2083" s="13"/>
      <c r="C2083" s="14"/>
      <c r="D2083" s="13"/>
      <c r="E2083" s="15"/>
      <c r="F2083" s="15"/>
      <c r="G2083" s="15"/>
      <c r="H2083" s="14"/>
      <c r="I2083" s="16" t="str">
        <f aca="false">IF(OR(A2083="",C2083=""),"",IF(OR(H2083="İade",H2083="İptal"),0,E2083*IFERROR(INDEX(Kanallar!$B$5:$B$19,MATCH(C2083,Kanallar!$A$5:$A$19,0)),0)))</f>
        <v/>
      </c>
      <c r="J2083" s="16" t="str">
        <f aca="false">IF(I2083="","",IF(H2083="İptal",0,IF(H2083="İade",-G2083,E2083-I2083-F2083-G2083)))</f>
        <v/>
      </c>
    </row>
    <row r="2084" customFormat="false" ht="15" hidden="false" customHeight="false" outlineLevel="0" collapsed="false">
      <c r="A2084" s="12"/>
      <c r="B2084" s="13"/>
      <c r="C2084" s="14"/>
      <c r="D2084" s="13"/>
      <c r="E2084" s="15"/>
      <c r="F2084" s="15"/>
      <c r="G2084" s="15"/>
      <c r="H2084" s="14"/>
      <c r="I2084" s="16" t="str">
        <f aca="false">IF(OR(A2084="",C2084=""),"",IF(OR(H2084="İade",H2084="İptal"),0,E2084*IFERROR(INDEX(Kanallar!$B$5:$B$19,MATCH(C2084,Kanallar!$A$5:$A$19,0)),0)))</f>
        <v/>
      </c>
      <c r="J2084" s="16" t="str">
        <f aca="false">IF(I2084="","",IF(H2084="İptal",0,IF(H2084="İade",-G2084,E2084-I2084-F2084-G2084)))</f>
        <v/>
      </c>
    </row>
    <row r="2085" customFormat="false" ht="15" hidden="false" customHeight="false" outlineLevel="0" collapsed="false">
      <c r="A2085" s="12"/>
      <c r="B2085" s="13"/>
      <c r="C2085" s="14"/>
      <c r="D2085" s="13"/>
      <c r="E2085" s="15"/>
      <c r="F2085" s="15"/>
      <c r="G2085" s="15"/>
      <c r="H2085" s="14"/>
      <c r="I2085" s="16" t="str">
        <f aca="false">IF(OR(A2085="",C2085=""),"",IF(OR(H2085="İade",H2085="İptal"),0,E2085*IFERROR(INDEX(Kanallar!$B$5:$B$19,MATCH(C2085,Kanallar!$A$5:$A$19,0)),0)))</f>
        <v/>
      </c>
      <c r="J2085" s="16" t="str">
        <f aca="false">IF(I2085="","",IF(H2085="İptal",0,IF(H2085="İade",-G2085,E2085-I2085-F2085-G2085)))</f>
        <v/>
      </c>
    </row>
    <row r="2086" customFormat="false" ht="15" hidden="false" customHeight="false" outlineLevel="0" collapsed="false">
      <c r="A2086" s="12"/>
      <c r="B2086" s="13"/>
      <c r="C2086" s="14"/>
      <c r="D2086" s="13"/>
      <c r="E2086" s="15"/>
      <c r="F2086" s="15"/>
      <c r="G2086" s="15"/>
      <c r="H2086" s="14"/>
      <c r="I2086" s="16" t="str">
        <f aca="false">IF(OR(A2086="",C2086=""),"",IF(OR(H2086="İade",H2086="İptal"),0,E2086*IFERROR(INDEX(Kanallar!$B$5:$B$19,MATCH(C2086,Kanallar!$A$5:$A$19,0)),0)))</f>
        <v/>
      </c>
      <c r="J2086" s="16" t="str">
        <f aca="false">IF(I2086="","",IF(H2086="İptal",0,IF(H2086="İade",-G2086,E2086-I2086-F2086-G2086)))</f>
        <v/>
      </c>
    </row>
    <row r="2087" customFormat="false" ht="15" hidden="false" customHeight="false" outlineLevel="0" collapsed="false">
      <c r="A2087" s="12"/>
      <c r="B2087" s="13"/>
      <c r="C2087" s="14"/>
      <c r="D2087" s="13"/>
      <c r="E2087" s="15"/>
      <c r="F2087" s="15"/>
      <c r="G2087" s="15"/>
      <c r="H2087" s="14"/>
      <c r="I2087" s="16" t="str">
        <f aca="false">IF(OR(A2087="",C2087=""),"",IF(OR(H2087="İade",H2087="İptal"),0,E2087*IFERROR(INDEX(Kanallar!$B$5:$B$19,MATCH(C2087,Kanallar!$A$5:$A$19,0)),0)))</f>
        <v/>
      </c>
      <c r="J2087" s="16" t="str">
        <f aca="false">IF(I2087="","",IF(H2087="İptal",0,IF(H2087="İade",-G2087,E2087-I2087-F2087-G2087)))</f>
        <v/>
      </c>
    </row>
    <row r="2088" customFormat="false" ht="15" hidden="false" customHeight="false" outlineLevel="0" collapsed="false">
      <c r="A2088" s="12"/>
      <c r="B2088" s="13"/>
      <c r="C2088" s="14"/>
      <c r="D2088" s="13"/>
      <c r="E2088" s="15"/>
      <c r="F2088" s="15"/>
      <c r="G2088" s="15"/>
      <c r="H2088" s="14"/>
      <c r="I2088" s="16" t="str">
        <f aca="false">IF(OR(A2088="",C2088=""),"",IF(OR(H2088="İade",H2088="İptal"),0,E2088*IFERROR(INDEX(Kanallar!$B$5:$B$19,MATCH(C2088,Kanallar!$A$5:$A$19,0)),0)))</f>
        <v/>
      </c>
      <c r="J2088" s="16" t="str">
        <f aca="false">IF(I2088="","",IF(H2088="İptal",0,IF(H2088="İade",-G2088,E2088-I2088-F2088-G2088)))</f>
        <v/>
      </c>
    </row>
    <row r="2089" customFormat="false" ht="15" hidden="false" customHeight="false" outlineLevel="0" collapsed="false">
      <c r="A2089" s="12"/>
      <c r="B2089" s="13"/>
      <c r="C2089" s="14"/>
      <c r="D2089" s="13"/>
      <c r="E2089" s="15"/>
      <c r="F2089" s="15"/>
      <c r="G2089" s="15"/>
      <c r="H2089" s="14"/>
      <c r="I2089" s="16" t="str">
        <f aca="false">IF(OR(A2089="",C2089=""),"",IF(OR(H2089="İade",H2089="İptal"),0,E2089*IFERROR(INDEX(Kanallar!$B$5:$B$19,MATCH(C2089,Kanallar!$A$5:$A$19,0)),0)))</f>
        <v/>
      </c>
      <c r="J2089" s="16" t="str">
        <f aca="false">IF(I2089="","",IF(H2089="İptal",0,IF(H2089="İade",-G2089,E2089-I2089-F2089-G2089)))</f>
        <v/>
      </c>
    </row>
    <row r="2090" customFormat="false" ht="15" hidden="false" customHeight="false" outlineLevel="0" collapsed="false">
      <c r="A2090" s="12"/>
      <c r="B2090" s="13"/>
      <c r="C2090" s="14"/>
      <c r="D2090" s="13"/>
      <c r="E2090" s="15"/>
      <c r="F2090" s="15"/>
      <c r="G2090" s="15"/>
      <c r="H2090" s="14"/>
      <c r="I2090" s="16" t="str">
        <f aca="false">IF(OR(A2090="",C2090=""),"",IF(OR(H2090="İade",H2090="İptal"),0,E2090*IFERROR(INDEX(Kanallar!$B$5:$B$19,MATCH(C2090,Kanallar!$A$5:$A$19,0)),0)))</f>
        <v/>
      </c>
      <c r="J2090" s="16" t="str">
        <f aca="false">IF(I2090="","",IF(H2090="İptal",0,IF(H2090="İade",-G2090,E2090-I2090-F2090-G2090)))</f>
        <v/>
      </c>
    </row>
    <row r="2091" customFormat="false" ht="15" hidden="false" customHeight="false" outlineLevel="0" collapsed="false">
      <c r="A2091" s="12"/>
      <c r="B2091" s="13"/>
      <c r="C2091" s="14"/>
      <c r="D2091" s="13"/>
      <c r="E2091" s="15"/>
      <c r="F2091" s="15"/>
      <c r="G2091" s="15"/>
      <c r="H2091" s="14"/>
      <c r="I2091" s="16" t="str">
        <f aca="false">IF(OR(A2091="",C2091=""),"",IF(OR(H2091="İade",H2091="İptal"),0,E2091*IFERROR(INDEX(Kanallar!$B$5:$B$19,MATCH(C2091,Kanallar!$A$5:$A$19,0)),0)))</f>
        <v/>
      </c>
      <c r="J2091" s="16" t="str">
        <f aca="false">IF(I2091="","",IF(H2091="İptal",0,IF(H2091="İade",-G2091,E2091-I2091-F2091-G2091)))</f>
        <v/>
      </c>
    </row>
    <row r="2092" customFormat="false" ht="15" hidden="false" customHeight="false" outlineLevel="0" collapsed="false">
      <c r="A2092" s="12"/>
      <c r="B2092" s="13"/>
      <c r="C2092" s="14"/>
      <c r="D2092" s="13"/>
      <c r="E2092" s="15"/>
      <c r="F2092" s="15"/>
      <c r="G2092" s="15"/>
      <c r="H2092" s="14"/>
      <c r="I2092" s="16" t="str">
        <f aca="false">IF(OR(A2092="",C2092=""),"",IF(OR(H2092="İade",H2092="İptal"),0,E2092*IFERROR(INDEX(Kanallar!$B$5:$B$19,MATCH(C2092,Kanallar!$A$5:$A$19,0)),0)))</f>
        <v/>
      </c>
      <c r="J2092" s="16" t="str">
        <f aca="false">IF(I2092="","",IF(H2092="İptal",0,IF(H2092="İade",-G2092,E2092-I2092-F2092-G2092)))</f>
        <v/>
      </c>
    </row>
    <row r="2093" customFormat="false" ht="15" hidden="false" customHeight="false" outlineLevel="0" collapsed="false">
      <c r="A2093" s="12"/>
      <c r="B2093" s="13"/>
      <c r="C2093" s="14"/>
      <c r="D2093" s="13"/>
      <c r="E2093" s="15"/>
      <c r="F2093" s="15"/>
      <c r="G2093" s="15"/>
      <c r="H2093" s="14"/>
      <c r="I2093" s="16" t="str">
        <f aca="false">IF(OR(A2093="",C2093=""),"",IF(OR(H2093="İade",H2093="İptal"),0,E2093*IFERROR(INDEX(Kanallar!$B$5:$B$19,MATCH(C2093,Kanallar!$A$5:$A$19,0)),0)))</f>
        <v/>
      </c>
      <c r="J2093" s="16" t="str">
        <f aca="false">IF(I2093="","",IF(H2093="İptal",0,IF(H2093="İade",-G2093,E2093-I2093-F2093-G2093)))</f>
        <v/>
      </c>
    </row>
    <row r="2094" customFormat="false" ht="15" hidden="false" customHeight="false" outlineLevel="0" collapsed="false">
      <c r="A2094" s="12"/>
      <c r="B2094" s="13"/>
      <c r="C2094" s="14"/>
      <c r="D2094" s="13"/>
      <c r="E2094" s="15"/>
      <c r="F2094" s="15"/>
      <c r="G2094" s="15"/>
      <c r="H2094" s="14"/>
      <c r="I2094" s="16" t="str">
        <f aca="false">IF(OR(A2094="",C2094=""),"",IF(OR(H2094="İade",H2094="İptal"),0,E2094*IFERROR(INDEX(Kanallar!$B$5:$B$19,MATCH(C2094,Kanallar!$A$5:$A$19,0)),0)))</f>
        <v/>
      </c>
      <c r="J2094" s="16" t="str">
        <f aca="false">IF(I2094="","",IF(H2094="İptal",0,IF(H2094="İade",-G2094,E2094-I2094-F2094-G2094)))</f>
        <v/>
      </c>
    </row>
    <row r="2095" customFormat="false" ht="15" hidden="false" customHeight="false" outlineLevel="0" collapsed="false">
      <c r="A2095" s="12"/>
      <c r="B2095" s="13"/>
      <c r="C2095" s="14"/>
      <c r="D2095" s="13"/>
      <c r="E2095" s="15"/>
      <c r="F2095" s="15"/>
      <c r="G2095" s="15"/>
      <c r="H2095" s="14"/>
      <c r="I2095" s="16" t="str">
        <f aca="false">IF(OR(A2095="",C2095=""),"",IF(OR(H2095="İade",H2095="İptal"),0,E2095*IFERROR(INDEX(Kanallar!$B$5:$B$19,MATCH(C2095,Kanallar!$A$5:$A$19,0)),0)))</f>
        <v/>
      </c>
      <c r="J2095" s="16" t="str">
        <f aca="false">IF(I2095="","",IF(H2095="İptal",0,IF(H2095="İade",-G2095,E2095-I2095-F2095-G2095)))</f>
        <v/>
      </c>
    </row>
    <row r="2096" customFormat="false" ht="15" hidden="false" customHeight="false" outlineLevel="0" collapsed="false">
      <c r="A2096" s="12"/>
      <c r="B2096" s="13"/>
      <c r="C2096" s="14"/>
      <c r="D2096" s="13"/>
      <c r="E2096" s="15"/>
      <c r="F2096" s="15"/>
      <c r="G2096" s="15"/>
      <c r="H2096" s="14"/>
      <c r="I2096" s="16" t="str">
        <f aca="false">IF(OR(A2096="",C2096=""),"",IF(OR(H2096="İade",H2096="İptal"),0,E2096*IFERROR(INDEX(Kanallar!$B$5:$B$19,MATCH(C2096,Kanallar!$A$5:$A$19,0)),0)))</f>
        <v/>
      </c>
      <c r="J2096" s="16" t="str">
        <f aca="false">IF(I2096="","",IF(H2096="İptal",0,IF(H2096="İade",-G2096,E2096-I2096-F2096-G2096)))</f>
        <v/>
      </c>
    </row>
    <row r="2097" customFormat="false" ht="15" hidden="false" customHeight="false" outlineLevel="0" collapsed="false">
      <c r="A2097" s="12"/>
      <c r="B2097" s="13"/>
      <c r="C2097" s="14"/>
      <c r="D2097" s="13"/>
      <c r="E2097" s="15"/>
      <c r="F2097" s="15"/>
      <c r="G2097" s="15"/>
      <c r="H2097" s="14"/>
      <c r="I2097" s="16" t="str">
        <f aca="false">IF(OR(A2097="",C2097=""),"",IF(OR(H2097="İade",H2097="İptal"),0,E2097*IFERROR(INDEX(Kanallar!$B$5:$B$19,MATCH(C2097,Kanallar!$A$5:$A$19,0)),0)))</f>
        <v/>
      </c>
      <c r="J2097" s="16" t="str">
        <f aca="false">IF(I2097="","",IF(H2097="İptal",0,IF(H2097="İade",-G2097,E2097-I2097-F2097-G2097)))</f>
        <v/>
      </c>
    </row>
    <row r="2098" customFormat="false" ht="15" hidden="false" customHeight="false" outlineLevel="0" collapsed="false">
      <c r="A2098" s="12"/>
      <c r="B2098" s="13"/>
      <c r="C2098" s="14"/>
      <c r="D2098" s="13"/>
      <c r="E2098" s="15"/>
      <c r="F2098" s="15"/>
      <c r="G2098" s="15"/>
      <c r="H2098" s="14"/>
      <c r="I2098" s="16" t="str">
        <f aca="false">IF(OR(A2098="",C2098=""),"",IF(OR(H2098="İade",H2098="İptal"),0,E2098*IFERROR(INDEX(Kanallar!$B$5:$B$19,MATCH(C2098,Kanallar!$A$5:$A$19,0)),0)))</f>
        <v/>
      </c>
      <c r="J2098" s="16" t="str">
        <f aca="false">IF(I2098="","",IF(H2098="İptal",0,IF(H2098="İade",-G2098,E2098-I2098-F2098-G2098)))</f>
        <v/>
      </c>
    </row>
    <row r="2099" customFormat="false" ht="15" hidden="false" customHeight="false" outlineLevel="0" collapsed="false">
      <c r="A2099" s="12"/>
      <c r="B2099" s="13"/>
      <c r="C2099" s="14"/>
      <c r="D2099" s="13"/>
      <c r="E2099" s="15"/>
      <c r="F2099" s="15"/>
      <c r="G2099" s="15"/>
      <c r="H2099" s="14"/>
      <c r="I2099" s="16" t="str">
        <f aca="false">IF(OR(A2099="",C2099=""),"",IF(OR(H2099="İade",H2099="İptal"),0,E2099*IFERROR(INDEX(Kanallar!$B$5:$B$19,MATCH(C2099,Kanallar!$A$5:$A$19,0)),0)))</f>
        <v/>
      </c>
      <c r="J2099" s="16" t="str">
        <f aca="false">IF(I2099="","",IF(H2099="İptal",0,IF(H2099="İade",-G2099,E2099-I2099-F2099-G2099)))</f>
        <v/>
      </c>
    </row>
    <row r="2100" customFormat="false" ht="15" hidden="false" customHeight="false" outlineLevel="0" collapsed="false">
      <c r="A2100" s="12"/>
      <c r="B2100" s="13"/>
      <c r="C2100" s="14"/>
      <c r="D2100" s="13"/>
      <c r="E2100" s="15"/>
      <c r="F2100" s="15"/>
      <c r="G2100" s="15"/>
      <c r="H2100" s="14"/>
      <c r="I2100" s="16" t="str">
        <f aca="false">IF(OR(A2100="",C2100=""),"",IF(OR(H2100="İade",H2100="İptal"),0,E2100*IFERROR(INDEX(Kanallar!$B$5:$B$19,MATCH(C2100,Kanallar!$A$5:$A$19,0)),0)))</f>
        <v/>
      </c>
      <c r="J2100" s="16" t="str">
        <f aca="false">IF(I2100="","",IF(H2100="İptal",0,IF(H2100="İade",-G2100,E2100-I2100-F2100-G2100)))</f>
        <v/>
      </c>
    </row>
    <row r="2101" customFormat="false" ht="15" hidden="false" customHeight="false" outlineLevel="0" collapsed="false">
      <c r="A2101" s="12"/>
      <c r="B2101" s="13"/>
      <c r="C2101" s="14"/>
      <c r="D2101" s="13"/>
      <c r="E2101" s="15"/>
      <c r="F2101" s="15"/>
      <c r="G2101" s="15"/>
      <c r="H2101" s="14"/>
      <c r="I2101" s="16" t="str">
        <f aca="false">IF(OR(A2101="",C2101=""),"",IF(OR(H2101="İade",H2101="İptal"),0,E2101*IFERROR(INDEX(Kanallar!$B$5:$B$19,MATCH(C2101,Kanallar!$A$5:$A$19,0)),0)))</f>
        <v/>
      </c>
      <c r="J2101" s="16" t="str">
        <f aca="false">IF(I2101="","",IF(H2101="İptal",0,IF(H2101="İade",-G2101,E2101-I2101-F2101-G2101)))</f>
        <v/>
      </c>
    </row>
    <row r="2102" customFormat="false" ht="15" hidden="false" customHeight="false" outlineLevel="0" collapsed="false">
      <c r="A2102" s="12"/>
      <c r="B2102" s="13"/>
      <c r="C2102" s="14"/>
      <c r="D2102" s="13"/>
      <c r="E2102" s="15"/>
      <c r="F2102" s="15"/>
      <c r="G2102" s="15"/>
      <c r="H2102" s="14"/>
      <c r="I2102" s="16" t="str">
        <f aca="false">IF(OR(A2102="",C2102=""),"",IF(OR(H2102="İade",H2102="İptal"),0,E2102*IFERROR(INDEX(Kanallar!$B$5:$B$19,MATCH(C2102,Kanallar!$A$5:$A$19,0)),0)))</f>
        <v/>
      </c>
      <c r="J2102" s="16" t="str">
        <f aca="false">IF(I2102="","",IF(H2102="İptal",0,IF(H2102="İade",-G2102,E2102-I2102-F2102-G2102)))</f>
        <v/>
      </c>
    </row>
    <row r="2103" customFormat="false" ht="15" hidden="false" customHeight="false" outlineLevel="0" collapsed="false">
      <c r="A2103" s="12"/>
      <c r="B2103" s="13"/>
      <c r="C2103" s="14"/>
      <c r="D2103" s="13"/>
      <c r="E2103" s="15"/>
      <c r="F2103" s="15"/>
      <c r="G2103" s="15"/>
      <c r="H2103" s="14"/>
      <c r="I2103" s="16" t="str">
        <f aca="false">IF(OR(A2103="",C2103=""),"",IF(OR(H2103="İade",H2103="İptal"),0,E2103*IFERROR(INDEX(Kanallar!$B$5:$B$19,MATCH(C2103,Kanallar!$A$5:$A$19,0)),0)))</f>
        <v/>
      </c>
      <c r="J2103" s="16" t="str">
        <f aca="false">IF(I2103="","",IF(H2103="İptal",0,IF(H2103="İade",-G2103,E2103-I2103-F2103-G2103)))</f>
        <v/>
      </c>
    </row>
    <row r="2104" customFormat="false" ht="15" hidden="false" customHeight="false" outlineLevel="0" collapsed="false">
      <c r="A2104" s="12"/>
      <c r="B2104" s="13"/>
      <c r="C2104" s="14"/>
      <c r="D2104" s="13"/>
      <c r="E2104" s="15"/>
      <c r="F2104" s="15"/>
      <c r="G2104" s="15"/>
      <c r="H2104" s="14"/>
      <c r="I2104" s="16" t="str">
        <f aca="false">IF(OR(A2104="",C2104=""),"",IF(OR(H2104="İade",H2104="İptal"),0,E2104*IFERROR(INDEX(Kanallar!$B$5:$B$19,MATCH(C2104,Kanallar!$A$5:$A$19,0)),0)))</f>
        <v/>
      </c>
      <c r="J2104" s="16" t="str">
        <f aca="false">IF(I2104="","",IF(H2104="İptal",0,IF(H2104="İade",-G2104,E2104-I2104-F2104-G2104)))</f>
        <v/>
      </c>
    </row>
    <row r="2105" customFormat="false" ht="15" hidden="false" customHeight="false" outlineLevel="0" collapsed="false">
      <c r="A2105" s="12"/>
      <c r="B2105" s="13"/>
      <c r="C2105" s="14"/>
      <c r="D2105" s="13"/>
      <c r="E2105" s="15"/>
      <c r="F2105" s="15"/>
      <c r="G2105" s="15"/>
      <c r="H2105" s="14"/>
      <c r="I2105" s="16" t="str">
        <f aca="false">IF(OR(A2105="",C2105=""),"",IF(OR(H2105="İade",H2105="İptal"),0,E2105*IFERROR(INDEX(Kanallar!$B$5:$B$19,MATCH(C2105,Kanallar!$A$5:$A$19,0)),0)))</f>
        <v/>
      </c>
      <c r="J2105" s="16" t="str">
        <f aca="false">IF(I2105="","",IF(H2105="İptal",0,IF(H2105="İade",-G2105,E2105-I2105-F2105-G2105)))</f>
        <v/>
      </c>
    </row>
    <row r="2106" customFormat="false" ht="15" hidden="false" customHeight="false" outlineLevel="0" collapsed="false">
      <c r="A2106" s="12"/>
      <c r="B2106" s="13"/>
      <c r="C2106" s="14"/>
      <c r="D2106" s="13"/>
      <c r="E2106" s="15"/>
      <c r="F2106" s="15"/>
      <c r="G2106" s="15"/>
      <c r="H2106" s="14"/>
      <c r="I2106" s="16" t="str">
        <f aca="false">IF(OR(A2106="",C2106=""),"",IF(OR(H2106="İade",H2106="İptal"),0,E2106*IFERROR(INDEX(Kanallar!$B$5:$B$19,MATCH(C2106,Kanallar!$A$5:$A$19,0)),0)))</f>
        <v/>
      </c>
      <c r="J2106" s="16" t="str">
        <f aca="false">IF(I2106="","",IF(H2106="İptal",0,IF(H2106="İade",-G2106,E2106-I2106-F2106-G2106)))</f>
        <v/>
      </c>
    </row>
    <row r="2107" customFormat="false" ht="15" hidden="false" customHeight="false" outlineLevel="0" collapsed="false">
      <c r="A2107" s="12"/>
      <c r="B2107" s="13"/>
      <c r="C2107" s="14"/>
      <c r="D2107" s="13"/>
      <c r="E2107" s="15"/>
      <c r="F2107" s="15"/>
      <c r="G2107" s="15"/>
      <c r="H2107" s="14"/>
      <c r="I2107" s="16" t="str">
        <f aca="false">IF(OR(A2107="",C2107=""),"",IF(OR(H2107="İade",H2107="İptal"),0,E2107*IFERROR(INDEX(Kanallar!$B$5:$B$19,MATCH(C2107,Kanallar!$A$5:$A$19,0)),0)))</f>
        <v/>
      </c>
      <c r="J2107" s="16" t="str">
        <f aca="false">IF(I2107="","",IF(H2107="İptal",0,IF(H2107="İade",-G2107,E2107-I2107-F2107-G2107)))</f>
        <v/>
      </c>
    </row>
    <row r="2108" customFormat="false" ht="15" hidden="false" customHeight="false" outlineLevel="0" collapsed="false">
      <c r="A2108" s="12"/>
      <c r="B2108" s="13"/>
      <c r="C2108" s="14"/>
      <c r="D2108" s="13"/>
      <c r="E2108" s="15"/>
      <c r="F2108" s="15"/>
      <c r="G2108" s="15"/>
      <c r="H2108" s="14"/>
      <c r="I2108" s="16" t="str">
        <f aca="false">IF(OR(A2108="",C2108=""),"",IF(OR(H2108="İade",H2108="İptal"),0,E2108*IFERROR(INDEX(Kanallar!$B$5:$B$19,MATCH(C2108,Kanallar!$A$5:$A$19,0)),0)))</f>
        <v/>
      </c>
      <c r="J2108" s="16" t="str">
        <f aca="false">IF(I2108="","",IF(H2108="İptal",0,IF(H2108="İade",-G2108,E2108-I2108-F2108-G2108)))</f>
        <v/>
      </c>
    </row>
    <row r="2109" customFormat="false" ht="15" hidden="false" customHeight="false" outlineLevel="0" collapsed="false">
      <c r="A2109" s="12"/>
      <c r="B2109" s="13"/>
      <c r="C2109" s="14"/>
      <c r="D2109" s="13"/>
      <c r="E2109" s="15"/>
      <c r="F2109" s="15"/>
      <c r="G2109" s="15"/>
      <c r="H2109" s="14"/>
      <c r="I2109" s="16" t="str">
        <f aca="false">IF(OR(A2109="",C2109=""),"",IF(OR(H2109="İade",H2109="İptal"),0,E2109*IFERROR(INDEX(Kanallar!$B$5:$B$19,MATCH(C2109,Kanallar!$A$5:$A$19,0)),0)))</f>
        <v/>
      </c>
      <c r="J2109" s="16" t="str">
        <f aca="false">IF(I2109="","",IF(H2109="İptal",0,IF(H2109="İade",-G2109,E2109-I2109-F2109-G2109)))</f>
        <v/>
      </c>
    </row>
    <row r="2110" customFormat="false" ht="15" hidden="false" customHeight="false" outlineLevel="0" collapsed="false">
      <c r="A2110" s="12"/>
      <c r="B2110" s="13"/>
      <c r="C2110" s="14"/>
      <c r="D2110" s="13"/>
      <c r="E2110" s="15"/>
      <c r="F2110" s="15"/>
      <c r="G2110" s="15"/>
      <c r="H2110" s="14"/>
      <c r="I2110" s="16" t="str">
        <f aca="false">IF(OR(A2110="",C2110=""),"",IF(OR(H2110="İade",H2110="İptal"),0,E2110*IFERROR(INDEX(Kanallar!$B$5:$B$19,MATCH(C2110,Kanallar!$A$5:$A$19,0)),0)))</f>
        <v/>
      </c>
      <c r="J2110" s="16" t="str">
        <f aca="false">IF(I2110="","",IF(H2110="İptal",0,IF(H2110="İade",-G2110,E2110-I2110-F2110-G2110)))</f>
        <v/>
      </c>
    </row>
    <row r="2111" customFormat="false" ht="15" hidden="false" customHeight="false" outlineLevel="0" collapsed="false">
      <c r="A2111" s="12"/>
      <c r="B2111" s="13"/>
      <c r="C2111" s="14"/>
      <c r="D2111" s="13"/>
      <c r="E2111" s="15"/>
      <c r="F2111" s="15"/>
      <c r="G2111" s="15"/>
      <c r="H2111" s="14"/>
      <c r="I2111" s="16" t="str">
        <f aca="false">IF(OR(A2111="",C2111=""),"",IF(OR(H2111="İade",H2111="İptal"),0,E2111*IFERROR(INDEX(Kanallar!$B$5:$B$19,MATCH(C2111,Kanallar!$A$5:$A$19,0)),0)))</f>
        <v/>
      </c>
      <c r="J2111" s="16" t="str">
        <f aca="false">IF(I2111="","",IF(H2111="İptal",0,IF(H2111="İade",-G2111,E2111-I2111-F2111-G2111)))</f>
        <v/>
      </c>
    </row>
    <row r="2112" customFormat="false" ht="15" hidden="false" customHeight="false" outlineLevel="0" collapsed="false">
      <c r="A2112" s="12"/>
      <c r="B2112" s="13"/>
      <c r="C2112" s="14"/>
      <c r="D2112" s="13"/>
      <c r="E2112" s="15"/>
      <c r="F2112" s="15"/>
      <c r="G2112" s="15"/>
      <c r="H2112" s="14"/>
      <c r="I2112" s="16" t="str">
        <f aca="false">IF(OR(A2112="",C2112=""),"",IF(OR(H2112="İade",H2112="İptal"),0,E2112*IFERROR(INDEX(Kanallar!$B$5:$B$19,MATCH(C2112,Kanallar!$A$5:$A$19,0)),0)))</f>
        <v/>
      </c>
      <c r="J2112" s="16" t="str">
        <f aca="false">IF(I2112="","",IF(H2112="İptal",0,IF(H2112="İade",-G2112,E2112-I2112-F2112-G2112)))</f>
        <v/>
      </c>
    </row>
    <row r="2113" customFormat="false" ht="15" hidden="false" customHeight="false" outlineLevel="0" collapsed="false">
      <c r="A2113" s="12"/>
      <c r="B2113" s="13"/>
      <c r="C2113" s="14"/>
      <c r="D2113" s="13"/>
      <c r="E2113" s="15"/>
      <c r="F2113" s="15"/>
      <c r="G2113" s="15"/>
      <c r="H2113" s="14"/>
      <c r="I2113" s="16" t="str">
        <f aca="false">IF(OR(A2113="",C2113=""),"",IF(OR(H2113="İade",H2113="İptal"),0,E2113*IFERROR(INDEX(Kanallar!$B$5:$B$19,MATCH(C2113,Kanallar!$A$5:$A$19,0)),0)))</f>
        <v/>
      </c>
      <c r="J2113" s="16" t="str">
        <f aca="false">IF(I2113="","",IF(H2113="İptal",0,IF(H2113="İade",-G2113,E2113-I2113-F2113-G2113)))</f>
        <v/>
      </c>
    </row>
    <row r="2114" customFormat="false" ht="15" hidden="false" customHeight="false" outlineLevel="0" collapsed="false">
      <c r="A2114" s="12"/>
      <c r="B2114" s="13"/>
      <c r="C2114" s="14"/>
      <c r="D2114" s="13"/>
      <c r="E2114" s="15"/>
      <c r="F2114" s="15"/>
      <c r="G2114" s="15"/>
      <c r="H2114" s="14"/>
      <c r="I2114" s="16" t="str">
        <f aca="false">IF(OR(A2114="",C2114=""),"",IF(OR(H2114="İade",H2114="İptal"),0,E2114*IFERROR(INDEX(Kanallar!$B$5:$B$19,MATCH(C2114,Kanallar!$A$5:$A$19,0)),0)))</f>
        <v/>
      </c>
      <c r="J2114" s="16" t="str">
        <f aca="false">IF(I2114="","",IF(H2114="İptal",0,IF(H2114="İade",-G2114,E2114-I2114-F2114-G2114)))</f>
        <v/>
      </c>
    </row>
    <row r="2115" customFormat="false" ht="15" hidden="false" customHeight="false" outlineLevel="0" collapsed="false">
      <c r="A2115" s="12"/>
      <c r="B2115" s="13"/>
      <c r="C2115" s="14"/>
      <c r="D2115" s="13"/>
      <c r="E2115" s="15"/>
      <c r="F2115" s="15"/>
      <c r="G2115" s="15"/>
      <c r="H2115" s="14"/>
      <c r="I2115" s="16" t="str">
        <f aca="false">IF(OR(A2115="",C2115=""),"",IF(OR(H2115="İade",H2115="İptal"),0,E2115*IFERROR(INDEX(Kanallar!$B$5:$B$19,MATCH(C2115,Kanallar!$A$5:$A$19,0)),0)))</f>
        <v/>
      </c>
      <c r="J2115" s="16" t="str">
        <f aca="false">IF(I2115="","",IF(H2115="İptal",0,IF(H2115="İade",-G2115,E2115-I2115-F2115-G2115)))</f>
        <v/>
      </c>
    </row>
    <row r="2116" customFormat="false" ht="15" hidden="false" customHeight="false" outlineLevel="0" collapsed="false">
      <c r="A2116" s="12"/>
      <c r="B2116" s="13"/>
      <c r="C2116" s="14"/>
      <c r="D2116" s="13"/>
      <c r="E2116" s="15"/>
      <c r="F2116" s="15"/>
      <c r="G2116" s="15"/>
      <c r="H2116" s="14"/>
      <c r="I2116" s="16" t="str">
        <f aca="false">IF(OR(A2116="",C2116=""),"",IF(OR(H2116="İade",H2116="İptal"),0,E2116*IFERROR(INDEX(Kanallar!$B$5:$B$19,MATCH(C2116,Kanallar!$A$5:$A$19,0)),0)))</f>
        <v/>
      </c>
      <c r="J2116" s="16" t="str">
        <f aca="false">IF(I2116="","",IF(H2116="İptal",0,IF(H2116="İade",-G2116,E2116-I2116-F2116-G2116)))</f>
        <v/>
      </c>
    </row>
    <row r="2117" customFormat="false" ht="15" hidden="false" customHeight="false" outlineLevel="0" collapsed="false">
      <c r="A2117" s="12"/>
      <c r="B2117" s="13"/>
      <c r="C2117" s="14"/>
      <c r="D2117" s="13"/>
      <c r="E2117" s="15"/>
      <c r="F2117" s="15"/>
      <c r="G2117" s="15"/>
      <c r="H2117" s="14"/>
      <c r="I2117" s="16" t="str">
        <f aca="false">IF(OR(A2117="",C2117=""),"",IF(OR(H2117="İade",H2117="İptal"),0,E2117*IFERROR(INDEX(Kanallar!$B$5:$B$19,MATCH(C2117,Kanallar!$A$5:$A$19,0)),0)))</f>
        <v/>
      </c>
      <c r="J2117" s="16" t="str">
        <f aca="false">IF(I2117="","",IF(H2117="İptal",0,IF(H2117="İade",-G2117,E2117-I2117-F2117-G2117)))</f>
        <v/>
      </c>
    </row>
    <row r="2118" customFormat="false" ht="15" hidden="false" customHeight="false" outlineLevel="0" collapsed="false">
      <c r="A2118" s="12"/>
      <c r="B2118" s="13"/>
      <c r="C2118" s="14"/>
      <c r="D2118" s="13"/>
      <c r="E2118" s="15"/>
      <c r="F2118" s="15"/>
      <c r="G2118" s="15"/>
      <c r="H2118" s="14"/>
      <c r="I2118" s="16" t="str">
        <f aca="false">IF(OR(A2118="",C2118=""),"",IF(OR(H2118="İade",H2118="İptal"),0,E2118*IFERROR(INDEX(Kanallar!$B$5:$B$19,MATCH(C2118,Kanallar!$A$5:$A$19,0)),0)))</f>
        <v/>
      </c>
      <c r="J2118" s="16" t="str">
        <f aca="false">IF(I2118="","",IF(H2118="İptal",0,IF(H2118="İade",-G2118,E2118-I2118-F2118-G2118)))</f>
        <v/>
      </c>
    </row>
    <row r="2119" customFormat="false" ht="15" hidden="false" customHeight="false" outlineLevel="0" collapsed="false">
      <c r="A2119" s="12"/>
      <c r="B2119" s="13"/>
      <c r="C2119" s="14"/>
      <c r="D2119" s="13"/>
      <c r="E2119" s="15"/>
      <c r="F2119" s="15"/>
      <c r="G2119" s="15"/>
      <c r="H2119" s="14"/>
      <c r="I2119" s="16" t="str">
        <f aca="false">IF(OR(A2119="",C2119=""),"",IF(OR(H2119="İade",H2119="İptal"),0,E2119*IFERROR(INDEX(Kanallar!$B$5:$B$19,MATCH(C2119,Kanallar!$A$5:$A$19,0)),0)))</f>
        <v/>
      </c>
      <c r="J2119" s="16" t="str">
        <f aca="false">IF(I2119="","",IF(H2119="İptal",0,IF(H2119="İade",-G2119,E2119-I2119-F2119-G2119)))</f>
        <v/>
      </c>
    </row>
    <row r="2120" customFormat="false" ht="15" hidden="false" customHeight="false" outlineLevel="0" collapsed="false">
      <c r="A2120" s="12"/>
      <c r="B2120" s="13"/>
      <c r="C2120" s="14"/>
      <c r="D2120" s="13"/>
      <c r="E2120" s="15"/>
      <c r="F2120" s="15"/>
      <c r="G2120" s="15"/>
      <c r="H2120" s="14"/>
      <c r="I2120" s="16" t="str">
        <f aca="false">IF(OR(A2120="",C2120=""),"",IF(OR(H2120="İade",H2120="İptal"),0,E2120*IFERROR(INDEX(Kanallar!$B$5:$B$19,MATCH(C2120,Kanallar!$A$5:$A$19,0)),0)))</f>
        <v/>
      </c>
      <c r="J2120" s="16" t="str">
        <f aca="false">IF(I2120="","",IF(H2120="İptal",0,IF(H2120="İade",-G2120,E2120-I2120-F2120-G2120)))</f>
        <v/>
      </c>
    </row>
    <row r="2121" customFormat="false" ht="15" hidden="false" customHeight="false" outlineLevel="0" collapsed="false">
      <c r="A2121" s="12"/>
      <c r="B2121" s="13"/>
      <c r="C2121" s="14"/>
      <c r="D2121" s="13"/>
      <c r="E2121" s="15"/>
      <c r="F2121" s="15"/>
      <c r="G2121" s="15"/>
      <c r="H2121" s="14"/>
      <c r="I2121" s="16" t="str">
        <f aca="false">IF(OR(A2121="",C2121=""),"",IF(OR(H2121="İade",H2121="İptal"),0,E2121*IFERROR(INDEX(Kanallar!$B$5:$B$19,MATCH(C2121,Kanallar!$A$5:$A$19,0)),0)))</f>
        <v/>
      </c>
      <c r="J2121" s="16" t="str">
        <f aca="false">IF(I2121="","",IF(H2121="İptal",0,IF(H2121="İade",-G2121,E2121-I2121-F2121-G2121)))</f>
        <v/>
      </c>
    </row>
    <row r="2122" customFormat="false" ht="15" hidden="false" customHeight="false" outlineLevel="0" collapsed="false">
      <c r="A2122" s="12"/>
      <c r="B2122" s="13"/>
      <c r="C2122" s="14"/>
      <c r="D2122" s="13"/>
      <c r="E2122" s="15"/>
      <c r="F2122" s="15"/>
      <c r="G2122" s="15"/>
      <c r="H2122" s="14"/>
      <c r="I2122" s="16" t="str">
        <f aca="false">IF(OR(A2122="",C2122=""),"",IF(OR(H2122="İade",H2122="İptal"),0,E2122*IFERROR(INDEX(Kanallar!$B$5:$B$19,MATCH(C2122,Kanallar!$A$5:$A$19,0)),0)))</f>
        <v/>
      </c>
      <c r="J2122" s="16" t="str">
        <f aca="false">IF(I2122="","",IF(H2122="İptal",0,IF(H2122="İade",-G2122,E2122-I2122-F2122-G2122)))</f>
        <v/>
      </c>
    </row>
    <row r="2123" customFormat="false" ht="15" hidden="false" customHeight="false" outlineLevel="0" collapsed="false">
      <c r="A2123" s="12"/>
      <c r="B2123" s="13"/>
      <c r="C2123" s="14"/>
      <c r="D2123" s="13"/>
      <c r="E2123" s="15"/>
      <c r="F2123" s="15"/>
      <c r="G2123" s="15"/>
      <c r="H2123" s="14"/>
      <c r="I2123" s="16" t="str">
        <f aca="false">IF(OR(A2123="",C2123=""),"",IF(OR(H2123="İade",H2123="İptal"),0,E2123*IFERROR(INDEX(Kanallar!$B$5:$B$19,MATCH(C2123,Kanallar!$A$5:$A$19,0)),0)))</f>
        <v/>
      </c>
      <c r="J2123" s="16" t="str">
        <f aca="false">IF(I2123="","",IF(H2123="İptal",0,IF(H2123="İade",-G2123,E2123-I2123-F2123-G2123)))</f>
        <v/>
      </c>
    </row>
    <row r="2124" customFormat="false" ht="15" hidden="false" customHeight="false" outlineLevel="0" collapsed="false">
      <c r="A2124" s="12"/>
      <c r="B2124" s="13"/>
      <c r="C2124" s="14"/>
      <c r="D2124" s="13"/>
      <c r="E2124" s="15"/>
      <c r="F2124" s="15"/>
      <c r="G2124" s="15"/>
      <c r="H2124" s="14"/>
      <c r="I2124" s="16" t="str">
        <f aca="false">IF(OR(A2124="",C2124=""),"",IF(OR(H2124="İade",H2124="İptal"),0,E2124*IFERROR(INDEX(Kanallar!$B$5:$B$19,MATCH(C2124,Kanallar!$A$5:$A$19,0)),0)))</f>
        <v/>
      </c>
      <c r="J2124" s="16" t="str">
        <f aca="false">IF(I2124="","",IF(H2124="İptal",0,IF(H2124="İade",-G2124,E2124-I2124-F2124-G2124)))</f>
        <v/>
      </c>
    </row>
    <row r="2125" customFormat="false" ht="15" hidden="false" customHeight="false" outlineLevel="0" collapsed="false">
      <c r="A2125" s="12"/>
      <c r="B2125" s="13"/>
      <c r="C2125" s="14"/>
      <c r="D2125" s="13"/>
      <c r="E2125" s="15"/>
      <c r="F2125" s="15"/>
      <c r="G2125" s="15"/>
      <c r="H2125" s="14"/>
      <c r="I2125" s="16" t="str">
        <f aca="false">IF(OR(A2125="",C2125=""),"",IF(OR(H2125="İade",H2125="İptal"),0,E2125*IFERROR(INDEX(Kanallar!$B$5:$B$19,MATCH(C2125,Kanallar!$A$5:$A$19,0)),0)))</f>
        <v/>
      </c>
      <c r="J2125" s="16" t="str">
        <f aca="false">IF(I2125="","",IF(H2125="İptal",0,IF(H2125="İade",-G2125,E2125-I2125-F2125-G2125)))</f>
        <v/>
      </c>
    </row>
    <row r="2126" customFormat="false" ht="15" hidden="false" customHeight="false" outlineLevel="0" collapsed="false">
      <c r="A2126" s="12"/>
      <c r="B2126" s="13"/>
      <c r="C2126" s="14"/>
      <c r="D2126" s="13"/>
      <c r="E2126" s="15"/>
      <c r="F2126" s="15"/>
      <c r="G2126" s="15"/>
      <c r="H2126" s="14"/>
      <c r="I2126" s="16" t="str">
        <f aca="false">IF(OR(A2126="",C2126=""),"",IF(OR(H2126="İade",H2126="İptal"),0,E2126*IFERROR(INDEX(Kanallar!$B$5:$B$19,MATCH(C2126,Kanallar!$A$5:$A$19,0)),0)))</f>
        <v/>
      </c>
      <c r="J2126" s="16" t="str">
        <f aca="false">IF(I2126="","",IF(H2126="İptal",0,IF(H2126="İade",-G2126,E2126-I2126-F2126-G2126)))</f>
        <v/>
      </c>
    </row>
    <row r="2127" customFormat="false" ht="15" hidden="false" customHeight="false" outlineLevel="0" collapsed="false">
      <c r="A2127" s="12"/>
      <c r="B2127" s="13"/>
      <c r="C2127" s="14"/>
      <c r="D2127" s="13"/>
      <c r="E2127" s="15"/>
      <c r="F2127" s="15"/>
      <c r="G2127" s="15"/>
      <c r="H2127" s="14"/>
      <c r="I2127" s="16" t="str">
        <f aca="false">IF(OR(A2127="",C2127=""),"",IF(OR(H2127="İade",H2127="İptal"),0,E2127*IFERROR(INDEX(Kanallar!$B$5:$B$19,MATCH(C2127,Kanallar!$A$5:$A$19,0)),0)))</f>
        <v/>
      </c>
      <c r="J2127" s="16" t="str">
        <f aca="false">IF(I2127="","",IF(H2127="İptal",0,IF(H2127="İade",-G2127,E2127-I2127-F2127-G2127)))</f>
        <v/>
      </c>
    </row>
    <row r="2128" customFormat="false" ht="15" hidden="false" customHeight="false" outlineLevel="0" collapsed="false">
      <c r="A2128" s="12"/>
      <c r="B2128" s="13"/>
      <c r="C2128" s="14"/>
      <c r="D2128" s="13"/>
      <c r="E2128" s="15"/>
      <c r="F2128" s="15"/>
      <c r="G2128" s="15"/>
      <c r="H2128" s="14"/>
      <c r="I2128" s="16" t="str">
        <f aca="false">IF(OR(A2128="",C2128=""),"",IF(OR(H2128="İade",H2128="İptal"),0,E2128*IFERROR(INDEX(Kanallar!$B$5:$B$19,MATCH(C2128,Kanallar!$A$5:$A$19,0)),0)))</f>
        <v/>
      </c>
      <c r="J2128" s="16" t="str">
        <f aca="false">IF(I2128="","",IF(H2128="İptal",0,IF(H2128="İade",-G2128,E2128-I2128-F2128-G2128)))</f>
        <v/>
      </c>
    </row>
    <row r="2129" customFormat="false" ht="15" hidden="false" customHeight="false" outlineLevel="0" collapsed="false">
      <c r="A2129" s="12"/>
      <c r="B2129" s="13"/>
      <c r="C2129" s="14"/>
      <c r="D2129" s="13"/>
      <c r="E2129" s="15"/>
      <c r="F2129" s="15"/>
      <c r="G2129" s="15"/>
      <c r="H2129" s="14"/>
      <c r="I2129" s="16" t="str">
        <f aca="false">IF(OR(A2129="",C2129=""),"",IF(OR(H2129="İade",H2129="İptal"),0,E2129*IFERROR(INDEX(Kanallar!$B$5:$B$19,MATCH(C2129,Kanallar!$A$5:$A$19,0)),0)))</f>
        <v/>
      </c>
      <c r="J2129" s="16" t="str">
        <f aca="false">IF(I2129="","",IF(H2129="İptal",0,IF(H2129="İade",-G2129,E2129-I2129-F2129-G2129)))</f>
        <v/>
      </c>
    </row>
    <row r="2130" customFormat="false" ht="15" hidden="false" customHeight="false" outlineLevel="0" collapsed="false">
      <c r="A2130" s="12"/>
      <c r="B2130" s="13"/>
      <c r="C2130" s="14"/>
      <c r="D2130" s="13"/>
      <c r="E2130" s="15"/>
      <c r="F2130" s="15"/>
      <c r="G2130" s="15"/>
      <c r="H2130" s="14"/>
      <c r="I2130" s="16" t="str">
        <f aca="false">IF(OR(A2130="",C2130=""),"",IF(OR(H2130="İade",H2130="İptal"),0,E2130*IFERROR(INDEX(Kanallar!$B$5:$B$19,MATCH(C2130,Kanallar!$A$5:$A$19,0)),0)))</f>
        <v/>
      </c>
      <c r="J2130" s="16" t="str">
        <f aca="false">IF(I2130="","",IF(H2130="İptal",0,IF(H2130="İade",-G2130,E2130-I2130-F2130-G2130)))</f>
        <v/>
      </c>
    </row>
    <row r="2131" customFormat="false" ht="15" hidden="false" customHeight="false" outlineLevel="0" collapsed="false">
      <c r="A2131" s="12"/>
      <c r="B2131" s="13"/>
      <c r="C2131" s="14"/>
      <c r="D2131" s="13"/>
      <c r="E2131" s="15"/>
      <c r="F2131" s="15"/>
      <c r="G2131" s="15"/>
      <c r="H2131" s="14"/>
      <c r="I2131" s="16" t="str">
        <f aca="false">IF(OR(A2131="",C2131=""),"",IF(OR(H2131="İade",H2131="İptal"),0,E2131*IFERROR(INDEX(Kanallar!$B$5:$B$19,MATCH(C2131,Kanallar!$A$5:$A$19,0)),0)))</f>
        <v/>
      </c>
      <c r="J2131" s="16" t="str">
        <f aca="false">IF(I2131="","",IF(H2131="İptal",0,IF(H2131="İade",-G2131,E2131-I2131-F2131-G2131)))</f>
        <v/>
      </c>
    </row>
    <row r="2132" customFormat="false" ht="15" hidden="false" customHeight="false" outlineLevel="0" collapsed="false">
      <c r="A2132" s="12"/>
      <c r="B2132" s="13"/>
      <c r="C2132" s="14"/>
      <c r="D2132" s="13"/>
      <c r="E2132" s="15"/>
      <c r="F2132" s="15"/>
      <c r="G2132" s="15"/>
      <c r="H2132" s="14"/>
      <c r="I2132" s="16" t="str">
        <f aca="false">IF(OR(A2132="",C2132=""),"",IF(OR(H2132="İade",H2132="İptal"),0,E2132*IFERROR(INDEX(Kanallar!$B$5:$B$19,MATCH(C2132,Kanallar!$A$5:$A$19,0)),0)))</f>
        <v/>
      </c>
      <c r="J2132" s="16" t="str">
        <f aca="false">IF(I2132="","",IF(H2132="İptal",0,IF(H2132="İade",-G2132,E2132-I2132-F2132-G2132)))</f>
        <v/>
      </c>
    </row>
    <row r="2133" customFormat="false" ht="15" hidden="false" customHeight="false" outlineLevel="0" collapsed="false">
      <c r="A2133" s="12"/>
      <c r="B2133" s="13"/>
      <c r="C2133" s="14"/>
      <c r="D2133" s="13"/>
      <c r="E2133" s="15"/>
      <c r="F2133" s="15"/>
      <c r="G2133" s="15"/>
      <c r="H2133" s="14"/>
      <c r="I2133" s="16" t="str">
        <f aca="false">IF(OR(A2133="",C2133=""),"",IF(OR(H2133="İade",H2133="İptal"),0,E2133*IFERROR(INDEX(Kanallar!$B$5:$B$19,MATCH(C2133,Kanallar!$A$5:$A$19,0)),0)))</f>
        <v/>
      </c>
      <c r="J2133" s="16" t="str">
        <f aca="false">IF(I2133="","",IF(H2133="İptal",0,IF(H2133="İade",-G2133,E2133-I2133-F2133-G2133)))</f>
        <v/>
      </c>
    </row>
    <row r="2134" customFormat="false" ht="15" hidden="false" customHeight="false" outlineLevel="0" collapsed="false">
      <c r="A2134" s="12"/>
      <c r="B2134" s="13"/>
      <c r="C2134" s="14"/>
      <c r="D2134" s="13"/>
      <c r="E2134" s="15"/>
      <c r="F2134" s="15"/>
      <c r="G2134" s="15"/>
      <c r="H2134" s="14"/>
      <c r="I2134" s="16" t="str">
        <f aca="false">IF(OR(A2134="",C2134=""),"",IF(OR(H2134="İade",H2134="İptal"),0,E2134*IFERROR(INDEX(Kanallar!$B$5:$B$19,MATCH(C2134,Kanallar!$A$5:$A$19,0)),0)))</f>
        <v/>
      </c>
      <c r="J2134" s="16" t="str">
        <f aca="false">IF(I2134="","",IF(H2134="İptal",0,IF(H2134="İade",-G2134,E2134-I2134-F2134-G2134)))</f>
        <v/>
      </c>
    </row>
    <row r="2135" customFormat="false" ht="15" hidden="false" customHeight="false" outlineLevel="0" collapsed="false">
      <c r="A2135" s="12"/>
      <c r="B2135" s="13"/>
      <c r="C2135" s="14"/>
      <c r="D2135" s="13"/>
      <c r="E2135" s="15"/>
      <c r="F2135" s="15"/>
      <c r="G2135" s="15"/>
      <c r="H2135" s="14"/>
      <c r="I2135" s="16" t="str">
        <f aca="false">IF(OR(A2135="",C2135=""),"",IF(OR(H2135="İade",H2135="İptal"),0,E2135*IFERROR(INDEX(Kanallar!$B$5:$B$19,MATCH(C2135,Kanallar!$A$5:$A$19,0)),0)))</f>
        <v/>
      </c>
      <c r="J2135" s="16" t="str">
        <f aca="false">IF(I2135="","",IF(H2135="İptal",0,IF(H2135="İade",-G2135,E2135-I2135-F2135-G2135)))</f>
        <v/>
      </c>
    </row>
    <row r="2136" customFormat="false" ht="15" hidden="false" customHeight="false" outlineLevel="0" collapsed="false">
      <c r="A2136" s="12"/>
      <c r="B2136" s="13"/>
      <c r="C2136" s="14"/>
      <c r="D2136" s="13"/>
      <c r="E2136" s="15"/>
      <c r="F2136" s="15"/>
      <c r="G2136" s="15"/>
      <c r="H2136" s="14"/>
      <c r="I2136" s="16" t="str">
        <f aca="false">IF(OR(A2136="",C2136=""),"",IF(OR(H2136="İade",H2136="İptal"),0,E2136*IFERROR(INDEX(Kanallar!$B$5:$B$19,MATCH(C2136,Kanallar!$A$5:$A$19,0)),0)))</f>
        <v/>
      </c>
      <c r="J2136" s="16" t="str">
        <f aca="false">IF(I2136="","",IF(H2136="İptal",0,IF(H2136="İade",-G2136,E2136-I2136-F2136-G2136)))</f>
        <v/>
      </c>
    </row>
    <row r="2137" customFormat="false" ht="15" hidden="false" customHeight="false" outlineLevel="0" collapsed="false">
      <c r="A2137" s="12"/>
      <c r="B2137" s="13"/>
      <c r="C2137" s="14"/>
      <c r="D2137" s="13"/>
      <c r="E2137" s="15"/>
      <c r="F2137" s="15"/>
      <c r="G2137" s="15"/>
      <c r="H2137" s="14"/>
      <c r="I2137" s="16" t="str">
        <f aca="false">IF(OR(A2137="",C2137=""),"",IF(OR(H2137="İade",H2137="İptal"),0,E2137*IFERROR(INDEX(Kanallar!$B$5:$B$19,MATCH(C2137,Kanallar!$A$5:$A$19,0)),0)))</f>
        <v/>
      </c>
      <c r="J2137" s="16" t="str">
        <f aca="false">IF(I2137="","",IF(H2137="İptal",0,IF(H2137="İade",-G2137,E2137-I2137-F2137-G2137)))</f>
        <v/>
      </c>
    </row>
    <row r="2138" customFormat="false" ht="15" hidden="false" customHeight="false" outlineLevel="0" collapsed="false">
      <c r="A2138" s="12"/>
      <c r="B2138" s="13"/>
      <c r="C2138" s="14"/>
      <c r="D2138" s="13"/>
      <c r="E2138" s="15"/>
      <c r="F2138" s="15"/>
      <c r="G2138" s="15"/>
      <c r="H2138" s="14"/>
      <c r="I2138" s="16" t="str">
        <f aca="false">IF(OR(A2138="",C2138=""),"",IF(OR(H2138="İade",H2138="İptal"),0,E2138*IFERROR(INDEX(Kanallar!$B$5:$B$19,MATCH(C2138,Kanallar!$A$5:$A$19,0)),0)))</f>
        <v/>
      </c>
      <c r="J2138" s="16" t="str">
        <f aca="false">IF(I2138="","",IF(H2138="İptal",0,IF(H2138="İade",-G2138,E2138-I2138-F2138-G2138)))</f>
        <v/>
      </c>
    </row>
    <row r="2139" customFormat="false" ht="15" hidden="false" customHeight="false" outlineLevel="0" collapsed="false">
      <c r="A2139" s="12"/>
      <c r="B2139" s="13"/>
      <c r="C2139" s="14"/>
      <c r="D2139" s="13"/>
      <c r="E2139" s="15"/>
      <c r="F2139" s="15"/>
      <c r="G2139" s="15"/>
      <c r="H2139" s="14"/>
      <c r="I2139" s="16" t="str">
        <f aca="false">IF(OR(A2139="",C2139=""),"",IF(OR(H2139="İade",H2139="İptal"),0,E2139*IFERROR(INDEX(Kanallar!$B$5:$B$19,MATCH(C2139,Kanallar!$A$5:$A$19,0)),0)))</f>
        <v/>
      </c>
      <c r="J2139" s="16" t="str">
        <f aca="false">IF(I2139="","",IF(H2139="İptal",0,IF(H2139="İade",-G2139,E2139-I2139-F2139-G2139)))</f>
        <v/>
      </c>
    </row>
    <row r="2140" customFormat="false" ht="15" hidden="false" customHeight="false" outlineLevel="0" collapsed="false">
      <c r="A2140" s="12"/>
      <c r="B2140" s="13"/>
      <c r="C2140" s="14"/>
      <c r="D2140" s="13"/>
      <c r="E2140" s="15"/>
      <c r="F2140" s="15"/>
      <c r="G2140" s="15"/>
      <c r="H2140" s="14"/>
      <c r="I2140" s="16" t="str">
        <f aca="false">IF(OR(A2140="",C2140=""),"",IF(OR(H2140="İade",H2140="İptal"),0,E2140*IFERROR(INDEX(Kanallar!$B$5:$B$19,MATCH(C2140,Kanallar!$A$5:$A$19,0)),0)))</f>
        <v/>
      </c>
      <c r="J2140" s="16" t="str">
        <f aca="false">IF(I2140="","",IF(H2140="İptal",0,IF(H2140="İade",-G2140,E2140-I2140-F2140-G2140)))</f>
        <v/>
      </c>
    </row>
    <row r="2141" customFormat="false" ht="15" hidden="false" customHeight="false" outlineLevel="0" collapsed="false">
      <c r="A2141" s="12"/>
      <c r="B2141" s="13"/>
      <c r="C2141" s="14"/>
      <c r="D2141" s="13"/>
      <c r="E2141" s="15"/>
      <c r="F2141" s="15"/>
      <c r="G2141" s="15"/>
      <c r="H2141" s="14"/>
      <c r="I2141" s="16" t="str">
        <f aca="false">IF(OR(A2141="",C2141=""),"",IF(OR(H2141="İade",H2141="İptal"),0,E2141*IFERROR(INDEX(Kanallar!$B$5:$B$19,MATCH(C2141,Kanallar!$A$5:$A$19,0)),0)))</f>
        <v/>
      </c>
      <c r="J2141" s="16" t="str">
        <f aca="false">IF(I2141="","",IF(H2141="İptal",0,IF(H2141="İade",-G2141,E2141-I2141-F2141-G2141)))</f>
        <v/>
      </c>
    </row>
    <row r="2142" customFormat="false" ht="15" hidden="false" customHeight="false" outlineLevel="0" collapsed="false">
      <c r="A2142" s="12"/>
      <c r="B2142" s="13"/>
      <c r="C2142" s="14"/>
      <c r="D2142" s="13"/>
      <c r="E2142" s="15"/>
      <c r="F2142" s="15"/>
      <c r="G2142" s="15"/>
      <c r="H2142" s="14"/>
      <c r="I2142" s="16" t="str">
        <f aca="false">IF(OR(A2142="",C2142=""),"",IF(OR(H2142="İade",H2142="İptal"),0,E2142*IFERROR(INDEX(Kanallar!$B$5:$B$19,MATCH(C2142,Kanallar!$A$5:$A$19,0)),0)))</f>
        <v/>
      </c>
      <c r="J2142" s="16" t="str">
        <f aca="false">IF(I2142="","",IF(H2142="İptal",0,IF(H2142="İade",-G2142,E2142-I2142-F2142-G2142)))</f>
        <v/>
      </c>
    </row>
    <row r="2143" customFormat="false" ht="15" hidden="false" customHeight="false" outlineLevel="0" collapsed="false">
      <c r="A2143" s="12"/>
      <c r="B2143" s="13"/>
      <c r="C2143" s="14"/>
      <c r="D2143" s="13"/>
      <c r="E2143" s="15"/>
      <c r="F2143" s="15"/>
      <c r="G2143" s="15"/>
      <c r="H2143" s="14"/>
      <c r="I2143" s="16" t="str">
        <f aca="false">IF(OR(A2143="",C2143=""),"",IF(OR(H2143="İade",H2143="İptal"),0,E2143*IFERROR(INDEX(Kanallar!$B$5:$B$19,MATCH(C2143,Kanallar!$A$5:$A$19,0)),0)))</f>
        <v/>
      </c>
      <c r="J2143" s="16" t="str">
        <f aca="false">IF(I2143="","",IF(H2143="İptal",0,IF(H2143="İade",-G2143,E2143-I2143-F2143-G2143)))</f>
        <v/>
      </c>
    </row>
    <row r="2144" customFormat="false" ht="15" hidden="false" customHeight="false" outlineLevel="0" collapsed="false">
      <c r="A2144" s="12"/>
      <c r="B2144" s="13"/>
      <c r="C2144" s="14"/>
      <c r="D2144" s="13"/>
      <c r="E2144" s="15"/>
      <c r="F2144" s="15"/>
      <c r="G2144" s="15"/>
      <c r="H2144" s="14"/>
      <c r="I2144" s="16" t="str">
        <f aca="false">IF(OR(A2144="",C2144=""),"",IF(OR(H2144="İade",H2144="İptal"),0,E2144*IFERROR(INDEX(Kanallar!$B$5:$B$19,MATCH(C2144,Kanallar!$A$5:$A$19,0)),0)))</f>
        <v/>
      </c>
      <c r="J2144" s="16" t="str">
        <f aca="false">IF(I2144="","",IF(H2144="İptal",0,IF(H2144="İade",-G2144,E2144-I2144-F2144-G2144)))</f>
        <v/>
      </c>
    </row>
    <row r="2145" customFormat="false" ht="15" hidden="false" customHeight="false" outlineLevel="0" collapsed="false">
      <c r="A2145" s="12"/>
      <c r="B2145" s="13"/>
      <c r="C2145" s="14"/>
      <c r="D2145" s="13"/>
      <c r="E2145" s="15"/>
      <c r="F2145" s="15"/>
      <c r="G2145" s="15"/>
      <c r="H2145" s="14"/>
      <c r="I2145" s="16" t="str">
        <f aca="false">IF(OR(A2145="",C2145=""),"",IF(OR(H2145="İade",H2145="İptal"),0,E2145*IFERROR(INDEX(Kanallar!$B$5:$B$19,MATCH(C2145,Kanallar!$A$5:$A$19,0)),0)))</f>
        <v/>
      </c>
      <c r="J2145" s="16" t="str">
        <f aca="false">IF(I2145="","",IF(H2145="İptal",0,IF(H2145="İade",-G2145,E2145-I2145-F2145-G2145)))</f>
        <v/>
      </c>
    </row>
    <row r="2146" customFormat="false" ht="15" hidden="false" customHeight="false" outlineLevel="0" collapsed="false">
      <c r="A2146" s="12"/>
      <c r="B2146" s="13"/>
      <c r="C2146" s="14"/>
      <c r="D2146" s="13"/>
      <c r="E2146" s="15"/>
      <c r="F2146" s="15"/>
      <c r="G2146" s="15"/>
      <c r="H2146" s="14"/>
      <c r="I2146" s="16" t="str">
        <f aca="false">IF(OR(A2146="",C2146=""),"",IF(OR(H2146="İade",H2146="İptal"),0,E2146*IFERROR(INDEX(Kanallar!$B$5:$B$19,MATCH(C2146,Kanallar!$A$5:$A$19,0)),0)))</f>
        <v/>
      </c>
      <c r="J2146" s="16" t="str">
        <f aca="false">IF(I2146="","",IF(H2146="İptal",0,IF(H2146="İade",-G2146,E2146-I2146-F2146-G2146)))</f>
        <v/>
      </c>
    </row>
    <row r="2147" customFormat="false" ht="15" hidden="false" customHeight="false" outlineLevel="0" collapsed="false">
      <c r="A2147" s="12"/>
      <c r="B2147" s="13"/>
      <c r="C2147" s="14"/>
      <c r="D2147" s="13"/>
      <c r="E2147" s="15"/>
      <c r="F2147" s="15"/>
      <c r="G2147" s="15"/>
      <c r="H2147" s="14"/>
      <c r="I2147" s="16" t="str">
        <f aca="false">IF(OR(A2147="",C2147=""),"",IF(OR(H2147="İade",H2147="İptal"),0,E2147*IFERROR(INDEX(Kanallar!$B$5:$B$19,MATCH(C2147,Kanallar!$A$5:$A$19,0)),0)))</f>
        <v/>
      </c>
      <c r="J2147" s="16" t="str">
        <f aca="false">IF(I2147="","",IF(H2147="İptal",0,IF(H2147="İade",-G2147,E2147-I2147-F2147-G2147)))</f>
        <v/>
      </c>
    </row>
    <row r="2148" customFormat="false" ht="15" hidden="false" customHeight="false" outlineLevel="0" collapsed="false">
      <c r="A2148" s="12"/>
      <c r="B2148" s="13"/>
      <c r="C2148" s="14"/>
      <c r="D2148" s="13"/>
      <c r="E2148" s="15"/>
      <c r="F2148" s="15"/>
      <c r="G2148" s="15"/>
      <c r="H2148" s="14"/>
      <c r="I2148" s="16" t="str">
        <f aca="false">IF(OR(A2148="",C2148=""),"",IF(OR(H2148="İade",H2148="İptal"),0,E2148*IFERROR(INDEX(Kanallar!$B$5:$B$19,MATCH(C2148,Kanallar!$A$5:$A$19,0)),0)))</f>
        <v/>
      </c>
      <c r="J2148" s="16" t="str">
        <f aca="false">IF(I2148="","",IF(H2148="İptal",0,IF(H2148="İade",-G2148,E2148-I2148-F2148-G2148)))</f>
        <v/>
      </c>
    </row>
    <row r="2149" customFormat="false" ht="15" hidden="false" customHeight="false" outlineLevel="0" collapsed="false">
      <c r="A2149" s="12"/>
      <c r="B2149" s="13"/>
      <c r="C2149" s="14"/>
      <c r="D2149" s="13"/>
      <c r="E2149" s="15"/>
      <c r="F2149" s="15"/>
      <c r="G2149" s="15"/>
      <c r="H2149" s="14"/>
      <c r="I2149" s="16" t="str">
        <f aca="false">IF(OR(A2149="",C2149=""),"",IF(OR(H2149="İade",H2149="İptal"),0,E2149*IFERROR(INDEX(Kanallar!$B$5:$B$19,MATCH(C2149,Kanallar!$A$5:$A$19,0)),0)))</f>
        <v/>
      </c>
      <c r="J2149" s="16" t="str">
        <f aca="false">IF(I2149="","",IF(H2149="İptal",0,IF(H2149="İade",-G2149,E2149-I2149-F2149-G2149)))</f>
        <v/>
      </c>
    </row>
    <row r="2150" customFormat="false" ht="15" hidden="false" customHeight="false" outlineLevel="0" collapsed="false">
      <c r="A2150" s="12"/>
      <c r="B2150" s="13"/>
      <c r="C2150" s="14"/>
      <c r="D2150" s="13"/>
      <c r="E2150" s="15"/>
      <c r="F2150" s="15"/>
      <c r="G2150" s="15"/>
      <c r="H2150" s="14"/>
      <c r="I2150" s="16" t="str">
        <f aca="false">IF(OR(A2150="",C2150=""),"",IF(OR(H2150="İade",H2150="İptal"),0,E2150*IFERROR(INDEX(Kanallar!$B$5:$B$19,MATCH(C2150,Kanallar!$A$5:$A$19,0)),0)))</f>
        <v/>
      </c>
      <c r="J2150" s="16" t="str">
        <f aca="false">IF(I2150="","",IF(H2150="İptal",0,IF(H2150="İade",-G2150,E2150-I2150-F2150-G2150)))</f>
        <v/>
      </c>
    </row>
    <row r="2151" customFormat="false" ht="15" hidden="false" customHeight="false" outlineLevel="0" collapsed="false">
      <c r="A2151" s="12"/>
      <c r="B2151" s="13"/>
      <c r="C2151" s="14"/>
      <c r="D2151" s="13"/>
      <c r="E2151" s="15"/>
      <c r="F2151" s="15"/>
      <c r="G2151" s="15"/>
      <c r="H2151" s="14"/>
      <c r="I2151" s="16" t="str">
        <f aca="false">IF(OR(A2151="",C2151=""),"",IF(OR(H2151="İade",H2151="İptal"),0,E2151*IFERROR(INDEX(Kanallar!$B$5:$B$19,MATCH(C2151,Kanallar!$A$5:$A$19,0)),0)))</f>
        <v/>
      </c>
      <c r="J2151" s="16" t="str">
        <f aca="false">IF(I2151="","",IF(H2151="İptal",0,IF(H2151="İade",-G2151,E2151-I2151-F2151-G2151)))</f>
        <v/>
      </c>
    </row>
    <row r="2152" customFormat="false" ht="15" hidden="false" customHeight="false" outlineLevel="0" collapsed="false">
      <c r="A2152" s="12"/>
      <c r="B2152" s="13"/>
      <c r="C2152" s="14"/>
      <c r="D2152" s="13"/>
      <c r="E2152" s="15"/>
      <c r="F2152" s="15"/>
      <c r="G2152" s="15"/>
      <c r="H2152" s="14"/>
      <c r="I2152" s="16" t="str">
        <f aca="false">IF(OR(A2152="",C2152=""),"",IF(OR(H2152="İade",H2152="İptal"),0,E2152*IFERROR(INDEX(Kanallar!$B$5:$B$19,MATCH(C2152,Kanallar!$A$5:$A$19,0)),0)))</f>
        <v/>
      </c>
      <c r="J2152" s="16" t="str">
        <f aca="false">IF(I2152="","",IF(H2152="İptal",0,IF(H2152="İade",-G2152,E2152-I2152-F2152-G2152)))</f>
        <v/>
      </c>
    </row>
    <row r="2153" customFormat="false" ht="15" hidden="false" customHeight="false" outlineLevel="0" collapsed="false">
      <c r="A2153" s="12"/>
      <c r="B2153" s="13"/>
      <c r="C2153" s="14"/>
      <c r="D2153" s="13"/>
      <c r="E2153" s="15"/>
      <c r="F2153" s="15"/>
      <c r="G2153" s="15"/>
      <c r="H2153" s="14"/>
      <c r="I2153" s="16" t="str">
        <f aca="false">IF(OR(A2153="",C2153=""),"",IF(OR(H2153="İade",H2153="İptal"),0,E2153*IFERROR(INDEX(Kanallar!$B$5:$B$19,MATCH(C2153,Kanallar!$A$5:$A$19,0)),0)))</f>
        <v/>
      </c>
      <c r="J2153" s="16" t="str">
        <f aca="false">IF(I2153="","",IF(H2153="İptal",0,IF(H2153="İade",-G2153,E2153-I2153-F2153-G2153)))</f>
        <v/>
      </c>
    </row>
    <row r="2154" customFormat="false" ht="15" hidden="false" customHeight="false" outlineLevel="0" collapsed="false">
      <c r="A2154" s="12"/>
      <c r="B2154" s="13"/>
      <c r="C2154" s="14"/>
      <c r="D2154" s="13"/>
      <c r="E2154" s="15"/>
      <c r="F2154" s="15"/>
      <c r="G2154" s="15"/>
      <c r="H2154" s="14"/>
      <c r="I2154" s="16" t="str">
        <f aca="false">IF(OR(A2154="",C2154=""),"",IF(OR(H2154="İade",H2154="İptal"),0,E2154*IFERROR(INDEX(Kanallar!$B$5:$B$19,MATCH(C2154,Kanallar!$A$5:$A$19,0)),0)))</f>
        <v/>
      </c>
      <c r="J2154" s="16" t="str">
        <f aca="false">IF(I2154="","",IF(H2154="İptal",0,IF(H2154="İade",-G2154,E2154-I2154-F2154-G2154)))</f>
        <v/>
      </c>
    </row>
    <row r="2155" customFormat="false" ht="15" hidden="false" customHeight="false" outlineLevel="0" collapsed="false">
      <c r="A2155" s="12"/>
      <c r="B2155" s="13"/>
      <c r="C2155" s="14"/>
      <c r="D2155" s="13"/>
      <c r="E2155" s="15"/>
      <c r="F2155" s="15"/>
      <c r="G2155" s="15"/>
      <c r="H2155" s="14"/>
      <c r="I2155" s="16" t="str">
        <f aca="false">IF(OR(A2155="",C2155=""),"",IF(OR(H2155="İade",H2155="İptal"),0,E2155*IFERROR(INDEX(Kanallar!$B$5:$B$19,MATCH(C2155,Kanallar!$A$5:$A$19,0)),0)))</f>
        <v/>
      </c>
      <c r="J2155" s="16" t="str">
        <f aca="false">IF(I2155="","",IF(H2155="İptal",0,IF(H2155="İade",-G2155,E2155-I2155-F2155-G2155)))</f>
        <v/>
      </c>
    </row>
    <row r="2156" customFormat="false" ht="15" hidden="false" customHeight="false" outlineLevel="0" collapsed="false">
      <c r="A2156" s="12"/>
      <c r="B2156" s="13"/>
      <c r="C2156" s="14"/>
      <c r="D2156" s="13"/>
      <c r="E2156" s="15"/>
      <c r="F2156" s="15"/>
      <c r="G2156" s="15"/>
      <c r="H2156" s="14"/>
      <c r="I2156" s="16" t="str">
        <f aca="false">IF(OR(A2156="",C2156=""),"",IF(OR(H2156="İade",H2156="İptal"),0,E2156*IFERROR(INDEX(Kanallar!$B$5:$B$19,MATCH(C2156,Kanallar!$A$5:$A$19,0)),0)))</f>
        <v/>
      </c>
      <c r="J2156" s="16" t="str">
        <f aca="false">IF(I2156="","",IF(H2156="İptal",0,IF(H2156="İade",-G2156,E2156-I2156-F2156-G2156)))</f>
        <v/>
      </c>
    </row>
    <row r="2157" customFormat="false" ht="15" hidden="false" customHeight="false" outlineLevel="0" collapsed="false">
      <c r="A2157" s="12"/>
      <c r="B2157" s="13"/>
      <c r="C2157" s="14"/>
      <c r="D2157" s="13"/>
      <c r="E2157" s="15"/>
      <c r="F2157" s="15"/>
      <c r="G2157" s="15"/>
      <c r="H2157" s="14"/>
      <c r="I2157" s="16" t="str">
        <f aca="false">IF(OR(A2157="",C2157=""),"",IF(OR(H2157="İade",H2157="İptal"),0,E2157*IFERROR(INDEX(Kanallar!$B$5:$B$19,MATCH(C2157,Kanallar!$A$5:$A$19,0)),0)))</f>
        <v/>
      </c>
      <c r="J2157" s="16" t="str">
        <f aca="false">IF(I2157="","",IF(H2157="İptal",0,IF(H2157="İade",-G2157,E2157-I2157-F2157-G2157)))</f>
        <v/>
      </c>
    </row>
    <row r="2158" customFormat="false" ht="15" hidden="false" customHeight="false" outlineLevel="0" collapsed="false">
      <c r="A2158" s="12"/>
      <c r="B2158" s="13"/>
      <c r="C2158" s="14"/>
      <c r="D2158" s="13"/>
      <c r="E2158" s="15"/>
      <c r="F2158" s="15"/>
      <c r="G2158" s="15"/>
      <c r="H2158" s="14"/>
      <c r="I2158" s="16" t="str">
        <f aca="false">IF(OR(A2158="",C2158=""),"",IF(OR(H2158="İade",H2158="İptal"),0,E2158*IFERROR(INDEX(Kanallar!$B$5:$B$19,MATCH(C2158,Kanallar!$A$5:$A$19,0)),0)))</f>
        <v/>
      </c>
      <c r="J2158" s="16" t="str">
        <f aca="false">IF(I2158="","",IF(H2158="İptal",0,IF(H2158="İade",-G2158,E2158-I2158-F2158-G2158)))</f>
        <v/>
      </c>
    </row>
    <row r="2159" customFormat="false" ht="15" hidden="false" customHeight="false" outlineLevel="0" collapsed="false">
      <c r="A2159" s="12"/>
      <c r="B2159" s="13"/>
      <c r="C2159" s="14"/>
      <c r="D2159" s="13"/>
      <c r="E2159" s="15"/>
      <c r="F2159" s="15"/>
      <c r="G2159" s="15"/>
      <c r="H2159" s="14"/>
      <c r="I2159" s="16" t="str">
        <f aca="false">IF(OR(A2159="",C2159=""),"",IF(OR(H2159="İade",H2159="İptal"),0,E2159*IFERROR(INDEX(Kanallar!$B$5:$B$19,MATCH(C2159,Kanallar!$A$5:$A$19,0)),0)))</f>
        <v/>
      </c>
      <c r="J2159" s="16" t="str">
        <f aca="false">IF(I2159="","",IF(H2159="İptal",0,IF(H2159="İade",-G2159,E2159-I2159-F2159-G2159)))</f>
        <v/>
      </c>
    </row>
    <row r="2160" customFormat="false" ht="15" hidden="false" customHeight="false" outlineLevel="0" collapsed="false">
      <c r="A2160" s="12"/>
      <c r="B2160" s="13"/>
      <c r="C2160" s="14"/>
      <c r="D2160" s="13"/>
      <c r="E2160" s="15"/>
      <c r="F2160" s="15"/>
      <c r="G2160" s="15"/>
      <c r="H2160" s="14"/>
      <c r="I2160" s="16" t="str">
        <f aca="false">IF(OR(A2160="",C2160=""),"",IF(OR(H2160="İade",H2160="İptal"),0,E2160*IFERROR(INDEX(Kanallar!$B$5:$B$19,MATCH(C2160,Kanallar!$A$5:$A$19,0)),0)))</f>
        <v/>
      </c>
      <c r="J2160" s="16" t="str">
        <f aca="false">IF(I2160="","",IF(H2160="İptal",0,IF(H2160="İade",-G2160,E2160-I2160-F2160-G2160)))</f>
        <v/>
      </c>
    </row>
    <row r="2161" customFormat="false" ht="15" hidden="false" customHeight="false" outlineLevel="0" collapsed="false">
      <c r="A2161" s="12"/>
      <c r="B2161" s="13"/>
      <c r="C2161" s="14"/>
      <c r="D2161" s="13"/>
      <c r="E2161" s="15"/>
      <c r="F2161" s="15"/>
      <c r="G2161" s="15"/>
      <c r="H2161" s="14"/>
      <c r="I2161" s="16" t="str">
        <f aca="false">IF(OR(A2161="",C2161=""),"",IF(OR(H2161="İade",H2161="İptal"),0,E2161*IFERROR(INDEX(Kanallar!$B$5:$B$19,MATCH(C2161,Kanallar!$A$5:$A$19,0)),0)))</f>
        <v/>
      </c>
      <c r="J2161" s="16" t="str">
        <f aca="false">IF(I2161="","",IF(H2161="İptal",0,IF(H2161="İade",-G2161,E2161-I2161-F2161-G2161)))</f>
        <v/>
      </c>
    </row>
    <row r="2162" customFormat="false" ht="15" hidden="false" customHeight="false" outlineLevel="0" collapsed="false">
      <c r="A2162" s="12"/>
      <c r="B2162" s="13"/>
      <c r="C2162" s="14"/>
      <c r="D2162" s="13"/>
      <c r="E2162" s="15"/>
      <c r="F2162" s="15"/>
      <c r="G2162" s="15"/>
      <c r="H2162" s="14"/>
      <c r="I2162" s="16" t="str">
        <f aca="false">IF(OR(A2162="",C2162=""),"",IF(OR(H2162="İade",H2162="İptal"),0,E2162*IFERROR(INDEX(Kanallar!$B$5:$B$19,MATCH(C2162,Kanallar!$A$5:$A$19,0)),0)))</f>
        <v/>
      </c>
      <c r="J2162" s="16" t="str">
        <f aca="false">IF(I2162="","",IF(H2162="İptal",0,IF(H2162="İade",-G2162,E2162-I2162-F2162-G2162)))</f>
        <v/>
      </c>
    </row>
    <row r="2163" customFormat="false" ht="15" hidden="false" customHeight="false" outlineLevel="0" collapsed="false">
      <c r="A2163" s="12"/>
      <c r="B2163" s="13"/>
      <c r="C2163" s="14"/>
      <c r="D2163" s="13"/>
      <c r="E2163" s="15"/>
      <c r="F2163" s="15"/>
      <c r="G2163" s="15"/>
      <c r="H2163" s="14"/>
      <c r="I2163" s="16" t="str">
        <f aca="false">IF(OR(A2163="",C2163=""),"",IF(OR(H2163="İade",H2163="İptal"),0,E2163*IFERROR(INDEX(Kanallar!$B$5:$B$19,MATCH(C2163,Kanallar!$A$5:$A$19,0)),0)))</f>
        <v/>
      </c>
      <c r="J2163" s="16" t="str">
        <f aca="false">IF(I2163="","",IF(H2163="İptal",0,IF(H2163="İade",-G2163,E2163-I2163-F2163-G2163)))</f>
        <v/>
      </c>
    </row>
    <row r="2164" customFormat="false" ht="15" hidden="false" customHeight="false" outlineLevel="0" collapsed="false">
      <c r="A2164" s="12"/>
      <c r="B2164" s="13"/>
      <c r="C2164" s="14"/>
      <c r="D2164" s="13"/>
      <c r="E2164" s="15"/>
      <c r="F2164" s="15"/>
      <c r="G2164" s="15"/>
      <c r="H2164" s="14"/>
      <c r="I2164" s="16" t="str">
        <f aca="false">IF(OR(A2164="",C2164=""),"",IF(OR(H2164="İade",H2164="İptal"),0,E2164*IFERROR(INDEX(Kanallar!$B$5:$B$19,MATCH(C2164,Kanallar!$A$5:$A$19,0)),0)))</f>
        <v/>
      </c>
      <c r="J2164" s="16" t="str">
        <f aca="false">IF(I2164="","",IF(H2164="İptal",0,IF(H2164="İade",-G2164,E2164-I2164-F2164-G2164)))</f>
        <v/>
      </c>
    </row>
    <row r="2165" customFormat="false" ht="15" hidden="false" customHeight="false" outlineLevel="0" collapsed="false">
      <c r="A2165" s="12"/>
      <c r="B2165" s="13"/>
      <c r="C2165" s="14"/>
      <c r="D2165" s="13"/>
      <c r="E2165" s="15"/>
      <c r="F2165" s="15"/>
      <c r="G2165" s="15"/>
      <c r="H2165" s="14"/>
      <c r="I2165" s="16" t="str">
        <f aca="false">IF(OR(A2165="",C2165=""),"",IF(OR(H2165="İade",H2165="İptal"),0,E2165*IFERROR(INDEX(Kanallar!$B$5:$B$19,MATCH(C2165,Kanallar!$A$5:$A$19,0)),0)))</f>
        <v/>
      </c>
      <c r="J2165" s="16" t="str">
        <f aca="false">IF(I2165="","",IF(H2165="İptal",0,IF(H2165="İade",-G2165,E2165-I2165-F2165-G2165)))</f>
        <v/>
      </c>
    </row>
    <row r="2166" customFormat="false" ht="15" hidden="false" customHeight="false" outlineLevel="0" collapsed="false">
      <c r="A2166" s="12"/>
      <c r="B2166" s="13"/>
      <c r="C2166" s="14"/>
      <c r="D2166" s="13"/>
      <c r="E2166" s="15"/>
      <c r="F2166" s="15"/>
      <c r="G2166" s="15"/>
      <c r="H2166" s="14"/>
      <c r="I2166" s="16" t="str">
        <f aca="false">IF(OR(A2166="",C2166=""),"",IF(OR(H2166="İade",H2166="İptal"),0,E2166*IFERROR(INDEX(Kanallar!$B$5:$B$19,MATCH(C2166,Kanallar!$A$5:$A$19,0)),0)))</f>
        <v/>
      </c>
      <c r="J2166" s="16" t="str">
        <f aca="false">IF(I2166="","",IF(H2166="İptal",0,IF(H2166="İade",-G2166,E2166-I2166-F2166-G2166)))</f>
        <v/>
      </c>
    </row>
    <row r="2167" customFormat="false" ht="15" hidden="false" customHeight="false" outlineLevel="0" collapsed="false">
      <c r="A2167" s="12"/>
      <c r="B2167" s="13"/>
      <c r="C2167" s="14"/>
      <c r="D2167" s="13"/>
      <c r="E2167" s="15"/>
      <c r="F2167" s="15"/>
      <c r="G2167" s="15"/>
      <c r="H2167" s="14"/>
      <c r="I2167" s="16" t="str">
        <f aca="false">IF(OR(A2167="",C2167=""),"",IF(OR(H2167="İade",H2167="İptal"),0,E2167*IFERROR(INDEX(Kanallar!$B$5:$B$19,MATCH(C2167,Kanallar!$A$5:$A$19,0)),0)))</f>
        <v/>
      </c>
      <c r="J2167" s="16" t="str">
        <f aca="false">IF(I2167="","",IF(H2167="İptal",0,IF(H2167="İade",-G2167,E2167-I2167-F2167-G2167)))</f>
        <v/>
      </c>
    </row>
    <row r="2168" customFormat="false" ht="15" hidden="false" customHeight="false" outlineLevel="0" collapsed="false">
      <c r="A2168" s="12"/>
      <c r="B2168" s="13"/>
      <c r="C2168" s="14"/>
      <c r="D2168" s="13"/>
      <c r="E2168" s="15"/>
      <c r="F2168" s="15"/>
      <c r="G2168" s="15"/>
      <c r="H2168" s="14"/>
      <c r="I2168" s="16" t="str">
        <f aca="false">IF(OR(A2168="",C2168=""),"",IF(OR(H2168="İade",H2168="İptal"),0,E2168*IFERROR(INDEX(Kanallar!$B$5:$B$19,MATCH(C2168,Kanallar!$A$5:$A$19,0)),0)))</f>
        <v/>
      </c>
      <c r="J2168" s="16" t="str">
        <f aca="false">IF(I2168="","",IF(H2168="İptal",0,IF(H2168="İade",-G2168,E2168-I2168-F2168-G2168)))</f>
        <v/>
      </c>
    </row>
    <row r="2169" customFormat="false" ht="15" hidden="false" customHeight="false" outlineLevel="0" collapsed="false">
      <c r="A2169" s="12"/>
      <c r="B2169" s="13"/>
      <c r="C2169" s="14"/>
      <c r="D2169" s="13"/>
      <c r="E2169" s="15"/>
      <c r="F2169" s="15"/>
      <c r="G2169" s="15"/>
      <c r="H2169" s="14"/>
      <c r="I2169" s="16" t="str">
        <f aca="false">IF(OR(A2169="",C2169=""),"",IF(OR(H2169="İade",H2169="İptal"),0,E2169*IFERROR(INDEX(Kanallar!$B$5:$B$19,MATCH(C2169,Kanallar!$A$5:$A$19,0)),0)))</f>
        <v/>
      </c>
      <c r="J2169" s="16" t="str">
        <f aca="false">IF(I2169="","",IF(H2169="İptal",0,IF(H2169="İade",-G2169,E2169-I2169-F2169-G2169)))</f>
        <v/>
      </c>
    </row>
    <row r="2170" customFormat="false" ht="15" hidden="false" customHeight="false" outlineLevel="0" collapsed="false">
      <c r="A2170" s="12"/>
      <c r="B2170" s="13"/>
      <c r="C2170" s="14"/>
      <c r="D2170" s="13"/>
      <c r="E2170" s="15"/>
      <c r="F2170" s="15"/>
      <c r="G2170" s="15"/>
      <c r="H2170" s="14"/>
      <c r="I2170" s="16" t="str">
        <f aca="false">IF(OR(A2170="",C2170=""),"",IF(OR(H2170="İade",H2170="İptal"),0,E2170*IFERROR(INDEX(Kanallar!$B$5:$B$19,MATCH(C2170,Kanallar!$A$5:$A$19,0)),0)))</f>
        <v/>
      </c>
      <c r="J2170" s="16" t="str">
        <f aca="false">IF(I2170="","",IF(H2170="İptal",0,IF(H2170="İade",-G2170,E2170-I2170-F2170-G2170)))</f>
        <v/>
      </c>
    </row>
    <row r="2171" customFormat="false" ht="15" hidden="false" customHeight="false" outlineLevel="0" collapsed="false">
      <c r="A2171" s="12"/>
      <c r="B2171" s="13"/>
      <c r="C2171" s="14"/>
      <c r="D2171" s="13"/>
      <c r="E2171" s="15"/>
      <c r="F2171" s="15"/>
      <c r="G2171" s="15"/>
      <c r="H2171" s="14"/>
      <c r="I2171" s="16" t="str">
        <f aca="false">IF(OR(A2171="",C2171=""),"",IF(OR(H2171="İade",H2171="İptal"),0,E2171*IFERROR(INDEX(Kanallar!$B$5:$B$19,MATCH(C2171,Kanallar!$A$5:$A$19,0)),0)))</f>
        <v/>
      </c>
      <c r="J2171" s="16" t="str">
        <f aca="false">IF(I2171="","",IF(H2171="İptal",0,IF(H2171="İade",-G2171,E2171-I2171-F2171-G2171)))</f>
        <v/>
      </c>
    </row>
    <row r="2172" customFormat="false" ht="15" hidden="false" customHeight="false" outlineLevel="0" collapsed="false">
      <c r="A2172" s="12"/>
      <c r="B2172" s="13"/>
      <c r="C2172" s="14"/>
      <c r="D2172" s="13"/>
      <c r="E2172" s="15"/>
      <c r="F2172" s="15"/>
      <c r="G2172" s="15"/>
      <c r="H2172" s="14"/>
      <c r="I2172" s="16" t="str">
        <f aca="false">IF(OR(A2172="",C2172=""),"",IF(OR(H2172="İade",H2172="İptal"),0,E2172*IFERROR(INDEX(Kanallar!$B$5:$B$19,MATCH(C2172,Kanallar!$A$5:$A$19,0)),0)))</f>
        <v/>
      </c>
      <c r="J2172" s="16" t="str">
        <f aca="false">IF(I2172="","",IF(H2172="İptal",0,IF(H2172="İade",-G2172,E2172-I2172-F2172-G2172)))</f>
        <v/>
      </c>
    </row>
    <row r="2173" customFormat="false" ht="15" hidden="false" customHeight="false" outlineLevel="0" collapsed="false">
      <c r="A2173" s="12"/>
      <c r="B2173" s="13"/>
      <c r="C2173" s="14"/>
      <c r="D2173" s="13"/>
      <c r="E2173" s="15"/>
      <c r="F2173" s="15"/>
      <c r="G2173" s="15"/>
      <c r="H2173" s="14"/>
      <c r="I2173" s="16" t="str">
        <f aca="false">IF(OR(A2173="",C2173=""),"",IF(OR(H2173="İade",H2173="İptal"),0,E2173*IFERROR(INDEX(Kanallar!$B$5:$B$19,MATCH(C2173,Kanallar!$A$5:$A$19,0)),0)))</f>
        <v/>
      </c>
      <c r="J2173" s="16" t="str">
        <f aca="false">IF(I2173="","",IF(H2173="İptal",0,IF(H2173="İade",-G2173,E2173-I2173-F2173-G2173)))</f>
        <v/>
      </c>
    </row>
    <row r="2174" customFormat="false" ht="15" hidden="false" customHeight="false" outlineLevel="0" collapsed="false">
      <c r="A2174" s="12"/>
      <c r="B2174" s="13"/>
      <c r="C2174" s="14"/>
      <c r="D2174" s="13"/>
      <c r="E2174" s="15"/>
      <c r="F2174" s="15"/>
      <c r="G2174" s="15"/>
      <c r="H2174" s="14"/>
      <c r="I2174" s="16" t="str">
        <f aca="false">IF(OR(A2174="",C2174=""),"",IF(OR(H2174="İade",H2174="İptal"),0,E2174*IFERROR(INDEX(Kanallar!$B$5:$B$19,MATCH(C2174,Kanallar!$A$5:$A$19,0)),0)))</f>
        <v/>
      </c>
      <c r="J2174" s="16" t="str">
        <f aca="false">IF(I2174="","",IF(H2174="İptal",0,IF(H2174="İade",-G2174,E2174-I2174-F2174-G2174)))</f>
        <v/>
      </c>
    </row>
    <row r="2175" customFormat="false" ht="15" hidden="false" customHeight="false" outlineLevel="0" collapsed="false">
      <c r="A2175" s="12"/>
      <c r="B2175" s="13"/>
      <c r="C2175" s="14"/>
      <c r="D2175" s="13"/>
      <c r="E2175" s="15"/>
      <c r="F2175" s="15"/>
      <c r="G2175" s="15"/>
      <c r="H2175" s="14"/>
      <c r="I2175" s="16" t="str">
        <f aca="false">IF(OR(A2175="",C2175=""),"",IF(OR(H2175="İade",H2175="İptal"),0,E2175*IFERROR(INDEX(Kanallar!$B$5:$B$19,MATCH(C2175,Kanallar!$A$5:$A$19,0)),0)))</f>
        <v/>
      </c>
      <c r="J2175" s="16" t="str">
        <f aca="false">IF(I2175="","",IF(H2175="İptal",0,IF(H2175="İade",-G2175,E2175-I2175-F2175-G2175)))</f>
        <v/>
      </c>
    </row>
    <row r="2176" customFormat="false" ht="15" hidden="false" customHeight="false" outlineLevel="0" collapsed="false">
      <c r="A2176" s="12"/>
      <c r="B2176" s="13"/>
      <c r="C2176" s="14"/>
      <c r="D2176" s="13"/>
      <c r="E2176" s="15"/>
      <c r="F2176" s="15"/>
      <c r="G2176" s="15"/>
      <c r="H2176" s="14"/>
      <c r="I2176" s="16" t="str">
        <f aca="false">IF(OR(A2176="",C2176=""),"",IF(OR(H2176="İade",H2176="İptal"),0,E2176*IFERROR(INDEX(Kanallar!$B$5:$B$19,MATCH(C2176,Kanallar!$A$5:$A$19,0)),0)))</f>
        <v/>
      </c>
      <c r="J2176" s="16" t="str">
        <f aca="false">IF(I2176="","",IF(H2176="İptal",0,IF(H2176="İade",-G2176,E2176-I2176-F2176-G2176)))</f>
        <v/>
      </c>
    </row>
    <row r="2177" customFormat="false" ht="15" hidden="false" customHeight="false" outlineLevel="0" collapsed="false">
      <c r="A2177" s="12"/>
      <c r="B2177" s="13"/>
      <c r="C2177" s="14"/>
      <c r="D2177" s="13"/>
      <c r="E2177" s="15"/>
      <c r="F2177" s="15"/>
      <c r="G2177" s="15"/>
      <c r="H2177" s="14"/>
      <c r="I2177" s="16" t="str">
        <f aca="false">IF(OR(A2177="",C2177=""),"",IF(OR(H2177="İade",H2177="İptal"),0,E2177*IFERROR(INDEX(Kanallar!$B$5:$B$19,MATCH(C2177,Kanallar!$A$5:$A$19,0)),0)))</f>
        <v/>
      </c>
      <c r="J2177" s="16" t="str">
        <f aca="false">IF(I2177="","",IF(H2177="İptal",0,IF(H2177="İade",-G2177,E2177-I2177-F2177-G2177)))</f>
        <v/>
      </c>
    </row>
    <row r="2178" customFormat="false" ht="15" hidden="false" customHeight="false" outlineLevel="0" collapsed="false">
      <c r="A2178" s="12"/>
      <c r="B2178" s="13"/>
      <c r="C2178" s="14"/>
      <c r="D2178" s="13"/>
      <c r="E2178" s="15"/>
      <c r="F2178" s="15"/>
      <c r="G2178" s="15"/>
      <c r="H2178" s="14"/>
      <c r="I2178" s="16" t="str">
        <f aca="false">IF(OR(A2178="",C2178=""),"",IF(OR(H2178="İade",H2178="İptal"),0,E2178*IFERROR(INDEX(Kanallar!$B$5:$B$19,MATCH(C2178,Kanallar!$A$5:$A$19,0)),0)))</f>
        <v/>
      </c>
      <c r="J2178" s="16" t="str">
        <f aca="false">IF(I2178="","",IF(H2178="İptal",0,IF(H2178="İade",-G2178,E2178-I2178-F2178-G2178)))</f>
        <v/>
      </c>
    </row>
    <row r="2179" customFormat="false" ht="15" hidden="false" customHeight="false" outlineLevel="0" collapsed="false">
      <c r="A2179" s="12"/>
      <c r="B2179" s="13"/>
      <c r="C2179" s="14"/>
      <c r="D2179" s="13"/>
      <c r="E2179" s="15"/>
      <c r="F2179" s="15"/>
      <c r="G2179" s="15"/>
      <c r="H2179" s="14"/>
      <c r="I2179" s="16" t="str">
        <f aca="false">IF(OR(A2179="",C2179=""),"",IF(OR(H2179="İade",H2179="İptal"),0,E2179*IFERROR(INDEX(Kanallar!$B$5:$B$19,MATCH(C2179,Kanallar!$A$5:$A$19,0)),0)))</f>
        <v/>
      </c>
      <c r="J2179" s="16" t="str">
        <f aca="false">IF(I2179="","",IF(H2179="İptal",0,IF(H2179="İade",-G2179,E2179-I2179-F2179-G2179)))</f>
        <v/>
      </c>
    </row>
    <row r="2180" customFormat="false" ht="15" hidden="false" customHeight="false" outlineLevel="0" collapsed="false">
      <c r="A2180" s="12"/>
      <c r="B2180" s="13"/>
      <c r="C2180" s="14"/>
      <c r="D2180" s="13"/>
      <c r="E2180" s="15"/>
      <c r="F2180" s="15"/>
      <c r="G2180" s="15"/>
      <c r="H2180" s="14"/>
      <c r="I2180" s="16" t="str">
        <f aca="false">IF(OR(A2180="",C2180=""),"",IF(OR(H2180="İade",H2180="İptal"),0,E2180*IFERROR(INDEX(Kanallar!$B$5:$B$19,MATCH(C2180,Kanallar!$A$5:$A$19,0)),0)))</f>
        <v/>
      </c>
      <c r="J2180" s="16" t="str">
        <f aca="false">IF(I2180="","",IF(H2180="İptal",0,IF(H2180="İade",-G2180,E2180-I2180-F2180-G2180)))</f>
        <v/>
      </c>
    </row>
    <row r="2181" customFormat="false" ht="15" hidden="false" customHeight="false" outlineLevel="0" collapsed="false">
      <c r="A2181" s="12"/>
      <c r="B2181" s="13"/>
      <c r="C2181" s="14"/>
      <c r="D2181" s="13"/>
      <c r="E2181" s="15"/>
      <c r="F2181" s="15"/>
      <c r="G2181" s="15"/>
      <c r="H2181" s="14"/>
      <c r="I2181" s="16" t="str">
        <f aca="false">IF(OR(A2181="",C2181=""),"",IF(OR(H2181="İade",H2181="İptal"),0,E2181*IFERROR(INDEX(Kanallar!$B$5:$B$19,MATCH(C2181,Kanallar!$A$5:$A$19,0)),0)))</f>
        <v/>
      </c>
      <c r="J2181" s="16" t="str">
        <f aca="false">IF(I2181="","",IF(H2181="İptal",0,IF(H2181="İade",-G2181,E2181-I2181-F2181-G2181)))</f>
        <v/>
      </c>
    </row>
    <row r="2182" customFormat="false" ht="15" hidden="false" customHeight="false" outlineLevel="0" collapsed="false">
      <c r="A2182" s="12"/>
      <c r="B2182" s="13"/>
      <c r="C2182" s="14"/>
      <c r="D2182" s="13"/>
      <c r="E2182" s="15"/>
      <c r="F2182" s="15"/>
      <c r="G2182" s="15"/>
      <c r="H2182" s="14"/>
      <c r="I2182" s="16" t="str">
        <f aca="false">IF(OR(A2182="",C2182=""),"",IF(OR(H2182="İade",H2182="İptal"),0,E2182*IFERROR(INDEX(Kanallar!$B$5:$B$19,MATCH(C2182,Kanallar!$A$5:$A$19,0)),0)))</f>
        <v/>
      </c>
      <c r="J2182" s="16" t="str">
        <f aca="false">IF(I2182="","",IF(H2182="İptal",0,IF(H2182="İade",-G2182,E2182-I2182-F2182-G2182)))</f>
        <v/>
      </c>
    </row>
    <row r="2183" customFormat="false" ht="15" hidden="false" customHeight="false" outlineLevel="0" collapsed="false">
      <c r="A2183" s="12"/>
      <c r="B2183" s="13"/>
      <c r="C2183" s="14"/>
      <c r="D2183" s="13"/>
      <c r="E2183" s="15"/>
      <c r="F2183" s="15"/>
      <c r="G2183" s="15"/>
      <c r="H2183" s="14"/>
      <c r="I2183" s="16" t="str">
        <f aca="false">IF(OR(A2183="",C2183=""),"",IF(OR(H2183="İade",H2183="İptal"),0,E2183*IFERROR(INDEX(Kanallar!$B$5:$B$19,MATCH(C2183,Kanallar!$A$5:$A$19,0)),0)))</f>
        <v/>
      </c>
      <c r="J2183" s="16" t="str">
        <f aca="false">IF(I2183="","",IF(H2183="İptal",0,IF(H2183="İade",-G2183,E2183-I2183-F2183-G2183)))</f>
        <v/>
      </c>
    </row>
    <row r="2184" customFormat="false" ht="15" hidden="false" customHeight="false" outlineLevel="0" collapsed="false">
      <c r="A2184" s="12"/>
      <c r="B2184" s="13"/>
      <c r="C2184" s="14"/>
      <c r="D2184" s="13"/>
      <c r="E2184" s="15"/>
      <c r="F2184" s="15"/>
      <c r="G2184" s="15"/>
      <c r="H2184" s="14"/>
      <c r="I2184" s="16" t="str">
        <f aca="false">IF(OR(A2184="",C2184=""),"",IF(OR(H2184="İade",H2184="İptal"),0,E2184*IFERROR(INDEX(Kanallar!$B$5:$B$19,MATCH(C2184,Kanallar!$A$5:$A$19,0)),0)))</f>
        <v/>
      </c>
      <c r="J2184" s="16" t="str">
        <f aca="false">IF(I2184="","",IF(H2184="İptal",0,IF(H2184="İade",-G2184,E2184-I2184-F2184-G2184)))</f>
        <v/>
      </c>
    </row>
    <row r="2185" customFormat="false" ht="15" hidden="false" customHeight="false" outlineLevel="0" collapsed="false">
      <c r="A2185" s="12"/>
      <c r="B2185" s="13"/>
      <c r="C2185" s="14"/>
      <c r="D2185" s="13"/>
      <c r="E2185" s="15"/>
      <c r="F2185" s="15"/>
      <c r="G2185" s="15"/>
      <c r="H2185" s="14"/>
      <c r="I2185" s="16" t="str">
        <f aca="false">IF(OR(A2185="",C2185=""),"",IF(OR(H2185="İade",H2185="İptal"),0,E2185*IFERROR(INDEX(Kanallar!$B$5:$B$19,MATCH(C2185,Kanallar!$A$5:$A$19,0)),0)))</f>
        <v/>
      </c>
      <c r="J2185" s="16" t="str">
        <f aca="false">IF(I2185="","",IF(H2185="İptal",0,IF(H2185="İade",-G2185,E2185-I2185-F2185-G2185)))</f>
        <v/>
      </c>
    </row>
    <row r="2186" customFormat="false" ht="15" hidden="false" customHeight="false" outlineLevel="0" collapsed="false">
      <c r="A2186" s="12"/>
      <c r="B2186" s="13"/>
      <c r="C2186" s="14"/>
      <c r="D2186" s="13"/>
      <c r="E2186" s="15"/>
      <c r="F2186" s="15"/>
      <c r="G2186" s="15"/>
      <c r="H2186" s="14"/>
      <c r="I2186" s="16" t="str">
        <f aca="false">IF(OR(A2186="",C2186=""),"",IF(OR(H2186="İade",H2186="İptal"),0,E2186*IFERROR(INDEX(Kanallar!$B$5:$B$19,MATCH(C2186,Kanallar!$A$5:$A$19,0)),0)))</f>
        <v/>
      </c>
      <c r="J2186" s="16" t="str">
        <f aca="false">IF(I2186="","",IF(H2186="İptal",0,IF(H2186="İade",-G2186,E2186-I2186-F2186-G2186)))</f>
        <v/>
      </c>
    </row>
    <row r="2187" customFormat="false" ht="15" hidden="false" customHeight="false" outlineLevel="0" collapsed="false">
      <c r="A2187" s="12"/>
      <c r="B2187" s="13"/>
      <c r="C2187" s="14"/>
      <c r="D2187" s="13"/>
      <c r="E2187" s="15"/>
      <c r="F2187" s="15"/>
      <c r="G2187" s="15"/>
      <c r="H2187" s="14"/>
      <c r="I2187" s="16" t="str">
        <f aca="false">IF(OR(A2187="",C2187=""),"",IF(OR(H2187="İade",H2187="İptal"),0,E2187*IFERROR(INDEX(Kanallar!$B$5:$B$19,MATCH(C2187,Kanallar!$A$5:$A$19,0)),0)))</f>
        <v/>
      </c>
      <c r="J2187" s="16" t="str">
        <f aca="false">IF(I2187="","",IF(H2187="İptal",0,IF(H2187="İade",-G2187,E2187-I2187-F2187-G2187)))</f>
        <v/>
      </c>
    </row>
    <row r="2188" customFormat="false" ht="15" hidden="false" customHeight="false" outlineLevel="0" collapsed="false">
      <c r="A2188" s="12"/>
      <c r="B2188" s="13"/>
      <c r="C2188" s="14"/>
      <c r="D2188" s="13"/>
      <c r="E2188" s="15"/>
      <c r="F2188" s="15"/>
      <c r="G2188" s="15"/>
      <c r="H2188" s="14"/>
      <c r="I2188" s="16" t="str">
        <f aca="false">IF(OR(A2188="",C2188=""),"",IF(OR(H2188="İade",H2188="İptal"),0,E2188*IFERROR(INDEX(Kanallar!$B$5:$B$19,MATCH(C2188,Kanallar!$A$5:$A$19,0)),0)))</f>
        <v/>
      </c>
      <c r="J2188" s="16" t="str">
        <f aca="false">IF(I2188="","",IF(H2188="İptal",0,IF(H2188="İade",-G2188,E2188-I2188-F2188-G2188)))</f>
        <v/>
      </c>
    </row>
    <row r="2189" customFormat="false" ht="15" hidden="false" customHeight="false" outlineLevel="0" collapsed="false">
      <c r="A2189" s="12"/>
      <c r="B2189" s="13"/>
      <c r="C2189" s="14"/>
      <c r="D2189" s="13"/>
      <c r="E2189" s="15"/>
      <c r="F2189" s="15"/>
      <c r="G2189" s="15"/>
      <c r="H2189" s="14"/>
      <c r="I2189" s="16" t="str">
        <f aca="false">IF(OR(A2189="",C2189=""),"",IF(OR(H2189="İade",H2189="İptal"),0,E2189*IFERROR(INDEX(Kanallar!$B$5:$B$19,MATCH(C2189,Kanallar!$A$5:$A$19,0)),0)))</f>
        <v/>
      </c>
      <c r="J2189" s="16" t="str">
        <f aca="false">IF(I2189="","",IF(H2189="İptal",0,IF(H2189="İade",-G2189,E2189-I2189-F2189-G2189)))</f>
        <v/>
      </c>
    </row>
    <row r="2190" customFormat="false" ht="15" hidden="false" customHeight="false" outlineLevel="0" collapsed="false">
      <c r="A2190" s="12"/>
      <c r="B2190" s="13"/>
      <c r="C2190" s="14"/>
      <c r="D2190" s="13"/>
      <c r="E2190" s="15"/>
      <c r="F2190" s="15"/>
      <c r="G2190" s="15"/>
      <c r="H2190" s="14"/>
      <c r="I2190" s="16" t="str">
        <f aca="false">IF(OR(A2190="",C2190=""),"",IF(OR(H2190="İade",H2190="İptal"),0,E2190*IFERROR(INDEX(Kanallar!$B$5:$B$19,MATCH(C2190,Kanallar!$A$5:$A$19,0)),0)))</f>
        <v/>
      </c>
      <c r="J2190" s="16" t="str">
        <f aca="false">IF(I2190="","",IF(H2190="İptal",0,IF(H2190="İade",-G2190,E2190-I2190-F2190-G2190)))</f>
        <v/>
      </c>
    </row>
    <row r="2191" customFormat="false" ht="15" hidden="false" customHeight="false" outlineLevel="0" collapsed="false">
      <c r="A2191" s="12"/>
      <c r="B2191" s="13"/>
      <c r="C2191" s="14"/>
      <c r="D2191" s="13"/>
      <c r="E2191" s="15"/>
      <c r="F2191" s="15"/>
      <c r="G2191" s="15"/>
      <c r="H2191" s="14"/>
      <c r="I2191" s="16" t="str">
        <f aca="false">IF(OR(A2191="",C2191=""),"",IF(OR(H2191="İade",H2191="İptal"),0,E2191*IFERROR(INDEX(Kanallar!$B$5:$B$19,MATCH(C2191,Kanallar!$A$5:$A$19,0)),0)))</f>
        <v/>
      </c>
      <c r="J2191" s="16" t="str">
        <f aca="false">IF(I2191="","",IF(H2191="İptal",0,IF(H2191="İade",-G2191,E2191-I2191-F2191-G2191)))</f>
        <v/>
      </c>
    </row>
    <row r="2192" customFormat="false" ht="15" hidden="false" customHeight="false" outlineLevel="0" collapsed="false">
      <c r="A2192" s="12"/>
      <c r="B2192" s="13"/>
      <c r="C2192" s="14"/>
      <c r="D2192" s="13"/>
      <c r="E2192" s="15"/>
      <c r="F2192" s="15"/>
      <c r="G2192" s="15"/>
      <c r="H2192" s="14"/>
      <c r="I2192" s="16" t="str">
        <f aca="false">IF(OR(A2192="",C2192=""),"",IF(OR(H2192="İade",H2192="İptal"),0,E2192*IFERROR(INDEX(Kanallar!$B$5:$B$19,MATCH(C2192,Kanallar!$A$5:$A$19,0)),0)))</f>
        <v/>
      </c>
      <c r="J2192" s="16" t="str">
        <f aca="false">IF(I2192="","",IF(H2192="İptal",0,IF(H2192="İade",-G2192,E2192-I2192-F2192-G2192)))</f>
        <v/>
      </c>
    </row>
    <row r="2193" customFormat="false" ht="15" hidden="false" customHeight="false" outlineLevel="0" collapsed="false">
      <c r="A2193" s="12"/>
      <c r="B2193" s="13"/>
      <c r="C2193" s="14"/>
      <c r="D2193" s="13"/>
      <c r="E2193" s="15"/>
      <c r="F2193" s="15"/>
      <c r="G2193" s="15"/>
      <c r="H2193" s="14"/>
      <c r="I2193" s="16" t="str">
        <f aca="false">IF(OR(A2193="",C2193=""),"",IF(OR(H2193="İade",H2193="İptal"),0,E2193*IFERROR(INDEX(Kanallar!$B$5:$B$19,MATCH(C2193,Kanallar!$A$5:$A$19,0)),0)))</f>
        <v/>
      </c>
      <c r="J2193" s="16" t="str">
        <f aca="false">IF(I2193="","",IF(H2193="İptal",0,IF(H2193="İade",-G2193,E2193-I2193-F2193-G2193)))</f>
        <v/>
      </c>
    </row>
    <row r="2194" customFormat="false" ht="15" hidden="false" customHeight="false" outlineLevel="0" collapsed="false">
      <c r="A2194" s="12"/>
      <c r="B2194" s="13"/>
      <c r="C2194" s="14"/>
      <c r="D2194" s="13"/>
      <c r="E2194" s="15"/>
      <c r="F2194" s="15"/>
      <c r="G2194" s="15"/>
      <c r="H2194" s="14"/>
      <c r="I2194" s="16" t="str">
        <f aca="false">IF(OR(A2194="",C2194=""),"",IF(OR(H2194="İade",H2194="İptal"),0,E2194*IFERROR(INDEX(Kanallar!$B$5:$B$19,MATCH(C2194,Kanallar!$A$5:$A$19,0)),0)))</f>
        <v/>
      </c>
      <c r="J2194" s="16" t="str">
        <f aca="false">IF(I2194="","",IF(H2194="İptal",0,IF(H2194="İade",-G2194,E2194-I2194-F2194-G2194)))</f>
        <v/>
      </c>
    </row>
    <row r="2195" customFormat="false" ht="15" hidden="false" customHeight="false" outlineLevel="0" collapsed="false">
      <c r="A2195" s="12"/>
      <c r="B2195" s="13"/>
      <c r="C2195" s="14"/>
      <c r="D2195" s="13"/>
      <c r="E2195" s="15"/>
      <c r="F2195" s="15"/>
      <c r="G2195" s="15"/>
      <c r="H2195" s="14"/>
      <c r="I2195" s="16" t="str">
        <f aca="false">IF(OR(A2195="",C2195=""),"",IF(OR(H2195="İade",H2195="İptal"),0,E2195*IFERROR(INDEX(Kanallar!$B$5:$B$19,MATCH(C2195,Kanallar!$A$5:$A$19,0)),0)))</f>
        <v/>
      </c>
      <c r="J2195" s="16" t="str">
        <f aca="false">IF(I2195="","",IF(H2195="İptal",0,IF(H2195="İade",-G2195,E2195-I2195-F2195-G2195)))</f>
        <v/>
      </c>
    </row>
    <row r="2196" customFormat="false" ht="15" hidden="false" customHeight="false" outlineLevel="0" collapsed="false">
      <c r="A2196" s="12"/>
      <c r="B2196" s="13"/>
      <c r="C2196" s="14"/>
      <c r="D2196" s="13"/>
      <c r="E2196" s="15"/>
      <c r="F2196" s="15"/>
      <c r="G2196" s="15"/>
      <c r="H2196" s="14"/>
      <c r="I2196" s="16" t="str">
        <f aca="false">IF(OR(A2196="",C2196=""),"",IF(OR(H2196="İade",H2196="İptal"),0,E2196*IFERROR(INDEX(Kanallar!$B$5:$B$19,MATCH(C2196,Kanallar!$A$5:$A$19,0)),0)))</f>
        <v/>
      </c>
      <c r="J2196" s="16" t="str">
        <f aca="false">IF(I2196="","",IF(H2196="İptal",0,IF(H2196="İade",-G2196,E2196-I2196-F2196-G2196)))</f>
        <v/>
      </c>
    </row>
    <row r="2197" customFormat="false" ht="15" hidden="false" customHeight="false" outlineLevel="0" collapsed="false">
      <c r="A2197" s="12"/>
      <c r="B2197" s="13"/>
      <c r="C2197" s="14"/>
      <c r="D2197" s="13"/>
      <c r="E2197" s="15"/>
      <c r="F2197" s="15"/>
      <c r="G2197" s="15"/>
      <c r="H2197" s="14"/>
      <c r="I2197" s="16" t="str">
        <f aca="false">IF(OR(A2197="",C2197=""),"",IF(OR(H2197="İade",H2197="İptal"),0,E2197*IFERROR(INDEX(Kanallar!$B$5:$B$19,MATCH(C2197,Kanallar!$A$5:$A$19,0)),0)))</f>
        <v/>
      </c>
      <c r="J2197" s="16" t="str">
        <f aca="false">IF(I2197="","",IF(H2197="İptal",0,IF(H2197="İade",-G2197,E2197-I2197-F2197-G2197)))</f>
        <v/>
      </c>
    </row>
    <row r="2198" customFormat="false" ht="15" hidden="false" customHeight="false" outlineLevel="0" collapsed="false">
      <c r="A2198" s="12"/>
      <c r="B2198" s="13"/>
      <c r="C2198" s="14"/>
      <c r="D2198" s="13"/>
      <c r="E2198" s="15"/>
      <c r="F2198" s="15"/>
      <c r="G2198" s="15"/>
      <c r="H2198" s="14"/>
      <c r="I2198" s="16" t="str">
        <f aca="false">IF(OR(A2198="",C2198=""),"",IF(OR(H2198="İade",H2198="İptal"),0,E2198*IFERROR(INDEX(Kanallar!$B$5:$B$19,MATCH(C2198,Kanallar!$A$5:$A$19,0)),0)))</f>
        <v/>
      </c>
      <c r="J2198" s="16" t="str">
        <f aca="false">IF(I2198="","",IF(H2198="İptal",0,IF(H2198="İade",-G2198,E2198-I2198-F2198-G2198)))</f>
        <v/>
      </c>
    </row>
    <row r="2199" customFormat="false" ht="15" hidden="false" customHeight="false" outlineLevel="0" collapsed="false">
      <c r="A2199" s="12"/>
      <c r="B2199" s="13"/>
      <c r="C2199" s="14"/>
      <c r="D2199" s="13"/>
      <c r="E2199" s="15"/>
      <c r="F2199" s="15"/>
      <c r="G2199" s="15"/>
      <c r="H2199" s="14"/>
      <c r="I2199" s="16" t="str">
        <f aca="false">IF(OR(A2199="",C2199=""),"",IF(OR(H2199="İade",H2199="İptal"),0,E2199*IFERROR(INDEX(Kanallar!$B$5:$B$19,MATCH(C2199,Kanallar!$A$5:$A$19,0)),0)))</f>
        <v/>
      </c>
      <c r="J2199" s="16" t="str">
        <f aca="false">IF(I2199="","",IF(H2199="İptal",0,IF(H2199="İade",-G2199,E2199-I2199-F2199-G2199)))</f>
        <v/>
      </c>
    </row>
    <row r="2200" customFormat="false" ht="15" hidden="false" customHeight="false" outlineLevel="0" collapsed="false">
      <c r="A2200" s="12"/>
      <c r="B2200" s="13"/>
      <c r="C2200" s="14"/>
      <c r="D2200" s="13"/>
      <c r="E2200" s="15"/>
      <c r="F2200" s="15"/>
      <c r="G2200" s="15"/>
      <c r="H2200" s="14"/>
      <c r="I2200" s="16" t="str">
        <f aca="false">IF(OR(A2200="",C2200=""),"",IF(OR(H2200="İade",H2200="İptal"),0,E2200*IFERROR(INDEX(Kanallar!$B$5:$B$19,MATCH(C2200,Kanallar!$A$5:$A$19,0)),0)))</f>
        <v/>
      </c>
      <c r="J2200" s="16" t="str">
        <f aca="false">IF(I2200="","",IF(H2200="İptal",0,IF(H2200="İade",-G2200,E2200-I2200-F2200-G2200)))</f>
        <v/>
      </c>
    </row>
    <row r="2201" customFormat="false" ht="15" hidden="false" customHeight="false" outlineLevel="0" collapsed="false">
      <c r="A2201" s="12"/>
      <c r="B2201" s="13"/>
      <c r="C2201" s="14"/>
      <c r="D2201" s="13"/>
      <c r="E2201" s="15"/>
      <c r="F2201" s="15"/>
      <c r="G2201" s="15"/>
      <c r="H2201" s="14"/>
      <c r="I2201" s="16" t="str">
        <f aca="false">IF(OR(A2201="",C2201=""),"",IF(OR(H2201="İade",H2201="İptal"),0,E2201*IFERROR(INDEX(Kanallar!$B$5:$B$19,MATCH(C2201,Kanallar!$A$5:$A$19,0)),0)))</f>
        <v/>
      </c>
      <c r="J2201" s="16" t="str">
        <f aca="false">IF(I2201="","",IF(H2201="İptal",0,IF(H2201="İade",-G2201,E2201-I2201-F2201-G2201)))</f>
        <v/>
      </c>
    </row>
    <row r="2202" customFormat="false" ht="15" hidden="false" customHeight="false" outlineLevel="0" collapsed="false">
      <c r="A2202" s="12"/>
      <c r="B2202" s="13"/>
      <c r="C2202" s="14"/>
      <c r="D2202" s="13"/>
      <c r="E2202" s="15"/>
      <c r="F2202" s="15"/>
      <c r="G2202" s="15"/>
      <c r="H2202" s="14"/>
      <c r="I2202" s="16" t="str">
        <f aca="false">IF(OR(A2202="",C2202=""),"",IF(OR(H2202="İade",H2202="İptal"),0,E2202*IFERROR(INDEX(Kanallar!$B$5:$B$19,MATCH(C2202,Kanallar!$A$5:$A$19,0)),0)))</f>
        <v/>
      </c>
      <c r="J2202" s="16" t="str">
        <f aca="false">IF(I2202="","",IF(H2202="İptal",0,IF(H2202="İade",-G2202,E2202-I2202-F2202-G2202)))</f>
        <v/>
      </c>
    </row>
    <row r="2203" customFormat="false" ht="15" hidden="false" customHeight="false" outlineLevel="0" collapsed="false">
      <c r="A2203" s="12"/>
      <c r="B2203" s="13"/>
      <c r="C2203" s="14"/>
      <c r="D2203" s="13"/>
      <c r="E2203" s="15"/>
      <c r="F2203" s="15"/>
      <c r="G2203" s="15"/>
      <c r="H2203" s="14"/>
      <c r="I2203" s="16" t="str">
        <f aca="false">IF(OR(A2203="",C2203=""),"",IF(OR(H2203="İade",H2203="İptal"),0,E2203*IFERROR(INDEX(Kanallar!$B$5:$B$19,MATCH(C2203,Kanallar!$A$5:$A$19,0)),0)))</f>
        <v/>
      </c>
      <c r="J2203" s="16" t="str">
        <f aca="false">IF(I2203="","",IF(H2203="İptal",0,IF(H2203="İade",-G2203,E2203-I2203-F2203-G2203)))</f>
        <v/>
      </c>
    </row>
    <row r="2204" customFormat="false" ht="15" hidden="false" customHeight="false" outlineLevel="0" collapsed="false">
      <c r="A2204" s="12"/>
      <c r="B2204" s="13"/>
      <c r="C2204" s="14"/>
      <c r="D2204" s="13"/>
      <c r="E2204" s="15"/>
      <c r="F2204" s="15"/>
      <c r="G2204" s="15"/>
      <c r="H2204" s="14"/>
      <c r="I2204" s="16" t="str">
        <f aca="false">IF(OR(A2204="",C2204=""),"",IF(OR(H2204="İade",H2204="İptal"),0,E2204*IFERROR(INDEX(Kanallar!$B$5:$B$19,MATCH(C2204,Kanallar!$A$5:$A$19,0)),0)))</f>
        <v/>
      </c>
      <c r="J2204" s="16" t="str">
        <f aca="false">IF(I2204="","",IF(H2204="İptal",0,IF(H2204="İade",-G2204,E2204-I2204-F2204-G2204)))</f>
        <v/>
      </c>
    </row>
    <row r="2205" customFormat="false" ht="15" hidden="false" customHeight="false" outlineLevel="0" collapsed="false">
      <c r="A2205" s="12"/>
      <c r="B2205" s="13"/>
      <c r="C2205" s="14"/>
      <c r="D2205" s="13"/>
      <c r="E2205" s="15"/>
      <c r="F2205" s="15"/>
      <c r="G2205" s="15"/>
      <c r="H2205" s="14"/>
      <c r="I2205" s="16" t="str">
        <f aca="false">IF(OR(A2205="",C2205=""),"",IF(OR(H2205="İade",H2205="İptal"),0,E2205*IFERROR(INDEX(Kanallar!$B$5:$B$19,MATCH(C2205,Kanallar!$A$5:$A$19,0)),0)))</f>
        <v/>
      </c>
      <c r="J2205" s="16" t="str">
        <f aca="false">IF(I2205="","",IF(H2205="İptal",0,IF(H2205="İade",-G2205,E2205-I2205-F2205-G2205)))</f>
        <v/>
      </c>
    </row>
    <row r="2206" customFormat="false" ht="15" hidden="false" customHeight="false" outlineLevel="0" collapsed="false">
      <c r="A2206" s="12"/>
      <c r="B2206" s="13"/>
      <c r="C2206" s="14"/>
      <c r="D2206" s="13"/>
      <c r="E2206" s="15"/>
      <c r="F2206" s="15"/>
      <c r="G2206" s="15"/>
      <c r="H2206" s="14"/>
      <c r="I2206" s="16" t="str">
        <f aca="false">IF(OR(A2206="",C2206=""),"",IF(OR(H2206="İade",H2206="İptal"),0,E2206*IFERROR(INDEX(Kanallar!$B$5:$B$19,MATCH(C2206,Kanallar!$A$5:$A$19,0)),0)))</f>
        <v/>
      </c>
      <c r="J2206" s="16" t="str">
        <f aca="false">IF(I2206="","",IF(H2206="İptal",0,IF(H2206="İade",-G2206,E2206-I2206-F2206-G2206)))</f>
        <v/>
      </c>
    </row>
    <row r="2207" customFormat="false" ht="15" hidden="false" customHeight="false" outlineLevel="0" collapsed="false">
      <c r="A2207" s="12"/>
      <c r="B2207" s="13"/>
      <c r="C2207" s="14"/>
      <c r="D2207" s="13"/>
      <c r="E2207" s="15"/>
      <c r="F2207" s="15"/>
      <c r="G2207" s="15"/>
      <c r="H2207" s="14"/>
      <c r="I2207" s="16" t="str">
        <f aca="false">IF(OR(A2207="",C2207=""),"",IF(OR(H2207="İade",H2207="İptal"),0,E2207*IFERROR(INDEX(Kanallar!$B$5:$B$19,MATCH(C2207,Kanallar!$A$5:$A$19,0)),0)))</f>
        <v/>
      </c>
      <c r="J2207" s="16" t="str">
        <f aca="false">IF(I2207="","",IF(H2207="İptal",0,IF(H2207="İade",-G2207,E2207-I2207-F2207-G2207)))</f>
        <v/>
      </c>
    </row>
    <row r="2208" customFormat="false" ht="15" hidden="false" customHeight="false" outlineLevel="0" collapsed="false">
      <c r="A2208" s="12"/>
      <c r="B2208" s="13"/>
      <c r="C2208" s="14"/>
      <c r="D2208" s="13"/>
      <c r="E2208" s="15"/>
      <c r="F2208" s="15"/>
      <c r="G2208" s="15"/>
      <c r="H2208" s="14"/>
      <c r="I2208" s="16" t="str">
        <f aca="false">IF(OR(A2208="",C2208=""),"",IF(OR(H2208="İade",H2208="İptal"),0,E2208*IFERROR(INDEX(Kanallar!$B$5:$B$19,MATCH(C2208,Kanallar!$A$5:$A$19,0)),0)))</f>
        <v/>
      </c>
      <c r="J2208" s="16" t="str">
        <f aca="false">IF(I2208="","",IF(H2208="İptal",0,IF(H2208="İade",-G2208,E2208-I2208-F2208-G2208)))</f>
        <v/>
      </c>
    </row>
    <row r="2209" customFormat="false" ht="15" hidden="false" customHeight="false" outlineLevel="0" collapsed="false">
      <c r="A2209" s="12"/>
      <c r="B2209" s="13"/>
      <c r="C2209" s="14"/>
      <c r="D2209" s="13"/>
      <c r="E2209" s="15"/>
      <c r="F2209" s="15"/>
      <c r="G2209" s="15"/>
      <c r="H2209" s="14"/>
      <c r="I2209" s="16" t="str">
        <f aca="false">IF(OR(A2209="",C2209=""),"",IF(OR(H2209="İade",H2209="İptal"),0,E2209*IFERROR(INDEX(Kanallar!$B$5:$B$19,MATCH(C2209,Kanallar!$A$5:$A$19,0)),0)))</f>
        <v/>
      </c>
      <c r="J2209" s="16" t="str">
        <f aca="false">IF(I2209="","",IF(H2209="İptal",0,IF(H2209="İade",-G2209,E2209-I2209-F2209-G2209)))</f>
        <v/>
      </c>
    </row>
    <row r="2210" customFormat="false" ht="15" hidden="false" customHeight="false" outlineLevel="0" collapsed="false">
      <c r="A2210" s="12"/>
      <c r="B2210" s="13"/>
      <c r="C2210" s="14"/>
      <c r="D2210" s="13"/>
      <c r="E2210" s="15"/>
      <c r="F2210" s="15"/>
      <c r="G2210" s="15"/>
      <c r="H2210" s="14"/>
      <c r="I2210" s="16" t="str">
        <f aca="false">IF(OR(A2210="",C2210=""),"",IF(OR(H2210="İade",H2210="İptal"),0,E2210*IFERROR(INDEX(Kanallar!$B$5:$B$19,MATCH(C2210,Kanallar!$A$5:$A$19,0)),0)))</f>
        <v/>
      </c>
      <c r="J2210" s="16" t="str">
        <f aca="false">IF(I2210="","",IF(H2210="İptal",0,IF(H2210="İade",-G2210,E2210-I2210-F2210-G2210)))</f>
        <v/>
      </c>
    </row>
    <row r="2211" customFormat="false" ht="15" hidden="false" customHeight="false" outlineLevel="0" collapsed="false">
      <c r="A2211" s="12"/>
      <c r="B2211" s="13"/>
      <c r="C2211" s="14"/>
      <c r="D2211" s="13"/>
      <c r="E2211" s="15"/>
      <c r="F2211" s="15"/>
      <c r="G2211" s="15"/>
      <c r="H2211" s="14"/>
      <c r="I2211" s="16" t="str">
        <f aca="false">IF(OR(A2211="",C2211=""),"",IF(OR(H2211="İade",H2211="İptal"),0,E2211*IFERROR(INDEX(Kanallar!$B$5:$B$19,MATCH(C2211,Kanallar!$A$5:$A$19,0)),0)))</f>
        <v/>
      </c>
      <c r="J2211" s="16" t="str">
        <f aca="false">IF(I2211="","",IF(H2211="İptal",0,IF(H2211="İade",-G2211,E2211-I2211-F2211-G2211)))</f>
        <v/>
      </c>
    </row>
    <row r="2212" customFormat="false" ht="15" hidden="false" customHeight="false" outlineLevel="0" collapsed="false">
      <c r="A2212" s="12"/>
      <c r="B2212" s="13"/>
      <c r="C2212" s="14"/>
      <c r="D2212" s="13"/>
      <c r="E2212" s="15"/>
      <c r="F2212" s="15"/>
      <c r="G2212" s="15"/>
      <c r="H2212" s="14"/>
      <c r="I2212" s="16" t="str">
        <f aca="false">IF(OR(A2212="",C2212=""),"",IF(OR(H2212="İade",H2212="İptal"),0,E2212*IFERROR(INDEX(Kanallar!$B$5:$B$19,MATCH(C2212,Kanallar!$A$5:$A$19,0)),0)))</f>
        <v/>
      </c>
      <c r="J2212" s="16" t="str">
        <f aca="false">IF(I2212="","",IF(H2212="İptal",0,IF(H2212="İade",-G2212,E2212-I2212-F2212-G2212)))</f>
        <v/>
      </c>
    </row>
    <row r="2213" customFormat="false" ht="15" hidden="false" customHeight="false" outlineLevel="0" collapsed="false">
      <c r="A2213" s="12"/>
      <c r="B2213" s="13"/>
      <c r="C2213" s="14"/>
      <c r="D2213" s="13"/>
      <c r="E2213" s="15"/>
      <c r="F2213" s="15"/>
      <c r="G2213" s="15"/>
      <c r="H2213" s="14"/>
      <c r="I2213" s="16" t="str">
        <f aca="false">IF(OR(A2213="",C2213=""),"",IF(OR(H2213="İade",H2213="İptal"),0,E2213*IFERROR(INDEX(Kanallar!$B$5:$B$19,MATCH(C2213,Kanallar!$A$5:$A$19,0)),0)))</f>
        <v/>
      </c>
      <c r="J2213" s="16" t="str">
        <f aca="false">IF(I2213="","",IF(H2213="İptal",0,IF(H2213="İade",-G2213,E2213-I2213-F2213-G2213)))</f>
        <v/>
      </c>
    </row>
    <row r="2214" customFormat="false" ht="15" hidden="false" customHeight="false" outlineLevel="0" collapsed="false">
      <c r="A2214" s="12"/>
      <c r="B2214" s="13"/>
      <c r="C2214" s="14"/>
      <c r="D2214" s="13"/>
      <c r="E2214" s="15"/>
      <c r="F2214" s="15"/>
      <c r="G2214" s="15"/>
      <c r="H2214" s="14"/>
      <c r="I2214" s="16" t="str">
        <f aca="false">IF(OR(A2214="",C2214=""),"",IF(OR(H2214="İade",H2214="İptal"),0,E2214*IFERROR(INDEX(Kanallar!$B$5:$B$19,MATCH(C2214,Kanallar!$A$5:$A$19,0)),0)))</f>
        <v/>
      </c>
      <c r="J2214" s="16" t="str">
        <f aca="false">IF(I2214="","",IF(H2214="İptal",0,IF(H2214="İade",-G2214,E2214-I2214-F2214-G2214)))</f>
        <v/>
      </c>
    </row>
    <row r="2215" customFormat="false" ht="15" hidden="false" customHeight="false" outlineLevel="0" collapsed="false">
      <c r="A2215" s="12"/>
      <c r="B2215" s="13"/>
      <c r="C2215" s="14"/>
      <c r="D2215" s="13"/>
      <c r="E2215" s="15"/>
      <c r="F2215" s="15"/>
      <c r="G2215" s="15"/>
      <c r="H2215" s="14"/>
      <c r="I2215" s="16" t="str">
        <f aca="false">IF(OR(A2215="",C2215=""),"",IF(OR(H2215="İade",H2215="İptal"),0,E2215*IFERROR(INDEX(Kanallar!$B$5:$B$19,MATCH(C2215,Kanallar!$A$5:$A$19,0)),0)))</f>
        <v/>
      </c>
      <c r="J2215" s="16" t="str">
        <f aca="false">IF(I2215="","",IF(H2215="İptal",0,IF(H2215="İade",-G2215,E2215-I2215-F2215-G2215)))</f>
        <v/>
      </c>
    </row>
    <row r="2216" customFormat="false" ht="15" hidden="false" customHeight="false" outlineLevel="0" collapsed="false">
      <c r="A2216" s="12"/>
      <c r="B2216" s="13"/>
      <c r="C2216" s="14"/>
      <c r="D2216" s="13"/>
      <c r="E2216" s="15"/>
      <c r="F2216" s="15"/>
      <c r="G2216" s="15"/>
      <c r="H2216" s="14"/>
      <c r="I2216" s="16" t="str">
        <f aca="false">IF(OR(A2216="",C2216=""),"",IF(OR(H2216="İade",H2216="İptal"),0,E2216*IFERROR(INDEX(Kanallar!$B$5:$B$19,MATCH(C2216,Kanallar!$A$5:$A$19,0)),0)))</f>
        <v/>
      </c>
      <c r="J2216" s="16" t="str">
        <f aca="false">IF(I2216="","",IF(H2216="İptal",0,IF(H2216="İade",-G2216,E2216-I2216-F2216-G2216)))</f>
        <v/>
      </c>
    </row>
    <row r="2217" customFormat="false" ht="15" hidden="false" customHeight="false" outlineLevel="0" collapsed="false">
      <c r="A2217" s="12"/>
      <c r="B2217" s="13"/>
      <c r="C2217" s="14"/>
      <c r="D2217" s="13"/>
      <c r="E2217" s="15"/>
      <c r="F2217" s="15"/>
      <c r="G2217" s="15"/>
      <c r="H2217" s="14"/>
      <c r="I2217" s="16" t="str">
        <f aca="false">IF(OR(A2217="",C2217=""),"",IF(OR(H2217="İade",H2217="İptal"),0,E2217*IFERROR(INDEX(Kanallar!$B$5:$B$19,MATCH(C2217,Kanallar!$A$5:$A$19,0)),0)))</f>
        <v/>
      </c>
      <c r="J2217" s="16" t="str">
        <f aca="false">IF(I2217="","",IF(H2217="İptal",0,IF(H2217="İade",-G2217,E2217-I2217-F2217-G2217)))</f>
        <v/>
      </c>
    </row>
    <row r="2218" customFormat="false" ht="15" hidden="false" customHeight="false" outlineLevel="0" collapsed="false">
      <c r="A2218" s="12"/>
      <c r="B2218" s="13"/>
      <c r="C2218" s="14"/>
      <c r="D2218" s="13"/>
      <c r="E2218" s="15"/>
      <c r="F2218" s="15"/>
      <c r="G2218" s="15"/>
      <c r="H2218" s="14"/>
      <c r="I2218" s="16" t="str">
        <f aca="false">IF(OR(A2218="",C2218=""),"",IF(OR(H2218="İade",H2218="İptal"),0,E2218*IFERROR(INDEX(Kanallar!$B$5:$B$19,MATCH(C2218,Kanallar!$A$5:$A$19,0)),0)))</f>
        <v/>
      </c>
      <c r="J2218" s="16" t="str">
        <f aca="false">IF(I2218="","",IF(H2218="İptal",0,IF(H2218="İade",-G2218,E2218-I2218-F2218-G2218)))</f>
        <v/>
      </c>
    </row>
    <row r="2219" customFormat="false" ht="15" hidden="false" customHeight="false" outlineLevel="0" collapsed="false">
      <c r="A2219" s="12"/>
      <c r="B2219" s="13"/>
      <c r="C2219" s="14"/>
      <c r="D2219" s="13"/>
      <c r="E2219" s="15"/>
      <c r="F2219" s="15"/>
      <c r="G2219" s="15"/>
      <c r="H2219" s="14"/>
      <c r="I2219" s="16" t="str">
        <f aca="false">IF(OR(A2219="",C2219=""),"",IF(OR(H2219="İade",H2219="İptal"),0,E2219*IFERROR(INDEX(Kanallar!$B$5:$B$19,MATCH(C2219,Kanallar!$A$5:$A$19,0)),0)))</f>
        <v/>
      </c>
      <c r="J2219" s="16" t="str">
        <f aca="false">IF(I2219="","",IF(H2219="İptal",0,IF(H2219="İade",-G2219,E2219-I2219-F2219-G2219)))</f>
        <v/>
      </c>
    </row>
    <row r="2220" customFormat="false" ht="15" hidden="false" customHeight="false" outlineLevel="0" collapsed="false">
      <c r="A2220" s="12"/>
      <c r="B2220" s="13"/>
      <c r="C2220" s="14"/>
      <c r="D2220" s="13"/>
      <c r="E2220" s="15"/>
      <c r="F2220" s="15"/>
      <c r="G2220" s="15"/>
      <c r="H2220" s="14"/>
      <c r="I2220" s="16" t="str">
        <f aca="false">IF(OR(A2220="",C2220=""),"",IF(OR(H2220="İade",H2220="İptal"),0,E2220*IFERROR(INDEX(Kanallar!$B$5:$B$19,MATCH(C2220,Kanallar!$A$5:$A$19,0)),0)))</f>
        <v/>
      </c>
      <c r="J2220" s="16" t="str">
        <f aca="false">IF(I2220="","",IF(H2220="İptal",0,IF(H2220="İade",-G2220,E2220-I2220-F2220-G2220)))</f>
        <v/>
      </c>
    </row>
    <row r="2221" customFormat="false" ht="15" hidden="false" customHeight="false" outlineLevel="0" collapsed="false">
      <c r="A2221" s="12"/>
      <c r="B2221" s="13"/>
      <c r="C2221" s="14"/>
      <c r="D2221" s="13"/>
      <c r="E2221" s="15"/>
      <c r="F2221" s="15"/>
      <c r="G2221" s="15"/>
      <c r="H2221" s="14"/>
      <c r="I2221" s="16" t="str">
        <f aca="false">IF(OR(A2221="",C2221=""),"",IF(OR(H2221="İade",H2221="İptal"),0,E2221*IFERROR(INDEX(Kanallar!$B$5:$B$19,MATCH(C2221,Kanallar!$A$5:$A$19,0)),0)))</f>
        <v/>
      </c>
      <c r="J2221" s="16" t="str">
        <f aca="false">IF(I2221="","",IF(H2221="İptal",0,IF(H2221="İade",-G2221,E2221-I2221-F2221-G2221)))</f>
        <v/>
      </c>
    </row>
    <row r="2222" customFormat="false" ht="15" hidden="false" customHeight="false" outlineLevel="0" collapsed="false">
      <c r="A2222" s="12"/>
      <c r="B2222" s="13"/>
      <c r="C2222" s="14"/>
      <c r="D2222" s="13"/>
      <c r="E2222" s="15"/>
      <c r="F2222" s="15"/>
      <c r="G2222" s="15"/>
      <c r="H2222" s="14"/>
      <c r="I2222" s="16" t="str">
        <f aca="false">IF(OR(A2222="",C2222=""),"",IF(OR(H2222="İade",H2222="İptal"),0,E2222*IFERROR(INDEX(Kanallar!$B$5:$B$19,MATCH(C2222,Kanallar!$A$5:$A$19,0)),0)))</f>
        <v/>
      </c>
      <c r="J2222" s="16" t="str">
        <f aca="false">IF(I2222="","",IF(H2222="İptal",0,IF(H2222="İade",-G2222,E2222-I2222-F2222-G2222)))</f>
        <v/>
      </c>
    </row>
    <row r="2223" customFormat="false" ht="15" hidden="false" customHeight="false" outlineLevel="0" collapsed="false">
      <c r="A2223" s="12"/>
      <c r="B2223" s="13"/>
      <c r="C2223" s="14"/>
      <c r="D2223" s="13"/>
      <c r="E2223" s="15"/>
      <c r="F2223" s="15"/>
      <c r="G2223" s="15"/>
      <c r="H2223" s="14"/>
      <c r="I2223" s="16" t="str">
        <f aca="false">IF(OR(A2223="",C2223=""),"",IF(OR(H2223="İade",H2223="İptal"),0,E2223*IFERROR(INDEX(Kanallar!$B$5:$B$19,MATCH(C2223,Kanallar!$A$5:$A$19,0)),0)))</f>
        <v/>
      </c>
      <c r="J2223" s="16" t="str">
        <f aca="false">IF(I2223="","",IF(H2223="İptal",0,IF(H2223="İade",-G2223,E2223-I2223-F2223-G2223)))</f>
        <v/>
      </c>
    </row>
    <row r="2224" customFormat="false" ht="15" hidden="false" customHeight="false" outlineLevel="0" collapsed="false">
      <c r="A2224" s="12"/>
      <c r="B2224" s="13"/>
      <c r="C2224" s="14"/>
      <c r="D2224" s="13"/>
      <c r="E2224" s="15"/>
      <c r="F2224" s="15"/>
      <c r="G2224" s="15"/>
      <c r="H2224" s="14"/>
      <c r="I2224" s="16" t="str">
        <f aca="false">IF(OR(A2224="",C2224=""),"",IF(OR(H2224="İade",H2224="İptal"),0,E2224*IFERROR(INDEX(Kanallar!$B$5:$B$19,MATCH(C2224,Kanallar!$A$5:$A$19,0)),0)))</f>
        <v/>
      </c>
      <c r="J2224" s="16" t="str">
        <f aca="false">IF(I2224="","",IF(H2224="İptal",0,IF(H2224="İade",-G2224,E2224-I2224-F2224-G2224)))</f>
        <v/>
      </c>
    </row>
    <row r="2225" customFormat="false" ht="15" hidden="false" customHeight="false" outlineLevel="0" collapsed="false">
      <c r="A2225" s="12"/>
      <c r="B2225" s="13"/>
      <c r="C2225" s="14"/>
      <c r="D2225" s="13"/>
      <c r="E2225" s="15"/>
      <c r="F2225" s="15"/>
      <c r="G2225" s="15"/>
      <c r="H2225" s="14"/>
      <c r="I2225" s="16" t="str">
        <f aca="false">IF(OR(A2225="",C2225=""),"",IF(OR(H2225="İade",H2225="İptal"),0,E2225*IFERROR(INDEX(Kanallar!$B$5:$B$19,MATCH(C2225,Kanallar!$A$5:$A$19,0)),0)))</f>
        <v/>
      </c>
      <c r="J2225" s="16" t="str">
        <f aca="false">IF(I2225="","",IF(H2225="İptal",0,IF(H2225="İade",-G2225,E2225-I2225-F2225-G2225)))</f>
        <v/>
      </c>
    </row>
    <row r="2226" customFormat="false" ht="15" hidden="false" customHeight="false" outlineLevel="0" collapsed="false">
      <c r="A2226" s="12"/>
      <c r="B2226" s="13"/>
      <c r="C2226" s="14"/>
      <c r="D2226" s="13"/>
      <c r="E2226" s="15"/>
      <c r="F2226" s="15"/>
      <c r="G2226" s="15"/>
      <c r="H2226" s="14"/>
      <c r="I2226" s="16" t="str">
        <f aca="false">IF(OR(A2226="",C2226=""),"",IF(OR(H2226="İade",H2226="İptal"),0,E2226*IFERROR(INDEX(Kanallar!$B$5:$B$19,MATCH(C2226,Kanallar!$A$5:$A$19,0)),0)))</f>
        <v/>
      </c>
      <c r="J2226" s="16" t="str">
        <f aca="false">IF(I2226="","",IF(H2226="İptal",0,IF(H2226="İade",-G2226,E2226-I2226-F2226-G2226)))</f>
        <v/>
      </c>
    </row>
    <row r="2227" customFormat="false" ht="15" hidden="false" customHeight="false" outlineLevel="0" collapsed="false">
      <c r="A2227" s="12"/>
      <c r="B2227" s="13"/>
      <c r="C2227" s="14"/>
      <c r="D2227" s="13"/>
      <c r="E2227" s="15"/>
      <c r="F2227" s="15"/>
      <c r="G2227" s="15"/>
      <c r="H2227" s="14"/>
      <c r="I2227" s="16" t="str">
        <f aca="false">IF(OR(A2227="",C2227=""),"",IF(OR(H2227="İade",H2227="İptal"),0,E2227*IFERROR(INDEX(Kanallar!$B$5:$B$19,MATCH(C2227,Kanallar!$A$5:$A$19,0)),0)))</f>
        <v/>
      </c>
      <c r="J2227" s="16" t="str">
        <f aca="false">IF(I2227="","",IF(H2227="İptal",0,IF(H2227="İade",-G2227,E2227-I2227-F2227-G2227)))</f>
        <v/>
      </c>
    </row>
    <row r="2228" customFormat="false" ht="15" hidden="false" customHeight="false" outlineLevel="0" collapsed="false">
      <c r="A2228" s="12"/>
      <c r="B2228" s="13"/>
      <c r="C2228" s="14"/>
      <c r="D2228" s="13"/>
      <c r="E2228" s="15"/>
      <c r="F2228" s="15"/>
      <c r="G2228" s="15"/>
      <c r="H2228" s="14"/>
      <c r="I2228" s="16" t="str">
        <f aca="false">IF(OR(A2228="",C2228=""),"",IF(OR(H2228="İade",H2228="İptal"),0,E2228*IFERROR(INDEX(Kanallar!$B$5:$B$19,MATCH(C2228,Kanallar!$A$5:$A$19,0)),0)))</f>
        <v/>
      </c>
      <c r="J2228" s="16" t="str">
        <f aca="false">IF(I2228="","",IF(H2228="İptal",0,IF(H2228="İade",-G2228,E2228-I2228-F2228-G2228)))</f>
        <v/>
      </c>
    </row>
    <row r="2229" customFormat="false" ht="15" hidden="false" customHeight="false" outlineLevel="0" collapsed="false">
      <c r="A2229" s="12"/>
      <c r="B2229" s="13"/>
      <c r="C2229" s="14"/>
      <c r="D2229" s="13"/>
      <c r="E2229" s="15"/>
      <c r="F2229" s="15"/>
      <c r="G2229" s="15"/>
      <c r="H2229" s="14"/>
      <c r="I2229" s="16" t="str">
        <f aca="false">IF(OR(A2229="",C2229=""),"",IF(OR(H2229="İade",H2229="İptal"),0,E2229*IFERROR(INDEX(Kanallar!$B$5:$B$19,MATCH(C2229,Kanallar!$A$5:$A$19,0)),0)))</f>
        <v/>
      </c>
      <c r="J2229" s="16" t="str">
        <f aca="false">IF(I2229="","",IF(H2229="İptal",0,IF(H2229="İade",-G2229,E2229-I2229-F2229-G2229)))</f>
        <v/>
      </c>
    </row>
    <row r="2230" customFormat="false" ht="15" hidden="false" customHeight="false" outlineLevel="0" collapsed="false">
      <c r="A2230" s="12"/>
      <c r="B2230" s="13"/>
      <c r="C2230" s="14"/>
      <c r="D2230" s="13"/>
      <c r="E2230" s="15"/>
      <c r="F2230" s="15"/>
      <c r="G2230" s="15"/>
      <c r="H2230" s="14"/>
      <c r="I2230" s="16" t="str">
        <f aca="false">IF(OR(A2230="",C2230=""),"",IF(OR(H2230="İade",H2230="İptal"),0,E2230*IFERROR(INDEX(Kanallar!$B$5:$B$19,MATCH(C2230,Kanallar!$A$5:$A$19,0)),0)))</f>
        <v/>
      </c>
      <c r="J2230" s="16" t="str">
        <f aca="false">IF(I2230="","",IF(H2230="İptal",0,IF(H2230="İade",-G2230,E2230-I2230-F2230-G2230)))</f>
        <v/>
      </c>
    </row>
    <row r="2231" customFormat="false" ht="15" hidden="false" customHeight="false" outlineLevel="0" collapsed="false">
      <c r="A2231" s="12"/>
      <c r="B2231" s="13"/>
      <c r="C2231" s="14"/>
      <c r="D2231" s="13"/>
      <c r="E2231" s="15"/>
      <c r="F2231" s="15"/>
      <c r="G2231" s="15"/>
      <c r="H2231" s="14"/>
      <c r="I2231" s="16" t="str">
        <f aca="false">IF(OR(A2231="",C2231=""),"",IF(OR(H2231="İade",H2231="İptal"),0,E2231*IFERROR(INDEX(Kanallar!$B$5:$B$19,MATCH(C2231,Kanallar!$A$5:$A$19,0)),0)))</f>
        <v/>
      </c>
      <c r="J2231" s="16" t="str">
        <f aca="false">IF(I2231="","",IF(H2231="İptal",0,IF(H2231="İade",-G2231,E2231-I2231-F2231-G2231)))</f>
        <v/>
      </c>
    </row>
    <row r="2232" customFormat="false" ht="15" hidden="false" customHeight="false" outlineLevel="0" collapsed="false">
      <c r="A2232" s="12"/>
      <c r="B2232" s="13"/>
      <c r="C2232" s="14"/>
      <c r="D2232" s="13"/>
      <c r="E2232" s="15"/>
      <c r="F2232" s="15"/>
      <c r="G2232" s="15"/>
      <c r="H2232" s="14"/>
      <c r="I2232" s="16" t="str">
        <f aca="false">IF(OR(A2232="",C2232=""),"",IF(OR(H2232="İade",H2232="İptal"),0,E2232*IFERROR(INDEX(Kanallar!$B$5:$B$19,MATCH(C2232,Kanallar!$A$5:$A$19,0)),0)))</f>
        <v/>
      </c>
      <c r="J2232" s="16" t="str">
        <f aca="false">IF(I2232="","",IF(H2232="İptal",0,IF(H2232="İade",-G2232,E2232-I2232-F2232-G2232)))</f>
        <v/>
      </c>
    </row>
    <row r="2233" customFormat="false" ht="15" hidden="false" customHeight="false" outlineLevel="0" collapsed="false">
      <c r="A2233" s="12"/>
      <c r="B2233" s="13"/>
      <c r="C2233" s="14"/>
      <c r="D2233" s="13"/>
      <c r="E2233" s="15"/>
      <c r="F2233" s="15"/>
      <c r="G2233" s="15"/>
      <c r="H2233" s="14"/>
      <c r="I2233" s="16" t="str">
        <f aca="false">IF(OR(A2233="",C2233=""),"",IF(OR(H2233="İade",H2233="İptal"),0,E2233*IFERROR(INDEX(Kanallar!$B$5:$B$19,MATCH(C2233,Kanallar!$A$5:$A$19,0)),0)))</f>
        <v/>
      </c>
      <c r="J2233" s="16" t="str">
        <f aca="false">IF(I2233="","",IF(H2233="İptal",0,IF(H2233="İade",-G2233,E2233-I2233-F2233-G2233)))</f>
        <v/>
      </c>
    </row>
    <row r="2234" customFormat="false" ht="15" hidden="false" customHeight="false" outlineLevel="0" collapsed="false">
      <c r="A2234" s="12"/>
      <c r="B2234" s="13"/>
      <c r="C2234" s="14"/>
      <c r="D2234" s="13"/>
      <c r="E2234" s="15"/>
      <c r="F2234" s="15"/>
      <c r="G2234" s="15"/>
      <c r="H2234" s="14"/>
      <c r="I2234" s="16" t="str">
        <f aca="false">IF(OR(A2234="",C2234=""),"",IF(OR(H2234="İade",H2234="İptal"),0,E2234*IFERROR(INDEX(Kanallar!$B$5:$B$19,MATCH(C2234,Kanallar!$A$5:$A$19,0)),0)))</f>
        <v/>
      </c>
      <c r="J2234" s="16" t="str">
        <f aca="false">IF(I2234="","",IF(H2234="İptal",0,IF(H2234="İade",-G2234,E2234-I2234-F2234-G2234)))</f>
        <v/>
      </c>
    </row>
    <row r="2235" customFormat="false" ht="15" hidden="false" customHeight="false" outlineLevel="0" collapsed="false">
      <c r="A2235" s="12"/>
      <c r="B2235" s="13"/>
      <c r="C2235" s="14"/>
      <c r="D2235" s="13"/>
      <c r="E2235" s="15"/>
      <c r="F2235" s="15"/>
      <c r="G2235" s="15"/>
      <c r="H2235" s="14"/>
      <c r="I2235" s="16" t="str">
        <f aca="false">IF(OR(A2235="",C2235=""),"",IF(OR(H2235="İade",H2235="İptal"),0,E2235*IFERROR(INDEX(Kanallar!$B$5:$B$19,MATCH(C2235,Kanallar!$A$5:$A$19,0)),0)))</f>
        <v/>
      </c>
      <c r="J2235" s="16" t="str">
        <f aca="false">IF(I2235="","",IF(H2235="İptal",0,IF(H2235="İade",-G2235,E2235-I2235-F2235-G2235)))</f>
        <v/>
      </c>
    </row>
    <row r="2236" customFormat="false" ht="15" hidden="false" customHeight="false" outlineLevel="0" collapsed="false">
      <c r="A2236" s="12"/>
      <c r="B2236" s="13"/>
      <c r="C2236" s="14"/>
      <c r="D2236" s="13"/>
      <c r="E2236" s="15"/>
      <c r="F2236" s="15"/>
      <c r="G2236" s="15"/>
      <c r="H2236" s="14"/>
      <c r="I2236" s="16" t="str">
        <f aca="false">IF(OR(A2236="",C2236=""),"",IF(OR(H2236="İade",H2236="İptal"),0,E2236*IFERROR(INDEX(Kanallar!$B$5:$B$19,MATCH(C2236,Kanallar!$A$5:$A$19,0)),0)))</f>
        <v/>
      </c>
      <c r="J2236" s="16" t="str">
        <f aca="false">IF(I2236="","",IF(H2236="İptal",0,IF(H2236="İade",-G2236,E2236-I2236-F2236-G2236)))</f>
        <v/>
      </c>
    </row>
    <row r="2237" customFormat="false" ht="15" hidden="false" customHeight="false" outlineLevel="0" collapsed="false">
      <c r="A2237" s="12"/>
      <c r="B2237" s="13"/>
      <c r="C2237" s="14"/>
      <c r="D2237" s="13"/>
      <c r="E2237" s="15"/>
      <c r="F2237" s="15"/>
      <c r="G2237" s="15"/>
      <c r="H2237" s="14"/>
      <c r="I2237" s="16" t="str">
        <f aca="false">IF(OR(A2237="",C2237=""),"",IF(OR(H2237="İade",H2237="İptal"),0,E2237*IFERROR(INDEX(Kanallar!$B$5:$B$19,MATCH(C2237,Kanallar!$A$5:$A$19,0)),0)))</f>
        <v/>
      </c>
      <c r="J2237" s="16" t="str">
        <f aca="false">IF(I2237="","",IF(H2237="İptal",0,IF(H2237="İade",-G2237,E2237-I2237-F2237-G2237)))</f>
        <v/>
      </c>
    </row>
    <row r="2238" customFormat="false" ht="15" hidden="false" customHeight="false" outlineLevel="0" collapsed="false">
      <c r="A2238" s="12"/>
      <c r="B2238" s="13"/>
      <c r="C2238" s="14"/>
      <c r="D2238" s="13"/>
      <c r="E2238" s="15"/>
      <c r="F2238" s="15"/>
      <c r="G2238" s="15"/>
      <c r="H2238" s="14"/>
      <c r="I2238" s="16" t="str">
        <f aca="false">IF(OR(A2238="",C2238=""),"",IF(OR(H2238="İade",H2238="İptal"),0,E2238*IFERROR(INDEX(Kanallar!$B$5:$B$19,MATCH(C2238,Kanallar!$A$5:$A$19,0)),0)))</f>
        <v/>
      </c>
      <c r="J2238" s="16" t="str">
        <f aca="false">IF(I2238="","",IF(H2238="İptal",0,IF(H2238="İade",-G2238,E2238-I2238-F2238-G2238)))</f>
        <v/>
      </c>
    </row>
    <row r="2239" customFormat="false" ht="15" hidden="false" customHeight="false" outlineLevel="0" collapsed="false">
      <c r="A2239" s="12"/>
      <c r="B2239" s="13"/>
      <c r="C2239" s="14"/>
      <c r="D2239" s="13"/>
      <c r="E2239" s="15"/>
      <c r="F2239" s="15"/>
      <c r="G2239" s="15"/>
      <c r="H2239" s="14"/>
      <c r="I2239" s="16" t="str">
        <f aca="false">IF(OR(A2239="",C2239=""),"",IF(OR(H2239="İade",H2239="İptal"),0,E2239*IFERROR(INDEX(Kanallar!$B$5:$B$19,MATCH(C2239,Kanallar!$A$5:$A$19,0)),0)))</f>
        <v/>
      </c>
      <c r="J2239" s="16" t="str">
        <f aca="false">IF(I2239="","",IF(H2239="İptal",0,IF(H2239="İade",-G2239,E2239-I2239-F2239-G2239)))</f>
        <v/>
      </c>
    </row>
    <row r="2240" customFormat="false" ht="15" hidden="false" customHeight="false" outlineLevel="0" collapsed="false">
      <c r="A2240" s="12"/>
      <c r="B2240" s="13"/>
      <c r="C2240" s="14"/>
      <c r="D2240" s="13"/>
      <c r="E2240" s="15"/>
      <c r="F2240" s="15"/>
      <c r="G2240" s="15"/>
      <c r="H2240" s="14"/>
      <c r="I2240" s="16" t="str">
        <f aca="false">IF(OR(A2240="",C2240=""),"",IF(OR(H2240="İade",H2240="İptal"),0,E2240*IFERROR(INDEX(Kanallar!$B$5:$B$19,MATCH(C2240,Kanallar!$A$5:$A$19,0)),0)))</f>
        <v/>
      </c>
      <c r="J2240" s="16" t="str">
        <f aca="false">IF(I2240="","",IF(H2240="İptal",0,IF(H2240="İade",-G2240,E2240-I2240-F2240-G2240)))</f>
        <v/>
      </c>
    </row>
    <row r="2241" customFormat="false" ht="15" hidden="false" customHeight="false" outlineLevel="0" collapsed="false">
      <c r="A2241" s="12"/>
      <c r="B2241" s="13"/>
      <c r="C2241" s="14"/>
      <c r="D2241" s="13"/>
      <c r="E2241" s="15"/>
      <c r="F2241" s="15"/>
      <c r="G2241" s="15"/>
      <c r="H2241" s="14"/>
      <c r="I2241" s="16" t="str">
        <f aca="false">IF(OR(A2241="",C2241=""),"",IF(OR(H2241="İade",H2241="İptal"),0,E2241*IFERROR(INDEX(Kanallar!$B$5:$B$19,MATCH(C2241,Kanallar!$A$5:$A$19,0)),0)))</f>
        <v/>
      </c>
      <c r="J2241" s="16" t="str">
        <f aca="false">IF(I2241="","",IF(H2241="İptal",0,IF(H2241="İade",-G2241,E2241-I2241-F2241-G2241)))</f>
        <v/>
      </c>
    </row>
    <row r="2242" customFormat="false" ht="15" hidden="false" customHeight="false" outlineLevel="0" collapsed="false">
      <c r="A2242" s="12"/>
      <c r="B2242" s="13"/>
      <c r="C2242" s="14"/>
      <c r="D2242" s="13"/>
      <c r="E2242" s="15"/>
      <c r="F2242" s="15"/>
      <c r="G2242" s="15"/>
      <c r="H2242" s="14"/>
      <c r="I2242" s="16" t="str">
        <f aca="false">IF(OR(A2242="",C2242=""),"",IF(OR(H2242="İade",H2242="İptal"),0,E2242*IFERROR(INDEX(Kanallar!$B$5:$B$19,MATCH(C2242,Kanallar!$A$5:$A$19,0)),0)))</f>
        <v/>
      </c>
      <c r="J2242" s="16" t="str">
        <f aca="false">IF(I2242="","",IF(H2242="İptal",0,IF(H2242="İade",-G2242,E2242-I2242-F2242-G2242)))</f>
        <v/>
      </c>
    </row>
    <row r="2243" customFormat="false" ht="15" hidden="false" customHeight="false" outlineLevel="0" collapsed="false">
      <c r="A2243" s="12"/>
      <c r="B2243" s="13"/>
      <c r="C2243" s="14"/>
      <c r="D2243" s="13"/>
      <c r="E2243" s="15"/>
      <c r="F2243" s="15"/>
      <c r="G2243" s="15"/>
      <c r="H2243" s="14"/>
      <c r="I2243" s="16" t="str">
        <f aca="false">IF(OR(A2243="",C2243=""),"",IF(OR(H2243="İade",H2243="İptal"),0,E2243*IFERROR(INDEX(Kanallar!$B$5:$B$19,MATCH(C2243,Kanallar!$A$5:$A$19,0)),0)))</f>
        <v/>
      </c>
      <c r="J2243" s="16" t="str">
        <f aca="false">IF(I2243="","",IF(H2243="İptal",0,IF(H2243="İade",-G2243,E2243-I2243-F2243-G2243)))</f>
        <v/>
      </c>
    </row>
    <row r="2244" customFormat="false" ht="15" hidden="false" customHeight="false" outlineLevel="0" collapsed="false">
      <c r="A2244" s="12"/>
      <c r="B2244" s="13"/>
      <c r="C2244" s="14"/>
      <c r="D2244" s="13"/>
      <c r="E2244" s="15"/>
      <c r="F2244" s="15"/>
      <c r="G2244" s="15"/>
      <c r="H2244" s="14"/>
      <c r="I2244" s="16" t="str">
        <f aca="false">IF(OR(A2244="",C2244=""),"",IF(OR(H2244="İade",H2244="İptal"),0,E2244*IFERROR(INDEX(Kanallar!$B$5:$B$19,MATCH(C2244,Kanallar!$A$5:$A$19,0)),0)))</f>
        <v/>
      </c>
      <c r="J2244" s="16" t="str">
        <f aca="false">IF(I2244="","",IF(H2244="İptal",0,IF(H2244="İade",-G2244,E2244-I2244-F2244-G2244)))</f>
        <v/>
      </c>
    </row>
    <row r="2245" customFormat="false" ht="15" hidden="false" customHeight="false" outlineLevel="0" collapsed="false">
      <c r="A2245" s="12"/>
      <c r="B2245" s="13"/>
      <c r="C2245" s="14"/>
      <c r="D2245" s="13"/>
      <c r="E2245" s="15"/>
      <c r="F2245" s="15"/>
      <c r="G2245" s="15"/>
      <c r="H2245" s="14"/>
      <c r="I2245" s="16" t="str">
        <f aca="false">IF(OR(A2245="",C2245=""),"",IF(OR(H2245="İade",H2245="İptal"),0,E2245*IFERROR(INDEX(Kanallar!$B$5:$B$19,MATCH(C2245,Kanallar!$A$5:$A$19,0)),0)))</f>
        <v/>
      </c>
      <c r="J2245" s="16" t="str">
        <f aca="false">IF(I2245="","",IF(H2245="İptal",0,IF(H2245="İade",-G2245,E2245-I2245-F2245-G2245)))</f>
        <v/>
      </c>
    </row>
    <row r="2246" customFormat="false" ht="15" hidden="false" customHeight="false" outlineLevel="0" collapsed="false">
      <c r="A2246" s="12"/>
      <c r="B2246" s="13"/>
      <c r="C2246" s="14"/>
      <c r="D2246" s="13"/>
      <c r="E2246" s="15"/>
      <c r="F2246" s="15"/>
      <c r="G2246" s="15"/>
      <c r="H2246" s="14"/>
      <c r="I2246" s="16" t="str">
        <f aca="false">IF(OR(A2246="",C2246=""),"",IF(OR(H2246="İade",H2246="İptal"),0,E2246*IFERROR(INDEX(Kanallar!$B$5:$B$19,MATCH(C2246,Kanallar!$A$5:$A$19,0)),0)))</f>
        <v/>
      </c>
      <c r="J2246" s="16" t="str">
        <f aca="false">IF(I2246="","",IF(H2246="İptal",0,IF(H2246="İade",-G2246,E2246-I2246-F2246-G2246)))</f>
        <v/>
      </c>
    </row>
    <row r="2247" customFormat="false" ht="15" hidden="false" customHeight="false" outlineLevel="0" collapsed="false">
      <c r="A2247" s="12"/>
      <c r="B2247" s="13"/>
      <c r="C2247" s="14"/>
      <c r="D2247" s="13"/>
      <c r="E2247" s="15"/>
      <c r="F2247" s="15"/>
      <c r="G2247" s="15"/>
      <c r="H2247" s="14"/>
      <c r="I2247" s="16" t="str">
        <f aca="false">IF(OR(A2247="",C2247=""),"",IF(OR(H2247="İade",H2247="İptal"),0,E2247*IFERROR(INDEX(Kanallar!$B$5:$B$19,MATCH(C2247,Kanallar!$A$5:$A$19,0)),0)))</f>
        <v/>
      </c>
      <c r="J2247" s="16" t="str">
        <f aca="false">IF(I2247="","",IF(H2247="İptal",0,IF(H2247="İade",-G2247,E2247-I2247-F2247-G2247)))</f>
        <v/>
      </c>
    </row>
    <row r="2248" customFormat="false" ht="15" hidden="false" customHeight="false" outlineLevel="0" collapsed="false">
      <c r="A2248" s="12"/>
      <c r="B2248" s="13"/>
      <c r="C2248" s="14"/>
      <c r="D2248" s="13"/>
      <c r="E2248" s="15"/>
      <c r="F2248" s="15"/>
      <c r="G2248" s="15"/>
      <c r="H2248" s="14"/>
      <c r="I2248" s="16" t="str">
        <f aca="false">IF(OR(A2248="",C2248=""),"",IF(OR(H2248="İade",H2248="İptal"),0,E2248*IFERROR(INDEX(Kanallar!$B$5:$B$19,MATCH(C2248,Kanallar!$A$5:$A$19,0)),0)))</f>
        <v/>
      </c>
      <c r="J2248" s="16" t="str">
        <f aca="false">IF(I2248="","",IF(H2248="İptal",0,IF(H2248="İade",-G2248,E2248-I2248-F2248-G2248)))</f>
        <v/>
      </c>
    </row>
    <row r="2249" customFormat="false" ht="15" hidden="false" customHeight="false" outlineLevel="0" collapsed="false">
      <c r="A2249" s="12"/>
      <c r="B2249" s="13"/>
      <c r="C2249" s="14"/>
      <c r="D2249" s="13"/>
      <c r="E2249" s="15"/>
      <c r="F2249" s="15"/>
      <c r="G2249" s="15"/>
      <c r="H2249" s="14"/>
      <c r="I2249" s="16" t="str">
        <f aca="false">IF(OR(A2249="",C2249=""),"",IF(OR(H2249="İade",H2249="İptal"),0,E2249*IFERROR(INDEX(Kanallar!$B$5:$B$19,MATCH(C2249,Kanallar!$A$5:$A$19,0)),0)))</f>
        <v/>
      </c>
      <c r="J2249" s="16" t="str">
        <f aca="false">IF(I2249="","",IF(H2249="İptal",0,IF(H2249="İade",-G2249,E2249-I2249-F2249-G2249)))</f>
        <v/>
      </c>
    </row>
    <row r="2250" customFormat="false" ht="15" hidden="false" customHeight="false" outlineLevel="0" collapsed="false">
      <c r="A2250" s="12"/>
      <c r="B2250" s="13"/>
      <c r="C2250" s="14"/>
      <c r="D2250" s="13"/>
      <c r="E2250" s="15"/>
      <c r="F2250" s="15"/>
      <c r="G2250" s="15"/>
      <c r="H2250" s="14"/>
      <c r="I2250" s="16" t="str">
        <f aca="false">IF(OR(A2250="",C2250=""),"",IF(OR(H2250="İade",H2250="İptal"),0,E2250*IFERROR(INDEX(Kanallar!$B$5:$B$19,MATCH(C2250,Kanallar!$A$5:$A$19,0)),0)))</f>
        <v/>
      </c>
      <c r="J2250" s="16" t="str">
        <f aca="false">IF(I2250="","",IF(H2250="İptal",0,IF(H2250="İade",-G2250,E2250-I2250-F2250-G2250)))</f>
        <v/>
      </c>
    </row>
    <row r="2251" customFormat="false" ht="15" hidden="false" customHeight="false" outlineLevel="0" collapsed="false">
      <c r="A2251" s="12"/>
      <c r="B2251" s="13"/>
      <c r="C2251" s="14"/>
      <c r="D2251" s="13"/>
      <c r="E2251" s="15"/>
      <c r="F2251" s="15"/>
      <c r="G2251" s="15"/>
      <c r="H2251" s="14"/>
      <c r="I2251" s="16" t="str">
        <f aca="false">IF(OR(A2251="",C2251=""),"",IF(OR(H2251="İade",H2251="İptal"),0,E2251*IFERROR(INDEX(Kanallar!$B$5:$B$19,MATCH(C2251,Kanallar!$A$5:$A$19,0)),0)))</f>
        <v/>
      </c>
      <c r="J2251" s="16" t="str">
        <f aca="false">IF(I2251="","",IF(H2251="İptal",0,IF(H2251="İade",-G2251,E2251-I2251-F2251-G2251)))</f>
        <v/>
      </c>
    </row>
    <row r="2252" customFormat="false" ht="15" hidden="false" customHeight="false" outlineLevel="0" collapsed="false">
      <c r="A2252" s="12"/>
      <c r="B2252" s="13"/>
      <c r="C2252" s="14"/>
      <c r="D2252" s="13"/>
      <c r="E2252" s="15"/>
      <c r="F2252" s="15"/>
      <c r="G2252" s="15"/>
      <c r="H2252" s="14"/>
      <c r="I2252" s="16" t="str">
        <f aca="false">IF(OR(A2252="",C2252=""),"",IF(OR(H2252="İade",H2252="İptal"),0,E2252*IFERROR(INDEX(Kanallar!$B$5:$B$19,MATCH(C2252,Kanallar!$A$5:$A$19,0)),0)))</f>
        <v/>
      </c>
      <c r="J2252" s="16" t="str">
        <f aca="false">IF(I2252="","",IF(H2252="İptal",0,IF(H2252="İade",-G2252,E2252-I2252-F2252-G2252)))</f>
        <v/>
      </c>
    </row>
    <row r="2253" customFormat="false" ht="15" hidden="false" customHeight="false" outlineLevel="0" collapsed="false">
      <c r="A2253" s="12"/>
      <c r="B2253" s="13"/>
      <c r="C2253" s="14"/>
      <c r="D2253" s="13"/>
      <c r="E2253" s="15"/>
      <c r="F2253" s="15"/>
      <c r="G2253" s="15"/>
      <c r="H2253" s="14"/>
      <c r="I2253" s="16" t="str">
        <f aca="false">IF(OR(A2253="",C2253=""),"",IF(OR(H2253="İade",H2253="İptal"),0,E2253*IFERROR(INDEX(Kanallar!$B$5:$B$19,MATCH(C2253,Kanallar!$A$5:$A$19,0)),0)))</f>
        <v/>
      </c>
      <c r="J2253" s="16" t="str">
        <f aca="false">IF(I2253="","",IF(H2253="İptal",0,IF(H2253="İade",-G2253,E2253-I2253-F2253-G2253)))</f>
        <v/>
      </c>
    </row>
    <row r="2254" customFormat="false" ht="15" hidden="false" customHeight="false" outlineLevel="0" collapsed="false">
      <c r="A2254" s="12"/>
      <c r="B2254" s="13"/>
      <c r="C2254" s="14"/>
      <c r="D2254" s="13"/>
      <c r="E2254" s="15"/>
      <c r="F2254" s="15"/>
      <c r="G2254" s="15"/>
      <c r="H2254" s="14"/>
      <c r="I2254" s="16" t="str">
        <f aca="false">IF(OR(A2254="",C2254=""),"",IF(OR(H2254="İade",H2254="İptal"),0,E2254*IFERROR(INDEX(Kanallar!$B$5:$B$19,MATCH(C2254,Kanallar!$A$5:$A$19,0)),0)))</f>
        <v/>
      </c>
      <c r="J2254" s="16" t="str">
        <f aca="false">IF(I2254="","",IF(H2254="İptal",0,IF(H2254="İade",-G2254,E2254-I2254-F2254-G2254)))</f>
        <v/>
      </c>
    </row>
    <row r="2255" customFormat="false" ht="15" hidden="false" customHeight="false" outlineLevel="0" collapsed="false">
      <c r="A2255" s="12"/>
      <c r="B2255" s="13"/>
      <c r="C2255" s="14"/>
      <c r="D2255" s="13"/>
      <c r="E2255" s="15"/>
      <c r="F2255" s="15"/>
      <c r="G2255" s="15"/>
      <c r="H2255" s="14"/>
      <c r="I2255" s="16" t="str">
        <f aca="false">IF(OR(A2255="",C2255=""),"",IF(OR(H2255="İade",H2255="İptal"),0,E2255*IFERROR(INDEX(Kanallar!$B$5:$B$19,MATCH(C2255,Kanallar!$A$5:$A$19,0)),0)))</f>
        <v/>
      </c>
      <c r="J2255" s="16" t="str">
        <f aca="false">IF(I2255="","",IF(H2255="İptal",0,IF(H2255="İade",-G2255,E2255-I2255-F2255-G2255)))</f>
        <v/>
      </c>
    </row>
    <row r="2256" customFormat="false" ht="15" hidden="false" customHeight="false" outlineLevel="0" collapsed="false">
      <c r="A2256" s="12"/>
      <c r="B2256" s="13"/>
      <c r="C2256" s="14"/>
      <c r="D2256" s="13"/>
      <c r="E2256" s="15"/>
      <c r="F2256" s="15"/>
      <c r="G2256" s="15"/>
      <c r="H2256" s="14"/>
      <c r="I2256" s="16" t="str">
        <f aca="false">IF(OR(A2256="",C2256=""),"",IF(OR(H2256="İade",H2256="İptal"),0,E2256*IFERROR(INDEX(Kanallar!$B$5:$B$19,MATCH(C2256,Kanallar!$A$5:$A$19,0)),0)))</f>
        <v/>
      </c>
      <c r="J2256" s="16" t="str">
        <f aca="false">IF(I2256="","",IF(H2256="İptal",0,IF(H2256="İade",-G2256,E2256-I2256-F2256-G2256)))</f>
        <v/>
      </c>
    </row>
    <row r="2257" customFormat="false" ht="15" hidden="false" customHeight="false" outlineLevel="0" collapsed="false">
      <c r="A2257" s="12"/>
      <c r="B2257" s="13"/>
      <c r="C2257" s="14"/>
      <c r="D2257" s="13"/>
      <c r="E2257" s="15"/>
      <c r="F2257" s="15"/>
      <c r="G2257" s="15"/>
      <c r="H2257" s="14"/>
      <c r="I2257" s="16" t="str">
        <f aca="false">IF(OR(A2257="",C2257=""),"",IF(OR(H2257="İade",H2257="İptal"),0,E2257*IFERROR(INDEX(Kanallar!$B$5:$B$19,MATCH(C2257,Kanallar!$A$5:$A$19,0)),0)))</f>
        <v/>
      </c>
      <c r="J2257" s="16" t="str">
        <f aca="false">IF(I2257="","",IF(H2257="İptal",0,IF(H2257="İade",-G2257,E2257-I2257-F2257-G2257)))</f>
        <v/>
      </c>
    </row>
    <row r="2258" customFormat="false" ht="15" hidden="false" customHeight="false" outlineLevel="0" collapsed="false">
      <c r="A2258" s="12"/>
      <c r="B2258" s="13"/>
      <c r="C2258" s="14"/>
      <c r="D2258" s="13"/>
      <c r="E2258" s="15"/>
      <c r="F2258" s="15"/>
      <c r="G2258" s="15"/>
      <c r="H2258" s="14"/>
      <c r="I2258" s="16" t="str">
        <f aca="false">IF(OR(A2258="",C2258=""),"",IF(OR(H2258="İade",H2258="İptal"),0,E2258*IFERROR(INDEX(Kanallar!$B$5:$B$19,MATCH(C2258,Kanallar!$A$5:$A$19,0)),0)))</f>
        <v/>
      </c>
      <c r="J2258" s="16" t="str">
        <f aca="false">IF(I2258="","",IF(H2258="İptal",0,IF(H2258="İade",-G2258,E2258-I2258-F2258-G2258)))</f>
        <v/>
      </c>
    </row>
    <row r="2259" customFormat="false" ht="15" hidden="false" customHeight="false" outlineLevel="0" collapsed="false">
      <c r="A2259" s="12"/>
      <c r="B2259" s="13"/>
      <c r="C2259" s="14"/>
      <c r="D2259" s="13"/>
      <c r="E2259" s="15"/>
      <c r="F2259" s="15"/>
      <c r="G2259" s="15"/>
      <c r="H2259" s="14"/>
      <c r="I2259" s="16" t="str">
        <f aca="false">IF(OR(A2259="",C2259=""),"",IF(OR(H2259="İade",H2259="İptal"),0,E2259*IFERROR(INDEX(Kanallar!$B$5:$B$19,MATCH(C2259,Kanallar!$A$5:$A$19,0)),0)))</f>
        <v/>
      </c>
      <c r="J2259" s="16" t="str">
        <f aca="false">IF(I2259="","",IF(H2259="İptal",0,IF(H2259="İade",-G2259,E2259-I2259-F2259-G2259)))</f>
        <v/>
      </c>
    </row>
    <row r="2260" customFormat="false" ht="15" hidden="false" customHeight="false" outlineLevel="0" collapsed="false">
      <c r="A2260" s="12"/>
      <c r="B2260" s="13"/>
      <c r="C2260" s="14"/>
      <c r="D2260" s="13"/>
      <c r="E2260" s="15"/>
      <c r="F2260" s="15"/>
      <c r="G2260" s="15"/>
      <c r="H2260" s="14"/>
      <c r="I2260" s="16" t="str">
        <f aca="false">IF(OR(A2260="",C2260=""),"",IF(OR(H2260="İade",H2260="İptal"),0,E2260*IFERROR(INDEX(Kanallar!$B$5:$B$19,MATCH(C2260,Kanallar!$A$5:$A$19,0)),0)))</f>
        <v/>
      </c>
      <c r="J2260" s="16" t="str">
        <f aca="false">IF(I2260="","",IF(H2260="İptal",0,IF(H2260="İade",-G2260,E2260-I2260-F2260-G2260)))</f>
        <v/>
      </c>
    </row>
    <row r="2261" customFormat="false" ht="15" hidden="false" customHeight="false" outlineLevel="0" collapsed="false">
      <c r="A2261" s="12"/>
      <c r="B2261" s="13"/>
      <c r="C2261" s="14"/>
      <c r="D2261" s="13"/>
      <c r="E2261" s="15"/>
      <c r="F2261" s="15"/>
      <c r="G2261" s="15"/>
      <c r="H2261" s="14"/>
      <c r="I2261" s="16" t="str">
        <f aca="false">IF(OR(A2261="",C2261=""),"",IF(OR(H2261="İade",H2261="İptal"),0,E2261*IFERROR(INDEX(Kanallar!$B$5:$B$19,MATCH(C2261,Kanallar!$A$5:$A$19,0)),0)))</f>
        <v/>
      </c>
      <c r="J2261" s="16" t="str">
        <f aca="false">IF(I2261="","",IF(H2261="İptal",0,IF(H2261="İade",-G2261,E2261-I2261-F2261-G2261)))</f>
        <v/>
      </c>
    </row>
    <row r="2262" customFormat="false" ht="15" hidden="false" customHeight="false" outlineLevel="0" collapsed="false">
      <c r="A2262" s="12"/>
      <c r="B2262" s="13"/>
      <c r="C2262" s="14"/>
      <c r="D2262" s="13"/>
      <c r="E2262" s="15"/>
      <c r="F2262" s="15"/>
      <c r="G2262" s="15"/>
      <c r="H2262" s="14"/>
      <c r="I2262" s="16" t="str">
        <f aca="false">IF(OR(A2262="",C2262=""),"",IF(OR(H2262="İade",H2262="İptal"),0,E2262*IFERROR(INDEX(Kanallar!$B$5:$B$19,MATCH(C2262,Kanallar!$A$5:$A$19,0)),0)))</f>
        <v/>
      </c>
      <c r="J2262" s="16" t="str">
        <f aca="false">IF(I2262="","",IF(H2262="İptal",0,IF(H2262="İade",-G2262,E2262-I2262-F2262-G2262)))</f>
        <v/>
      </c>
    </row>
    <row r="2263" customFormat="false" ht="15" hidden="false" customHeight="false" outlineLevel="0" collapsed="false">
      <c r="A2263" s="12"/>
      <c r="B2263" s="13"/>
      <c r="C2263" s="14"/>
      <c r="D2263" s="13"/>
      <c r="E2263" s="15"/>
      <c r="F2263" s="15"/>
      <c r="G2263" s="15"/>
      <c r="H2263" s="14"/>
      <c r="I2263" s="16" t="str">
        <f aca="false">IF(OR(A2263="",C2263=""),"",IF(OR(H2263="İade",H2263="İptal"),0,E2263*IFERROR(INDEX(Kanallar!$B$5:$B$19,MATCH(C2263,Kanallar!$A$5:$A$19,0)),0)))</f>
        <v/>
      </c>
      <c r="J2263" s="16" t="str">
        <f aca="false">IF(I2263="","",IF(H2263="İptal",0,IF(H2263="İade",-G2263,E2263-I2263-F2263-G2263)))</f>
        <v/>
      </c>
    </row>
    <row r="2264" customFormat="false" ht="15" hidden="false" customHeight="false" outlineLevel="0" collapsed="false">
      <c r="A2264" s="12"/>
      <c r="B2264" s="13"/>
      <c r="C2264" s="14"/>
      <c r="D2264" s="13"/>
      <c r="E2264" s="15"/>
      <c r="F2264" s="15"/>
      <c r="G2264" s="15"/>
      <c r="H2264" s="14"/>
      <c r="I2264" s="16" t="str">
        <f aca="false">IF(OR(A2264="",C2264=""),"",IF(OR(H2264="İade",H2264="İptal"),0,E2264*IFERROR(INDEX(Kanallar!$B$5:$B$19,MATCH(C2264,Kanallar!$A$5:$A$19,0)),0)))</f>
        <v/>
      </c>
      <c r="J2264" s="16" t="str">
        <f aca="false">IF(I2264="","",IF(H2264="İptal",0,IF(H2264="İade",-G2264,E2264-I2264-F2264-G2264)))</f>
        <v/>
      </c>
    </row>
    <row r="2265" customFormat="false" ht="15" hidden="false" customHeight="false" outlineLevel="0" collapsed="false">
      <c r="A2265" s="12"/>
      <c r="B2265" s="13"/>
      <c r="C2265" s="14"/>
      <c r="D2265" s="13"/>
      <c r="E2265" s="15"/>
      <c r="F2265" s="15"/>
      <c r="G2265" s="15"/>
      <c r="H2265" s="14"/>
      <c r="I2265" s="16" t="str">
        <f aca="false">IF(OR(A2265="",C2265=""),"",IF(OR(H2265="İade",H2265="İptal"),0,E2265*IFERROR(INDEX(Kanallar!$B$5:$B$19,MATCH(C2265,Kanallar!$A$5:$A$19,0)),0)))</f>
        <v/>
      </c>
      <c r="J2265" s="16" t="str">
        <f aca="false">IF(I2265="","",IF(H2265="İptal",0,IF(H2265="İade",-G2265,E2265-I2265-F2265-G2265)))</f>
        <v/>
      </c>
    </row>
    <row r="2266" customFormat="false" ht="15" hidden="false" customHeight="false" outlineLevel="0" collapsed="false">
      <c r="A2266" s="12"/>
      <c r="B2266" s="13"/>
      <c r="C2266" s="14"/>
      <c r="D2266" s="13"/>
      <c r="E2266" s="15"/>
      <c r="F2266" s="15"/>
      <c r="G2266" s="15"/>
      <c r="H2266" s="14"/>
      <c r="I2266" s="16" t="str">
        <f aca="false">IF(OR(A2266="",C2266=""),"",IF(OR(H2266="İade",H2266="İptal"),0,E2266*IFERROR(INDEX(Kanallar!$B$5:$B$19,MATCH(C2266,Kanallar!$A$5:$A$19,0)),0)))</f>
        <v/>
      </c>
      <c r="J2266" s="16" t="str">
        <f aca="false">IF(I2266="","",IF(H2266="İptal",0,IF(H2266="İade",-G2266,E2266-I2266-F2266-G2266)))</f>
        <v/>
      </c>
    </row>
    <row r="2267" customFormat="false" ht="15" hidden="false" customHeight="false" outlineLevel="0" collapsed="false">
      <c r="A2267" s="12"/>
      <c r="B2267" s="13"/>
      <c r="C2267" s="14"/>
      <c r="D2267" s="13"/>
      <c r="E2267" s="15"/>
      <c r="F2267" s="15"/>
      <c r="G2267" s="15"/>
      <c r="H2267" s="14"/>
      <c r="I2267" s="16" t="str">
        <f aca="false">IF(OR(A2267="",C2267=""),"",IF(OR(H2267="İade",H2267="İptal"),0,E2267*IFERROR(INDEX(Kanallar!$B$5:$B$19,MATCH(C2267,Kanallar!$A$5:$A$19,0)),0)))</f>
        <v/>
      </c>
      <c r="J2267" s="16" t="str">
        <f aca="false">IF(I2267="","",IF(H2267="İptal",0,IF(H2267="İade",-G2267,E2267-I2267-F2267-G2267)))</f>
        <v/>
      </c>
    </row>
    <row r="2268" customFormat="false" ht="15" hidden="false" customHeight="false" outlineLevel="0" collapsed="false">
      <c r="A2268" s="12"/>
      <c r="B2268" s="13"/>
      <c r="C2268" s="14"/>
      <c r="D2268" s="13"/>
      <c r="E2268" s="15"/>
      <c r="F2268" s="15"/>
      <c r="G2268" s="15"/>
      <c r="H2268" s="14"/>
      <c r="I2268" s="16" t="str">
        <f aca="false">IF(OR(A2268="",C2268=""),"",IF(OR(H2268="İade",H2268="İptal"),0,E2268*IFERROR(INDEX(Kanallar!$B$5:$B$19,MATCH(C2268,Kanallar!$A$5:$A$19,0)),0)))</f>
        <v/>
      </c>
      <c r="J2268" s="16" t="str">
        <f aca="false">IF(I2268="","",IF(H2268="İptal",0,IF(H2268="İade",-G2268,E2268-I2268-F2268-G2268)))</f>
        <v/>
      </c>
    </row>
    <row r="2269" customFormat="false" ht="15" hidden="false" customHeight="false" outlineLevel="0" collapsed="false">
      <c r="A2269" s="12"/>
      <c r="B2269" s="13"/>
      <c r="C2269" s="14"/>
      <c r="D2269" s="13"/>
      <c r="E2269" s="15"/>
      <c r="F2269" s="15"/>
      <c r="G2269" s="15"/>
      <c r="H2269" s="14"/>
      <c r="I2269" s="16" t="str">
        <f aca="false">IF(OR(A2269="",C2269=""),"",IF(OR(H2269="İade",H2269="İptal"),0,E2269*IFERROR(INDEX(Kanallar!$B$5:$B$19,MATCH(C2269,Kanallar!$A$5:$A$19,0)),0)))</f>
        <v/>
      </c>
      <c r="J2269" s="16" t="str">
        <f aca="false">IF(I2269="","",IF(H2269="İptal",0,IF(H2269="İade",-G2269,E2269-I2269-F2269-G2269)))</f>
        <v/>
      </c>
    </row>
    <row r="2270" customFormat="false" ht="15" hidden="false" customHeight="false" outlineLevel="0" collapsed="false">
      <c r="A2270" s="12"/>
      <c r="B2270" s="13"/>
      <c r="C2270" s="14"/>
      <c r="D2270" s="13"/>
      <c r="E2270" s="15"/>
      <c r="F2270" s="15"/>
      <c r="G2270" s="15"/>
      <c r="H2270" s="14"/>
      <c r="I2270" s="16" t="str">
        <f aca="false">IF(OR(A2270="",C2270=""),"",IF(OR(H2270="İade",H2270="İptal"),0,E2270*IFERROR(INDEX(Kanallar!$B$5:$B$19,MATCH(C2270,Kanallar!$A$5:$A$19,0)),0)))</f>
        <v/>
      </c>
      <c r="J2270" s="16" t="str">
        <f aca="false">IF(I2270="","",IF(H2270="İptal",0,IF(H2270="İade",-G2270,E2270-I2270-F2270-G2270)))</f>
        <v/>
      </c>
    </row>
    <row r="2271" customFormat="false" ht="15" hidden="false" customHeight="false" outlineLevel="0" collapsed="false">
      <c r="A2271" s="12"/>
      <c r="B2271" s="13"/>
      <c r="C2271" s="14"/>
      <c r="D2271" s="13"/>
      <c r="E2271" s="15"/>
      <c r="F2271" s="15"/>
      <c r="G2271" s="15"/>
      <c r="H2271" s="14"/>
      <c r="I2271" s="16" t="str">
        <f aca="false">IF(OR(A2271="",C2271=""),"",IF(OR(H2271="İade",H2271="İptal"),0,E2271*IFERROR(INDEX(Kanallar!$B$5:$B$19,MATCH(C2271,Kanallar!$A$5:$A$19,0)),0)))</f>
        <v/>
      </c>
      <c r="J2271" s="16" t="str">
        <f aca="false">IF(I2271="","",IF(H2271="İptal",0,IF(H2271="İade",-G2271,E2271-I2271-F2271-G2271)))</f>
        <v/>
      </c>
    </row>
    <row r="2272" customFormat="false" ht="15" hidden="false" customHeight="false" outlineLevel="0" collapsed="false">
      <c r="A2272" s="12"/>
      <c r="B2272" s="13"/>
      <c r="C2272" s="14"/>
      <c r="D2272" s="13"/>
      <c r="E2272" s="15"/>
      <c r="F2272" s="15"/>
      <c r="G2272" s="15"/>
      <c r="H2272" s="14"/>
      <c r="I2272" s="16" t="str">
        <f aca="false">IF(OR(A2272="",C2272=""),"",IF(OR(H2272="İade",H2272="İptal"),0,E2272*IFERROR(INDEX(Kanallar!$B$5:$B$19,MATCH(C2272,Kanallar!$A$5:$A$19,0)),0)))</f>
        <v/>
      </c>
      <c r="J2272" s="16" t="str">
        <f aca="false">IF(I2272="","",IF(H2272="İptal",0,IF(H2272="İade",-G2272,E2272-I2272-F2272-G2272)))</f>
        <v/>
      </c>
    </row>
    <row r="2273" customFormat="false" ht="15" hidden="false" customHeight="false" outlineLevel="0" collapsed="false">
      <c r="A2273" s="12"/>
      <c r="B2273" s="13"/>
      <c r="C2273" s="14"/>
      <c r="D2273" s="13"/>
      <c r="E2273" s="15"/>
      <c r="F2273" s="15"/>
      <c r="G2273" s="15"/>
      <c r="H2273" s="14"/>
      <c r="I2273" s="16" t="str">
        <f aca="false">IF(OR(A2273="",C2273=""),"",IF(OR(H2273="İade",H2273="İptal"),0,E2273*IFERROR(INDEX(Kanallar!$B$5:$B$19,MATCH(C2273,Kanallar!$A$5:$A$19,0)),0)))</f>
        <v/>
      </c>
      <c r="J2273" s="16" t="str">
        <f aca="false">IF(I2273="","",IF(H2273="İptal",0,IF(H2273="İade",-G2273,E2273-I2273-F2273-G2273)))</f>
        <v/>
      </c>
    </row>
    <row r="2274" customFormat="false" ht="15" hidden="false" customHeight="false" outlineLevel="0" collapsed="false">
      <c r="A2274" s="12"/>
      <c r="B2274" s="13"/>
      <c r="C2274" s="14"/>
      <c r="D2274" s="13"/>
      <c r="E2274" s="15"/>
      <c r="F2274" s="15"/>
      <c r="G2274" s="15"/>
      <c r="H2274" s="14"/>
      <c r="I2274" s="16" t="str">
        <f aca="false">IF(OR(A2274="",C2274=""),"",IF(OR(H2274="İade",H2274="İptal"),0,E2274*IFERROR(INDEX(Kanallar!$B$5:$B$19,MATCH(C2274,Kanallar!$A$5:$A$19,0)),0)))</f>
        <v/>
      </c>
      <c r="J2274" s="16" t="str">
        <f aca="false">IF(I2274="","",IF(H2274="İptal",0,IF(H2274="İade",-G2274,E2274-I2274-F2274-G2274)))</f>
        <v/>
      </c>
    </row>
    <row r="2275" customFormat="false" ht="15" hidden="false" customHeight="false" outlineLevel="0" collapsed="false">
      <c r="A2275" s="12"/>
      <c r="B2275" s="13"/>
      <c r="C2275" s="14"/>
      <c r="D2275" s="13"/>
      <c r="E2275" s="15"/>
      <c r="F2275" s="15"/>
      <c r="G2275" s="15"/>
      <c r="H2275" s="14"/>
      <c r="I2275" s="16" t="str">
        <f aca="false">IF(OR(A2275="",C2275=""),"",IF(OR(H2275="İade",H2275="İptal"),0,E2275*IFERROR(INDEX(Kanallar!$B$5:$B$19,MATCH(C2275,Kanallar!$A$5:$A$19,0)),0)))</f>
        <v/>
      </c>
      <c r="J2275" s="16" t="str">
        <f aca="false">IF(I2275="","",IF(H2275="İptal",0,IF(H2275="İade",-G2275,E2275-I2275-F2275-G2275)))</f>
        <v/>
      </c>
    </row>
    <row r="2276" customFormat="false" ht="15" hidden="false" customHeight="false" outlineLevel="0" collapsed="false">
      <c r="A2276" s="12"/>
      <c r="B2276" s="13"/>
      <c r="C2276" s="14"/>
      <c r="D2276" s="13"/>
      <c r="E2276" s="15"/>
      <c r="F2276" s="15"/>
      <c r="G2276" s="15"/>
      <c r="H2276" s="14"/>
      <c r="I2276" s="16" t="str">
        <f aca="false">IF(OR(A2276="",C2276=""),"",IF(OR(H2276="İade",H2276="İptal"),0,E2276*IFERROR(INDEX(Kanallar!$B$5:$B$19,MATCH(C2276,Kanallar!$A$5:$A$19,0)),0)))</f>
        <v/>
      </c>
      <c r="J2276" s="16" t="str">
        <f aca="false">IF(I2276="","",IF(H2276="İptal",0,IF(H2276="İade",-G2276,E2276-I2276-F2276-G2276)))</f>
        <v/>
      </c>
    </row>
    <row r="2277" customFormat="false" ht="15" hidden="false" customHeight="false" outlineLevel="0" collapsed="false">
      <c r="A2277" s="12"/>
      <c r="B2277" s="13"/>
      <c r="C2277" s="14"/>
      <c r="D2277" s="13"/>
      <c r="E2277" s="15"/>
      <c r="F2277" s="15"/>
      <c r="G2277" s="15"/>
      <c r="H2277" s="14"/>
      <c r="I2277" s="16" t="str">
        <f aca="false">IF(OR(A2277="",C2277=""),"",IF(OR(H2277="İade",H2277="İptal"),0,E2277*IFERROR(INDEX(Kanallar!$B$5:$B$19,MATCH(C2277,Kanallar!$A$5:$A$19,0)),0)))</f>
        <v/>
      </c>
      <c r="J2277" s="16" t="str">
        <f aca="false">IF(I2277="","",IF(H2277="İptal",0,IF(H2277="İade",-G2277,E2277-I2277-F2277-G2277)))</f>
        <v/>
      </c>
    </row>
    <row r="2278" customFormat="false" ht="15" hidden="false" customHeight="false" outlineLevel="0" collapsed="false">
      <c r="A2278" s="12"/>
      <c r="B2278" s="13"/>
      <c r="C2278" s="14"/>
      <c r="D2278" s="13"/>
      <c r="E2278" s="15"/>
      <c r="F2278" s="15"/>
      <c r="G2278" s="15"/>
      <c r="H2278" s="14"/>
      <c r="I2278" s="16" t="str">
        <f aca="false">IF(OR(A2278="",C2278=""),"",IF(OR(H2278="İade",H2278="İptal"),0,E2278*IFERROR(INDEX(Kanallar!$B$5:$B$19,MATCH(C2278,Kanallar!$A$5:$A$19,0)),0)))</f>
        <v/>
      </c>
      <c r="J2278" s="16" t="str">
        <f aca="false">IF(I2278="","",IF(H2278="İptal",0,IF(H2278="İade",-G2278,E2278-I2278-F2278-G2278)))</f>
        <v/>
      </c>
    </row>
    <row r="2279" customFormat="false" ht="15" hidden="false" customHeight="false" outlineLevel="0" collapsed="false">
      <c r="A2279" s="12"/>
      <c r="B2279" s="13"/>
      <c r="C2279" s="14"/>
      <c r="D2279" s="13"/>
      <c r="E2279" s="15"/>
      <c r="F2279" s="15"/>
      <c r="G2279" s="15"/>
      <c r="H2279" s="14"/>
      <c r="I2279" s="16" t="str">
        <f aca="false">IF(OR(A2279="",C2279=""),"",IF(OR(H2279="İade",H2279="İptal"),0,E2279*IFERROR(INDEX(Kanallar!$B$5:$B$19,MATCH(C2279,Kanallar!$A$5:$A$19,0)),0)))</f>
        <v/>
      </c>
      <c r="J2279" s="16" t="str">
        <f aca="false">IF(I2279="","",IF(H2279="İptal",0,IF(H2279="İade",-G2279,E2279-I2279-F2279-G2279)))</f>
        <v/>
      </c>
    </row>
    <row r="2280" customFormat="false" ht="15" hidden="false" customHeight="false" outlineLevel="0" collapsed="false">
      <c r="A2280" s="12"/>
      <c r="B2280" s="13"/>
      <c r="C2280" s="14"/>
      <c r="D2280" s="13"/>
      <c r="E2280" s="15"/>
      <c r="F2280" s="15"/>
      <c r="G2280" s="15"/>
      <c r="H2280" s="14"/>
      <c r="I2280" s="16" t="str">
        <f aca="false">IF(OR(A2280="",C2280=""),"",IF(OR(H2280="İade",H2280="İptal"),0,E2280*IFERROR(INDEX(Kanallar!$B$5:$B$19,MATCH(C2280,Kanallar!$A$5:$A$19,0)),0)))</f>
        <v/>
      </c>
      <c r="J2280" s="16" t="str">
        <f aca="false">IF(I2280="","",IF(H2280="İptal",0,IF(H2280="İade",-G2280,E2280-I2280-F2280-G2280)))</f>
        <v/>
      </c>
    </row>
    <row r="2281" customFormat="false" ht="15" hidden="false" customHeight="false" outlineLevel="0" collapsed="false">
      <c r="A2281" s="12"/>
      <c r="B2281" s="13"/>
      <c r="C2281" s="14"/>
      <c r="D2281" s="13"/>
      <c r="E2281" s="15"/>
      <c r="F2281" s="15"/>
      <c r="G2281" s="15"/>
      <c r="H2281" s="14"/>
      <c r="I2281" s="16" t="str">
        <f aca="false">IF(OR(A2281="",C2281=""),"",IF(OR(H2281="İade",H2281="İptal"),0,E2281*IFERROR(INDEX(Kanallar!$B$5:$B$19,MATCH(C2281,Kanallar!$A$5:$A$19,0)),0)))</f>
        <v/>
      </c>
      <c r="J2281" s="16" t="str">
        <f aca="false">IF(I2281="","",IF(H2281="İptal",0,IF(H2281="İade",-G2281,E2281-I2281-F2281-G2281)))</f>
        <v/>
      </c>
    </row>
    <row r="2282" customFormat="false" ht="15" hidden="false" customHeight="false" outlineLevel="0" collapsed="false">
      <c r="A2282" s="12"/>
      <c r="B2282" s="13"/>
      <c r="C2282" s="14"/>
      <c r="D2282" s="13"/>
      <c r="E2282" s="15"/>
      <c r="F2282" s="15"/>
      <c r="G2282" s="15"/>
      <c r="H2282" s="14"/>
      <c r="I2282" s="16" t="str">
        <f aca="false">IF(OR(A2282="",C2282=""),"",IF(OR(H2282="İade",H2282="İptal"),0,E2282*IFERROR(INDEX(Kanallar!$B$5:$B$19,MATCH(C2282,Kanallar!$A$5:$A$19,0)),0)))</f>
        <v/>
      </c>
      <c r="J2282" s="16" t="str">
        <f aca="false">IF(I2282="","",IF(H2282="İptal",0,IF(H2282="İade",-G2282,E2282-I2282-F2282-G2282)))</f>
        <v/>
      </c>
    </row>
    <row r="2283" customFormat="false" ht="15" hidden="false" customHeight="false" outlineLevel="0" collapsed="false">
      <c r="A2283" s="12"/>
      <c r="B2283" s="13"/>
      <c r="C2283" s="14"/>
      <c r="D2283" s="13"/>
      <c r="E2283" s="15"/>
      <c r="F2283" s="15"/>
      <c r="G2283" s="15"/>
      <c r="H2283" s="14"/>
      <c r="I2283" s="16" t="str">
        <f aca="false">IF(OR(A2283="",C2283=""),"",IF(OR(H2283="İade",H2283="İptal"),0,E2283*IFERROR(INDEX(Kanallar!$B$5:$B$19,MATCH(C2283,Kanallar!$A$5:$A$19,0)),0)))</f>
        <v/>
      </c>
      <c r="J2283" s="16" t="str">
        <f aca="false">IF(I2283="","",IF(H2283="İptal",0,IF(H2283="İade",-G2283,E2283-I2283-F2283-G2283)))</f>
        <v/>
      </c>
    </row>
    <row r="2284" customFormat="false" ht="15" hidden="false" customHeight="false" outlineLevel="0" collapsed="false">
      <c r="A2284" s="12"/>
      <c r="B2284" s="13"/>
      <c r="C2284" s="14"/>
      <c r="D2284" s="13"/>
      <c r="E2284" s="15"/>
      <c r="F2284" s="15"/>
      <c r="G2284" s="15"/>
      <c r="H2284" s="14"/>
      <c r="I2284" s="16" t="str">
        <f aca="false">IF(OR(A2284="",C2284=""),"",IF(OR(H2284="İade",H2284="İptal"),0,E2284*IFERROR(INDEX(Kanallar!$B$5:$B$19,MATCH(C2284,Kanallar!$A$5:$A$19,0)),0)))</f>
        <v/>
      </c>
      <c r="J2284" s="16" t="str">
        <f aca="false">IF(I2284="","",IF(H2284="İptal",0,IF(H2284="İade",-G2284,E2284-I2284-F2284-G2284)))</f>
        <v/>
      </c>
    </row>
    <row r="2285" customFormat="false" ht="15" hidden="false" customHeight="false" outlineLevel="0" collapsed="false">
      <c r="A2285" s="12"/>
      <c r="B2285" s="13"/>
      <c r="C2285" s="14"/>
      <c r="D2285" s="13"/>
      <c r="E2285" s="15"/>
      <c r="F2285" s="15"/>
      <c r="G2285" s="15"/>
      <c r="H2285" s="14"/>
      <c r="I2285" s="16" t="str">
        <f aca="false">IF(OR(A2285="",C2285=""),"",IF(OR(H2285="İade",H2285="İptal"),0,E2285*IFERROR(INDEX(Kanallar!$B$5:$B$19,MATCH(C2285,Kanallar!$A$5:$A$19,0)),0)))</f>
        <v/>
      </c>
      <c r="J2285" s="16" t="str">
        <f aca="false">IF(I2285="","",IF(H2285="İptal",0,IF(H2285="İade",-G2285,E2285-I2285-F2285-G2285)))</f>
        <v/>
      </c>
    </row>
    <row r="2286" customFormat="false" ht="15" hidden="false" customHeight="false" outlineLevel="0" collapsed="false">
      <c r="A2286" s="12"/>
      <c r="B2286" s="13"/>
      <c r="C2286" s="14"/>
      <c r="D2286" s="13"/>
      <c r="E2286" s="15"/>
      <c r="F2286" s="15"/>
      <c r="G2286" s="15"/>
      <c r="H2286" s="14"/>
      <c r="I2286" s="16" t="str">
        <f aca="false">IF(OR(A2286="",C2286=""),"",IF(OR(H2286="İade",H2286="İptal"),0,E2286*IFERROR(INDEX(Kanallar!$B$5:$B$19,MATCH(C2286,Kanallar!$A$5:$A$19,0)),0)))</f>
        <v/>
      </c>
      <c r="J2286" s="16" t="str">
        <f aca="false">IF(I2286="","",IF(H2286="İptal",0,IF(H2286="İade",-G2286,E2286-I2286-F2286-G2286)))</f>
        <v/>
      </c>
    </row>
    <row r="2287" customFormat="false" ht="15" hidden="false" customHeight="false" outlineLevel="0" collapsed="false">
      <c r="A2287" s="12"/>
      <c r="B2287" s="13"/>
      <c r="C2287" s="14"/>
      <c r="D2287" s="13"/>
      <c r="E2287" s="15"/>
      <c r="F2287" s="15"/>
      <c r="G2287" s="15"/>
      <c r="H2287" s="14"/>
      <c r="I2287" s="16" t="str">
        <f aca="false">IF(OR(A2287="",C2287=""),"",IF(OR(H2287="İade",H2287="İptal"),0,E2287*IFERROR(INDEX(Kanallar!$B$5:$B$19,MATCH(C2287,Kanallar!$A$5:$A$19,0)),0)))</f>
        <v/>
      </c>
      <c r="J2287" s="16" t="str">
        <f aca="false">IF(I2287="","",IF(H2287="İptal",0,IF(H2287="İade",-G2287,E2287-I2287-F2287-G2287)))</f>
        <v/>
      </c>
    </row>
    <row r="2288" customFormat="false" ht="15" hidden="false" customHeight="false" outlineLevel="0" collapsed="false">
      <c r="A2288" s="12"/>
      <c r="B2288" s="13"/>
      <c r="C2288" s="14"/>
      <c r="D2288" s="13"/>
      <c r="E2288" s="15"/>
      <c r="F2288" s="15"/>
      <c r="G2288" s="15"/>
      <c r="H2288" s="14"/>
      <c r="I2288" s="16" t="str">
        <f aca="false">IF(OR(A2288="",C2288=""),"",IF(OR(H2288="İade",H2288="İptal"),0,E2288*IFERROR(INDEX(Kanallar!$B$5:$B$19,MATCH(C2288,Kanallar!$A$5:$A$19,0)),0)))</f>
        <v/>
      </c>
      <c r="J2288" s="16" t="str">
        <f aca="false">IF(I2288="","",IF(H2288="İptal",0,IF(H2288="İade",-G2288,E2288-I2288-F2288-G2288)))</f>
        <v/>
      </c>
    </row>
    <row r="2289" customFormat="false" ht="15" hidden="false" customHeight="false" outlineLevel="0" collapsed="false">
      <c r="A2289" s="12"/>
      <c r="B2289" s="13"/>
      <c r="C2289" s="14"/>
      <c r="D2289" s="13"/>
      <c r="E2289" s="15"/>
      <c r="F2289" s="15"/>
      <c r="G2289" s="15"/>
      <c r="H2289" s="14"/>
      <c r="I2289" s="16" t="str">
        <f aca="false">IF(OR(A2289="",C2289=""),"",IF(OR(H2289="İade",H2289="İptal"),0,E2289*IFERROR(INDEX(Kanallar!$B$5:$B$19,MATCH(C2289,Kanallar!$A$5:$A$19,0)),0)))</f>
        <v/>
      </c>
      <c r="J2289" s="16" t="str">
        <f aca="false">IF(I2289="","",IF(H2289="İptal",0,IF(H2289="İade",-G2289,E2289-I2289-F2289-G2289)))</f>
        <v/>
      </c>
    </row>
    <row r="2290" customFormat="false" ht="15" hidden="false" customHeight="false" outlineLevel="0" collapsed="false">
      <c r="A2290" s="12"/>
      <c r="B2290" s="13"/>
      <c r="C2290" s="14"/>
      <c r="D2290" s="13"/>
      <c r="E2290" s="15"/>
      <c r="F2290" s="15"/>
      <c r="G2290" s="15"/>
      <c r="H2290" s="14"/>
      <c r="I2290" s="16" t="str">
        <f aca="false">IF(OR(A2290="",C2290=""),"",IF(OR(H2290="İade",H2290="İptal"),0,E2290*IFERROR(INDEX(Kanallar!$B$5:$B$19,MATCH(C2290,Kanallar!$A$5:$A$19,0)),0)))</f>
        <v/>
      </c>
      <c r="J2290" s="16" t="str">
        <f aca="false">IF(I2290="","",IF(H2290="İptal",0,IF(H2290="İade",-G2290,E2290-I2290-F2290-G2290)))</f>
        <v/>
      </c>
    </row>
    <row r="2291" customFormat="false" ht="15" hidden="false" customHeight="false" outlineLevel="0" collapsed="false">
      <c r="A2291" s="12"/>
      <c r="B2291" s="13"/>
      <c r="C2291" s="14"/>
      <c r="D2291" s="13"/>
      <c r="E2291" s="15"/>
      <c r="F2291" s="15"/>
      <c r="G2291" s="15"/>
      <c r="H2291" s="14"/>
      <c r="I2291" s="16" t="str">
        <f aca="false">IF(OR(A2291="",C2291=""),"",IF(OR(H2291="İade",H2291="İptal"),0,E2291*IFERROR(INDEX(Kanallar!$B$5:$B$19,MATCH(C2291,Kanallar!$A$5:$A$19,0)),0)))</f>
        <v/>
      </c>
      <c r="J2291" s="16" t="str">
        <f aca="false">IF(I2291="","",IF(H2291="İptal",0,IF(H2291="İade",-G2291,E2291-I2291-F2291-G2291)))</f>
        <v/>
      </c>
    </row>
    <row r="2292" customFormat="false" ht="15" hidden="false" customHeight="false" outlineLevel="0" collapsed="false">
      <c r="A2292" s="12"/>
      <c r="B2292" s="13"/>
      <c r="C2292" s="14"/>
      <c r="D2292" s="13"/>
      <c r="E2292" s="15"/>
      <c r="F2292" s="15"/>
      <c r="G2292" s="15"/>
      <c r="H2292" s="14"/>
      <c r="I2292" s="16" t="str">
        <f aca="false">IF(OR(A2292="",C2292=""),"",IF(OR(H2292="İade",H2292="İptal"),0,E2292*IFERROR(INDEX(Kanallar!$B$5:$B$19,MATCH(C2292,Kanallar!$A$5:$A$19,0)),0)))</f>
        <v/>
      </c>
      <c r="J2292" s="16" t="str">
        <f aca="false">IF(I2292="","",IF(H2292="İptal",0,IF(H2292="İade",-G2292,E2292-I2292-F2292-G2292)))</f>
        <v/>
      </c>
    </row>
    <row r="2293" customFormat="false" ht="15" hidden="false" customHeight="false" outlineLevel="0" collapsed="false">
      <c r="A2293" s="12"/>
      <c r="B2293" s="13"/>
      <c r="C2293" s="14"/>
      <c r="D2293" s="13"/>
      <c r="E2293" s="15"/>
      <c r="F2293" s="15"/>
      <c r="G2293" s="15"/>
      <c r="H2293" s="14"/>
      <c r="I2293" s="16" t="str">
        <f aca="false">IF(OR(A2293="",C2293=""),"",IF(OR(H2293="İade",H2293="İptal"),0,E2293*IFERROR(INDEX(Kanallar!$B$5:$B$19,MATCH(C2293,Kanallar!$A$5:$A$19,0)),0)))</f>
        <v/>
      </c>
      <c r="J2293" s="16" t="str">
        <f aca="false">IF(I2293="","",IF(H2293="İptal",0,IF(H2293="İade",-G2293,E2293-I2293-F2293-G2293)))</f>
        <v/>
      </c>
    </row>
    <row r="2294" customFormat="false" ht="15" hidden="false" customHeight="false" outlineLevel="0" collapsed="false">
      <c r="A2294" s="12"/>
      <c r="B2294" s="13"/>
      <c r="C2294" s="14"/>
      <c r="D2294" s="13"/>
      <c r="E2294" s="15"/>
      <c r="F2294" s="15"/>
      <c r="G2294" s="15"/>
      <c r="H2294" s="14"/>
      <c r="I2294" s="16" t="str">
        <f aca="false">IF(OR(A2294="",C2294=""),"",IF(OR(H2294="İade",H2294="İptal"),0,E2294*IFERROR(INDEX(Kanallar!$B$5:$B$19,MATCH(C2294,Kanallar!$A$5:$A$19,0)),0)))</f>
        <v/>
      </c>
      <c r="J2294" s="16" t="str">
        <f aca="false">IF(I2294="","",IF(H2294="İptal",0,IF(H2294="İade",-G2294,E2294-I2294-F2294-G2294)))</f>
        <v/>
      </c>
    </row>
    <row r="2295" customFormat="false" ht="15" hidden="false" customHeight="false" outlineLevel="0" collapsed="false">
      <c r="A2295" s="12"/>
      <c r="B2295" s="13"/>
      <c r="C2295" s="14"/>
      <c r="D2295" s="13"/>
      <c r="E2295" s="15"/>
      <c r="F2295" s="15"/>
      <c r="G2295" s="15"/>
      <c r="H2295" s="14"/>
      <c r="I2295" s="16" t="str">
        <f aca="false">IF(OR(A2295="",C2295=""),"",IF(OR(H2295="İade",H2295="İptal"),0,E2295*IFERROR(INDEX(Kanallar!$B$5:$B$19,MATCH(C2295,Kanallar!$A$5:$A$19,0)),0)))</f>
        <v/>
      </c>
      <c r="J2295" s="16" t="str">
        <f aca="false">IF(I2295="","",IF(H2295="İptal",0,IF(H2295="İade",-G2295,E2295-I2295-F2295-G2295)))</f>
        <v/>
      </c>
    </row>
    <row r="2296" customFormat="false" ht="15" hidden="false" customHeight="false" outlineLevel="0" collapsed="false">
      <c r="A2296" s="12"/>
      <c r="B2296" s="13"/>
      <c r="C2296" s="14"/>
      <c r="D2296" s="13"/>
      <c r="E2296" s="15"/>
      <c r="F2296" s="15"/>
      <c r="G2296" s="15"/>
      <c r="H2296" s="14"/>
      <c r="I2296" s="16" t="str">
        <f aca="false">IF(OR(A2296="",C2296=""),"",IF(OR(H2296="İade",H2296="İptal"),0,E2296*IFERROR(INDEX(Kanallar!$B$5:$B$19,MATCH(C2296,Kanallar!$A$5:$A$19,0)),0)))</f>
        <v/>
      </c>
      <c r="J2296" s="16" t="str">
        <f aca="false">IF(I2296="","",IF(H2296="İptal",0,IF(H2296="İade",-G2296,E2296-I2296-F2296-G2296)))</f>
        <v/>
      </c>
    </row>
    <row r="2297" customFormat="false" ht="15" hidden="false" customHeight="false" outlineLevel="0" collapsed="false">
      <c r="A2297" s="12"/>
      <c r="B2297" s="13"/>
      <c r="C2297" s="14"/>
      <c r="D2297" s="13"/>
      <c r="E2297" s="15"/>
      <c r="F2297" s="15"/>
      <c r="G2297" s="15"/>
      <c r="H2297" s="14"/>
      <c r="I2297" s="16" t="str">
        <f aca="false">IF(OR(A2297="",C2297=""),"",IF(OR(H2297="İade",H2297="İptal"),0,E2297*IFERROR(INDEX(Kanallar!$B$5:$B$19,MATCH(C2297,Kanallar!$A$5:$A$19,0)),0)))</f>
        <v/>
      </c>
      <c r="J2297" s="16" t="str">
        <f aca="false">IF(I2297="","",IF(H2297="İptal",0,IF(H2297="İade",-G2297,E2297-I2297-F2297-G2297)))</f>
        <v/>
      </c>
    </row>
    <row r="2298" customFormat="false" ht="15" hidden="false" customHeight="false" outlineLevel="0" collapsed="false">
      <c r="A2298" s="12"/>
      <c r="B2298" s="13"/>
      <c r="C2298" s="14"/>
      <c r="D2298" s="13"/>
      <c r="E2298" s="15"/>
      <c r="F2298" s="15"/>
      <c r="G2298" s="15"/>
      <c r="H2298" s="14"/>
      <c r="I2298" s="16" t="str">
        <f aca="false">IF(OR(A2298="",C2298=""),"",IF(OR(H2298="İade",H2298="İptal"),0,E2298*IFERROR(INDEX(Kanallar!$B$5:$B$19,MATCH(C2298,Kanallar!$A$5:$A$19,0)),0)))</f>
        <v/>
      </c>
      <c r="J2298" s="16" t="str">
        <f aca="false">IF(I2298="","",IF(H2298="İptal",0,IF(H2298="İade",-G2298,E2298-I2298-F2298-G2298)))</f>
        <v/>
      </c>
    </row>
    <row r="2299" customFormat="false" ht="15" hidden="false" customHeight="false" outlineLevel="0" collapsed="false">
      <c r="A2299" s="12"/>
      <c r="B2299" s="13"/>
      <c r="C2299" s="14"/>
      <c r="D2299" s="13"/>
      <c r="E2299" s="15"/>
      <c r="F2299" s="15"/>
      <c r="G2299" s="15"/>
      <c r="H2299" s="14"/>
      <c r="I2299" s="16" t="str">
        <f aca="false">IF(OR(A2299="",C2299=""),"",IF(OR(H2299="İade",H2299="İptal"),0,E2299*IFERROR(INDEX(Kanallar!$B$5:$B$19,MATCH(C2299,Kanallar!$A$5:$A$19,0)),0)))</f>
        <v/>
      </c>
      <c r="J2299" s="16" t="str">
        <f aca="false">IF(I2299="","",IF(H2299="İptal",0,IF(H2299="İade",-G2299,E2299-I2299-F2299-G2299)))</f>
        <v/>
      </c>
    </row>
    <row r="2300" customFormat="false" ht="15" hidden="false" customHeight="false" outlineLevel="0" collapsed="false">
      <c r="A2300" s="12"/>
      <c r="B2300" s="13"/>
      <c r="C2300" s="14"/>
      <c r="D2300" s="13"/>
      <c r="E2300" s="15"/>
      <c r="F2300" s="15"/>
      <c r="G2300" s="15"/>
      <c r="H2300" s="14"/>
      <c r="I2300" s="16" t="str">
        <f aca="false">IF(OR(A2300="",C2300=""),"",IF(OR(H2300="İade",H2300="İptal"),0,E2300*IFERROR(INDEX(Kanallar!$B$5:$B$19,MATCH(C2300,Kanallar!$A$5:$A$19,0)),0)))</f>
        <v/>
      </c>
      <c r="J2300" s="16" t="str">
        <f aca="false">IF(I2300="","",IF(H2300="İptal",0,IF(H2300="İade",-G2300,E2300-I2300-F2300-G2300)))</f>
        <v/>
      </c>
    </row>
    <row r="2301" customFormat="false" ht="15" hidden="false" customHeight="false" outlineLevel="0" collapsed="false">
      <c r="A2301" s="12"/>
      <c r="B2301" s="13"/>
      <c r="C2301" s="14"/>
      <c r="D2301" s="13"/>
      <c r="E2301" s="15"/>
      <c r="F2301" s="15"/>
      <c r="G2301" s="15"/>
      <c r="H2301" s="14"/>
      <c r="I2301" s="16" t="str">
        <f aca="false">IF(OR(A2301="",C2301=""),"",IF(OR(H2301="İade",H2301="İptal"),0,E2301*IFERROR(INDEX(Kanallar!$B$5:$B$19,MATCH(C2301,Kanallar!$A$5:$A$19,0)),0)))</f>
        <v/>
      </c>
      <c r="J2301" s="16" t="str">
        <f aca="false">IF(I2301="","",IF(H2301="İptal",0,IF(H2301="İade",-G2301,E2301-I2301-F2301-G2301)))</f>
        <v/>
      </c>
    </row>
    <row r="2302" customFormat="false" ht="15" hidden="false" customHeight="false" outlineLevel="0" collapsed="false">
      <c r="A2302" s="12"/>
      <c r="B2302" s="13"/>
      <c r="C2302" s="14"/>
      <c r="D2302" s="13"/>
      <c r="E2302" s="15"/>
      <c r="F2302" s="15"/>
      <c r="G2302" s="15"/>
      <c r="H2302" s="14"/>
      <c r="I2302" s="16" t="str">
        <f aca="false">IF(OR(A2302="",C2302=""),"",IF(OR(H2302="İade",H2302="İptal"),0,E2302*IFERROR(INDEX(Kanallar!$B$5:$B$19,MATCH(C2302,Kanallar!$A$5:$A$19,0)),0)))</f>
        <v/>
      </c>
      <c r="J2302" s="16" t="str">
        <f aca="false">IF(I2302="","",IF(H2302="İptal",0,IF(H2302="İade",-G2302,E2302-I2302-F2302-G2302)))</f>
        <v/>
      </c>
    </row>
    <row r="2303" customFormat="false" ht="15" hidden="false" customHeight="false" outlineLevel="0" collapsed="false">
      <c r="A2303" s="12"/>
      <c r="B2303" s="13"/>
      <c r="C2303" s="14"/>
      <c r="D2303" s="13"/>
      <c r="E2303" s="15"/>
      <c r="F2303" s="15"/>
      <c r="G2303" s="15"/>
      <c r="H2303" s="14"/>
      <c r="I2303" s="16" t="str">
        <f aca="false">IF(OR(A2303="",C2303=""),"",IF(OR(H2303="İade",H2303="İptal"),0,E2303*IFERROR(INDEX(Kanallar!$B$5:$B$19,MATCH(C2303,Kanallar!$A$5:$A$19,0)),0)))</f>
        <v/>
      </c>
      <c r="J2303" s="16" t="str">
        <f aca="false">IF(I2303="","",IF(H2303="İptal",0,IF(H2303="İade",-G2303,E2303-I2303-F2303-G2303)))</f>
        <v/>
      </c>
    </row>
    <row r="2304" customFormat="false" ht="15" hidden="false" customHeight="false" outlineLevel="0" collapsed="false">
      <c r="A2304" s="12"/>
      <c r="B2304" s="13"/>
      <c r="C2304" s="14"/>
      <c r="D2304" s="13"/>
      <c r="E2304" s="15"/>
      <c r="F2304" s="15"/>
      <c r="G2304" s="15"/>
      <c r="H2304" s="14"/>
      <c r="I2304" s="16" t="str">
        <f aca="false">IF(OR(A2304="",C2304=""),"",IF(OR(H2304="İade",H2304="İptal"),0,E2304*IFERROR(INDEX(Kanallar!$B$5:$B$19,MATCH(C2304,Kanallar!$A$5:$A$19,0)),0)))</f>
        <v/>
      </c>
      <c r="J2304" s="16" t="str">
        <f aca="false">IF(I2304="","",IF(H2304="İptal",0,IF(H2304="İade",-G2304,E2304-I2304-F2304-G2304)))</f>
        <v/>
      </c>
    </row>
    <row r="2305" customFormat="false" ht="15" hidden="false" customHeight="false" outlineLevel="0" collapsed="false">
      <c r="A2305" s="12"/>
      <c r="B2305" s="13"/>
      <c r="C2305" s="14"/>
      <c r="D2305" s="13"/>
      <c r="E2305" s="15"/>
      <c r="F2305" s="15"/>
      <c r="G2305" s="15"/>
      <c r="H2305" s="14"/>
      <c r="I2305" s="16" t="str">
        <f aca="false">IF(OR(A2305="",C2305=""),"",IF(OR(H2305="İade",H2305="İptal"),0,E2305*IFERROR(INDEX(Kanallar!$B$5:$B$19,MATCH(C2305,Kanallar!$A$5:$A$19,0)),0)))</f>
        <v/>
      </c>
      <c r="J2305" s="16" t="str">
        <f aca="false">IF(I2305="","",IF(H2305="İptal",0,IF(H2305="İade",-G2305,E2305-I2305-F2305-G2305)))</f>
        <v/>
      </c>
    </row>
    <row r="2306" customFormat="false" ht="15" hidden="false" customHeight="false" outlineLevel="0" collapsed="false">
      <c r="A2306" s="12"/>
      <c r="B2306" s="13"/>
      <c r="C2306" s="14"/>
      <c r="D2306" s="13"/>
      <c r="E2306" s="15"/>
      <c r="F2306" s="15"/>
      <c r="G2306" s="15"/>
      <c r="H2306" s="14"/>
      <c r="I2306" s="16" t="str">
        <f aca="false">IF(OR(A2306="",C2306=""),"",IF(OR(H2306="İade",H2306="İptal"),0,E2306*IFERROR(INDEX(Kanallar!$B$5:$B$19,MATCH(C2306,Kanallar!$A$5:$A$19,0)),0)))</f>
        <v/>
      </c>
      <c r="J2306" s="16" t="str">
        <f aca="false">IF(I2306="","",IF(H2306="İptal",0,IF(H2306="İade",-G2306,E2306-I2306-F2306-G2306)))</f>
        <v/>
      </c>
    </row>
    <row r="2307" customFormat="false" ht="15" hidden="false" customHeight="false" outlineLevel="0" collapsed="false">
      <c r="A2307" s="12"/>
      <c r="B2307" s="13"/>
      <c r="C2307" s="14"/>
      <c r="D2307" s="13"/>
      <c r="E2307" s="15"/>
      <c r="F2307" s="15"/>
      <c r="G2307" s="15"/>
      <c r="H2307" s="14"/>
      <c r="I2307" s="16" t="str">
        <f aca="false">IF(OR(A2307="",C2307=""),"",IF(OR(H2307="İade",H2307="İptal"),0,E2307*IFERROR(INDEX(Kanallar!$B$5:$B$19,MATCH(C2307,Kanallar!$A$5:$A$19,0)),0)))</f>
        <v/>
      </c>
      <c r="J2307" s="16" t="str">
        <f aca="false">IF(I2307="","",IF(H2307="İptal",0,IF(H2307="İade",-G2307,E2307-I2307-F2307-G2307)))</f>
        <v/>
      </c>
    </row>
    <row r="2308" customFormat="false" ht="15" hidden="false" customHeight="false" outlineLevel="0" collapsed="false">
      <c r="A2308" s="12"/>
      <c r="B2308" s="13"/>
      <c r="C2308" s="14"/>
      <c r="D2308" s="13"/>
      <c r="E2308" s="15"/>
      <c r="F2308" s="15"/>
      <c r="G2308" s="15"/>
      <c r="H2308" s="14"/>
      <c r="I2308" s="16" t="str">
        <f aca="false">IF(OR(A2308="",C2308=""),"",IF(OR(H2308="İade",H2308="İptal"),0,E2308*IFERROR(INDEX(Kanallar!$B$5:$B$19,MATCH(C2308,Kanallar!$A$5:$A$19,0)),0)))</f>
        <v/>
      </c>
      <c r="J2308" s="16" t="str">
        <f aca="false">IF(I2308="","",IF(H2308="İptal",0,IF(H2308="İade",-G2308,E2308-I2308-F2308-G2308)))</f>
        <v/>
      </c>
    </row>
    <row r="2309" customFormat="false" ht="15" hidden="false" customHeight="false" outlineLevel="0" collapsed="false">
      <c r="A2309" s="12"/>
      <c r="B2309" s="13"/>
      <c r="C2309" s="14"/>
      <c r="D2309" s="13"/>
      <c r="E2309" s="15"/>
      <c r="F2309" s="15"/>
      <c r="G2309" s="15"/>
      <c r="H2309" s="14"/>
      <c r="I2309" s="16" t="str">
        <f aca="false">IF(OR(A2309="",C2309=""),"",IF(OR(H2309="İade",H2309="İptal"),0,E2309*IFERROR(INDEX(Kanallar!$B$5:$B$19,MATCH(C2309,Kanallar!$A$5:$A$19,0)),0)))</f>
        <v/>
      </c>
      <c r="J2309" s="16" t="str">
        <f aca="false">IF(I2309="","",IF(H2309="İptal",0,IF(H2309="İade",-G2309,E2309-I2309-F2309-G2309)))</f>
        <v/>
      </c>
    </row>
    <row r="2310" customFormat="false" ht="15" hidden="false" customHeight="false" outlineLevel="0" collapsed="false">
      <c r="A2310" s="12"/>
      <c r="B2310" s="13"/>
      <c r="C2310" s="14"/>
      <c r="D2310" s="13"/>
      <c r="E2310" s="15"/>
      <c r="F2310" s="15"/>
      <c r="G2310" s="15"/>
      <c r="H2310" s="14"/>
      <c r="I2310" s="16" t="str">
        <f aca="false">IF(OR(A2310="",C2310=""),"",IF(OR(H2310="İade",H2310="İptal"),0,E2310*IFERROR(INDEX(Kanallar!$B$5:$B$19,MATCH(C2310,Kanallar!$A$5:$A$19,0)),0)))</f>
        <v/>
      </c>
      <c r="J2310" s="16" t="str">
        <f aca="false">IF(I2310="","",IF(H2310="İptal",0,IF(H2310="İade",-G2310,E2310-I2310-F2310-G2310)))</f>
        <v/>
      </c>
    </row>
    <row r="2311" customFormat="false" ht="15" hidden="false" customHeight="false" outlineLevel="0" collapsed="false">
      <c r="A2311" s="12"/>
      <c r="B2311" s="13"/>
      <c r="C2311" s="14"/>
      <c r="D2311" s="13"/>
      <c r="E2311" s="15"/>
      <c r="F2311" s="15"/>
      <c r="G2311" s="15"/>
      <c r="H2311" s="14"/>
      <c r="I2311" s="16" t="str">
        <f aca="false">IF(OR(A2311="",C2311=""),"",IF(OR(H2311="İade",H2311="İptal"),0,E2311*IFERROR(INDEX(Kanallar!$B$5:$B$19,MATCH(C2311,Kanallar!$A$5:$A$19,0)),0)))</f>
        <v/>
      </c>
      <c r="J2311" s="16" t="str">
        <f aca="false">IF(I2311="","",IF(H2311="İptal",0,IF(H2311="İade",-G2311,E2311-I2311-F2311-G2311)))</f>
        <v/>
      </c>
    </row>
    <row r="2312" customFormat="false" ht="15" hidden="false" customHeight="false" outlineLevel="0" collapsed="false">
      <c r="A2312" s="12"/>
      <c r="B2312" s="13"/>
      <c r="C2312" s="14"/>
      <c r="D2312" s="13"/>
      <c r="E2312" s="15"/>
      <c r="F2312" s="15"/>
      <c r="G2312" s="15"/>
      <c r="H2312" s="14"/>
      <c r="I2312" s="16" t="str">
        <f aca="false">IF(OR(A2312="",C2312=""),"",IF(OR(H2312="İade",H2312="İptal"),0,E2312*IFERROR(INDEX(Kanallar!$B$5:$B$19,MATCH(C2312,Kanallar!$A$5:$A$19,0)),0)))</f>
        <v/>
      </c>
      <c r="J2312" s="16" t="str">
        <f aca="false">IF(I2312="","",IF(H2312="İptal",0,IF(H2312="İade",-G2312,E2312-I2312-F2312-G2312)))</f>
        <v/>
      </c>
    </row>
    <row r="2313" customFormat="false" ht="15" hidden="false" customHeight="false" outlineLevel="0" collapsed="false">
      <c r="A2313" s="12"/>
      <c r="B2313" s="13"/>
      <c r="C2313" s="14"/>
      <c r="D2313" s="13"/>
      <c r="E2313" s="15"/>
      <c r="F2313" s="15"/>
      <c r="G2313" s="15"/>
      <c r="H2313" s="14"/>
      <c r="I2313" s="16" t="str">
        <f aca="false">IF(OR(A2313="",C2313=""),"",IF(OR(H2313="İade",H2313="İptal"),0,E2313*IFERROR(INDEX(Kanallar!$B$5:$B$19,MATCH(C2313,Kanallar!$A$5:$A$19,0)),0)))</f>
        <v/>
      </c>
      <c r="J2313" s="16" t="str">
        <f aca="false">IF(I2313="","",IF(H2313="İptal",0,IF(H2313="İade",-G2313,E2313-I2313-F2313-G2313)))</f>
        <v/>
      </c>
    </row>
    <row r="2314" customFormat="false" ht="15" hidden="false" customHeight="false" outlineLevel="0" collapsed="false">
      <c r="A2314" s="12"/>
      <c r="B2314" s="13"/>
      <c r="C2314" s="14"/>
      <c r="D2314" s="13"/>
      <c r="E2314" s="15"/>
      <c r="F2314" s="15"/>
      <c r="G2314" s="15"/>
      <c r="H2314" s="14"/>
      <c r="I2314" s="16" t="str">
        <f aca="false">IF(OR(A2314="",C2314=""),"",IF(OR(H2314="İade",H2314="İptal"),0,E2314*IFERROR(INDEX(Kanallar!$B$5:$B$19,MATCH(C2314,Kanallar!$A$5:$A$19,0)),0)))</f>
        <v/>
      </c>
      <c r="J2314" s="16" t="str">
        <f aca="false">IF(I2314="","",IF(H2314="İptal",0,IF(H2314="İade",-G2314,E2314-I2314-F2314-G2314)))</f>
        <v/>
      </c>
    </row>
    <row r="2315" customFormat="false" ht="15" hidden="false" customHeight="false" outlineLevel="0" collapsed="false">
      <c r="A2315" s="12"/>
      <c r="B2315" s="13"/>
      <c r="C2315" s="14"/>
      <c r="D2315" s="13"/>
      <c r="E2315" s="15"/>
      <c r="F2315" s="15"/>
      <c r="G2315" s="15"/>
      <c r="H2315" s="14"/>
      <c r="I2315" s="16" t="str">
        <f aca="false">IF(OR(A2315="",C2315=""),"",IF(OR(H2315="İade",H2315="İptal"),0,E2315*IFERROR(INDEX(Kanallar!$B$5:$B$19,MATCH(C2315,Kanallar!$A$5:$A$19,0)),0)))</f>
        <v/>
      </c>
      <c r="J2315" s="16" t="str">
        <f aca="false">IF(I2315="","",IF(H2315="İptal",0,IF(H2315="İade",-G2315,E2315-I2315-F2315-G2315)))</f>
        <v/>
      </c>
    </row>
    <row r="2316" customFormat="false" ht="15" hidden="false" customHeight="false" outlineLevel="0" collapsed="false">
      <c r="A2316" s="12"/>
      <c r="B2316" s="13"/>
      <c r="C2316" s="14"/>
      <c r="D2316" s="13"/>
      <c r="E2316" s="15"/>
      <c r="F2316" s="15"/>
      <c r="G2316" s="15"/>
      <c r="H2316" s="14"/>
      <c r="I2316" s="16" t="str">
        <f aca="false">IF(OR(A2316="",C2316=""),"",IF(OR(H2316="İade",H2316="İptal"),0,E2316*IFERROR(INDEX(Kanallar!$B$5:$B$19,MATCH(C2316,Kanallar!$A$5:$A$19,0)),0)))</f>
        <v/>
      </c>
      <c r="J2316" s="16" t="str">
        <f aca="false">IF(I2316="","",IF(H2316="İptal",0,IF(H2316="İade",-G2316,E2316-I2316-F2316-G2316)))</f>
        <v/>
      </c>
    </row>
    <row r="2317" customFormat="false" ht="15" hidden="false" customHeight="false" outlineLevel="0" collapsed="false">
      <c r="A2317" s="12"/>
      <c r="B2317" s="13"/>
      <c r="C2317" s="14"/>
      <c r="D2317" s="13"/>
      <c r="E2317" s="15"/>
      <c r="F2317" s="15"/>
      <c r="G2317" s="15"/>
      <c r="H2317" s="14"/>
      <c r="I2317" s="16" t="str">
        <f aca="false">IF(OR(A2317="",C2317=""),"",IF(OR(H2317="İade",H2317="İptal"),0,E2317*IFERROR(INDEX(Kanallar!$B$5:$B$19,MATCH(C2317,Kanallar!$A$5:$A$19,0)),0)))</f>
        <v/>
      </c>
      <c r="J2317" s="16" t="str">
        <f aca="false">IF(I2317="","",IF(H2317="İptal",0,IF(H2317="İade",-G2317,E2317-I2317-F2317-G2317)))</f>
        <v/>
      </c>
    </row>
    <row r="2318" customFormat="false" ht="15" hidden="false" customHeight="false" outlineLevel="0" collapsed="false">
      <c r="A2318" s="12"/>
      <c r="B2318" s="13"/>
      <c r="C2318" s="14"/>
      <c r="D2318" s="13"/>
      <c r="E2318" s="15"/>
      <c r="F2318" s="15"/>
      <c r="G2318" s="15"/>
      <c r="H2318" s="14"/>
      <c r="I2318" s="16" t="str">
        <f aca="false">IF(OR(A2318="",C2318=""),"",IF(OR(H2318="İade",H2318="İptal"),0,E2318*IFERROR(INDEX(Kanallar!$B$5:$B$19,MATCH(C2318,Kanallar!$A$5:$A$19,0)),0)))</f>
        <v/>
      </c>
      <c r="J2318" s="16" t="str">
        <f aca="false">IF(I2318="","",IF(H2318="İptal",0,IF(H2318="İade",-G2318,E2318-I2318-F2318-G2318)))</f>
        <v/>
      </c>
    </row>
    <row r="2319" customFormat="false" ht="15" hidden="false" customHeight="false" outlineLevel="0" collapsed="false">
      <c r="A2319" s="12"/>
      <c r="B2319" s="13"/>
      <c r="C2319" s="14"/>
      <c r="D2319" s="13"/>
      <c r="E2319" s="15"/>
      <c r="F2319" s="15"/>
      <c r="G2319" s="15"/>
      <c r="H2319" s="14"/>
      <c r="I2319" s="16" t="str">
        <f aca="false">IF(OR(A2319="",C2319=""),"",IF(OR(H2319="İade",H2319="İptal"),0,E2319*IFERROR(INDEX(Kanallar!$B$5:$B$19,MATCH(C2319,Kanallar!$A$5:$A$19,0)),0)))</f>
        <v/>
      </c>
      <c r="J2319" s="16" t="str">
        <f aca="false">IF(I2319="","",IF(H2319="İptal",0,IF(H2319="İade",-G2319,E2319-I2319-F2319-G2319)))</f>
        <v/>
      </c>
    </row>
    <row r="2320" customFormat="false" ht="15" hidden="false" customHeight="false" outlineLevel="0" collapsed="false">
      <c r="A2320" s="12"/>
      <c r="B2320" s="13"/>
      <c r="C2320" s="14"/>
      <c r="D2320" s="13"/>
      <c r="E2320" s="15"/>
      <c r="F2320" s="15"/>
      <c r="G2320" s="15"/>
      <c r="H2320" s="14"/>
      <c r="I2320" s="16" t="str">
        <f aca="false">IF(OR(A2320="",C2320=""),"",IF(OR(H2320="İade",H2320="İptal"),0,E2320*IFERROR(INDEX(Kanallar!$B$5:$B$19,MATCH(C2320,Kanallar!$A$5:$A$19,0)),0)))</f>
        <v/>
      </c>
      <c r="J2320" s="16" t="str">
        <f aca="false">IF(I2320="","",IF(H2320="İptal",0,IF(H2320="İade",-G2320,E2320-I2320-F2320-G2320)))</f>
        <v/>
      </c>
    </row>
    <row r="2321" customFormat="false" ht="15" hidden="false" customHeight="false" outlineLevel="0" collapsed="false">
      <c r="A2321" s="12"/>
      <c r="B2321" s="13"/>
      <c r="C2321" s="14"/>
      <c r="D2321" s="13"/>
      <c r="E2321" s="15"/>
      <c r="F2321" s="15"/>
      <c r="G2321" s="15"/>
      <c r="H2321" s="14"/>
      <c r="I2321" s="16" t="str">
        <f aca="false">IF(OR(A2321="",C2321=""),"",IF(OR(H2321="İade",H2321="İptal"),0,E2321*IFERROR(INDEX(Kanallar!$B$5:$B$19,MATCH(C2321,Kanallar!$A$5:$A$19,0)),0)))</f>
        <v/>
      </c>
      <c r="J2321" s="16" t="str">
        <f aca="false">IF(I2321="","",IF(H2321="İptal",0,IF(H2321="İade",-G2321,E2321-I2321-F2321-G2321)))</f>
        <v/>
      </c>
    </row>
    <row r="2322" customFormat="false" ht="15" hidden="false" customHeight="false" outlineLevel="0" collapsed="false">
      <c r="A2322" s="12"/>
      <c r="B2322" s="13"/>
      <c r="C2322" s="14"/>
      <c r="D2322" s="13"/>
      <c r="E2322" s="15"/>
      <c r="F2322" s="15"/>
      <c r="G2322" s="15"/>
      <c r="H2322" s="14"/>
      <c r="I2322" s="16" t="str">
        <f aca="false">IF(OR(A2322="",C2322=""),"",IF(OR(H2322="İade",H2322="İptal"),0,E2322*IFERROR(INDEX(Kanallar!$B$5:$B$19,MATCH(C2322,Kanallar!$A$5:$A$19,0)),0)))</f>
        <v/>
      </c>
      <c r="J2322" s="16" t="str">
        <f aca="false">IF(I2322="","",IF(H2322="İptal",0,IF(H2322="İade",-G2322,E2322-I2322-F2322-G2322)))</f>
        <v/>
      </c>
    </row>
    <row r="2323" customFormat="false" ht="15" hidden="false" customHeight="false" outlineLevel="0" collapsed="false">
      <c r="A2323" s="12"/>
      <c r="B2323" s="13"/>
      <c r="C2323" s="14"/>
      <c r="D2323" s="13"/>
      <c r="E2323" s="15"/>
      <c r="F2323" s="15"/>
      <c r="G2323" s="15"/>
      <c r="H2323" s="14"/>
      <c r="I2323" s="16" t="str">
        <f aca="false">IF(OR(A2323="",C2323=""),"",IF(OR(H2323="İade",H2323="İptal"),0,E2323*IFERROR(INDEX(Kanallar!$B$5:$B$19,MATCH(C2323,Kanallar!$A$5:$A$19,0)),0)))</f>
        <v/>
      </c>
      <c r="J2323" s="16" t="str">
        <f aca="false">IF(I2323="","",IF(H2323="İptal",0,IF(H2323="İade",-G2323,E2323-I2323-F2323-G2323)))</f>
        <v/>
      </c>
    </row>
    <row r="2324" customFormat="false" ht="15" hidden="false" customHeight="false" outlineLevel="0" collapsed="false">
      <c r="A2324" s="12"/>
      <c r="B2324" s="13"/>
      <c r="C2324" s="14"/>
      <c r="D2324" s="13"/>
      <c r="E2324" s="15"/>
      <c r="F2324" s="15"/>
      <c r="G2324" s="15"/>
      <c r="H2324" s="14"/>
      <c r="I2324" s="16" t="str">
        <f aca="false">IF(OR(A2324="",C2324=""),"",IF(OR(H2324="İade",H2324="İptal"),0,E2324*IFERROR(INDEX(Kanallar!$B$5:$B$19,MATCH(C2324,Kanallar!$A$5:$A$19,0)),0)))</f>
        <v/>
      </c>
      <c r="J2324" s="16" t="str">
        <f aca="false">IF(I2324="","",IF(H2324="İptal",0,IF(H2324="İade",-G2324,E2324-I2324-F2324-G2324)))</f>
        <v/>
      </c>
    </row>
    <row r="2325" customFormat="false" ht="15" hidden="false" customHeight="false" outlineLevel="0" collapsed="false">
      <c r="A2325" s="12"/>
      <c r="B2325" s="13"/>
      <c r="C2325" s="14"/>
      <c r="D2325" s="13"/>
      <c r="E2325" s="15"/>
      <c r="F2325" s="15"/>
      <c r="G2325" s="15"/>
      <c r="H2325" s="14"/>
      <c r="I2325" s="16" t="str">
        <f aca="false">IF(OR(A2325="",C2325=""),"",IF(OR(H2325="İade",H2325="İptal"),0,E2325*IFERROR(INDEX(Kanallar!$B$5:$B$19,MATCH(C2325,Kanallar!$A$5:$A$19,0)),0)))</f>
        <v/>
      </c>
      <c r="J2325" s="16" t="str">
        <f aca="false">IF(I2325="","",IF(H2325="İptal",0,IF(H2325="İade",-G2325,E2325-I2325-F2325-G2325)))</f>
        <v/>
      </c>
    </row>
    <row r="2326" customFormat="false" ht="15" hidden="false" customHeight="false" outlineLevel="0" collapsed="false">
      <c r="A2326" s="12"/>
      <c r="B2326" s="13"/>
      <c r="C2326" s="14"/>
      <c r="D2326" s="13"/>
      <c r="E2326" s="15"/>
      <c r="F2326" s="15"/>
      <c r="G2326" s="15"/>
      <c r="H2326" s="14"/>
      <c r="I2326" s="16" t="str">
        <f aca="false">IF(OR(A2326="",C2326=""),"",IF(OR(H2326="İade",H2326="İptal"),0,E2326*IFERROR(INDEX(Kanallar!$B$5:$B$19,MATCH(C2326,Kanallar!$A$5:$A$19,0)),0)))</f>
        <v/>
      </c>
      <c r="J2326" s="16" t="str">
        <f aca="false">IF(I2326="","",IF(H2326="İptal",0,IF(H2326="İade",-G2326,E2326-I2326-F2326-G2326)))</f>
        <v/>
      </c>
    </row>
    <row r="2327" customFormat="false" ht="15" hidden="false" customHeight="false" outlineLevel="0" collapsed="false">
      <c r="A2327" s="12"/>
      <c r="B2327" s="13"/>
      <c r="C2327" s="14"/>
      <c r="D2327" s="13"/>
      <c r="E2327" s="15"/>
      <c r="F2327" s="15"/>
      <c r="G2327" s="15"/>
      <c r="H2327" s="14"/>
      <c r="I2327" s="16" t="str">
        <f aca="false">IF(OR(A2327="",C2327=""),"",IF(OR(H2327="İade",H2327="İptal"),0,E2327*IFERROR(INDEX(Kanallar!$B$5:$B$19,MATCH(C2327,Kanallar!$A$5:$A$19,0)),0)))</f>
        <v/>
      </c>
      <c r="J2327" s="16" t="str">
        <f aca="false">IF(I2327="","",IF(H2327="İptal",0,IF(H2327="İade",-G2327,E2327-I2327-F2327-G2327)))</f>
        <v/>
      </c>
    </row>
    <row r="2328" customFormat="false" ht="15" hidden="false" customHeight="false" outlineLevel="0" collapsed="false">
      <c r="A2328" s="12"/>
      <c r="B2328" s="13"/>
      <c r="C2328" s="14"/>
      <c r="D2328" s="13"/>
      <c r="E2328" s="15"/>
      <c r="F2328" s="15"/>
      <c r="G2328" s="15"/>
      <c r="H2328" s="14"/>
      <c r="I2328" s="16" t="str">
        <f aca="false">IF(OR(A2328="",C2328=""),"",IF(OR(H2328="İade",H2328="İptal"),0,E2328*IFERROR(INDEX(Kanallar!$B$5:$B$19,MATCH(C2328,Kanallar!$A$5:$A$19,0)),0)))</f>
        <v/>
      </c>
      <c r="J2328" s="16" t="str">
        <f aca="false">IF(I2328="","",IF(H2328="İptal",0,IF(H2328="İade",-G2328,E2328-I2328-F2328-G2328)))</f>
        <v/>
      </c>
    </row>
    <row r="2329" customFormat="false" ht="15" hidden="false" customHeight="false" outlineLevel="0" collapsed="false">
      <c r="A2329" s="12"/>
      <c r="B2329" s="13"/>
      <c r="C2329" s="14"/>
      <c r="D2329" s="13"/>
      <c r="E2329" s="15"/>
      <c r="F2329" s="15"/>
      <c r="G2329" s="15"/>
      <c r="H2329" s="14"/>
      <c r="I2329" s="16" t="str">
        <f aca="false">IF(OR(A2329="",C2329=""),"",IF(OR(H2329="İade",H2329="İptal"),0,E2329*IFERROR(INDEX(Kanallar!$B$5:$B$19,MATCH(C2329,Kanallar!$A$5:$A$19,0)),0)))</f>
        <v/>
      </c>
      <c r="J2329" s="16" t="str">
        <f aca="false">IF(I2329="","",IF(H2329="İptal",0,IF(H2329="İade",-G2329,E2329-I2329-F2329-G2329)))</f>
        <v/>
      </c>
    </row>
    <row r="2330" customFormat="false" ht="15" hidden="false" customHeight="false" outlineLevel="0" collapsed="false">
      <c r="A2330" s="12"/>
      <c r="B2330" s="13"/>
      <c r="C2330" s="14"/>
      <c r="D2330" s="13"/>
      <c r="E2330" s="15"/>
      <c r="F2330" s="15"/>
      <c r="G2330" s="15"/>
      <c r="H2330" s="14"/>
      <c r="I2330" s="16" t="str">
        <f aca="false">IF(OR(A2330="",C2330=""),"",IF(OR(H2330="İade",H2330="İptal"),0,E2330*IFERROR(INDEX(Kanallar!$B$5:$B$19,MATCH(C2330,Kanallar!$A$5:$A$19,0)),0)))</f>
        <v/>
      </c>
      <c r="J2330" s="16" t="str">
        <f aca="false">IF(I2330="","",IF(H2330="İptal",0,IF(H2330="İade",-G2330,E2330-I2330-F2330-G2330)))</f>
        <v/>
      </c>
    </row>
    <row r="2331" customFormat="false" ht="15" hidden="false" customHeight="false" outlineLevel="0" collapsed="false">
      <c r="A2331" s="12"/>
      <c r="B2331" s="13"/>
      <c r="C2331" s="14"/>
      <c r="D2331" s="13"/>
      <c r="E2331" s="15"/>
      <c r="F2331" s="15"/>
      <c r="G2331" s="15"/>
      <c r="H2331" s="14"/>
      <c r="I2331" s="16" t="str">
        <f aca="false">IF(OR(A2331="",C2331=""),"",IF(OR(H2331="İade",H2331="İptal"),0,E2331*IFERROR(INDEX(Kanallar!$B$5:$B$19,MATCH(C2331,Kanallar!$A$5:$A$19,0)),0)))</f>
        <v/>
      </c>
      <c r="J2331" s="16" t="str">
        <f aca="false">IF(I2331="","",IF(H2331="İptal",0,IF(H2331="İade",-G2331,E2331-I2331-F2331-G2331)))</f>
        <v/>
      </c>
    </row>
    <row r="2332" customFormat="false" ht="15" hidden="false" customHeight="false" outlineLevel="0" collapsed="false">
      <c r="A2332" s="12"/>
      <c r="B2332" s="13"/>
      <c r="C2332" s="14"/>
      <c r="D2332" s="13"/>
      <c r="E2332" s="15"/>
      <c r="F2332" s="15"/>
      <c r="G2332" s="15"/>
      <c r="H2332" s="14"/>
      <c r="I2332" s="16" t="str">
        <f aca="false">IF(OR(A2332="",C2332=""),"",IF(OR(H2332="İade",H2332="İptal"),0,E2332*IFERROR(INDEX(Kanallar!$B$5:$B$19,MATCH(C2332,Kanallar!$A$5:$A$19,0)),0)))</f>
        <v/>
      </c>
      <c r="J2332" s="16" t="str">
        <f aca="false">IF(I2332="","",IF(H2332="İptal",0,IF(H2332="İade",-G2332,E2332-I2332-F2332-G2332)))</f>
        <v/>
      </c>
    </row>
    <row r="2333" customFormat="false" ht="15" hidden="false" customHeight="false" outlineLevel="0" collapsed="false">
      <c r="A2333" s="12"/>
      <c r="B2333" s="13"/>
      <c r="C2333" s="14"/>
      <c r="D2333" s="13"/>
      <c r="E2333" s="15"/>
      <c r="F2333" s="15"/>
      <c r="G2333" s="15"/>
      <c r="H2333" s="14"/>
      <c r="I2333" s="16" t="str">
        <f aca="false">IF(OR(A2333="",C2333=""),"",IF(OR(H2333="İade",H2333="İptal"),0,E2333*IFERROR(INDEX(Kanallar!$B$5:$B$19,MATCH(C2333,Kanallar!$A$5:$A$19,0)),0)))</f>
        <v/>
      </c>
      <c r="J2333" s="16" t="str">
        <f aca="false">IF(I2333="","",IF(H2333="İptal",0,IF(H2333="İade",-G2333,E2333-I2333-F2333-G2333)))</f>
        <v/>
      </c>
    </row>
    <row r="2334" customFormat="false" ht="15" hidden="false" customHeight="false" outlineLevel="0" collapsed="false">
      <c r="A2334" s="12"/>
      <c r="B2334" s="13"/>
      <c r="C2334" s="14"/>
      <c r="D2334" s="13"/>
      <c r="E2334" s="15"/>
      <c r="F2334" s="15"/>
      <c r="G2334" s="15"/>
      <c r="H2334" s="14"/>
      <c r="I2334" s="16" t="str">
        <f aca="false">IF(OR(A2334="",C2334=""),"",IF(OR(H2334="İade",H2334="İptal"),0,E2334*IFERROR(INDEX(Kanallar!$B$5:$B$19,MATCH(C2334,Kanallar!$A$5:$A$19,0)),0)))</f>
        <v/>
      </c>
      <c r="J2334" s="16" t="str">
        <f aca="false">IF(I2334="","",IF(H2334="İptal",0,IF(H2334="İade",-G2334,E2334-I2334-F2334-G2334)))</f>
        <v/>
      </c>
    </row>
    <row r="2335" customFormat="false" ht="15" hidden="false" customHeight="false" outlineLevel="0" collapsed="false">
      <c r="A2335" s="12"/>
      <c r="B2335" s="13"/>
      <c r="C2335" s="14"/>
      <c r="D2335" s="13"/>
      <c r="E2335" s="15"/>
      <c r="F2335" s="15"/>
      <c r="G2335" s="15"/>
      <c r="H2335" s="14"/>
      <c r="I2335" s="16" t="str">
        <f aca="false">IF(OR(A2335="",C2335=""),"",IF(OR(H2335="İade",H2335="İptal"),0,E2335*IFERROR(INDEX(Kanallar!$B$5:$B$19,MATCH(C2335,Kanallar!$A$5:$A$19,0)),0)))</f>
        <v/>
      </c>
      <c r="J2335" s="16" t="str">
        <f aca="false">IF(I2335="","",IF(H2335="İptal",0,IF(H2335="İade",-G2335,E2335-I2335-F2335-G2335)))</f>
        <v/>
      </c>
    </row>
    <row r="2336" customFormat="false" ht="15" hidden="false" customHeight="false" outlineLevel="0" collapsed="false">
      <c r="A2336" s="12"/>
      <c r="B2336" s="13"/>
      <c r="C2336" s="14"/>
      <c r="D2336" s="13"/>
      <c r="E2336" s="15"/>
      <c r="F2336" s="15"/>
      <c r="G2336" s="15"/>
      <c r="H2336" s="14"/>
      <c r="I2336" s="16" t="str">
        <f aca="false">IF(OR(A2336="",C2336=""),"",IF(OR(H2336="İade",H2336="İptal"),0,E2336*IFERROR(INDEX(Kanallar!$B$5:$B$19,MATCH(C2336,Kanallar!$A$5:$A$19,0)),0)))</f>
        <v/>
      </c>
      <c r="J2336" s="16" t="str">
        <f aca="false">IF(I2336="","",IF(H2336="İptal",0,IF(H2336="İade",-G2336,E2336-I2336-F2336-G2336)))</f>
        <v/>
      </c>
    </row>
    <row r="2337" customFormat="false" ht="15" hidden="false" customHeight="false" outlineLevel="0" collapsed="false">
      <c r="A2337" s="12"/>
      <c r="B2337" s="13"/>
      <c r="C2337" s="14"/>
      <c r="D2337" s="13"/>
      <c r="E2337" s="15"/>
      <c r="F2337" s="15"/>
      <c r="G2337" s="15"/>
      <c r="H2337" s="14"/>
      <c r="I2337" s="16" t="str">
        <f aca="false">IF(OR(A2337="",C2337=""),"",IF(OR(H2337="İade",H2337="İptal"),0,E2337*IFERROR(INDEX(Kanallar!$B$5:$B$19,MATCH(C2337,Kanallar!$A$5:$A$19,0)),0)))</f>
        <v/>
      </c>
      <c r="J2337" s="16" t="str">
        <f aca="false">IF(I2337="","",IF(H2337="İptal",0,IF(H2337="İade",-G2337,E2337-I2337-F2337-G2337)))</f>
        <v/>
      </c>
    </row>
    <row r="2338" customFormat="false" ht="15" hidden="false" customHeight="false" outlineLevel="0" collapsed="false">
      <c r="A2338" s="12"/>
      <c r="B2338" s="13"/>
      <c r="C2338" s="14"/>
      <c r="D2338" s="13"/>
      <c r="E2338" s="15"/>
      <c r="F2338" s="15"/>
      <c r="G2338" s="15"/>
      <c r="H2338" s="14"/>
      <c r="I2338" s="16" t="str">
        <f aca="false">IF(OR(A2338="",C2338=""),"",IF(OR(H2338="İade",H2338="İptal"),0,E2338*IFERROR(INDEX(Kanallar!$B$5:$B$19,MATCH(C2338,Kanallar!$A$5:$A$19,0)),0)))</f>
        <v/>
      </c>
      <c r="J2338" s="16" t="str">
        <f aca="false">IF(I2338="","",IF(H2338="İptal",0,IF(H2338="İade",-G2338,E2338-I2338-F2338-G2338)))</f>
        <v/>
      </c>
    </row>
    <row r="2339" customFormat="false" ht="15" hidden="false" customHeight="false" outlineLevel="0" collapsed="false">
      <c r="A2339" s="12"/>
      <c r="B2339" s="13"/>
      <c r="C2339" s="14"/>
      <c r="D2339" s="13"/>
      <c r="E2339" s="15"/>
      <c r="F2339" s="15"/>
      <c r="G2339" s="15"/>
      <c r="H2339" s="14"/>
      <c r="I2339" s="16" t="str">
        <f aca="false">IF(OR(A2339="",C2339=""),"",IF(OR(H2339="İade",H2339="İptal"),0,E2339*IFERROR(INDEX(Kanallar!$B$5:$B$19,MATCH(C2339,Kanallar!$A$5:$A$19,0)),0)))</f>
        <v/>
      </c>
      <c r="J2339" s="16" t="str">
        <f aca="false">IF(I2339="","",IF(H2339="İptal",0,IF(H2339="İade",-G2339,E2339-I2339-F2339-G2339)))</f>
        <v/>
      </c>
    </row>
    <row r="2340" customFormat="false" ht="15" hidden="false" customHeight="false" outlineLevel="0" collapsed="false">
      <c r="A2340" s="12"/>
      <c r="B2340" s="13"/>
      <c r="C2340" s="14"/>
      <c r="D2340" s="13"/>
      <c r="E2340" s="15"/>
      <c r="F2340" s="15"/>
      <c r="G2340" s="15"/>
      <c r="H2340" s="14"/>
      <c r="I2340" s="16" t="str">
        <f aca="false">IF(OR(A2340="",C2340=""),"",IF(OR(H2340="İade",H2340="İptal"),0,E2340*IFERROR(INDEX(Kanallar!$B$5:$B$19,MATCH(C2340,Kanallar!$A$5:$A$19,0)),0)))</f>
        <v/>
      </c>
      <c r="J2340" s="16" t="str">
        <f aca="false">IF(I2340="","",IF(H2340="İptal",0,IF(H2340="İade",-G2340,E2340-I2340-F2340-G2340)))</f>
        <v/>
      </c>
    </row>
    <row r="2341" customFormat="false" ht="15" hidden="false" customHeight="false" outlineLevel="0" collapsed="false">
      <c r="A2341" s="12"/>
      <c r="B2341" s="13"/>
      <c r="C2341" s="14"/>
      <c r="D2341" s="13"/>
      <c r="E2341" s="15"/>
      <c r="F2341" s="15"/>
      <c r="G2341" s="15"/>
      <c r="H2341" s="14"/>
      <c r="I2341" s="16" t="str">
        <f aca="false">IF(OR(A2341="",C2341=""),"",IF(OR(H2341="İade",H2341="İptal"),0,E2341*IFERROR(INDEX(Kanallar!$B$5:$B$19,MATCH(C2341,Kanallar!$A$5:$A$19,0)),0)))</f>
        <v/>
      </c>
      <c r="J2341" s="16" t="str">
        <f aca="false">IF(I2341="","",IF(H2341="İptal",0,IF(H2341="İade",-G2341,E2341-I2341-F2341-G2341)))</f>
        <v/>
      </c>
    </row>
    <row r="2342" customFormat="false" ht="15" hidden="false" customHeight="false" outlineLevel="0" collapsed="false">
      <c r="A2342" s="12"/>
      <c r="B2342" s="13"/>
      <c r="C2342" s="14"/>
      <c r="D2342" s="13"/>
      <c r="E2342" s="15"/>
      <c r="F2342" s="15"/>
      <c r="G2342" s="15"/>
      <c r="H2342" s="14"/>
      <c r="I2342" s="16" t="str">
        <f aca="false">IF(OR(A2342="",C2342=""),"",IF(OR(H2342="İade",H2342="İptal"),0,E2342*IFERROR(INDEX(Kanallar!$B$5:$B$19,MATCH(C2342,Kanallar!$A$5:$A$19,0)),0)))</f>
        <v/>
      </c>
      <c r="J2342" s="16" t="str">
        <f aca="false">IF(I2342="","",IF(H2342="İptal",0,IF(H2342="İade",-G2342,E2342-I2342-F2342-G2342)))</f>
        <v/>
      </c>
    </row>
    <row r="2343" customFormat="false" ht="15" hidden="false" customHeight="false" outlineLevel="0" collapsed="false">
      <c r="A2343" s="12"/>
      <c r="B2343" s="13"/>
      <c r="C2343" s="14"/>
      <c r="D2343" s="13"/>
      <c r="E2343" s="15"/>
      <c r="F2343" s="15"/>
      <c r="G2343" s="15"/>
      <c r="H2343" s="14"/>
      <c r="I2343" s="16" t="str">
        <f aca="false">IF(OR(A2343="",C2343=""),"",IF(OR(H2343="İade",H2343="İptal"),0,E2343*IFERROR(INDEX(Kanallar!$B$5:$B$19,MATCH(C2343,Kanallar!$A$5:$A$19,0)),0)))</f>
        <v/>
      </c>
      <c r="J2343" s="16" t="str">
        <f aca="false">IF(I2343="","",IF(H2343="İptal",0,IF(H2343="İade",-G2343,E2343-I2343-F2343-G2343)))</f>
        <v/>
      </c>
    </row>
    <row r="2344" customFormat="false" ht="15" hidden="false" customHeight="false" outlineLevel="0" collapsed="false">
      <c r="A2344" s="12"/>
      <c r="B2344" s="13"/>
      <c r="C2344" s="14"/>
      <c r="D2344" s="13"/>
      <c r="E2344" s="15"/>
      <c r="F2344" s="15"/>
      <c r="G2344" s="15"/>
      <c r="H2344" s="14"/>
      <c r="I2344" s="16" t="str">
        <f aca="false">IF(OR(A2344="",C2344=""),"",IF(OR(H2344="İade",H2344="İptal"),0,E2344*IFERROR(INDEX(Kanallar!$B$5:$B$19,MATCH(C2344,Kanallar!$A$5:$A$19,0)),0)))</f>
        <v/>
      </c>
      <c r="J2344" s="16" t="str">
        <f aca="false">IF(I2344="","",IF(H2344="İptal",0,IF(H2344="İade",-G2344,E2344-I2344-F2344-G2344)))</f>
        <v/>
      </c>
    </row>
    <row r="2345" customFormat="false" ht="15" hidden="false" customHeight="false" outlineLevel="0" collapsed="false">
      <c r="A2345" s="12"/>
      <c r="B2345" s="13"/>
      <c r="C2345" s="14"/>
      <c r="D2345" s="13"/>
      <c r="E2345" s="15"/>
      <c r="F2345" s="15"/>
      <c r="G2345" s="15"/>
      <c r="H2345" s="14"/>
      <c r="I2345" s="16" t="str">
        <f aca="false">IF(OR(A2345="",C2345=""),"",IF(OR(H2345="İade",H2345="İptal"),0,E2345*IFERROR(INDEX(Kanallar!$B$5:$B$19,MATCH(C2345,Kanallar!$A$5:$A$19,0)),0)))</f>
        <v/>
      </c>
      <c r="J2345" s="16" t="str">
        <f aca="false">IF(I2345="","",IF(H2345="İptal",0,IF(H2345="İade",-G2345,E2345-I2345-F2345-G2345)))</f>
        <v/>
      </c>
    </row>
    <row r="2346" customFormat="false" ht="15" hidden="false" customHeight="false" outlineLevel="0" collapsed="false">
      <c r="A2346" s="12"/>
      <c r="B2346" s="13"/>
      <c r="C2346" s="14"/>
      <c r="D2346" s="13"/>
      <c r="E2346" s="15"/>
      <c r="F2346" s="15"/>
      <c r="G2346" s="15"/>
      <c r="H2346" s="14"/>
      <c r="I2346" s="16" t="str">
        <f aca="false">IF(OR(A2346="",C2346=""),"",IF(OR(H2346="İade",H2346="İptal"),0,E2346*IFERROR(INDEX(Kanallar!$B$5:$B$19,MATCH(C2346,Kanallar!$A$5:$A$19,0)),0)))</f>
        <v/>
      </c>
      <c r="J2346" s="16" t="str">
        <f aca="false">IF(I2346="","",IF(H2346="İptal",0,IF(H2346="İade",-G2346,E2346-I2346-F2346-G2346)))</f>
        <v/>
      </c>
    </row>
    <row r="2347" customFormat="false" ht="15" hidden="false" customHeight="false" outlineLevel="0" collapsed="false">
      <c r="A2347" s="12"/>
      <c r="B2347" s="13"/>
      <c r="C2347" s="14"/>
      <c r="D2347" s="13"/>
      <c r="E2347" s="15"/>
      <c r="F2347" s="15"/>
      <c r="G2347" s="15"/>
      <c r="H2347" s="14"/>
      <c r="I2347" s="16" t="str">
        <f aca="false">IF(OR(A2347="",C2347=""),"",IF(OR(H2347="İade",H2347="İptal"),0,E2347*IFERROR(INDEX(Kanallar!$B$5:$B$19,MATCH(C2347,Kanallar!$A$5:$A$19,0)),0)))</f>
        <v/>
      </c>
      <c r="J2347" s="16" t="str">
        <f aca="false">IF(I2347="","",IF(H2347="İptal",0,IF(H2347="İade",-G2347,E2347-I2347-F2347-G2347)))</f>
        <v/>
      </c>
    </row>
    <row r="2348" customFormat="false" ht="15" hidden="false" customHeight="false" outlineLevel="0" collapsed="false">
      <c r="A2348" s="12"/>
      <c r="B2348" s="13"/>
      <c r="C2348" s="14"/>
      <c r="D2348" s="13"/>
      <c r="E2348" s="15"/>
      <c r="F2348" s="15"/>
      <c r="G2348" s="15"/>
      <c r="H2348" s="14"/>
      <c r="I2348" s="16" t="str">
        <f aca="false">IF(OR(A2348="",C2348=""),"",IF(OR(H2348="İade",H2348="İptal"),0,E2348*IFERROR(INDEX(Kanallar!$B$5:$B$19,MATCH(C2348,Kanallar!$A$5:$A$19,0)),0)))</f>
        <v/>
      </c>
      <c r="J2348" s="16" t="str">
        <f aca="false">IF(I2348="","",IF(H2348="İptal",0,IF(H2348="İade",-G2348,E2348-I2348-F2348-G2348)))</f>
        <v/>
      </c>
    </row>
    <row r="2349" customFormat="false" ht="15" hidden="false" customHeight="false" outlineLevel="0" collapsed="false">
      <c r="A2349" s="12"/>
      <c r="B2349" s="13"/>
      <c r="C2349" s="14"/>
      <c r="D2349" s="13"/>
      <c r="E2349" s="15"/>
      <c r="F2349" s="15"/>
      <c r="G2349" s="15"/>
      <c r="H2349" s="14"/>
      <c r="I2349" s="16" t="str">
        <f aca="false">IF(OR(A2349="",C2349=""),"",IF(OR(H2349="İade",H2349="İptal"),0,E2349*IFERROR(INDEX(Kanallar!$B$5:$B$19,MATCH(C2349,Kanallar!$A$5:$A$19,0)),0)))</f>
        <v/>
      </c>
      <c r="J2349" s="16" t="str">
        <f aca="false">IF(I2349="","",IF(H2349="İptal",0,IF(H2349="İade",-G2349,E2349-I2349-F2349-G2349)))</f>
        <v/>
      </c>
    </row>
    <row r="2350" customFormat="false" ht="15" hidden="false" customHeight="false" outlineLevel="0" collapsed="false">
      <c r="A2350" s="12"/>
      <c r="B2350" s="13"/>
      <c r="C2350" s="14"/>
      <c r="D2350" s="13"/>
      <c r="E2350" s="15"/>
      <c r="F2350" s="15"/>
      <c r="G2350" s="15"/>
      <c r="H2350" s="14"/>
      <c r="I2350" s="16" t="str">
        <f aca="false">IF(OR(A2350="",C2350=""),"",IF(OR(H2350="İade",H2350="İptal"),0,E2350*IFERROR(INDEX(Kanallar!$B$5:$B$19,MATCH(C2350,Kanallar!$A$5:$A$19,0)),0)))</f>
        <v/>
      </c>
      <c r="J2350" s="16" t="str">
        <f aca="false">IF(I2350="","",IF(H2350="İptal",0,IF(H2350="İade",-G2350,E2350-I2350-F2350-G2350)))</f>
        <v/>
      </c>
    </row>
    <row r="2351" customFormat="false" ht="15" hidden="false" customHeight="false" outlineLevel="0" collapsed="false">
      <c r="A2351" s="12"/>
      <c r="B2351" s="13"/>
      <c r="C2351" s="14"/>
      <c r="D2351" s="13"/>
      <c r="E2351" s="15"/>
      <c r="F2351" s="15"/>
      <c r="G2351" s="15"/>
      <c r="H2351" s="14"/>
      <c r="I2351" s="16" t="str">
        <f aca="false">IF(OR(A2351="",C2351=""),"",IF(OR(H2351="İade",H2351="İptal"),0,E2351*IFERROR(INDEX(Kanallar!$B$5:$B$19,MATCH(C2351,Kanallar!$A$5:$A$19,0)),0)))</f>
        <v/>
      </c>
      <c r="J2351" s="16" t="str">
        <f aca="false">IF(I2351="","",IF(H2351="İptal",0,IF(H2351="İade",-G2351,E2351-I2351-F2351-G2351)))</f>
        <v/>
      </c>
    </row>
    <row r="2352" customFormat="false" ht="15" hidden="false" customHeight="false" outlineLevel="0" collapsed="false">
      <c r="A2352" s="12"/>
      <c r="B2352" s="13"/>
      <c r="C2352" s="14"/>
      <c r="D2352" s="13"/>
      <c r="E2352" s="15"/>
      <c r="F2352" s="15"/>
      <c r="G2352" s="15"/>
      <c r="H2352" s="14"/>
      <c r="I2352" s="16" t="str">
        <f aca="false">IF(OR(A2352="",C2352=""),"",IF(OR(H2352="İade",H2352="İptal"),0,E2352*IFERROR(INDEX(Kanallar!$B$5:$B$19,MATCH(C2352,Kanallar!$A$5:$A$19,0)),0)))</f>
        <v/>
      </c>
      <c r="J2352" s="16" t="str">
        <f aca="false">IF(I2352="","",IF(H2352="İptal",0,IF(H2352="İade",-G2352,E2352-I2352-F2352-G2352)))</f>
        <v/>
      </c>
    </row>
    <row r="2353" customFormat="false" ht="15" hidden="false" customHeight="false" outlineLevel="0" collapsed="false">
      <c r="A2353" s="12"/>
      <c r="B2353" s="13"/>
      <c r="C2353" s="14"/>
      <c r="D2353" s="13"/>
      <c r="E2353" s="15"/>
      <c r="F2353" s="15"/>
      <c r="G2353" s="15"/>
      <c r="H2353" s="14"/>
      <c r="I2353" s="16" t="str">
        <f aca="false">IF(OR(A2353="",C2353=""),"",IF(OR(H2353="İade",H2353="İptal"),0,E2353*IFERROR(INDEX(Kanallar!$B$5:$B$19,MATCH(C2353,Kanallar!$A$5:$A$19,0)),0)))</f>
        <v/>
      </c>
      <c r="J2353" s="16" t="str">
        <f aca="false">IF(I2353="","",IF(H2353="İptal",0,IF(H2353="İade",-G2353,E2353-I2353-F2353-G2353)))</f>
        <v/>
      </c>
    </row>
    <row r="2354" customFormat="false" ht="15" hidden="false" customHeight="false" outlineLevel="0" collapsed="false">
      <c r="A2354" s="12"/>
      <c r="B2354" s="13"/>
      <c r="C2354" s="14"/>
      <c r="D2354" s="13"/>
      <c r="E2354" s="15"/>
      <c r="F2354" s="15"/>
      <c r="G2354" s="15"/>
      <c r="H2354" s="14"/>
      <c r="I2354" s="16" t="str">
        <f aca="false">IF(OR(A2354="",C2354=""),"",IF(OR(H2354="İade",H2354="İptal"),0,E2354*IFERROR(INDEX(Kanallar!$B$5:$B$19,MATCH(C2354,Kanallar!$A$5:$A$19,0)),0)))</f>
        <v/>
      </c>
      <c r="J2354" s="16" t="str">
        <f aca="false">IF(I2354="","",IF(H2354="İptal",0,IF(H2354="İade",-G2354,E2354-I2354-F2354-G2354)))</f>
        <v/>
      </c>
    </row>
    <row r="2355" customFormat="false" ht="15" hidden="false" customHeight="false" outlineLevel="0" collapsed="false">
      <c r="A2355" s="12"/>
      <c r="B2355" s="13"/>
      <c r="C2355" s="14"/>
      <c r="D2355" s="13"/>
      <c r="E2355" s="15"/>
      <c r="F2355" s="15"/>
      <c r="G2355" s="15"/>
      <c r="H2355" s="14"/>
      <c r="I2355" s="16" t="str">
        <f aca="false">IF(OR(A2355="",C2355=""),"",IF(OR(H2355="İade",H2355="İptal"),0,E2355*IFERROR(INDEX(Kanallar!$B$5:$B$19,MATCH(C2355,Kanallar!$A$5:$A$19,0)),0)))</f>
        <v/>
      </c>
      <c r="J2355" s="16" t="str">
        <f aca="false">IF(I2355="","",IF(H2355="İptal",0,IF(H2355="İade",-G2355,E2355-I2355-F2355-G2355)))</f>
        <v/>
      </c>
    </row>
    <row r="2356" customFormat="false" ht="15" hidden="false" customHeight="false" outlineLevel="0" collapsed="false">
      <c r="A2356" s="12"/>
      <c r="B2356" s="13"/>
      <c r="C2356" s="14"/>
      <c r="D2356" s="13"/>
      <c r="E2356" s="15"/>
      <c r="F2356" s="15"/>
      <c r="G2356" s="15"/>
      <c r="H2356" s="14"/>
      <c r="I2356" s="16" t="str">
        <f aca="false">IF(OR(A2356="",C2356=""),"",IF(OR(H2356="İade",H2356="İptal"),0,E2356*IFERROR(INDEX(Kanallar!$B$5:$B$19,MATCH(C2356,Kanallar!$A$5:$A$19,0)),0)))</f>
        <v/>
      </c>
      <c r="J2356" s="16" t="str">
        <f aca="false">IF(I2356="","",IF(H2356="İptal",0,IF(H2356="İade",-G2356,E2356-I2356-F2356-G2356)))</f>
        <v/>
      </c>
    </row>
    <row r="2357" customFormat="false" ht="15" hidden="false" customHeight="false" outlineLevel="0" collapsed="false">
      <c r="A2357" s="12"/>
      <c r="B2357" s="13"/>
      <c r="C2357" s="14"/>
      <c r="D2357" s="13"/>
      <c r="E2357" s="15"/>
      <c r="F2357" s="15"/>
      <c r="G2357" s="15"/>
      <c r="H2357" s="14"/>
      <c r="I2357" s="16" t="str">
        <f aca="false">IF(OR(A2357="",C2357=""),"",IF(OR(H2357="İade",H2357="İptal"),0,E2357*IFERROR(INDEX(Kanallar!$B$5:$B$19,MATCH(C2357,Kanallar!$A$5:$A$19,0)),0)))</f>
        <v/>
      </c>
      <c r="J2357" s="16" t="str">
        <f aca="false">IF(I2357="","",IF(H2357="İptal",0,IF(H2357="İade",-G2357,E2357-I2357-F2357-G2357)))</f>
        <v/>
      </c>
    </row>
    <row r="2358" customFormat="false" ht="15" hidden="false" customHeight="false" outlineLevel="0" collapsed="false">
      <c r="A2358" s="12"/>
      <c r="B2358" s="13"/>
      <c r="C2358" s="14"/>
      <c r="D2358" s="13"/>
      <c r="E2358" s="15"/>
      <c r="F2358" s="15"/>
      <c r="G2358" s="15"/>
      <c r="H2358" s="14"/>
      <c r="I2358" s="16" t="str">
        <f aca="false">IF(OR(A2358="",C2358=""),"",IF(OR(H2358="İade",H2358="İptal"),0,E2358*IFERROR(INDEX(Kanallar!$B$5:$B$19,MATCH(C2358,Kanallar!$A$5:$A$19,0)),0)))</f>
        <v/>
      </c>
      <c r="J2358" s="16" t="str">
        <f aca="false">IF(I2358="","",IF(H2358="İptal",0,IF(H2358="İade",-G2358,E2358-I2358-F2358-G2358)))</f>
        <v/>
      </c>
    </row>
    <row r="2359" customFormat="false" ht="15" hidden="false" customHeight="false" outlineLevel="0" collapsed="false">
      <c r="A2359" s="12"/>
      <c r="B2359" s="13"/>
      <c r="C2359" s="14"/>
      <c r="D2359" s="13"/>
      <c r="E2359" s="15"/>
      <c r="F2359" s="15"/>
      <c r="G2359" s="15"/>
      <c r="H2359" s="14"/>
      <c r="I2359" s="16" t="str">
        <f aca="false">IF(OR(A2359="",C2359=""),"",IF(OR(H2359="İade",H2359="İptal"),0,E2359*IFERROR(INDEX(Kanallar!$B$5:$B$19,MATCH(C2359,Kanallar!$A$5:$A$19,0)),0)))</f>
        <v/>
      </c>
      <c r="J2359" s="16" t="str">
        <f aca="false">IF(I2359="","",IF(H2359="İptal",0,IF(H2359="İade",-G2359,E2359-I2359-F2359-G2359)))</f>
        <v/>
      </c>
    </row>
    <row r="2360" customFormat="false" ht="15" hidden="false" customHeight="false" outlineLevel="0" collapsed="false">
      <c r="A2360" s="12"/>
      <c r="B2360" s="13"/>
      <c r="C2360" s="14"/>
      <c r="D2360" s="13"/>
      <c r="E2360" s="15"/>
      <c r="F2360" s="15"/>
      <c r="G2360" s="15"/>
      <c r="H2360" s="14"/>
      <c r="I2360" s="16" t="str">
        <f aca="false">IF(OR(A2360="",C2360=""),"",IF(OR(H2360="İade",H2360="İptal"),0,E2360*IFERROR(INDEX(Kanallar!$B$5:$B$19,MATCH(C2360,Kanallar!$A$5:$A$19,0)),0)))</f>
        <v/>
      </c>
      <c r="J2360" s="16" t="str">
        <f aca="false">IF(I2360="","",IF(H2360="İptal",0,IF(H2360="İade",-G2360,E2360-I2360-F2360-G2360)))</f>
        <v/>
      </c>
    </row>
    <row r="2361" customFormat="false" ht="15" hidden="false" customHeight="false" outlineLevel="0" collapsed="false">
      <c r="A2361" s="12"/>
      <c r="B2361" s="13"/>
      <c r="C2361" s="14"/>
      <c r="D2361" s="13"/>
      <c r="E2361" s="15"/>
      <c r="F2361" s="15"/>
      <c r="G2361" s="15"/>
      <c r="H2361" s="14"/>
      <c r="I2361" s="16" t="str">
        <f aca="false">IF(OR(A2361="",C2361=""),"",IF(OR(H2361="İade",H2361="İptal"),0,E2361*IFERROR(INDEX(Kanallar!$B$5:$B$19,MATCH(C2361,Kanallar!$A$5:$A$19,0)),0)))</f>
        <v/>
      </c>
      <c r="J2361" s="16" t="str">
        <f aca="false">IF(I2361="","",IF(H2361="İptal",0,IF(H2361="İade",-G2361,E2361-I2361-F2361-G2361)))</f>
        <v/>
      </c>
    </row>
    <row r="2362" customFormat="false" ht="15" hidden="false" customHeight="false" outlineLevel="0" collapsed="false">
      <c r="A2362" s="12"/>
      <c r="B2362" s="13"/>
      <c r="C2362" s="14"/>
      <c r="D2362" s="13"/>
      <c r="E2362" s="15"/>
      <c r="F2362" s="15"/>
      <c r="G2362" s="15"/>
      <c r="H2362" s="14"/>
      <c r="I2362" s="16" t="str">
        <f aca="false">IF(OR(A2362="",C2362=""),"",IF(OR(H2362="İade",H2362="İptal"),0,E2362*IFERROR(INDEX(Kanallar!$B$5:$B$19,MATCH(C2362,Kanallar!$A$5:$A$19,0)),0)))</f>
        <v/>
      </c>
      <c r="J2362" s="16" t="str">
        <f aca="false">IF(I2362="","",IF(H2362="İptal",0,IF(H2362="İade",-G2362,E2362-I2362-F2362-G2362)))</f>
        <v/>
      </c>
    </row>
    <row r="2363" customFormat="false" ht="15" hidden="false" customHeight="false" outlineLevel="0" collapsed="false">
      <c r="A2363" s="12"/>
      <c r="B2363" s="13"/>
      <c r="C2363" s="14"/>
      <c r="D2363" s="13"/>
      <c r="E2363" s="15"/>
      <c r="F2363" s="15"/>
      <c r="G2363" s="15"/>
      <c r="H2363" s="14"/>
      <c r="I2363" s="16" t="str">
        <f aca="false">IF(OR(A2363="",C2363=""),"",IF(OR(H2363="İade",H2363="İptal"),0,E2363*IFERROR(INDEX(Kanallar!$B$5:$B$19,MATCH(C2363,Kanallar!$A$5:$A$19,0)),0)))</f>
        <v/>
      </c>
      <c r="J2363" s="16" t="str">
        <f aca="false">IF(I2363="","",IF(H2363="İptal",0,IF(H2363="İade",-G2363,E2363-I2363-F2363-G2363)))</f>
        <v/>
      </c>
    </row>
    <row r="2364" customFormat="false" ht="15" hidden="false" customHeight="false" outlineLevel="0" collapsed="false">
      <c r="A2364" s="12"/>
      <c r="B2364" s="13"/>
      <c r="C2364" s="14"/>
      <c r="D2364" s="13"/>
      <c r="E2364" s="15"/>
      <c r="F2364" s="15"/>
      <c r="G2364" s="15"/>
      <c r="H2364" s="14"/>
      <c r="I2364" s="16" t="str">
        <f aca="false">IF(OR(A2364="",C2364=""),"",IF(OR(H2364="İade",H2364="İptal"),0,E2364*IFERROR(INDEX(Kanallar!$B$5:$B$19,MATCH(C2364,Kanallar!$A$5:$A$19,0)),0)))</f>
        <v/>
      </c>
      <c r="J2364" s="16" t="str">
        <f aca="false">IF(I2364="","",IF(H2364="İptal",0,IF(H2364="İade",-G2364,E2364-I2364-F2364-G2364)))</f>
        <v/>
      </c>
    </row>
    <row r="2365" customFormat="false" ht="15" hidden="false" customHeight="false" outlineLevel="0" collapsed="false">
      <c r="A2365" s="12"/>
      <c r="B2365" s="13"/>
      <c r="C2365" s="14"/>
      <c r="D2365" s="13"/>
      <c r="E2365" s="15"/>
      <c r="F2365" s="15"/>
      <c r="G2365" s="15"/>
      <c r="H2365" s="14"/>
      <c r="I2365" s="16" t="str">
        <f aca="false">IF(OR(A2365="",C2365=""),"",IF(OR(H2365="İade",H2365="İptal"),0,E2365*IFERROR(INDEX(Kanallar!$B$5:$B$19,MATCH(C2365,Kanallar!$A$5:$A$19,0)),0)))</f>
        <v/>
      </c>
      <c r="J2365" s="16" t="str">
        <f aca="false">IF(I2365="","",IF(H2365="İptal",0,IF(H2365="İade",-G2365,E2365-I2365-F2365-G2365)))</f>
        <v/>
      </c>
    </row>
    <row r="2366" customFormat="false" ht="15" hidden="false" customHeight="false" outlineLevel="0" collapsed="false">
      <c r="A2366" s="12"/>
      <c r="B2366" s="13"/>
      <c r="C2366" s="14"/>
      <c r="D2366" s="13"/>
      <c r="E2366" s="15"/>
      <c r="F2366" s="15"/>
      <c r="G2366" s="15"/>
      <c r="H2366" s="14"/>
      <c r="I2366" s="16" t="str">
        <f aca="false">IF(OR(A2366="",C2366=""),"",IF(OR(H2366="İade",H2366="İptal"),0,E2366*IFERROR(INDEX(Kanallar!$B$5:$B$19,MATCH(C2366,Kanallar!$A$5:$A$19,0)),0)))</f>
        <v/>
      </c>
      <c r="J2366" s="16" t="str">
        <f aca="false">IF(I2366="","",IF(H2366="İptal",0,IF(H2366="İade",-G2366,E2366-I2366-F2366-G2366)))</f>
        <v/>
      </c>
    </row>
    <row r="2367" customFormat="false" ht="15" hidden="false" customHeight="false" outlineLevel="0" collapsed="false">
      <c r="A2367" s="12"/>
      <c r="B2367" s="13"/>
      <c r="C2367" s="14"/>
      <c r="D2367" s="13"/>
      <c r="E2367" s="15"/>
      <c r="F2367" s="15"/>
      <c r="G2367" s="15"/>
      <c r="H2367" s="14"/>
      <c r="I2367" s="16" t="str">
        <f aca="false">IF(OR(A2367="",C2367=""),"",IF(OR(H2367="İade",H2367="İptal"),0,E2367*IFERROR(INDEX(Kanallar!$B$5:$B$19,MATCH(C2367,Kanallar!$A$5:$A$19,0)),0)))</f>
        <v/>
      </c>
      <c r="J2367" s="16" t="str">
        <f aca="false">IF(I2367="","",IF(H2367="İptal",0,IF(H2367="İade",-G2367,E2367-I2367-F2367-G2367)))</f>
        <v/>
      </c>
    </row>
    <row r="2368" customFormat="false" ht="15" hidden="false" customHeight="false" outlineLevel="0" collapsed="false">
      <c r="A2368" s="12"/>
      <c r="B2368" s="13"/>
      <c r="C2368" s="14"/>
      <c r="D2368" s="13"/>
      <c r="E2368" s="15"/>
      <c r="F2368" s="15"/>
      <c r="G2368" s="15"/>
      <c r="H2368" s="14"/>
      <c r="I2368" s="16" t="str">
        <f aca="false">IF(OR(A2368="",C2368=""),"",IF(OR(H2368="İade",H2368="İptal"),0,E2368*IFERROR(INDEX(Kanallar!$B$5:$B$19,MATCH(C2368,Kanallar!$A$5:$A$19,0)),0)))</f>
        <v/>
      </c>
      <c r="J2368" s="16" t="str">
        <f aca="false">IF(I2368="","",IF(H2368="İptal",0,IF(H2368="İade",-G2368,E2368-I2368-F2368-G2368)))</f>
        <v/>
      </c>
    </row>
    <row r="2369" customFormat="false" ht="15" hidden="false" customHeight="false" outlineLevel="0" collapsed="false">
      <c r="A2369" s="12"/>
      <c r="B2369" s="13"/>
      <c r="C2369" s="14"/>
      <c r="D2369" s="13"/>
      <c r="E2369" s="15"/>
      <c r="F2369" s="15"/>
      <c r="G2369" s="15"/>
      <c r="H2369" s="14"/>
      <c r="I2369" s="16" t="str">
        <f aca="false">IF(OR(A2369="",C2369=""),"",IF(OR(H2369="İade",H2369="İptal"),0,E2369*IFERROR(INDEX(Kanallar!$B$5:$B$19,MATCH(C2369,Kanallar!$A$5:$A$19,0)),0)))</f>
        <v/>
      </c>
      <c r="J2369" s="16" t="str">
        <f aca="false">IF(I2369="","",IF(H2369="İptal",0,IF(H2369="İade",-G2369,E2369-I2369-F2369-G2369)))</f>
        <v/>
      </c>
    </row>
    <row r="2370" customFormat="false" ht="15" hidden="false" customHeight="false" outlineLevel="0" collapsed="false">
      <c r="A2370" s="12"/>
      <c r="B2370" s="13"/>
      <c r="C2370" s="14"/>
      <c r="D2370" s="13"/>
      <c r="E2370" s="15"/>
      <c r="F2370" s="15"/>
      <c r="G2370" s="15"/>
      <c r="H2370" s="14"/>
      <c r="I2370" s="16" t="str">
        <f aca="false">IF(OR(A2370="",C2370=""),"",IF(OR(H2370="İade",H2370="İptal"),0,E2370*IFERROR(INDEX(Kanallar!$B$5:$B$19,MATCH(C2370,Kanallar!$A$5:$A$19,0)),0)))</f>
        <v/>
      </c>
      <c r="J2370" s="16" t="str">
        <f aca="false">IF(I2370="","",IF(H2370="İptal",0,IF(H2370="İade",-G2370,E2370-I2370-F2370-G2370)))</f>
        <v/>
      </c>
    </row>
    <row r="2371" customFormat="false" ht="15" hidden="false" customHeight="false" outlineLevel="0" collapsed="false">
      <c r="A2371" s="12"/>
      <c r="B2371" s="13"/>
      <c r="C2371" s="14"/>
      <c r="D2371" s="13"/>
      <c r="E2371" s="15"/>
      <c r="F2371" s="15"/>
      <c r="G2371" s="15"/>
      <c r="H2371" s="14"/>
      <c r="I2371" s="16" t="str">
        <f aca="false">IF(OR(A2371="",C2371=""),"",IF(OR(H2371="İade",H2371="İptal"),0,E2371*IFERROR(INDEX(Kanallar!$B$5:$B$19,MATCH(C2371,Kanallar!$A$5:$A$19,0)),0)))</f>
        <v/>
      </c>
      <c r="J2371" s="16" t="str">
        <f aca="false">IF(I2371="","",IF(H2371="İptal",0,IF(H2371="İade",-G2371,E2371-I2371-F2371-G2371)))</f>
        <v/>
      </c>
    </row>
    <row r="2372" customFormat="false" ht="15" hidden="false" customHeight="false" outlineLevel="0" collapsed="false">
      <c r="A2372" s="12"/>
      <c r="B2372" s="13"/>
      <c r="C2372" s="14"/>
      <c r="D2372" s="13"/>
      <c r="E2372" s="15"/>
      <c r="F2372" s="15"/>
      <c r="G2372" s="15"/>
      <c r="H2372" s="14"/>
      <c r="I2372" s="16" t="str">
        <f aca="false">IF(OR(A2372="",C2372=""),"",IF(OR(H2372="İade",H2372="İptal"),0,E2372*IFERROR(INDEX(Kanallar!$B$5:$B$19,MATCH(C2372,Kanallar!$A$5:$A$19,0)),0)))</f>
        <v/>
      </c>
      <c r="J2372" s="16" t="str">
        <f aca="false">IF(I2372="","",IF(H2372="İptal",0,IF(H2372="İade",-G2372,E2372-I2372-F2372-G2372)))</f>
        <v/>
      </c>
    </row>
    <row r="2373" customFormat="false" ht="15" hidden="false" customHeight="false" outlineLevel="0" collapsed="false">
      <c r="A2373" s="12"/>
      <c r="B2373" s="13"/>
      <c r="C2373" s="14"/>
      <c r="D2373" s="13"/>
      <c r="E2373" s="15"/>
      <c r="F2373" s="15"/>
      <c r="G2373" s="15"/>
      <c r="H2373" s="14"/>
      <c r="I2373" s="16" t="str">
        <f aca="false">IF(OR(A2373="",C2373=""),"",IF(OR(H2373="İade",H2373="İptal"),0,E2373*IFERROR(INDEX(Kanallar!$B$5:$B$19,MATCH(C2373,Kanallar!$A$5:$A$19,0)),0)))</f>
        <v/>
      </c>
      <c r="J2373" s="16" t="str">
        <f aca="false">IF(I2373="","",IF(H2373="İptal",0,IF(H2373="İade",-G2373,E2373-I2373-F2373-G2373)))</f>
        <v/>
      </c>
    </row>
    <row r="2374" customFormat="false" ht="15" hidden="false" customHeight="false" outlineLevel="0" collapsed="false">
      <c r="A2374" s="12"/>
      <c r="B2374" s="13"/>
      <c r="C2374" s="14"/>
      <c r="D2374" s="13"/>
      <c r="E2374" s="15"/>
      <c r="F2374" s="15"/>
      <c r="G2374" s="15"/>
      <c r="H2374" s="14"/>
      <c r="I2374" s="16" t="str">
        <f aca="false">IF(OR(A2374="",C2374=""),"",IF(OR(H2374="İade",H2374="İptal"),0,E2374*IFERROR(INDEX(Kanallar!$B$5:$B$19,MATCH(C2374,Kanallar!$A$5:$A$19,0)),0)))</f>
        <v/>
      </c>
      <c r="J2374" s="16" t="str">
        <f aca="false">IF(I2374="","",IF(H2374="İptal",0,IF(H2374="İade",-G2374,E2374-I2374-F2374-G2374)))</f>
        <v/>
      </c>
    </row>
    <row r="2375" customFormat="false" ht="15" hidden="false" customHeight="false" outlineLevel="0" collapsed="false">
      <c r="A2375" s="12"/>
      <c r="B2375" s="13"/>
      <c r="C2375" s="14"/>
      <c r="D2375" s="13"/>
      <c r="E2375" s="15"/>
      <c r="F2375" s="15"/>
      <c r="G2375" s="15"/>
      <c r="H2375" s="14"/>
      <c r="I2375" s="16" t="str">
        <f aca="false">IF(OR(A2375="",C2375=""),"",IF(OR(H2375="İade",H2375="İptal"),0,E2375*IFERROR(INDEX(Kanallar!$B$5:$B$19,MATCH(C2375,Kanallar!$A$5:$A$19,0)),0)))</f>
        <v/>
      </c>
      <c r="J2375" s="16" t="str">
        <f aca="false">IF(I2375="","",IF(H2375="İptal",0,IF(H2375="İade",-G2375,E2375-I2375-F2375-G2375)))</f>
        <v/>
      </c>
    </row>
    <row r="2376" customFormat="false" ht="15" hidden="false" customHeight="false" outlineLevel="0" collapsed="false">
      <c r="A2376" s="12"/>
      <c r="B2376" s="13"/>
      <c r="C2376" s="14"/>
      <c r="D2376" s="13"/>
      <c r="E2376" s="15"/>
      <c r="F2376" s="15"/>
      <c r="G2376" s="15"/>
      <c r="H2376" s="14"/>
      <c r="I2376" s="16" t="str">
        <f aca="false">IF(OR(A2376="",C2376=""),"",IF(OR(H2376="İade",H2376="İptal"),0,E2376*IFERROR(INDEX(Kanallar!$B$5:$B$19,MATCH(C2376,Kanallar!$A$5:$A$19,0)),0)))</f>
        <v/>
      </c>
      <c r="J2376" s="16" t="str">
        <f aca="false">IF(I2376="","",IF(H2376="İptal",0,IF(H2376="İade",-G2376,E2376-I2376-F2376-G2376)))</f>
        <v/>
      </c>
    </row>
    <row r="2377" customFormat="false" ht="15" hidden="false" customHeight="false" outlineLevel="0" collapsed="false">
      <c r="A2377" s="12"/>
      <c r="B2377" s="13"/>
      <c r="C2377" s="14"/>
      <c r="D2377" s="13"/>
      <c r="E2377" s="15"/>
      <c r="F2377" s="15"/>
      <c r="G2377" s="15"/>
      <c r="H2377" s="14"/>
      <c r="I2377" s="16" t="str">
        <f aca="false">IF(OR(A2377="",C2377=""),"",IF(OR(H2377="İade",H2377="İptal"),0,E2377*IFERROR(INDEX(Kanallar!$B$5:$B$19,MATCH(C2377,Kanallar!$A$5:$A$19,0)),0)))</f>
        <v/>
      </c>
      <c r="J2377" s="16" t="str">
        <f aca="false">IF(I2377="","",IF(H2377="İptal",0,IF(H2377="İade",-G2377,E2377-I2377-F2377-G2377)))</f>
        <v/>
      </c>
    </row>
    <row r="2378" customFormat="false" ht="15" hidden="false" customHeight="false" outlineLevel="0" collapsed="false">
      <c r="A2378" s="12"/>
      <c r="B2378" s="13"/>
      <c r="C2378" s="14"/>
      <c r="D2378" s="13"/>
      <c r="E2378" s="15"/>
      <c r="F2378" s="15"/>
      <c r="G2378" s="15"/>
      <c r="H2378" s="14"/>
      <c r="I2378" s="16" t="str">
        <f aca="false">IF(OR(A2378="",C2378=""),"",IF(OR(H2378="İade",H2378="İptal"),0,E2378*IFERROR(INDEX(Kanallar!$B$5:$B$19,MATCH(C2378,Kanallar!$A$5:$A$19,0)),0)))</f>
        <v/>
      </c>
      <c r="J2378" s="16" t="str">
        <f aca="false">IF(I2378="","",IF(H2378="İptal",0,IF(H2378="İade",-G2378,E2378-I2378-F2378-G2378)))</f>
        <v/>
      </c>
    </row>
    <row r="2379" customFormat="false" ht="15" hidden="false" customHeight="false" outlineLevel="0" collapsed="false">
      <c r="A2379" s="12"/>
      <c r="B2379" s="13"/>
      <c r="C2379" s="14"/>
      <c r="D2379" s="13"/>
      <c r="E2379" s="15"/>
      <c r="F2379" s="15"/>
      <c r="G2379" s="15"/>
      <c r="H2379" s="14"/>
      <c r="I2379" s="16" t="str">
        <f aca="false">IF(OR(A2379="",C2379=""),"",IF(OR(H2379="İade",H2379="İptal"),0,E2379*IFERROR(INDEX(Kanallar!$B$5:$B$19,MATCH(C2379,Kanallar!$A$5:$A$19,0)),0)))</f>
        <v/>
      </c>
      <c r="J2379" s="16" t="str">
        <f aca="false">IF(I2379="","",IF(H2379="İptal",0,IF(H2379="İade",-G2379,E2379-I2379-F2379-G2379)))</f>
        <v/>
      </c>
    </row>
    <row r="2380" customFormat="false" ht="15" hidden="false" customHeight="false" outlineLevel="0" collapsed="false">
      <c r="A2380" s="12"/>
      <c r="B2380" s="13"/>
      <c r="C2380" s="14"/>
      <c r="D2380" s="13"/>
      <c r="E2380" s="15"/>
      <c r="F2380" s="15"/>
      <c r="G2380" s="15"/>
      <c r="H2380" s="14"/>
      <c r="I2380" s="16" t="str">
        <f aca="false">IF(OR(A2380="",C2380=""),"",IF(OR(H2380="İade",H2380="İptal"),0,E2380*IFERROR(INDEX(Kanallar!$B$5:$B$19,MATCH(C2380,Kanallar!$A$5:$A$19,0)),0)))</f>
        <v/>
      </c>
      <c r="J2380" s="16" t="str">
        <f aca="false">IF(I2380="","",IF(H2380="İptal",0,IF(H2380="İade",-G2380,E2380-I2380-F2380-G2380)))</f>
        <v/>
      </c>
    </row>
    <row r="2381" customFormat="false" ht="15" hidden="false" customHeight="false" outlineLevel="0" collapsed="false">
      <c r="A2381" s="12"/>
      <c r="B2381" s="13"/>
      <c r="C2381" s="14"/>
      <c r="D2381" s="13"/>
      <c r="E2381" s="15"/>
      <c r="F2381" s="15"/>
      <c r="G2381" s="15"/>
      <c r="H2381" s="14"/>
      <c r="I2381" s="16" t="str">
        <f aca="false">IF(OR(A2381="",C2381=""),"",IF(OR(H2381="İade",H2381="İptal"),0,E2381*IFERROR(INDEX(Kanallar!$B$5:$B$19,MATCH(C2381,Kanallar!$A$5:$A$19,0)),0)))</f>
        <v/>
      </c>
      <c r="J2381" s="16" t="str">
        <f aca="false">IF(I2381="","",IF(H2381="İptal",0,IF(H2381="İade",-G2381,E2381-I2381-F2381-G2381)))</f>
        <v/>
      </c>
    </row>
    <row r="2382" customFormat="false" ht="15" hidden="false" customHeight="false" outlineLevel="0" collapsed="false">
      <c r="A2382" s="12"/>
      <c r="B2382" s="13"/>
      <c r="C2382" s="14"/>
      <c r="D2382" s="13"/>
      <c r="E2382" s="15"/>
      <c r="F2382" s="15"/>
      <c r="G2382" s="15"/>
      <c r="H2382" s="14"/>
      <c r="I2382" s="16" t="str">
        <f aca="false">IF(OR(A2382="",C2382=""),"",IF(OR(H2382="İade",H2382="İptal"),0,E2382*IFERROR(INDEX(Kanallar!$B$5:$B$19,MATCH(C2382,Kanallar!$A$5:$A$19,0)),0)))</f>
        <v/>
      </c>
      <c r="J2382" s="16" t="str">
        <f aca="false">IF(I2382="","",IF(H2382="İptal",0,IF(H2382="İade",-G2382,E2382-I2382-F2382-G2382)))</f>
        <v/>
      </c>
    </row>
    <row r="2383" customFormat="false" ht="15" hidden="false" customHeight="false" outlineLevel="0" collapsed="false">
      <c r="A2383" s="12"/>
      <c r="B2383" s="13"/>
      <c r="C2383" s="14"/>
      <c r="D2383" s="13"/>
      <c r="E2383" s="15"/>
      <c r="F2383" s="15"/>
      <c r="G2383" s="15"/>
      <c r="H2383" s="14"/>
      <c r="I2383" s="16" t="str">
        <f aca="false">IF(OR(A2383="",C2383=""),"",IF(OR(H2383="İade",H2383="İptal"),0,E2383*IFERROR(INDEX(Kanallar!$B$5:$B$19,MATCH(C2383,Kanallar!$A$5:$A$19,0)),0)))</f>
        <v/>
      </c>
      <c r="J2383" s="16" t="str">
        <f aca="false">IF(I2383="","",IF(H2383="İptal",0,IF(H2383="İade",-G2383,E2383-I2383-F2383-G2383)))</f>
        <v/>
      </c>
    </row>
    <row r="2384" customFormat="false" ht="15" hidden="false" customHeight="false" outlineLevel="0" collapsed="false">
      <c r="A2384" s="12"/>
      <c r="B2384" s="13"/>
      <c r="C2384" s="14"/>
      <c r="D2384" s="13"/>
      <c r="E2384" s="15"/>
      <c r="F2384" s="15"/>
      <c r="G2384" s="15"/>
      <c r="H2384" s="14"/>
      <c r="I2384" s="16" t="str">
        <f aca="false">IF(OR(A2384="",C2384=""),"",IF(OR(H2384="İade",H2384="İptal"),0,E2384*IFERROR(INDEX(Kanallar!$B$5:$B$19,MATCH(C2384,Kanallar!$A$5:$A$19,0)),0)))</f>
        <v/>
      </c>
      <c r="J2384" s="16" t="str">
        <f aca="false">IF(I2384="","",IF(H2384="İptal",0,IF(H2384="İade",-G2384,E2384-I2384-F2384-G2384)))</f>
        <v/>
      </c>
    </row>
    <row r="2385" customFormat="false" ht="15" hidden="false" customHeight="false" outlineLevel="0" collapsed="false">
      <c r="A2385" s="12"/>
      <c r="B2385" s="13"/>
      <c r="C2385" s="14"/>
      <c r="D2385" s="13"/>
      <c r="E2385" s="15"/>
      <c r="F2385" s="15"/>
      <c r="G2385" s="15"/>
      <c r="H2385" s="14"/>
      <c r="I2385" s="16" t="str">
        <f aca="false">IF(OR(A2385="",C2385=""),"",IF(OR(H2385="İade",H2385="İptal"),0,E2385*IFERROR(INDEX(Kanallar!$B$5:$B$19,MATCH(C2385,Kanallar!$A$5:$A$19,0)),0)))</f>
        <v/>
      </c>
      <c r="J2385" s="16" t="str">
        <f aca="false">IF(I2385="","",IF(H2385="İptal",0,IF(H2385="İade",-G2385,E2385-I2385-F2385-G2385)))</f>
        <v/>
      </c>
    </row>
    <row r="2386" customFormat="false" ht="15" hidden="false" customHeight="false" outlineLevel="0" collapsed="false">
      <c r="A2386" s="12"/>
      <c r="B2386" s="13"/>
      <c r="C2386" s="14"/>
      <c r="D2386" s="13"/>
      <c r="E2386" s="15"/>
      <c r="F2386" s="15"/>
      <c r="G2386" s="15"/>
      <c r="H2386" s="14"/>
      <c r="I2386" s="16" t="str">
        <f aca="false">IF(OR(A2386="",C2386=""),"",IF(OR(H2386="İade",H2386="İptal"),0,E2386*IFERROR(INDEX(Kanallar!$B$5:$B$19,MATCH(C2386,Kanallar!$A$5:$A$19,0)),0)))</f>
        <v/>
      </c>
      <c r="J2386" s="16" t="str">
        <f aca="false">IF(I2386="","",IF(H2386="İptal",0,IF(H2386="İade",-G2386,E2386-I2386-F2386-G2386)))</f>
        <v/>
      </c>
    </row>
    <row r="2387" customFormat="false" ht="15" hidden="false" customHeight="false" outlineLevel="0" collapsed="false">
      <c r="A2387" s="12"/>
      <c r="B2387" s="13"/>
      <c r="C2387" s="14"/>
      <c r="D2387" s="13"/>
      <c r="E2387" s="15"/>
      <c r="F2387" s="15"/>
      <c r="G2387" s="15"/>
      <c r="H2387" s="14"/>
      <c r="I2387" s="16" t="str">
        <f aca="false">IF(OR(A2387="",C2387=""),"",IF(OR(H2387="İade",H2387="İptal"),0,E2387*IFERROR(INDEX(Kanallar!$B$5:$B$19,MATCH(C2387,Kanallar!$A$5:$A$19,0)),0)))</f>
        <v/>
      </c>
      <c r="J2387" s="16" t="str">
        <f aca="false">IF(I2387="","",IF(H2387="İptal",0,IF(H2387="İade",-G2387,E2387-I2387-F2387-G2387)))</f>
        <v/>
      </c>
    </row>
    <row r="2388" customFormat="false" ht="15" hidden="false" customHeight="false" outlineLevel="0" collapsed="false">
      <c r="A2388" s="12"/>
      <c r="B2388" s="13"/>
      <c r="C2388" s="14"/>
      <c r="D2388" s="13"/>
      <c r="E2388" s="15"/>
      <c r="F2388" s="15"/>
      <c r="G2388" s="15"/>
      <c r="H2388" s="14"/>
      <c r="I2388" s="16" t="str">
        <f aca="false">IF(OR(A2388="",C2388=""),"",IF(OR(H2388="İade",H2388="İptal"),0,E2388*IFERROR(INDEX(Kanallar!$B$5:$B$19,MATCH(C2388,Kanallar!$A$5:$A$19,0)),0)))</f>
        <v/>
      </c>
      <c r="J2388" s="16" t="str">
        <f aca="false">IF(I2388="","",IF(H2388="İptal",0,IF(H2388="İade",-G2388,E2388-I2388-F2388-G2388)))</f>
        <v/>
      </c>
    </row>
    <row r="2389" customFormat="false" ht="15" hidden="false" customHeight="false" outlineLevel="0" collapsed="false">
      <c r="A2389" s="12"/>
      <c r="B2389" s="13"/>
      <c r="C2389" s="14"/>
      <c r="D2389" s="13"/>
      <c r="E2389" s="15"/>
      <c r="F2389" s="15"/>
      <c r="G2389" s="15"/>
      <c r="H2389" s="14"/>
      <c r="I2389" s="16" t="str">
        <f aca="false">IF(OR(A2389="",C2389=""),"",IF(OR(H2389="İade",H2389="İptal"),0,E2389*IFERROR(INDEX(Kanallar!$B$5:$B$19,MATCH(C2389,Kanallar!$A$5:$A$19,0)),0)))</f>
        <v/>
      </c>
      <c r="J2389" s="16" t="str">
        <f aca="false">IF(I2389="","",IF(H2389="İptal",0,IF(H2389="İade",-G2389,E2389-I2389-F2389-G2389)))</f>
        <v/>
      </c>
    </row>
    <row r="2390" customFormat="false" ht="15" hidden="false" customHeight="false" outlineLevel="0" collapsed="false">
      <c r="A2390" s="12"/>
      <c r="B2390" s="13"/>
      <c r="C2390" s="14"/>
      <c r="D2390" s="13"/>
      <c r="E2390" s="15"/>
      <c r="F2390" s="15"/>
      <c r="G2390" s="15"/>
      <c r="H2390" s="14"/>
      <c r="I2390" s="16" t="str">
        <f aca="false">IF(OR(A2390="",C2390=""),"",IF(OR(H2390="İade",H2390="İptal"),0,E2390*IFERROR(INDEX(Kanallar!$B$5:$B$19,MATCH(C2390,Kanallar!$A$5:$A$19,0)),0)))</f>
        <v/>
      </c>
      <c r="J2390" s="16" t="str">
        <f aca="false">IF(I2390="","",IF(H2390="İptal",0,IF(H2390="İade",-G2390,E2390-I2390-F2390-G2390)))</f>
        <v/>
      </c>
    </row>
    <row r="2391" customFormat="false" ht="15" hidden="false" customHeight="false" outlineLevel="0" collapsed="false">
      <c r="A2391" s="12"/>
      <c r="B2391" s="13"/>
      <c r="C2391" s="14"/>
      <c r="D2391" s="13"/>
      <c r="E2391" s="15"/>
      <c r="F2391" s="15"/>
      <c r="G2391" s="15"/>
      <c r="H2391" s="14"/>
      <c r="I2391" s="16" t="str">
        <f aca="false">IF(OR(A2391="",C2391=""),"",IF(OR(H2391="İade",H2391="İptal"),0,E2391*IFERROR(INDEX(Kanallar!$B$5:$B$19,MATCH(C2391,Kanallar!$A$5:$A$19,0)),0)))</f>
        <v/>
      </c>
      <c r="J2391" s="16" t="str">
        <f aca="false">IF(I2391="","",IF(H2391="İptal",0,IF(H2391="İade",-G2391,E2391-I2391-F2391-G2391)))</f>
        <v/>
      </c>
    </row>
    <row r="2392" customFormat="false" ht="15" hidden="false" customHeight="false" outlineLevel="0" collapsed="false">
      <c r="A2392" s="12"/>
      <c r="B2392" s="13"/>
      <c r="C2392" s="14"/>
      <c r="D2392" s="13"/>
      <c r="E2392" s="15"/>
      <c r="F2392" s="15"/>
      <c r="G2392" s="15"/>
      <c r="H2392" s="14"/>
      <c r="I2392" s="16" t="str">
        <f aca="false">IF(OR(A2392="",C2392=""),"",IF(OR(H2392="İade",H2392="İptal"),0,E2392*IFERROR(INDEX(Kanallar!$B$5:$B$19,MATCH(C2392,Kanallar!$A$5:$A$19,0)),0)))</f>
        <v/>
      </c>
      <c r="J2392" s="16" t="str">
        <f aca="false">IF(I2392="","",IF(H2392="İptal",0,IF(H2392="İade",-G2392,E2392-I2392-F2392-G2392)))</f>
        <v/>
      </c>
    </row>
    <row r="2393" customFormat="false" ht="15" hidden="false" customHeight="false" outlineLevel="0" collapsed="false">
      <c r="A2393" s="12"/>
      <c r="B2393" s="13"/>
      <c r="C2393" s="14"/>
      <c r="D2393" s="13"/>
      <c r="E2393" s="15"/>
      <c r="F2393" s="15"/>
      <c r="G2393" s="15"/>
      <c r="H2393" s="14"/>
      <c r="I2393" s="16" t="str">
        <f aca="false">IF(OR(A2393="",C2393=""),"",IF(OR(H2393="İade",H2393="İptal"),0,E2393*IFERROR(INDEX(Kanallar!$B$5:$B$19,MATCH(C2393,Kanallar!$A$5:$A$19,0)),0)))</f>
        <v/>
      </c>
      <c r="J2393" s="16" t="str">
        <f aca="false">IF(I2393="","",IF(H2393="İptal",0,IF(H2393="İade",-G2393,E2393-I2393-F2393-G2393)))</f>
        <v/>
      </c>
    </row>
    <row r="2394" customFormat="false" ht="15" hidden="false" customHeight="false" outlineLevel="0" collapsed="false">
      <c r="A2394" s="12"/>
      <c r="B2394" s="13"/>
      <c r="C2394" s="14"/>
      <c r="D2394" s="13"/>
      <c r="E2394" s="15"/>
      <c r="F2394" s="15"/>
      <c r="G2394" s="15"/>
      <c r="H2394" s="14"/>
      <c r="I2394" s="16" t="str">
        <f aca="false">IF(OR(A2394="",C2394=""),"",IF(OR(H2394="İade",H2394="İptal"),0,E2394*IFERROR(INDEX(Kanallar!$B$5:$B$19,MATCH(C2394,Kanallar!$A$5:$A$19,0)),0)))</f>
        <v/>
      </c>
      <c r="J2394" s="16" t="str">
        <f aca="false">IF(I2394="","",IF(H2394="İptal",0,IF(H2394="İade",-G2394,E2394-I2394-F2394-G2394)))</f>
        <v/>
      </c>
    </row>
    <row r="2395" customFormat="false" ht="15" hidden="false" customHeight="false" outlineLevel="0" collapsed="false">
      <c r="A2395" s="12"/>
      <c r="B2395" s="13"/>
      <c r="C2395" s="14"/>
      <c r="D2395" s="13"/>
      <c r="E2395" s="15"/>
      <c r="F2395" s="15"/>
      <c r="G2395" s="15"/>
      <c r="H2395" s="14"/>
      <c r="I2395" s="16" t="str">
        <f aca="false">IF(OR(A2395="",C2395=""),"",IF(OR(H2395="İade",H2395="İptal"),0,E2395*IFERROR(INDEX(Kanallar!$B$5:$B$19,MATCH(C2395,Kanallar!$A$5:$A$19,0)),0)))</f>
        <v/>
      </c>
      <c r="J2395" s="16" t="str">
        <f aca="false">IF(I2395="","",IF(H2395="İptal",0,IF(H2395="İade",-G2395,E2395-I2395-F2395-G2395)))</f>
        <v/>
      </c>
    </row>
    <row r="2396" customFormat="false" ht="15" hidden="false" customHeight="false" outlineLevel="0" collapsed="false">
      <c r="A2396" s="12"/>
      <c r="B2396" s="13"/>
      <c r="C2396" s="14"/>
      <c r="D2396" s="13"/>
      <c r="E2396" s="15"/>
      <c r="F2396" s="15"/>
      <c r="G2396" s="15"/>
      <c r="H2396" s="14"/>
      <c r="I2396" s="16" t="str">
        <f aca="false">IF(OR(A2396="",C2396=""),"",IF(OR(H2396="İade",H2396="İptal"),0,E2396*IFERROR(INDEX(Kanallar!$B$5:$B$19,MATCH(C2396,Kanallar!$A$5:$A$19,0)),0)))</f>
        <v/>
      </c>
      <c r="J2396" s="16" t="str">
        <f aca="false">IF(I2396="","",IF(H2396="İptal",0,IF(H2396="İade",-G2396,E2396-I2396-F2396-G2396)))</f>
        <v/>
      </c>
    </row>
    <row r="2397" customFormat="false" ht="15" hidden="false" customHeight="false" outlineLevel="0" collapsed="false">
      <c r="A2397" s="12"/>
      <c r="B2397" s="13"/>
      <c r="C2397" s="14"/>
      <c r="D2397" s="13"/>
      <c r="E2397" s="15"/>
      <c r="F2397" s="15"/>
      <c r="G2397" s="15"/>
      <c r="H2397" s="14"/>
      <c r="I2397" s="16" t="str">
        <f aca="false">IF(OR(A2397="",C2397=""),"",IF(OR(H2397="İade",H2397="İptal"),0,E2397*IFERROR(INDEX(Kanallar!$B$5:$B$19,MATCH(C2397,Kanallar!$A$5:$A$19,0)),0)))</f>
        <v/>
      </c>
      <c r="J2397" s="16" t="str">
        <f aca="false">IF(I2397="","",IF(H2397="İptal",0,IF(H2397="İade",-G2397,E2397-I2397-F2397-G2397)))</f>
        <v/>
      </c>
    </row>
    <row r="2398" customFormat="false" ht="15" hidden="false" customHeight="false" outlineLevel="0" collapsed="false">
      <c r="A2398" s="12"/>
      <c r="B2398" s="13"/>
      <c r="C2398" s="14"/>
      <c r="D2398" s="13"/>
      <c r="E2398" s="15"/>
      <c r="F2398" s="15"/>
      <c r="G2398" s="15"/>
      <c r="H2398" s="14"/>
      <c r="I2398" s="16" t="str">
        <f aca="false">IF(OR(A2398="",C2398=""),"",IF(OR(H2398="İade",H2398="İptal"),0,E2398*IFERROR(INDEX(Kanallar!$B$5:$B$19,MATCH(C2398,Kanallar!$A$5:$A$19,0)),0)))</f>
        <v/>
      </c>
      <c r="J2398" s="16" t="str">
        <f aca="false">IF(I2398="","",IF(H2398="İptal",0,IF(H2398="İade",-G2398,E2398-I2398-F2398-G2398)))</f>
        <v/>
      </c>
    </row>
    <row r="2399" customFormat="false" ht="15" hidden="false" customHeight="false" outlineLevel="0" collapsed="false">
      <c r="A2399" s="12"/>
      <c r="B2399" s="13"/>
      <c r="C2399" s="14"/>
      <c r="D2399" s="13"/>
      <c r="E2399" s="15"/>
      <c r="F2399" s="15"/>
      <c r="G2399" s="15"/>
      <c r="H2399" s="14"/>
      <c r="I2399" s="16" t="str">
        <f aca="false">IF(OR(A2399="",C2399=""),"",IF(OR(H2399="İade",H2399="İptal"),0,E2399*IFERROR(INDEX(Kanallar!$B$5:$B$19,MATCH(C2399,Kanallar!$A$5:$A$19,0)),0)))</f>
        <v/>
      </c>
      <c r="J2399" s="16" t="str">
        <f aca="false">IF(I2399="","",IF(H2399="İptal",0,IF(H2399="İade",-G2399,E2399-I2399-F2399-G2399)))</f>
        <v/>
      </c>
    </row>
    <row r="2400" customFormat="false" ht="15" hidden="false" customHeight="false" outlineLevel="0" collapsed="false">
      <c r="A2400" s="12"/>
      <c r="B2400" s="13"/>
      <c r="C2400" s="14"/>
      <c r="D2400" s="13"/>
      <c r="E2400" s="15"/>
      <c r="F2400" s="15"/>
      <c r="G2400" s="15"/>
      <c r="H2400" s="14"/>
      <c r="I2400" s="16" t="str">
        <f aca="false">IF(OR(A2400="",C2400=""),"",IF(OR(H2400="İade",H2400="İptal"),0,E2400*IFERROR(INDEX(Kanallar!$B$5:$B$19,MATCH(C2400,Kanallar!$A$5:$A$19,0)),0)))</f>
        <v/>
      </c>
      <c r="J2400" s="16" t="str">
        <f aca="false">IF(I2400="","",IF(H2400="İptal",0,IF(H2400="İade",-G2400,E2400-I2400-F2400-G2400)))</f>
        <v/>
      </c>
    </row>
    <row r="2401" customFormat="false" ht="15" hidden="false" customHeight="false" outlineLevel="0" collapsed="false">
      <c r="A2401" s="12"/>
      <c r="B2401" s="13"/>
      <c r="C2401" s="14"/>
      <c r="D2401" s="13"/>
      <c r="E2401" s="15"/>
      <c r="F2401" s="15"/>
      <c r="G2401" s="15"/>
      <c r="H2401" s="14"/>
      <c r="I2401" s="16" t="str">
        <f aca="false">IF(OR(A2401="",C2401=""),"",IF(OR(H2401="İade",H2401="İptal"),0,E2401*IFERROR(INDEX(Kanallar!$B$5:$B$19,MATCH(C2401,Kanallar!$A$5:$A$19,0)),0)))</f>
        <v/>
      </c>
      <c r="J2401" s="16" t="str">
        <f aca="false">IF(I2401="","",IF(H2401="İptal",0,IF(H2401="İade",-G2401,E2401-I2401-F2401-G2401)))</f>
        <v/>
      </c>
    </row>
    <row r="2402" customFormat="false" ht="15" hidden="false" customHeight="false" outlineLevel="0" collapsed="false">
      <c r="A2402" s="12"/>
      <c r="B2402" s="13"/>
      <c r="C2402" s="14"/>
      <c r="D2402" s="13"/>
      <c r="E2402" s="15"/>
      <c r="F2402" s="15"/>
      <c r="G2402" s="15"/>
      <c r="H2402" s="14"/>
      <c r="I2402" s="16" t="str">
        <f aca="false">IF(OR(A2402="",C2402=""),"",IF(OR(H2402="İade",H2402="İptal"),0,E2402*IFERROR(INDEX(Kanallar!$B$5:$B$19,MATCH(C2402,Kanallar!$A$5:$A$19,0)),0)))</f>
        <v/>
      </c>
      <c r="J2402" s="16" t="str">
        <f aca="false">IF(I2402="","",IF(H2402="İptal",0,IF(H2402="İade",-G2402,E2402-I2402-F2402-G2402)))</f>
        <v/>
      </c>
    </row>
    <row r="2403" customFormat="false" ht="15" hidden="false" customHeight="false" outlineLevel="0" collapsed="false">
      <c r="A2403" s="12"/>
      <c r="B2403" s="13"/>
      <c r="C2403" s="14"/>
      <c r="D2403" s="13"/>
      <c r="E2403" s="15"/>
      <c r="F2403" s="15"/>
      <c r="G2403" s="15"/>
      <c r="H2403" s="14"/>
      <c r="I2403" s="16" t="str">
        <f aca="false">IF(OR(A2403="",C2403=""),"",IF(OR(H2403="İade",H2403="İptal"),0,E2403*IFERROR(INDEX(Kanallar!$B$5:$B$19,MATCH(C2403,Kanallar!$A$5:$A$19,0)),0)))</f>
        <v/>
      </c>
      <c r="J2403" s="16" t="str">
        <f aca="false">IF(I2403="","",IF(H2403="İptal",0,IF(H2403="İade",-G2403,E2403-I2403-F2403-G2403)))</f>
        <v/>
      </c>
    </row>
    <row r="2404" customFormat="false" ht="15" hidden="false" customHeight="false" outlineLevel="0" collapsed="false">
      <c r="A2404" s="12"/>
      <c r="B2404" s="13"/>
      <c r="C2404" s="14"/>
      <c r="D2404" s="13"/>
      <c r="E2404" s="15"/>
      <c r="F2404" s="15"/>
      <c r="G2404" s="15"/>
      <c r="H2404" s="14"/>
      <c r="I2404" s="16" t="str">
        <f aca="false">IF(OR(A2404="",C2404=""),"",IF(OR(H2404="İade",H2404="İptal"),0,E2404*IFERROR(INDEX(Kanallar!$B$5:$B$19,MATCH(C2404,Kanallar!$A$5:$A$19,0)),0)))</f>
        <v/>
      </c>
      <c r="J2404" s="16" t="str">
        <f aca="false">IF(I2404="","",IF(H2404="İptal",0,IF(H2404="İade",-G2404,E2404-I2404-F2404-G2404)))</f>
        <v/>
      </c>
    </row>
    <row r="2405" customFormat="false" ht="15" hidden="false" customHeight="false" outlineLevel="0" collapsed="false">
      <c r="A2405" s="12"/>
      <c r="B2405" s="13"/>
      <c r="C2405" s="14"/>
      <c r="D2405" s="13"/>
      <c r="E2405" s="15"/>
      <c r="F2405" s="15"/>
      <c r="G2405" s="15"/>
      <c r="H2405" s="14"/>
      <c r="I2405" s="16" t="str">
        <f aca="false">IF(OR(A2405="",C2405=""),"",IF(OR(H2405="İade",H2405="İptal"),0,E2405*IFERROR(INDEX(Kanallar!$B$5:$B$19,MATCH(C2405,Kanallar!$A$5:$A$19,0)),0)))</f>
        <v/>
      </c>
      <c r="J2405" s="16" t="str">
        <f aca="false">IF(I2405="","",IF(H2405="İptal",0,IF(H2405="İade",-G2405,E2405-I2405-F2405-G2405)))</f>
        <v/>
      </c>
    </row>
    <row r="2406" customFormat="false" ht="15" hidden="false" customHeight="false" outlineLevel="0" collapsed="false">
      <c r="A2406" s="12"/>
      <c r="B2406" s="13"/>
      <c r="C2406" s="14"/>
      <c r="D2406" s="13"/>
      <c r="E2406" s="15"/>
      <c r="F2406" s="15"/>
      <c r="G2406" s="15"/>
      <c r="H2406" s="14"/>
      <c r="I2406" s="16" t="str">
        <f aca="false">IF(OR(A2406="",C2406=""),"",IF(OR(H2406="İade",H2406="İptal"),0,E2406*IFERROR(INDEX(Kanallar!$B$5:$B$19,MATCH(C2406,Kanallar!$A$5:$A$19,0)),0)))</f>
        <v/>
      </c>
      <c r="J2406" s="16" t="str">
        <f aca="false">IF(I2406="","",IF(H2406="İptal",0,IF(H2406="İade",-G2406,E2406-I2406-F2406-G2406)))</f>
        <v/>
      </c>
    </row>
    <row r="2407" customFormat="false" ht="15" hidden="false" customHeight="false" outlineLevel="0" collapsed="false">
      <c r="A2407" s="12"/>
      <c r="B2407" s="13"/>
      <c r="C2407" s="14"/>
      <c r="D2407" s="13"/>
      <c r="E2407" s="15"/>
      <c r="F2407" s="15"/>
      <c r="G2407" s="15"/>
      <c r="H2407" s="14"/>
      <c r="I2407" s="16" t="str">
        <f aca="false">IF(OR(A2407="",C2407=""),"",IF(OR(H2407="İade",H2407="İptal"),0,E2407*IFERROR(INDEX(Kanallar!$B$5:$B$19,MATCH(C2407,Kanallar!$A$5:$A$19,0)),0)))</f>
        <v/>
      </c>
      <c r="J2407" s="16" t="str">
        <f aca="false">IF(I2407="","",IF(H2407="İptal",0,IF(H2407="İade",-G2407,E2407-I2407-F2407-G2407)))</f>
        <v/>
      </c>
    </row>
    <row r="2408" customFormat="false" ht="15" hidden="false" customHeight="false" outlineLevel="0" collapsed="false">
      <c r="A2408" s="12"/>
      <c r="B2408" s="13"/>
      <c r="C2408" s="14"/>
      <c r="D2408" s="13"/>
      <c r="E2408" s="15"/>
      <c r="F2408" s="15"/>
      <c r="G2408" s="15"/>
      <c r="H2408" s="14"/>
      <c r="I2408" s="16" t="str">
        <f aca="false">IF(OR(A2408="",C2408=""),"",IF(OR(H2408="İade",H2408="İptal"),0,E2408*IFERROR(INDEX(Kanallar!$B$5:$B$19,MATCH(C2408,Kanallar!$A$5:$A$19,0)),0)))</f>
        <v/>
      </c>
      <c r="J2408" s="16" t="str">
        <f aca="false">IF(I2408="","",IF(H2408="İptal",0,IF(H2408="İade",-G2408,E2408-I2408-F2408-G2408)))</f>
        <v/>
      </c>
    </row>
    <row r="2409" customFormat="false" ht="15" hidden="false" customHeight="false" outlineLevel="0" collapsed="false">
      <c r="A2409" s="12"/>
      <c r="B2409" s="13"/>
      <c r="C2409" s="14"/>
      <c r="D2409" s="13"/>
      <c r="E2409" s="15"/>
      <c r="F2409" s="15"/>
      <c r="G2409" s="15"/>
      <c r="H2409" s="14"/>
      <c r="I2409" s="16" t="str">
        <f aca="false">IF(OR(A2409="",C2409=""),"",IF(OR(H2409="İade",H2409="İptal"),0,E2409*IFERROR(INDEX(Kanallar!$B$5:$B$19,MATCH(C2409,Kanallar!$A$5:$A$19,0)),0)))</f>
        <v/>
      </c>
      <c r="J2409" s="16" t="str">
        <f aca="false">IF(I2409="","",IF(H2409="İptal",0,IF(H2409="İade",-G2409,E2409-I2409-F2409-G2409)))</f>
        <v/>
      </c>
    </row>
    <row r="2410" customFormat="false" ht="15" hidden="false" customHeight="false" outlineLevel="0" collapsed="false">
      <c r="A2410" s="12"/>
      <c r="B2410" s="13"/>
      <c r="C2410" s="14"/>
      <c r="D2410" s="13"/>
      <c r="E2410" s="15"/>
      <c r="F2410" s="15"/>
      <c r="G2410" s="15"/>
      <c r="H2410" s="14"/>
      <c r="I2410" s="16" t="str">
        <f aca="false">IF(OR(A2410="",C2410=""),"",IF(OR(H2410="İade",H2410="İptal"),0,E2410*IFERROR(INDEX(Kanallar!$B$5:$B$19,MATCH(C2410,Kanallar!$A$5:$A$19,0)),0)))</f>
        <v/>
      </c>
      <c r="J2410" s="16" t="str">
        <f aca="false">IF(I2410="","",IF(H2410="İptal",0,IF(H2410="İade",-G2410,E2410-I2410-F2410-G2410)))</f>
        <v/>
      </c>
    </row>
    <row r="2411" customFormat="false" ht="15" hidden="false" customHeight="false" outlineLevel="0" collapsed="false">
      <c r="A2411" s="12"/>
      <c r="B2411" s="13"/>
      <c r="C2411" s="14"/>
      <c r="D2411" s="13"/>
      <c r="E2411" s="15"/>
      <c r="F2411" s="15"/>
      <c r="G2411" s="15"/>
      <c r="H2411" s="14"/>
      <c r="I2411" s="16" t="str">
        <f aca="false">IF(OR(A2411="",C2411=""),"",IF(OR(H2411="İade",H2411="İptal"),0,E2411*IFERROR(INDEX(Kanallar!$B$5:$B$19,MATCH(C2411,Kanallar!$A$5:$A$19,0)),0)))</f>
        <v/>
      </c>
      <c r="J2411" s="16" t="str">
        <f aca="false">IF(I2411="","",IF(H2411="İptal",0,IF(H2411="İade",-G2411,E2411-I2411-F2411-G2411)))</f>
        <v/>
      </c>
    </row>
    <row r="2412" customFormat="false" ht="15" hidden="false" customHeight="false" outlineLevel="0" collapsed="false">
      <c r="A2412" s="12"/>
      <c r="B2412" s="13"/>
      <c r="C2412" s="14"/>
      <c r="D2412" s="13"/>
      <c r="E2412" s="15"/>
      <c r="F2412" s="15"/>
      <c r="G2412" s="15"/>
      <c r="H2412" s="14"/>
      <c r="I2412" s="16" t="str">
        <f aca="false">IF(OR(A2412="",C2412=""),"",IF(OR(H2412="İade",H2412="İptal"),0,E2412*IFERROR(INDEX(Kanallar!$B$5:$B$19,MATCH(C2412,Kanallar!$A$5:$A$19,0)),0)))</f>
        <v/>
      </c>
      <c r="J2412" s="16" t="str">
        <f aca="false">IF(I2412="","",IF(H2412="İptal",0,IF(H2412="İade",-G2412,E2412-I2412-F2412-G2412)))</f>
        <v/>
      </c>
    </row>
    <row r="2413" customFormat="false" ht="15" hidden="false" customHeight="false" outlineLevel="0" collapsed="false">
      <c r="A2413" s="12"/>
      <c r="B2413" s="13"/>
      <c r="C2413" s="14"/>
      <c r="D2413" s="13"/>
      <c r="E2413" s="15"/>
      <c r="F2413" s="15"/>
      <c r="G2413" s="15"/>
      <c r="H2413" s="14"/>
      <c r="I2413" s="16" t="str">
        <f aca="false">IF(OR(A2413="",C2413=""),"",IF(OR(H2413="İade",H2413="İptal"),0,E2413*IFERROR(INDEX(Kanallar!$B$5:$B$19,MATCH(C2413,Kanallar!$A$5:$A$19,0)),0)))</f>
        <v/>
      </c>
      <c r="J2413" s="16" t="str">
        <f aca="false">IF(I2413="","",IF(H2413="İptal",0,IF(H2413="İade",-G2413,E2413-I2413-F2413-G2413)))</f>
        <v/>
      </c>
    </row>
    <row r="2414" customFormat="false" ht="15" hidden="false" customHeight="false" outlineLevel="0" collapsed="false">
      <c r="A2414" s="12"/>
      <c r="B2414" s="13"/>
      <c r="C2414" s="14"/>
      <c r="D2414" s="13"/>
      <c r="E2414" s="15"/>
      <c r="F2414" s="15"/>
      <c r="G2414" s="15"/>
      <c r="H2414" s="14"/>
      <c r="I2414" s="16" t="str">
        <f aca="false">IF(OR(A2414="",C2414=""),"",IF(OR(H2414="İade",H2414="İptal"),0,E2414*IFERROR(INDEX(Kanallar!$B$5:$B$19,MATCH(C2414,Kanallar!$A$5:$A$19,0)),0)))</f>
        <v/>
      </c>
      <c r="J2414" s="16" t="str">
        <f aca="false">IF(I2414="","",IF(H2414="İptal",0,IF(H2414="İade",-G2414,E2414-I2414-F2414-G2414)))</f>
        <v/>
      </c>
    </row>
    <row r="2415" customFormat="false" ht="15" hidden="false" customHeight="false" outlineLevel="0" collapsed="false">
      <c r="A2415" s="12"/>
      <c r="B2415" s="13"/>
      <c r="C2415" s="14"/>
      <c r="D2415" s="13"/>
      <c r="E2415" s="15"/>
      <c r="F2415" s="15"/>
      <c r="G2415" s="15"/>
      <c r="H2415" s="14"/>
      <c r="I2415" s="16" t="str">
        <f aca="false">IF(OR(A2415="",C2415=""),"",IF(OR(H2415="İade",H2415="İptal"),0,E2415*IFERROR(INDEX(Kanallar!$B$5:$B$19,MATCH(C2415,Kanallar!$A$5:$A$19,0)),0)))</f>
        <v/>
      </c>
      <c r="J2415" s="16" t="str">
        <f aca="false">IF(I2415="","",IF(H2415="İptal",0,IF(H2415="İade",-G2415,E2415-I2415-F2415-G2415)))</f>
        <v/>
      </c>
    </row>
    <row r="2416" customFormat="false" ht="15" hidden="false" customHeight="false" outlineLevel="0" collapsed="false">
      <c r="A2416" s="12"/>
      <c r="B2416" s="13"/>
      <c r="C2416" s="14"/>
      <c r="D2416" s="13"/>
      <c r="E2416" s="15"/>
      <c r="F2416" s="15"/>
      <c r="G2416" s="15"/>
      <c r="H2416" s="14"/>
      <c r="I2416" s="16" t="str">
        <f aca="false">IF(OR(A2416="",C2416=""),"",IF(OR(H2416="İade",H2416="İptal"),0,E2416*IFERROR(INDEX(Kanallar!$B$5:$B$19,MATCH(C2416,Kanallar!$A$5:$A$19,0)),0)))</f>
        <v/>
      </c>
      <c r="J2416" s="16" t="str">
        <f aca="false">IF(I2416="","",IF(H2416="İptal",0,IF(H2416="İade",-G2416,E2416-I2416-F2416-G2416)))</f>
        <v/>
      </c>
    </row>
    <row r="2417" customFormat="false" ht="15" hidden="false" customHeight="false" outlineLevel="0" collapsed="false">
      <c r="A2417" s="12"/>
      <c r="B2417" s="13"/>
      <c r="C2417" s="14"/>
      <c r="D2417" s="13"/>
      <c r="E2417" s="15"/>
      <c r="F2417" s="15"/>
      <c r="G2417" s="15"/>
      <c r="H2417" s="14"/>
      <c r="I2417" s="16" t="str">
        <f aca="false">IF(OR(A2417="",C2417=""),"",IF(OR(H2417="İade",H2417="İptal"),0,E2417*IFERROR(INDEX(Kanallar!$B$5:$B$19,MATCH(C2417,Kanallar!$A$5:$A$19,0)),0)))</f>
        <v/>
      </c>
      <c r="J2417" s="16" t="str">
        <f aca="false">IF(I2417="","",IF(H2417="İptal",0,IF(H2417="İade",-G2417,E2417-I2417-F2417-G2417)))</f>
        <v/>
      </c>
    </row>
    <row r="2418" customFormat="false" ht="15" hidden="false" customHeight="false" outlineLevel="0" collapsed="false">
      <c r="A2418" s="12"/>
      <c r="B2418" s="13"/>
      <c r="C2418" s="14"/>
      <c r="D2418" s="13"/>
      <c r="E2418" s="15"/>
      <c r="F2418" s="15"/>
      <c r="G2418" s="15"/>
      <c r="H2418" s="14"/>
      <c r="I2418" s="16" t="str">
        <f aca="false">IF(OR(A2418="",C2418=""),"",IF(OR(H2418="İade",H2418="İptal"),0,E2418*IFERROR(INDEX(Kanallar!$B$5:$B$19,MATCH(C2418,Kanallar!$A$5:$A$19,0)),0)))</f>
        <v/>
      </c>
      <c r="J2418" s="16" t="str">
        <f aca="false">IF(I2418="","",IF(H2418="İptal",0,IF(H2418="İade",-G2418,E2418-I2418-F2418-G2418)))</f>
        <v/>
      </c>
    </row>
    <row r="2419" customFormat="false" ht="15" hidden="false" customHeight="false" outlineLevel="0" collapsed="false">
      <c r="A2419" s="12"/>
      <c r="B2419" s="13"/>
      <c r="C2419" s="14"/>
      <c r="D2419" s="13"/>
      <c r="E2419" s="15"/>
      <c r="F2419" s="15"/>
      <c r="G2419" s="15"/>
      <c r="H2419" s="14"/>
      <c r="I2419" s="16" t="str">
        <f aca="false">IF(OR(A2419="",C2419=""),"",IF(OR(H2419="İade",H2419="İptal"),0,E2419*IFERROR(INDEX(Kanallar!$B$5:$B$19,MATCH(C2419,Kanallar!$A$5:$A$19,0)),0)))</f>
        <v/>
      </c>
      <c r="J2419" s="16" t="str">
        <f aca="false">IF(I2419="","",IF(H2419="İptal",0,IF(H2419="İade",-G2419,E2419-I2419-F2419-G2419)))</f>
        <v/>
      </c>
    </row>
    <row r="2420" customFormat="false" ht="15" hidden="false" customHeight="false" outlineLevel="0" collapsed="false">
      <c r="A2420" s="12"/>
      <c r="B2420" s="13"/>
      <c r="C2420" s="14"/>
      <c r="D2420" s="13"/>
      <c r="E2420" s="15"/>
      <c r="F2420" s="15"/>
      <c r="G2420" s="15"/>
      <c r="H2420" s="14"/>
      <c r="I2420" s="16" t="str">
        <f aca="false">IF(OR(A2420="",C2420=""),"",IF(OR(H2420="İade",H2420="İptal"),0,E2420*IFERROR(INDEX(Kanallar!$B$5:$B$19,MATCH(C2420,Kanallar!$A$5:$A$19,0)),0)))</f>
        <v/>
      </c>
      <c r="J2420" s="16" t="str">
        <f aca="false">IF(I2420="","",IF(H2420="İptal",0,IF(H2420="İade",-G2420,E2420-I2420-F2420-G2420)))</f>
        <v/>
      </c>
    </row>
    <row r="2421" customFormat="false" ht="15" hidden="false" customHeight="false" outlineLevel="0" collapsed="false">
      <c r="A2421" s="12"/>
      <c r="B2421" s="13"/>
      <c r="C2421" s="14"/>
      <c r="D2421" s="13"/>
      <c r="E2421" s="15"/>
      <c r="F2421" s="15"/>
      <c r="G2421" s="15"/>
      <c r="H2421" s="14"/>
      <c r="I2421" s="16" t="str">
        <f aca="false">IF(OR(A2421="",C2421=""),"",IF(OR(H2421="İade",H2421="İptal"),0,E2421*IFERROR(INDEX(Kanallar!$B$5:$B$19,MATCH(C2421,Kanallar!$A$5:$A$19,0)),0)))</f>
        <v/>
      </c>
      <c r="J2421" s="16" t="str">
        <f aca="false">IF(I2421="","",IF(H2421="İptal",0,IF(H2421="İade",-G2421,E2421-I2421-F2421-G2421)))</f>
        <v/>
      </c>
    </row>
    <row r="2422" customFormat="false" ht="15" hidden="false" customHeight="false" outlineLevel="0" collapsed="false">
      <c r="A2422" s="12"/>
      <c r="B2422" s="13"/>
      <c r="C2422" s="14"/>
      <c r="D2422" s="13"/>
      <c r="E2422" s="15"/>
      <c r="F2422" s="15"/>
      <c r="G2422" s="15"/>
      <c r="H2422" s="14"/>
      <c r="I2422" s="16" t="str">
        <f aca="false">IF(OR(A2422="",C2422=""),"",IF(OR(H2422="İade",H2422="İptal"),0,E2422*IFERROR(INDEX(Kanallar!$B$5:$B$19,MATCH(C2422,Kanallar!$A$5:$A$19,0)),0)))</f>
        <v/>
      </c>
      <c r="J2422" s="16" t="str">
        <f aca="false">IF(I2422="","",IF(H2422="İptal",0,IF(H2422="İade",-G2422,E2422-I2422-F2422-G2422)))</f>
        <v/>
      </c>
    </row>
    <row r="2423" customFormat="false" ht="15" hidden="false" customHeight="false" outlineLevel="0" collapsed="false">
      <c r="A2423" s="12"/>
      <c r="B2423" s="13"/>
      <c r="C2423" s="14"/>
      <c r="D2423" s="13"/>
      <c r="E2423" s="15"/>
      <c r="F2423" s="15"/>
      <c r="G2423" s="15"/>
      <c r="H2423" s="14"/>
      <c r="I2423" s="16" t="str">
        <f aca="false">IF(OR(A2423="",C2423=""),"",IF(OR(H2423="İade",H2423="İptal"),0,E2423*IFERROR(INDEX(Kanallar!$B$5:$B$19,MATCH(C2423,Kanallar!$A$5:$A$19,0)),0)))</f>
        <v/>
      </c>
      <c r="J2423" s="16" t="str">
        <f aca="false">IF(I2423="","",IF(H2423="İptal",0,IF(H2423="İade",-G2423,E2423-I2423-F2423-G2423)))</f>
        <v/>
      </c>
    </row>
    <row r="2424" customFormat="false" ht="15" hidden="false" customHeight="false" outlineLevel="0" collapsed="false">
      <c r="A2424" s="12"/>
      <c r="B2424" s="13"/>
      <c r="C2424" s="14"/>
      <c r="D2424" s="13"/>
      <c r="E2424" s="15"/>
      <c r="F2424" s="15"/>
      <c r="G2424" s="15"/>
      <c r="H2424" s="14"/>
      <c r="I2424" s="16" t="str">
        <f aca="false">IF(OR(A2424="",C2424=""),"",IF(OR(H2424="İade",H2424="İptal"),0,E2424*IFERROR(INDEX(Kanallar!$B$5:$B$19,MATCH(C2424,Kanallar!$A$5:$A$19,0)),0)))</f>
        <v/>
      </c>
      <c r="J2424" s="16" t="str">
        <f aca="false">IF(I2424="","",IF(H2424="İptal",0,IF(H2424="İade",-G2424,E2424-I2424-F2424-G2424)))</f>
        <v/>
      </c>
    </row>
    <row r="2425" customFormat="false" ht="15" hidden="false" customHeight="false" outlineLevel="0" collapsed="false">
      <c r="A2425" s="12"/>
      <c r="B2425" s="13"/>
      <c r="C2425" s="14"/>
      <c r="D2425" s="13"/>
      <c r="E2425" s="15"/>
      <c r="F2425" s="15"/>
      <c r="G2425" s="15"/>
      <c r="H2425" s="14"/>
      <c r="I2425" s="16" t="str">
        <f aca="false">IF(OR(A2425="",C2425=""),"",IF(OR(H2425="İade",H2425="İptal"),0,E2425*IFERROR(INDEX(Kanallar!$B$5:$B$19,MATCH(C2425,Kanallar!$A$5:$A$19,0)),0)))</f>
        <v/>
      </c>
      <c r="J2425" s="16" t="str">
        <f aca="false">IF(I2425="","",IF(H2425="İptal",0,IF(H2425="İade",-G2425,E2425-I2425-F2425-G2425)))</f>
        <v/>
      </c>
    </row>
    <row r="2426" customFormat="false" ht="15" hidden="false" customHeight="false" outlineLevel="0" collapsed="false">
      <c r="A2426" s="12"/>
      <c r="B2426" s="13"/>
      <c r="C2426" s="14"/>
      <c r="D2426" s="13"/>
      <c r="E2426" s="15"/>
      <c r="F2426" s="15"/>
      <c r="G2426" s="15"/>
      <c r="H2426" s="14"/>
      <c r="I2426" s="16" t="str">
        <f aca="false">IF(OR(A2426="",C2426=""),"",IF(OR(H2426="İade",H2426="İptal"),0,E2426*IFERROR(INDEX(Kanallar!$B$5:$B$19,MATCH(C2426,Kanallar!$A$5:$A$19,0)),0)))</f>
        <v/>
      </c>
      <c r="J2426" s="16" t="str">
        <f aca="false">IF(I2426="","",IF(H2426="İptal",0,IF(H2426="İade",-G2426,E2426-I2426-F2426-G2426)))</f>
        <v/>
      </c>
    </row>
    <row r="2427" customFormat="false" ht="15" hidden="false" customHeight="false" outlineLevel="0" collapsed="false">
      <c r="A2427" s="12"/>
      <c r="B2427" s="13"/>
      <c r="C2427" s="14"/>
      <c r="D2427" s="13"/>
      <c r="E2427" s="15"/>
      <c r="F2427" s="15"/>
      <c r="G2427" s="15"/>
      <c r="H2427" s="14"/>
      <c r="I2427" s="16" t="str">
        <f aca="false">IF(OR(A2427="",C2427=""),"",IF(OR(H2427="İade",H2427="İptal"),0,E2427*IFERROR(INDEX(Kanallar!$B$5:$B$19,MATCH(C2427,Kanallar!$A$5:$A$19,0)),0)))</f>
        <v/>
      </c>
      <c r="J2427" s="16" t="str">
        <f aca="false">IF(I2427="","",IF(H2427="İptal",0,IF(H2427="İade",-G2427,E2427-I2427-F2427-G2427)))</f>
        <v/>
      </c>
    </row>
    <row r="2428" customFormat="false" ht="15" hidden="false" customHeight="false" outlineLevel="0" collapsed="false">
      <c r="A2428" s="12"/>
      <c r="B2428" s="13"/>
      <c r="C2428" s="14"/>
      <c r="D2428" s="13"/>
      <c r="E2428" s="15"/>
      <c r="F2428" s="15"/>
      <c r="G2428" s="15"/>
      <c r="H2428" s="14"/>
      <c r="I2428" s="16" t="str">
        <f aca="false">IF(OR(A2428="",C2428=""),"",IF(OR(H2428="İade",H2428="İptal"),0,E2428*IFERROR(INDEX(Kanallar!$B$5:$B$19,MATCH(C2428,Kanallar!$A$5:$A$19,0)),0)))</f>
        <v/>
      </c>
      <c r="J2428" s="16" t="str">
        <f aca="false">IF(I2428="","",IF(H2428="İptal",0,IF(H2428="İade",-G2428,E2428-I2428-F2428-G2428)))</f>
        <v/>
      </c>
    </row>
    <row r="2429" customFormat="false" ht="15" hidden="false" customHeight="false" outlineLevel="0" collapsed="false">
      <c r="A2429" s="12"/>
      <c r="B2429" s="13"/>
      <c r="C2429" s="14"/>
      <c r="D2429" s="13"/>
      <c r="E2429" s="15"/>
      <c r="F2429" s="15"/>
      <c r="G2429" s="15"/>
      <c r="H2429" s="14"/>
      <c r="I2429" s="16" t="str">
        <f aca="false">IF(OR(A2429="",C2429=""),"",IF(OR(H2429="İade",H2429="İptal"),0,E2429*IFERROR(INDEX(Kanallar!$B$5:$B$19,MATCH(C2429,Kanallar!$A$5:$A$19,0)),0)))</f>
        <v/>
      </c>
      <c r="J2429" s="16" t="str">
        <f aca="false">IF(I2429="","",IF(H2429="İptal",0,IF(H2429="İade",-G2429,E2429-I2429-F2429-G2429)))</f>
        <v/>
      </c>
    </row>
    <row r="2430" customFormat="false" ht="15" hidden="false" customHeight="false" outlineLevel="0" collapsed="false">
      <c r="A2430" s="12"/>
      <c r="B2430" s="13"/>
      <c r="C2430" s="14"/>
      <c r="D2430" s="13"/>
      <c r="E2430" s="15"/>
      <c r="F2430" s="15"/>
      <c r="G2430" s="15"/>
      <c r="H2430" s="14"/>
      <c r="I2430" s="16" t="str">
        <f aca="false">IF(OR(A2430="",C2430=""),"",IF(OR(H2430="İade",H2430="İptal"),0,E2430*IFERROR(INDEX(Kanallar!$B$5:$B$19,MATCH(C2430,Kanallar!$A$5:$A$19,0)),0)))</f>
        <v/>
      </c>
      <c r="J2430" s="16" t="str">
        <f aca="false">IF(I2430="","",IF(H2430="İptal",0,IF(H2430="İade",-G2430,E2430-I2430-F2430-G2430)))</f>
        <v/>
      </c>
    </row>
    <row r="2431" customFormat="false" ht="15" hidden="false" customHeight="false" outlineLevel="0" collapsed="false">
      <c r="A2431" s="12"/>
      <c r="B2431" s="13"/>
      <c r="C2431" s="14"/>
      <c r="D2431" s="13"/>
      <c r="E2431" s="15"/>
      <c r="F2431" s="15"/>
      <c r="G2431" s="15"/>
      <c r="H2431" s="14"/>
      <c r="I2431" s="16" t="str">
        <f aca="false">IF(OR(A2431="",C2431=""),"",IF(OR(H2431="İade",H2431="İptal"),0,E2431*IFERROR(INDEX(Kanallar!$B$5:$B$19,MATCH(C2431,Kanallar!$A$5:$A$19,0)),0)))</f>
        <v/>
      </c>
      <c r="J2431" s="16" t="str">
        <f aca="false">IF(I2431="","",IF(H2431="İptal",0,IF(H2431="İade",-G2431,E2431-I2431-F2431-G2431)))</f>
        <v/>
      </c>
    </row>
    <row r="2432" customFormat="false" ht="15" hidden="false" customHeight="false" outlineLevel="0" collapsed="false">
      <c r="A2432" s="12"/>
      <c r="B2432" s="13"/>
      <c r="C2432" s="14"/>
      <c r="D2432" s="13"/>
      <c r="E2432" s="15"/>
      <c r="F2432" s="15"/>
      <c r="G2432" s="15"/>
      <c r="H2432" s="14"/>
      <c r="I2432" s="16" t="str">
        <f aca="false">IF(OR(A2432="",C2432=""),"",IF(OR(H2432="İade",H2432="İptal"),0,E2432*IFERROR(INDEX(Kanallar!$B$5:$B$19,MATCH(C2432,Kanallar!$A$5:$A$19,0)),0)))</f>
        <v/>
      </c>
      <c r="J2432" s="16" t="str">
        <f aca="false">IF(I2432="","",IF(H2432="İptal",0,IF(H2432="İade",-G2432,E2432-I2432-F2432-G2432)))</f>
        <v/>
      </c>
    </row>
    <row r="2433" customFormat="false" ht="15" hidden="false" customHeight="false" outlineLevel="0" collapsed="false">
      <c r="A2433" s="12"/>
      <c r="B2433" s="13"/>
      <c r="C2433" s="14"/>
      <c r="D2433" s="13"/>
      <c r="E2433" s="15"/>
      <c r="F2433" s="15"/>
      <c r="G2433" s="15"/>
      <c r="H2433" s="14"/>
      <c r="I2433" s="16" t="str">
        <f aca="false">IF(OR(A2433="",C2433=""),"",IF(OR(H2433="İade",H2433="İptal"),0,E2433*IFERROR(INDEX(Kanallar!$B$5:$B$19,MATCH(C2433,Kanallar!$A$5:$A$19,0)),0)))</f>
        <v/>
      </c>
      <c r="J2433" s="16" t="str">
        <f aca="false">IF(I2433="","",IF(H2433="İptal",0,IF(H2433="İade",-G2433,E2433-I2433-F2433-G2433)))</f>
        <v/>
      </c>
    </row>
    <row r="2434" customFormat="false" ht="15" hidden="false" customHeight="false" outlineLevel="0" collapsed="false">
      <c r="A2434" s="12"/>
      <c r="B2434" s="13"/>
      <c r="C2434" s="14"/>
      <c r="D2434" s="13"/>
      <c r="E2434" s="15"/>
      <c r="F2434" s="15"/>
      <c r="G2434" s="15"/>
      <c r="H2434" s="14"/>
      <c r="I2434" s="16" t="str">
        <f aca="false">IF(OR(A2434="",C2434=""),"",IF(OR(H2434="İade",H2434="İptal"),0,E2434*IFERROR(INDEX(Kanallar!$B$5:$B$19,MATCH(C2434,Kanallar!$A$5:$A$19,0)),0)))</f>
        <v/>
      </c>
      <c r="J2434" s="16" t="str">
        <f aca="false">IF(I2434="","",IF(H2434="İptal",0,IF(H2434="İade",-G2434,E2434-I2434-F2434-G2434)))</f>
        <v/>
      </c>
    </row>
    <row r="2435" customFormat="false" ht="15" hidden="false" customHeight="false" outlineLevel="0" collapsed="false">
      <c r="A2435" s="12"/>
      <c r="B2435" s="13"/>
      <c r="C2435" s="14"/>
      <c r="D2435" s="13"/>
      <c r="E2435" s="15"/>
      <c r="F2435" s="15"/>
      <c r="G2435" s="15"/>
      <c r="H2435" s="14"/>
      <c r="I2435" s="16" t="str">
        <f aca="false">IF(OR(A2435="",C2435=""),"",IF(OR(H2435="İade",H2435="İptal"),0,E2435*IFERROR(INDEX(Kanallar!$B$5:$B$19,MATCH(C2435,Kanallar!$A$5:$A$19,0)),0)))</f>
        <v/>
      </c>
      <c r="J2435" s="16" t="str">
        <f aca="false">IF(I2435="","",IF(H2435="İptal",0,IF(H2435="İade",-G2435,E2435-I2435-F2435-G2435)))</f>
        <v/>
      </c>
    </row>
    <row r="2436" customFormat="false" ht="15" hidden="false" customHeight="false" outlineLevel="0" collapsed="false">
      <c r="A2436" s="12"/>
      <c r="B2436" s="13"/>
      <c r="C2436" s="14"/>
      <c r="D2436" s="13"/>
      <c r="E2436" s="15"/>
      <c r="F2436" s="15"/>
      <c r="G2436" s="15"/>
      <c r="H2436" s="14"/>
      <c r="I2436" s="16" t="str">
        <f aca="false">IF(OR(A2436="",C2436=""),"",IF(OR(H2436="İade",H2436="İptal"),0,E2436*IFERROR(INDEX(Kanallar!$B$5:$B$19,MATCH(C2436,Kanallar!$A$5:$A$19,0)),0)))</f>
        <v/>
      </c>
      <c r="J2436" s="16" t="str">
        <f aca="false">IF(I2436="","",IF(H2436="İptal",0,IF(H2436="İade",-G2436,E2436-I2436-F2436-G2436)))</f>
        <v/>
      </c>
    </row>
    <row r="2437" customFormat="false" ht="15" hidden="false" customHeight="false" outlineLevel="0" collapsed="false">
      <c r="A2437" s="12"/>
      <c r="B2437" s="13"/>
      <c r="C2437" s="14"/>
      <c r="D2437" s="13"/>
      <c r="E2437" s="15"/>
      <c r="F2437" s="15"/>
      <c r="G2437" s="15"/>
      <c r="H2437" s="14"/>
      <c r="I2437" s="16" t="str">
        <f aca="false">IF(OR(A2437="",C2437=""),"",IF(OR(H2437="İade",H2437="İptal"),0,E2437*IFERROR(INDEX(Kanallar!$B$5:$B$19,MATCH(C2437,Kanallar!$A$5:$A$19,0)),0)))</f>
        <v/>
      </c>
      <c r="J2437" s="16" t="str">
        <f aca="false">IF(I2437="","",IF(H2437="İptal",0,IF(H2437="İade",-G2437,E2437-I2437-F2437-G2437)))</f>
        <v/>
      </c>
    </row>
    <row r="2438" customFormat="false" ht="15" hidden="false" customHeight="false" outlineLevel="0" collapsed="false">
      <c r="A2438" s="12"/>
      <c r="B2438" s="13"/>
      <c r="C2438" s="14"/>
      <c r="D2438" s="13"/>
      <c r="E2438" s="15"/>
      <c r="F2438" s="15"/>
      <c r="G2438" s="15"/>
      <c r="H2438" s="14"/>
      <c r="I2438" s="16" t="str">
        <f aca="false">IF(OR(A2438="",C2438=""),"",IF(OR(H2438="İade",H2438="İptal"),0,E2438*IFERROR(INDEX(Kanallar!$B$5:$B$19,MATCH(C2438,Kanallar!$A$5:$A$19,0)),0)))</f>
        <v/>
      </c>
      <c r="J2438" s="16" t="str">
        <f aca="false">IF(I2438="","",IF(H2438="İptal",0,IF(H2438="İade",-G2438,E2438-I2438-F2438-G2438)))</f>
        <v/>
      </c>
    </row>
    <row r="2439" customFormat="false" ht="15" hidden="false" customHeight="false" outlineLevel="0" collapsed="false">
      <c r="A2439" s="12"/>
      <c r="B2439" s="13"/>
      <c r="C2439" s="14"/>
      <c r="D2439" s="13"/>
      <c r="E2439" s="15"/>
      <c r="F2439" s="15"/>
      <c r="G2439" s="15"/>
      <c r="H2439" s="14"/>
      <c r="I2439" s="16" t="str">
        <f aca="false">IF(OR(A2439="",C2439=""),"",IF(OR(H2439="İade",H2439="İptal"),0,E2439*IFERROR(INDEX(Kanallar!$B$5:$B$19,MATCH(C2439,Kanallar!$A$5:$A$19,0)),0)))</f>
        <v/>
      </c>
      <c r="J2439" s="16" t="str">
        <f aca="false">IF(I2439="","",IF(H2439="İptal",0,IF(H2439="İade",-G2439,E2439-I2439-F2439-G2439)))</f>
        <v/>
      </c>
    </row>
    <row r="2440" customFormat="false" ht="15" hidden="false" customHeight="false" outlineLevel="0" collapsed="false">
      <c r="A2440" s="12"/>
      <c r="B2440" s="13"/>
      <c r="C2440" s="14"/>
      <c r="D2440" s="13"/>
      <c r="E2440" s="15"/>
      <c r="F2440" s="15"/>
      <c r="G2440" s="15"/>
      <c r="H2440" s="14"/>
      <c r="I2440" s="16" t="str">
        <f aca="false">IF(OR(A2440="",C2440=""),"",IF(OR(H2440="İade",H2440="İptal"),0,E2440*IFERROR(INDEX(Kanallar!$B$5:$B$19,MATCH(C2440,Kanallar!$A$5:$A$19,0)),0)))</f>
        <v/>
      </c>
      <c r="J2440" s="16" t="str">
        <f aca="false">IF(I2440="","",IF(H2440="İptal",0,IF(H2440="İade",-G2440,E2440-I2440-F2440-G2440)))</f>
        <v/>
      </c>
    </row>
    <row r="2441" customFormat="false" ht="15" hidden="false" customHeight="false" outlineLevel="0" collapsed="false">
      <c r="A2441" s="12"/>
      <c r="B2441" s="13"/>
      <c r="C2441" s="14"/>
      <c r="D2441" s="13"/>
      <c r="E2441" s="15"/>
      <c r="F2441" s="15"/>
      <c r="G2441" s="15"/>
      <c r="H2441" s="14"/>
      <c r="I2441" s="16" t="str">
        <f aca="false">IF(OR(A2441="",C2441=""),"",IF(OR(H2441="İade",H2441="İptal"),0,E2441*IFERROR(INDEX(Kanallar!$B$5:$B$19,MATCH(C2441,Kanallar!$A$5:$A$19,0)),0)))</f>
        <v/>
      </c>
      <c r="J2441" s="16" t="str">
        <f aca="false">IF(I2441="","",IF(H2441="İptal",0,IF(H2441="İade",-G2441,E2441-I2441-F2441-G2441)))</f>
        <v/>
      </c>
    </row>
    <row r="2442" customFormat="false" ht="15" hidden="false" customHeight="false" outlineLevel="0" collapsed="false">
      <c r="A2442" s="12"/>
      <c r="B2442" s="13"/>
      <c r="C2442" s="14"/>
      <c r="D2442" s="13"/>
      <c r="E2442" s="15"/>
      <c r="F2442" s="15"/>
      <c r="G2442" s="15"/>
      <c r="H2442" s="14"/>
      <c r="I2442" s="16" t="str">
        <f aca="false">IF(OR(A2442="",C2442=""),"",IF(OR(H2442="İade",H2442="İptal"),0,E2442*IFERROR(INDEX(Kanallar!$B$5:$B$19,MATCH(C2442,Kanallar!$A$5:$A$19,0)),0)))</f>
        <v/>
      </c>
      <c r="J2442" s="16" t="str">
        <f aca="false">IF(I2442="","",IF(H2442="İptal",0,IF(H2442="İade",-G2442,E2442-I2442-F2442-G2442)))</f>
        <v/>
      </c>
    </row>
    <row r="2443" customFormat="false" ht="15" hidden="false" customHeight="false" outlineLevel="0" collapsed="false">
      <c r="A2443" s="12"/>
      <c r="B2443" s="13"/>
      <c r="C2443" s="14"/>
      <c r="D2443" s="13"/>
      <c r="E2443" s="15"/>
      <c r="F2443" s="15"/>
      <c r="G2443" s="15"/>
      <c r="H2443" s="14"/>
      <c r="I2443" s="16" t="str">
        <f aca="false">IF(OR(A2443="",C2443=""),"",IF(OR(H2443="İade",H2443="İptal"),0,E2443*IFERROR(INDEX(Kanallar!$B$5:$B$19,MATCH(C2443,Kanallar!$A$5:$A$19,0)),0)))</f>
        <v/>
      </c>
      <c r="J2443" s="16" t="str">
        <f aca="false">IF(I2443="","",IF(H2443="İptal",0,IF(H2443="İade",-G2443,E2443-I2443-F2443-G2443)))</f>
        <v/>
      </c>
    </row>
    <row r="2444" customFormat="false" ht="15" hidden="false" customHeight="false" outlineLevel="0" collapsed="false">
      <c r="A2444" s="12"/>
      <c r="B2444" s="13"/>
      <c r="C2444" s="14"/>
      <c r="D2444" s="13"/>
      <c r="E2444" s="15"/>
      <c r="F2444" s="15"/>
      <c r="G2444" s="15"/>
      <c r="H2444" s="14"/>
      <c r="I2444" s="16" t="str">
        <f aca="false">IF(OR(A2444="",C2444=""),"",IF(OR(H2444="İade",H2444="İptal"),0,E2444*IFERROR(INDEX(Kanallar!$B$5:$B$19,MATCH(C2444,Kanallar!$A$5:$A$19,0)),0)))</f>
        <v/>
      </c>
      <c r="J2444" s="16" t="str">
        <f aca="false">IF(I2444="","",IF(H2444="İptal",0,IF(H2444="İade",-G2444,E2444-I2444-F2444-G2444)))</f>
        <v/>
      </c>
    </row>
    <row r="2445" customFormat="false" ht="15" hidden="false" customHeight="false" outlineLevel="0" collapsed="false">
      <c r="A2445" s="12"/>
      <c r="B2445" s="13"/>
      <c r="C2445" s="14"/>
      <c r="D2445" s="13"/>
      <c r="E2445" s="15"/>
      <c r="F2445" s="15"/>
      <c r="G2445" s="15"/>
      <c r="H2445" s="14"/>
      <c r="I2445" s="16" t="str">
        <f aca="false">IF(OR(A2445="",C2445=""),"",IF(OR(H2445="İade",H2445="İptal"),0,E2445*IFERROR(INDEX(Kanallar!$B$5:$B$19,MATCH(C2445,Kanallar!$A$5:$A$19,0)),0)))</f>
        <v/>
      </c>
      <c r="J2445" s="16" t="str">
        <f aca="false">IF(I2445="","",IF(H2445="İptal",0,IF(H2445="İade",-G2445,E2445-I2445-F2445-G2445)))</f>
        <v/>
      </c>
    </row>
    <row r="2446" customFormat="false" ht="15" hidden="false" customHeight="false" outlineLevel="0" collapsed="false">
      <c r="A2446" s="12"/>
      <c r="B2446" s="13"/>
      <c r="C2446" s="14"/>
      <c r="D2446" s="13"/>
      <c r="E2446" s="15"/>
      <c r="F2446" s="15"/>
      <c r="G2446" s="15"/>
      <c r="H2446" s="14"/>
      <c r="I2446" s="16" t="str">
        <f aca="false">IF(OR(A2446="",C2446=""),"",IF(OR(H2446="İade",H2446="İptal"),0,E2446*IFERROR(INDEX(Kanallar!$B$5:$B$19,MATCH(C2446,Kanallar!$A$5:$A$19,0)),0)))</f>
        <v/>
      </c>
      <c r="J2446" s="16" t="str">
        <f aca="false">IF(I2446="","",IF(H2446="İptal",0,IF(H2446="İade",-G2446,E2446-I2446-F2446-G2446)))</f>
        <v/>
      </c>
    </row>
    <row r="2447" customFormat="false" ht="15" hidden="false" customHeight="false" outlineLevel="0" collapsed="false">
      <c r="A2447" s="12"/>
      <c r="B2447" s="13"/>
      <c r="C2447" s="14"/>
      <c r="D2447" s="13"/>
      <c r="E2447" s="15"/>
      <c r="F2447" s="15"/>
      <c r="G2447" s="15"/>
      <c r="H2447" s="14"/>
      <c r="I2447" s="16" t="str">
        <f aca="false">IF(OR(A2447="",C2447=""),"",IF(OR(H2447="İade",H2447="İptal"),0,E2447*IFERROR(INDEX(Kanallar!$B$5:$B$19,MATCH(C2447,Kanallar!$A$5:$A$19,0)),0)))</f>
        <v/>
      </c>
      <c r="J2447" s="16" t="str">
        <f aca="false">IF(I2447="","",IF(H2447="İptal",0,IF(H2447="İade",-G2447,E2447-I2447-F2447-G2447)))</f>
        <v/>
      </c>
    </row>
    <row r="2448" customFormat="false" ht="15" hidden="false" customHeight="false" outlineLevel="0" collapsed="false">
      <c r="A2448" s="12"/>
      <c r="B2448" s="13"/>
      <c r="C2448" s="14"/>
      <c r="D2448" s="13"/>
      <c r="E2448" s="15"/>
      <c r="F2448" s="15"/>
      <c r="G2448" s="15"/>
      <c r="H2448" s="14"/>
      <c r="I2448" s="16" t="str">
        <f aca="false">IF(OR(A2448="",C2448=""),"",IF(OR(H2448="İade",H2448="İptal"),0,E2448*IFERROR(INDEX(Kanallar!$B$5:$B$19,MATCH(C2448,Kanallar!$A$5:$A$19,0)),0)))</f>
        <v/>
      </c>
      <c r="J2448" s="16" t="str">
        <f aca="false">IF(I2448="","",IF(H2448="İptal",0,IF(H2448="İade",-G2448,E2448-I2448-F2448-G2448)))</f>
        <v/>
      </c>
    </row>
    <row r="2449" customFormat="false" ht="15" hidden="false" customHeight="false" outlineLevel="0" collapsed="false">
      <c r="A2449" s="12"/>
      <c r="B2449" s="13"/>
      <c r="C2449" s="14"/>
      <c r="D2449" s="13"/>
      <c r="E2449" s="15"/>
      <c r="F2449" s="15"/>
      <c r="G2449" s="15"/>
      <c r="H2449" s="14"/>
      <c r="I2449" s="16" t="str">
        <f aca="false">IF(OR(A2449="",C2449=""),"",IF(OR(H2449="İade",H2449="İptal"),0,E2449*IFERROR(INDEX(Kanallar!$B$5:$B$19,MATCH(C2449,Kanallar!$A$5:$A$19,0)),0)))</f>
        <v/>
      </c>
      <c r="J2449" s="16" t="str">
        <f aca="false">IF(I2449="","",IF(H2449="İptal",0,IF(H2449="İade",-G2449,E2449-I2449-F2449-G2449)))</f>
        <v/>
      </c>
    </row>
    <row r="2450" customFormat="false" ht="15" hidden="false" customHeight="false" outlineLevel="0" collapsed="false">
      <c r="A2450" s="12"/>
      <c r="B2450" s="13"/>
      <c r="C2450" s="14"/>
      <c r="D2450" s="13"/>
      <c r="E2450" s="15"/>
      <c r="F2450" s="15"/>
      <c r="G2450" s="15"/>
      <c r="H2450" s="14"/>
      <c r="I2450" s="16" t="str">
        <f aca="false">IF(OR(A2450="",C2450=""),"",IF(OR(H2450="İade",H2450="İptal"),0,E2450*IFERROR(INDEX(Kanallar!$B$5:$B$19,MATCH(C2450,Kanallar!$A$5:$A$19,0)),0)))</f>
        <v/>
      </c>
      <c r="J2450" s="16" t="str">
        <f aca="false">IF(I2450="","",IF(H2450="İptal",0,IF(H2450="İade",-G2450,E2450-I2450-F2450-G2450)))</f>
        <v/>
      </c>
    </row>
    <row r="2451" customFormat="false" ht="15" hidden="false" customHeight="false" outlineLevel="0" collapsed="false">
      <c r="A2451" s="12"/>
      <c r="B2451" s="13"/>
      <c r="C2451" s="14"/>
      <c r="D2451" s="13"/>
      <c r="E2451" s="15"/>
      <c r="F2451" s="15"/>
      <c r="G2451" s="15"/>
      <c r="H2451" s="14"/>
      <c r="I2451" s="16" t="str">
        <f aca="false">IF(OR(A2451="",C2451=""),"",IF(OR(H2451="İade",H2451="İptal"),0,E2451*IFERROR(INDEX(Kanallar!$B$5:$B$19,MATCH(C2451,Kanallar!$A$5:$A$19,0)),0)))</f>
        <v/>
      </c>
      <c r="J2451" s="16" t="str">
        <f aca="false">IF(I2451="","",IF(H2451="İptal",0,IF(H2451="İade",-G2451,E2451-I2451-F2451-G2451)))</f>
        <v/>
      </c>
    </row>
    <row r="2452" customFormat="false" ht="15" hidden="false" customHeight="false" outlineLevel="0" collapsed="false">
      <c r="A2452" s="12"/>
      <c r="B2452" s="13"/>
      <c r="C2452" s="14"/>
      <c r="D2452" s="13"/>
      <c r="E2452" s="15"/>
      <c r="F2452" s="15"/>
      <c r="G2452" s="15"/>
      <c r="H2452" s="14"/>
      <c r="I2452" s="16" t="str">
        <f aca="false">IF(OR(A2452="",C2452=""),"",IF(OR(H2452="İade",H2452="İptal"),0,E2452*IFERROR(INDEX(Kanallar!$B$5:$B$19,MATCH(C2452,Kanallar!$A$5:$A$19,0)),0)))</f>
        <v/>
      </c>
      <c r="J2452" s="16" t="str">
        <f aca="false">IF(I2452="","",IF(H2452="İptal",0,IF(H2452="İade",-G2452,E2452-I2452-F2452-G2452)))</f>
        <v/>
      </c>
    </row>
    <row r="2453" customFormat="false" ht="15" hidden="false" customHeight="false" outlineLevel="0" collapsed="false">
      <c r="A2453" s="12"/>
      <c r="B2453" s="13"/>
      <c r="C2453" s="14"/>
      <c r="D2453" s="13"/>
      <c r="E2453" s="15"/>
      <c r="F2453" s="15"/>
      <c r="G2453" s="15"/>
      <c r="H2453" s="14"/>
      <c r="I2453" s="16" t="str">
        <f aca="false">IF(OR(A2453="",C2453=""),"",IF(OR(H2453="İade",H2453="İptal"),0,E2453*IFERROR(INDEX(Kanallar!$B$5:$B$19,MATCH(C2453,Kanallar!$A$5:$A$19,0)),0)))</f>
        <v/>
      </c>
      <c r="J2453" s="16" t="str">
        <f aca="false">IF(I2453="","",IF(H2453="İptal",0,IF(H2453="İade",-G2453,E2453-I2453-F2453-G2453)))</f>
        <v/>
      </c>
    </row>
    <row r="2454" customFormat="false" ht="15" hidden="false" customHeight="false" outlineLevel="0" collapsed="false">
      <c r="A2454" s="12"/>
      <c r="B2454" s="13"/>
      <c r="C2454" s="14"/>
      <c r="D2454" s="13"/>
      <c r="E2454" s="15"/>
      <c r="F2454" s="15"/>
      <c r="G2454" s="15"/>
      <c r="H2454" s="14"/>
      <c r="I2454" s="16" t="str">
        <f aca="false">IF(OR(A2454="",C2454=""),"",IF(OR(H2454="İade",H2454="İptal"),0,E2454*IFERROR(INDEX(Kanallar!$B$5:$B$19,MATCH(C2454,Kanallar!$A$5:$A$19,0)),0)))</f>
        <v/>
      </c>
      <c r="J2454" s="16" t="str">
        <f aca="false">IF(I2454="","",IF(H2454="İptal",0,IF(H2454="İade",-G2454,E2454-I2454-F2454-G2454)))</f>
        <v/>
      </c>
    </row>
    <row r="2455" customFormat="false" ht="15" hidden="false" customHeight="false" outlineLevel="0" collapsed="false">
      <c r="A2455" s="12"/>
      <c r="B2455" s="13"/>
      <c r="C2455" s="14"/>
      <c r="D2455" s="13"/>
      <c r="E2455" s="15"/>
      <c r="F2455" s="15"/>
      <c r="G2455" s="15"/>
      <c r="H2455" s="14"/>
      <c r="I2455" s="16" t="str">
        <f aca="false">IF(OR(A2455="",C2455=""),"",IF(OR(H2455="İade",H2455="İptal"),0,E2455*IFERROR(INDEX(Kanallar!$B$5:$B$19,MATCH(C2455,Kanallar!$A$5:$A$19,0)),0)))</f>
        <v/>
      </c>
      <c r="J2455" s="16" t="str">
        <f aca="false">IF(I2455="","",IF(H2455="İptal",0,IF(H2455="İade",-G2455,E2455-I2455-F2455-G2455)))</f>
        <v/>
      </c>
    </row>
    <row r="2456" customFormat="false" ht="15" hidden="false" customHeight="false" outlineLevel="0" collapsed="false">
      <c r="A2456" s="12"/>
      <c r="B2456" s="13"/>
      <c r="C2456" s="14"/>
      <c r="D2456" s="13"/>
      <c r="E2456" s="15"/>
      <c r="F2456" s="15"/>
      <c r="G2456" s="15"/>
      <c r="H2456" s="14"/>
      <c r="I2456" s="16" t="str">
        <f aca="false">IF(OR(A2456="",C2456=""),"",IF(OR(H2456="İade",H2456="İptal"),0,E2456*IFERROR(INDEX(Kanallar!$B$5:$B$19,MATCH(C2456,Kanallar!$A$5:$A$19,0)),0)))</f>
        <v/>
      </c>
      <c r="J2456" s="16" t="str">
        <f aca="false">IF(I2456="","",IF(H2456="İptal",0,IF(H2456="İade",-G2456,E2456-I2456-F2456-G2456)))</f>
        <v/>
      </c>
    </row>
    <row r="2457" customFormat="false" ht="15" hidden="false" customHeight="false" outlineLevel="0" collapsed="false">
      <c r="A2457" s="12"/>
      <c r="B2457" s="13"/>
      <c r="C2457" s="14"/>
      <c r="D2457" s="13"/>
      <c r="E2457" s="15"/>
      <c r="F2457" s="15"/>
      <c r="G2457" s="15"/>
      <c r="H2457" s="14"/>
      <c r="I2457" s="16" t="str">
        <f aca="false">IF(OR(A2457="",C2457=""),"",IF(OR(H2457="İade",H2457="İptal"),0,E2457*IFERROR(INDEX(Kanallar!$B$5:$B$19,MATCH(C2457,Kanallar!$A$5:$A$19,0)),0)))</f>
        <v/>
      </c>
      <c r="J2457" s="16" t="str">
        <f aca="false">IF(I2457="","",IF(H2457="İptal",0,IF(H2457="İade",-G2457,E2457-I2457-F2457-G2457)))</f>
        <v/>
      </c>
    </row>
    <row r="2458" customFormat="false" ht="15" hidden="false" customHeight="false" outlineLevel="0" collapsed="false">
      <c r="A2458" s="12"/>
      <c r="B2458" s="13"/>
      <c r="C2458" s="14"/>
      <c r="D2458" s="13"/>
      <c r="E2458" s="15"/>
      <c r="F2458" s="15"/>
      <c r="G2458" s="15"/>
      <c r="H2458" s="14"/>
      <c r="I2458" s="16" t="str">
        <f aca="false">IF(OR(A2458="",C2458=""),"",IF(OR(H2458="İade",H2458="İptal"),0,E2458*IFERROR(INDEX(Kanallar!$B$5:$B$19,MATCH(C2458,Kanallar!$A$5:$A$19,0)),0)))</f>
        <v/>
      </c>
      <c r="J2458" s="16" t="str">
        <f aca="false">IF(I2458="","",IF(H2458="İptal",0,IF(H2458="İade",-G2458,E2458-I2458-F2458-G2458)))</f>
        <v/>
      </c>
    </row>
    <row r="2459" customFormat="false" ht="15" hidden="false" customHeight="false" outlineLevel="0" collapsed="false">
      <c r="A2459" s="12"/>
      <c r="B2459" s="13"/>
      <c r="C2459" s="14"/>
      <c r="D2459" s="13"/>
      <c r="E2459" s="15"/>
      <c r="F2459" s="15"/>
      <c r="G2459" s="15"/>
      <c r="H2459" s="14"/>
      <c r="I2459" s="16" t="str">
        <f aca="false">IF(OR(A2459="",C2459=""),"",IF(OR(H2459="İade",H2459="İptal"),0,E2459*IFERROR(INDEX(Kanallar!$B$5:$B$19,MATCH(C2459,Kanallar!$A$5:$A$19,0)),0)))</f>
        <v/>
      </c>
      <c r="J2459" s="16" t="str">
        <f aca="false">IF(I2459="","",IF(H2459="İptal",0,IF(H2459="İade",-G2459,E2459-I2459-F2459-G2459)))</f>
        <v/>
      </c>
    </row>
    <row r="2460" customFormat="false" ht="15" hidden="false" customHeight="false" outlineLevel="0" collapsed="false">
      <c r="A2460" s="12"/>
      <c r="B2460" s="13"/>
      <c r="C2460" s="14"/>
      <c r="D2460" s="13"/>
      <c r="E2460" s="15"/>
      <c r="F2460" s="15"/>
      <c r="G2460" s="15"/>
      <c r="H2460" s="14"/>
      <c r="I2460" s="16" t="str">
        <f aca="false">IF(OR(A2460="",C2460=""),"",IF(OR(H2460="İade",H2460="İptal"),0,E2460*IFERROR(INDEX(Kanallar!$B$5:$B$19,MATCH(C2460,Kanallar!$A$5:$A$19,0)),0)))</f>
        <v/>
      </c>
      <c r="J2460" s="16" t="str">
        <f aca="false">IF(I2460="","",IF(H2460="İptal",0,IF(H2460="İade",-G2460,E2460-I2460-F2460-G2460)))</f>
        <v/>
      </c>
    </row>
    <row r="2461" customFormat="false" ht="15" hidden="false" customHeight="false" outlineLevel="0" collapsed="false">
      <c r="A2461" s="12"/>
      <c r="B2461" s="13"/>
      <c r="C2461" s="14"/>
      <c r="D2461" s="13"/>
      <c r="E2461" s="15"/>
      <c r="F2461" s="15"/>
      <c r="G2461" s="15"/>
      <c r="H2461" s="14"/>
      <c r="I2461" s="16" t="str">
        <f aca="false">IF(OR(A2461="",C2461=""),"",IF(OR(H2461="İade",H2461="İptal"),0,E2461*IFERROR(INDEX(Kanallar!$B$5:$B$19,MATCH(C2461,Kanallar!$A$5:$A$19,0)),0)))</f>
        <v/>
      </c>
      <c r="J2461" s="16" t="str">
        <f aca="false">IF(I2461="","",IF(H2461="İptal",0,IF(H2461="İade",-G2461,E2461-I2461-F2461-G2461)))</f>
        <v/>
      </c>
    </row>
    <row r="2462" customFormat="false" ht="15" hidden="false" customHeight="false" outlineLevel="0" collapsed="false">
      <c r="A2462" s="12"/>
      <c r="B2462" s="13"/>
      <c r="C2462" s="14"/>
      <c r="D2462" s="13"/>
      <c r="E2462" s="15"/>
      <c r="F2462" s="15"/>
      <c r="G2462" s="15"/>
      <c r="H2462" s="14"/>
      <c r="I2462" s="16" t="str">
        <f aca="false">IF(OR(A2462="",C2462=""),"",IF(OR(H2462="İade",H2462="İptal"),0,E2462*IFERROR(INDEX(Kanallar!$B$5:$B$19,MATCH(C2462,Kanallar!$A$5:$A$19,0)),0)))</f>
        <v/>
      </c>
      <c r="J2462" s="16" t="str">
        <f aca="false">IF(I2462="","",IF(H2462="İptal",0,IF(H2462="İade",-G2462,E2462-I2462-F2462-G2462)))</f>
        <v/>
      </c>
    </row>
    <row r="2463" customFormat="false" ht="15" hidden="false" customHeight="false" outlineLevel="0" collapsed="false">
      <c r="A2463" s="12"/>
      <c r="B2463" s="13"/>
      <c r="C2463" s="14"/>
      <c r="D2463" s="13"/>
      <c r="E2463" s="15"/>
      <c r="F2463" s="15"/>
      <c r="G2463" s="15"/>
      <c r="H2463" s="14"/>
      <c r="I2463" s="16" t="str">
        <f aca="false">IF(OR(A2463="",C2463=""),"",IF(OR(H2463="İade",H2463="İptal"),0,E2463*IFERROR(INDEX(Kanallar!$B$5:$B$19,MATCH(C2463,Kanallar!$A$5:$A$19,0)),0)))</f>
        <v/>
      </c>
      <c r="J2463" s="16" t="str">
        <f aca="false">IF(I2463="","",IF(H2463="İptal",0,IF(H2463="İade",-G2463,E2463-I2463-F2463-G2463)))</f>
        <v/>
      </c>
    </row>
    <row r="2464" customFormat="false" ht="15" hidden="false" customHeight="false" outlineLevel="0" collapsed="false">
      <c r="A2464" s="12"/>
      <c r="B2464" s="13"/>
      <c r="C2464" s="14"/>
      <c r="D2464" s="13"/>
      <c r="E2464" s="15"/>
      <c r="F2464" s="15"/>
      <c r="G2464" s="15"/>
      <c r="H2464" s="14"/>
      <c r="I2464" s="16" t="str">
        <f aca="false">IF(OR(A2464="",C2464=""),"",IF(OR(H2464="İade",H2464="İptal"),0,E2464*IFERROR(INDEX(Kanallar!$B$5:$B$19,MATCH(C2464,Kanallar!$A$5:$A$19,0)),0)))</f>
        <v/>
      </c>
      <c r="J2464" s="16" t="str">
        <f aca="false">IF(I2464="","",IF(H2464="İptal",0,IF(H2464="İade",-G2464,E2464-I2464-F2464-G2464)))</f>
        <v/>
      </c>
    </row>
    <row r="2465" customFormat="false" ht="15" hidden="false" customHeight="false" outlineLevel="0" collapsed="false">
      <c r="A2465" s="12"/>
      <c r="B2465" s="13"/>
      <c r="C2465" s="14"/>
      <c r="D2465" s="13"/>
      <c r="E2465" s="15"/>
      <c r="F2465" s="15"/>
      <c r="G2465" s="15"/>
      <c r="H2465" s="14"/>
      <c r="I2465" s="16" t="str">
        <f aca="false">IF(OR(A2465="",C2465=""),"",IF(OR(H2465="İade",H2465="İptal"),0,E2465*IFERROR(INDEX(Kanallar!$B$5:$B$19,MATCH(C2465,Kanallar!$A$5:$A$19,0)),0)))</f>
        <v/>
      </c>
      <c r="J2465" s="16" t="str">
        <f aca="false">IF(I2465="","",IF(H2465="İptal",0,IF(H2465="İade",-G2465,E2465-I2465-F2465-G2465)))</f>
        <v/>
      </c>
    </row>
    <row r="2466" customFormat="false" ht="15" hidden="false" customHeight="false" outlineLevel="0" collapsed="false">
      <c r="A2466" s="12"/>
      <c r="B2466" s="13"/>
      <c r="C2466" s="14"/>
      <c r="D2466" s="13"/>
      <c r="E2466" s="15"/>
      <c r="F2466" s="15"/>
      <c r="G2466" s="15"/>
      <c r="H2466" s="14"/>
      <c r="I2466" s="16" t="str">
        <f aca="false">IF(OR(A2466="",C2466=""),"",IF(OR(H2466="İade",H2466="İptal"),0,E2466*IFERROR(INDEX(Kanallar!$B$5:$B$19,MATCH(C2466,Kanallar!$A$5:$A$19,0)),0)))</f>
        <v/>
      </c>
      <c r="J2466" s="16" t="str">
        <f aca="false">IF(I2466="","",IF(H2466="İptal",0,IF(H2466="İade",-G2466,E2466-I2466-F2466-G2466)))</f>
        <v/>
      </c>
    </row>
    <row r="2467" customFormat="false" ht="15" hidden="false" customHeight="false" outlineLevel="0" collapsed="false">
      <c r="A2467" s="12"/>
      <c r="B2467" s="13"/>
      <c r="C2467" s="14"/>
      <c r="D2467" s="13"/>
      <c r="E2467" s="15"/>
      <c r="F2467" s="15"/>
      <c r="G2467" s="15"/>
      <c r="H2467" s="14"/>
      <c r="I2467" s="16" t="str">
        <f aca="false">IF(OR(A2467="",C2467=""),"",IF(OR(H2467="İade",H2467="İptal"),0,E2467*IFERROR(INDEX(Kanallar!$B$5:$B$19,MATCH(C2467,Kanallar!$A$5:$A$19,0)),0)))</f>
        <v/>
      </c>
      <c r="J2467" s="16" t="str">
        <f aca="false">IF(I2467="","",IF(H2467="İptal",0,IF(H2467="İade",-G2467,E2467-I2467-F2467-G2467)))</f>
        <v/>
      </c>
    </row>
    <row r="2468" customFormat="false" ht="15" hidden="false" customHeight="false" outlineLevel="0" collapsed="false">
      <c r="A2468" s="12"/>
      <c r="B2468" s="13"/>
      <c r="C2468" s="14"/>
      <c r="D2468" s="13"/>
      <c r="E2468" s="15"/>
      <c r="F2468" s="15"/>
      <c r="G2468" s="15"/>
      <c r="H2468" s="14"/>
      <c r="I2468" s="16" t="str">
        <f aca="false">IF(OR(A2468="",C2468=""),"",IF(OR(H2468="İade",H2468="İptal"),0,E2468*IFERROR(INDEX(Kanallar!$B$5:$B$19,MATCH(C2468,Kanallar!$A$5:$A$19,0)),0)))</f>
        <v/>
      </c>
      <c r="J2468" s="16" t="str">
        <f aca="false">IF(I2468="","",IF(H2468="İptal",0,IF(H2468="İade",-G2468,E2468-I2468-F2468-G2468)))</f>
        <v/>
      </c>
    </row>
    <row r="2469" customFormat="false" ht="15" hidden="false" customHeight="false" outlineLevel="0" collapsed="false">
      <c r="A2469" s="12"/>
      <c r="B2469" s="13"/>
      <c r="C2469" s="14"/>
      <c r="D2469" s="13"/>
      <c r="E2469" s="15"/>
      <c r="F2469" s="15"/>
      <c r="G2469" s="15"/>
      <c r="H2469" s="14"/>
      <c r="I2469" s="16" t="str">
        <f aca="false">IF(OR(A2469="",C2469=""),"",IF(OR(H2469="İade",H2469="İptal"),0,E2469*IFERROR(INDEX(Kanallar!$B$5:$B$19,MATCH(C2469,Kanallar!$A$5:$A$19,0)),0)))</f>
        <v/>
      </c>
      <c r="J2469" s="16" t="str">
        <f aca="false">IF(I2469="","",IF(H2469="İptal",0,IF(H2469="İade",-G2469,E2469-I2469-F2469-G2469)))</f>
        <v/>
      </c>
    </row>
    <row r="2470" customFormat="false" ht="15" hidden="false" customHeight="false" outlineLevel="0" collapsed="false">
      <c r="A2470" s="12"/>
      <c r="B2470" s="13"/>
      <c r="C2470" s="14"/>
      <c r="D2470" s="13"/>
      <c r="E2470" s="15"/>
      <c r="F2470" s="15"/>
      <c r="G2470" s="15"/>
      <c r="H2470" s="14"/>
      <c r="I2470" s="16" t="str">
        <f aca="false">IF(OR(A2470="",C2470=""),"",IF(OR(H2470="İade",H2470="İptal"),0,E2470*IFERROR(INDEX(Kanallar!$B$5:$B$19,MATCH(C2470,Kanallar!$A$5:$A$19,0)),0)))</f>
        <v/>
      </c>
      <c r="J2470" s="16" t="str">
        <f aca="false">IF(I2470="","",IF(H2470="İptal",0,IF(H2470="İade",-G2470,E2470-I2470-F2470-G2470)))</f>
        <v/>
      </c>
    </row>
    <row r="2471" customFormat="false" ht="15" hidden="false" customHeight="false" outlineLevel="0" collapsed="false">
      <c r="A2471" s="12"/>
      <c r="B2471" s="13"/>
      <c r="C2471" s="14"/>
      <c r="D2471" s="13"/>
      <c r="E2471" s="15"/>
      <c r="F2471" s="15"/>
      <c r="G2471" s="15"/>
      <c r="H2471" s="14"/>
      <c r="I2471" s="16" t="str">
        <f aca="false">IF(OR(A2471="",C2471=""),"",IF(OR(H2471="İade",H2471="İptal"),0,E2471*IFERROR(INDEX(Kanallar!$B$5:$B$19,MATCH(C2471,Kanallar!$A$5:$A$19,0)),0)))</f>
        <v/>
      </c>
      <c r="J2471" s="16" t="str">
        <f aca="false">IF(I2471="","",IF(H2471="İptal",0,IF(H2471="İade",-G2471,E2471-I2471-F2471-G2471)))</f>
        <v/>
      </c>
    </row>
    <row r="2472" customFormat="false" ht="15" hidden="false" customHeight="false" outlineLevel="0" collapsed="false">
      <c r="A2472" s="12"/>
      <c r="B2472" s="13"/>
      <c r="C2472" s="14"/>
      <c r="D2472" s="13"/>
      <c r="E2472" s="15"/>
      <c r="F2472" s="15"/>
      <c r="G2472" s="15"/>
      <c r="H2472" s="14"/>
      <c r="I2472" s="16" t="str">
        <f aca="false">IF(OR(A2472="",C2472=""),"",IF(OR(H2472="İade",H2472="İptal"),0,E2472*IFERROR(INDEX(Kanallar!$B$5:$B$19,MATCH(C2472,Kanallar!$A$5:$A$19,0)),0)))</f>
        <v/>
      </c>
      <c r="J2472" s="16" t="str">
        <f aca="false">IF(I2472="","",IF(H2472="İptal",0,IF(H2472="İade",-G2472,E2472-I2472-F2472-G2472)))</f>
        <v/>
      </c>
    </row>
    <row r="2473" customFormat="false" ht="15" hidden="false" customHeight="false" outlineLevel="0" collapsed="false">
      <c r="A2473" s="12"/>
      <c r="B2473" s="13"/>
      <c r="C2473" s="14"/>
      <c r="D2473" s="13"/>
      <c r="E2473" s="15"/>
      <c r="F2473" s="15"/>
      <c r="G2473" s="15"/>
      <c r="H2473" s="14"/>
      <c r="I2473" s="16" t="str">
        <f aca="false">IF(OR(A2473="",C2473=""),"",IF(OR(H2473="İade",H2473="İptal"),0,E2473*IFERROR(INDEX(Kanallar!$B$5:$B$19,MATCH(C2473,Kanallar!$A$5:$A$19,0)),0)))</f>
        <v/>
      </c>
      <c r="J2473" s="16" t="str">
        <f aca="false">IF(I2473="","",IF(H2473="İptal",0,IF(H2473="İade",-G2473,E2473-I2473-F2473-G2473)))</f>
        <v/>
      </c>
    </row>
    <row r="2474" customFormat="false" ht="15" hidden="false" customHeight="false" outlineLevel="0" collapsed="false">
      <c r="A2474" s="12"/>
      <c r="B2474" s="13"/>
      <c r="C2474" s="14"/>
      <c r="D2474" s="13"/>
      <c r="E2474" s="15"/>
      <c r="F2474" s="15"/>
      <c r="G2474" s="15"/>
      <c r="H2474" s="14"/>
      <c r="I2474" s="16" t="str">
        <f aca="false">IF(OR(A2474="",C2474=""),"",IF(OR(H2474="İade",H2474="İptal"),0,E2474*IFERROR(INDEX(Kanallar!$B$5:$B$19,MATCH(C2474,Kanallar!$A$5:$A$19,0)),0)))</f>
        <v/>
      </c>
      <c r="J2474" s="16" t="str">
        <f aca="false">IF(I2474="","",IF(H2474="İptal",0,IF(H2474="İade",-G2474,E2474-I2474-F2474-G2474)))</f>
        <v/>
      </c>
    </row>
    <row r="2475" customFormat="false" ht="15" hidden="false" customHeight="false" outlineLevel="0" collapsed="false">
      <c r="A2475" s="12"/>
      <c r="B2475" s="13"/>
      <c r="C2475" s="14"/>
      <c r="D2475" s="13"/>
      <c r="E2475" s="15"/>
      <c r="F2475" s="15"/>
      <c r="G2475" s="15"/>
      <c r="H2475" s="14"/>
      <c r="I2475" s="16" t="str">
        <f aca="false">IF(OR(A2475="",C2475=""),"",IF(OR(H2475="İade",H2475="İptal"),0,E2475*IFERROR(INDEX(Kanallar!$B$5:$B$19,MATCH(C2475,Kanallar!$A$5:$A$19,0)),0)))</f>
        <v/>
      </c>
      <c r="J2475" s="16" t="str">
        <f aca="false">IF(I2475="","",IF(H2475="İptal",0,IF(H2475="İade",-G2475,E2475-I2475-F2475-G2475)))</f>
        <v/>
      </c>
    </row>
    <row r="2476" customFormat="false" ht="15" hidden="false" customHeight="false" outlineLevel="0" collapsed="false">
      <c r="A2476" s="12"/>
      <c r="B2476" s="13"/>
      <c r="C2476" s="14"/>
      <c r="D2476" s="13"/>
      <c r="E2476" s="15"/>
      <c r="F2476" s="15"/>
      <c r="G2476" s="15"/>
      <c r="H2476" s="14"/>
      <c r="I2476" s="16" t="str">
        <f aca="false">IF(OR(A2476="",C2476=""),"",IF(OR(H2476="İade",H2476="İptal"),0,E2476*IFERROR(INDEX(Kanallar!$B$5:$B$19,MATCH(C2476,Kanallar!$A$5:$A$19,0)),0)))</f>
        <v/>
      </c>
      <c r="J2476" s="16" t="str">
        <f aca="false">IF(I2476="","",IF(H2476="İptal",0,IF(H2476="İade",-G2476,E2476-I2476-F2476-G2476)))</f>
        <v/>
      </c>
    </row>
    <row r="2477" customFormat="false" ht="15" hidden="false" customHeight="false" outlineLevel="0" collapsed="false">
      <c r="A2477" s="12"/>
      <c r="B2477" s="13"/>
      <c r="C2477" s="14"/>
      <c r="D2477" s="13"/>
      <c r="E2477" s="15"/>
      <c r="F2477" s="15"/>
      <c r="G2477" s="15"/>
      <c r="H2477" s="14"/>
      <c r="I2477" s="16" t="str">
        <f aca="false">IF(OR(A2477="",C2477=""),"",IF(OR(H2477="İade",H2477="İptal"),0,E2477*IFERROR(INDEX(Kanallar!$B$5:$B$19,MATCH(C2477,Kanallar!$A$5:$A$19,0)),0)))</f>
        <v/>
      </c>
      <c r="J2477" s="16" t="str">
        <f aca="false">IF(I2477="","",IF(H2477="İptal",0,IF(H2477="İade",-G2477,E2477-I2477-F2477-G2477)))</f>
        <v/>
      </c>
    </row>
    <row r="2478" customFormat="false" ht="15" hidden="false" customHeight="false" outlineLevel="0" collapsed="false">
      <c r="A2478" s="12"/>
      <c r="B2478" s="13"/>
      <c r="C2478" s="14"/>
      <c r="D2478" s="13"/>
      <c r="E2478" s="15"/>
      <c r="F2478" s="15"/>
      <c r="G2478" s="15"/>
      <c r="H2478" s="14"/>
      <c r="I2478" s="16" t="str">
        <f aca="false">IF(OR(A2478="",C2478=""),"",IF(OR(H2478="İade",H2478="İptal"),0,E2478*IFERROR(INDEX(Kanallar!$B$5:$B$19,MATCH(C2478,Kanallar!$A$5:$A$19,0)),0)))</f>
        <v/>
      </c>
      <c r="J2478" s="16" t="str">
        <f aca="false">IF(I2478="","",IF(H2478="İptal",0,IF(H2478="İade",-G2478,E2478-I2478-F2478-G2478)))</f>
        <v/>
      </c>
    </row>
    <row r="2479" customFormat="false" ht="15" hidden="false" customHeight="false" outlineLevel="0" collapsed="false">
      <c r="A2479" s="12"/>
      <c r="B2479" s="13"/>
      <c r="C2479" s="14"/>
      <c r="D2479" s="13"/>
      <c r="E2479" s="15"/>
      <c r="F2479" s="15"/>
      <c r="G2479" s="15"/>
      <c r="H2479" s="14"/>
      <c r="I2479" s="16" t="str">
        <f aca="false">IF(OR(A2479="",C2479=""),"",IF(OR(H2479="İade",H2479="İptal"),0,E2479*IFERROR(INDEX(Kanallar!$B$5:$B$19,MATCH(C2479,Kanallar!$A$5:$A$19,0)),0)))</f>
        <v/>
      </c>
      <c r="J2479" s="16" t="str">
        <f aca="false">IF(I2479="","",IF(H2479="İptal",0,IF(H2479="İade",-G2479,E2479-I2479-F2479-G2479)))</f>
        <v/>
      </c>
    </row>
    <row r="2480" customFormat="false" ht="15" hidden="false" customHeight="false" outlineLevel="0" collapsed="false">
      <c r="A2480" s="12"/>
      <c r="B2480" s="13"/>
      <c r="C2480" s="14"/>
      <c r="D2480" s="13"/>
      <c r="E2480" s="15"/>
      <c r="F2480" s="15"/>
      <c r="G2480" s="15"/>
      <c r="H2480" s="14"/>
      <c r="I2480" s="16" t="str">
        <f aca="false">IF(OR(A2480="",C2480=""),"",IF(OR(H2480="İade",H2480="İptal"),0,E2480*IFERROR(INDEX(Kanallar!$B$5:$B$19,MATCH(C2480,Kanallar!$A$5:$A$19,0)),0)))</f>
        <v/>
      </c>
      <c r="J2480" s="16" t="str">
        <f aca="false">IF(I2480="","",IF(H2480="İptal",0,IF(H2480="İade",-G2480,E2480-I2480-F2480-G2480)))</f>
        <v/>
      </c>
    </row>
    <row r="2481" customFormat="false" ht="15" hidden="false" customHeight="false" outlineLevel="0" collapsed="false">
      <c r="A2481" s="12"/>
      <c r="B2481" s="13"/>
      <c r="C2481" s="14"/>
      <c r="D2481" s="13"/>
      <c r="E2481" s="15"/>
      <c r="F2481" s="15"/>
      <c r="G2481" s="15"/>
      <c r="H2481" s="14"/>
      <c r="I2481" s="16" t="str">
        <f aca="false">IF(OR(A2481="",C2481=""),"",IF(OR(H2481="İade",H2481="İptal"),0,E2481*IFERROR(INDEX(Kanallar!$B$5:$B$19,MATCH(C2481,Kanallar!$A$5:$A$19,0)),0)))</f>
        <v/>
      </c>
      <c r="J2481" s="16" t="str">
        <f aca="false">IF(I2481="","",IF(H2481="İptal",0,IF(H2481="İade",-G2481,E2481-I2481-F2481-G2481)))</f>
        <v/>
      </c>
    </row>
    <row r="2482" customFormat="false" ht="15" hidden="false" customHeight="false" outlineLevel="0" collapsed="false">
      <c r="A2482" s="12"/>
      <c r="B2482" s="13"/>
      <c r="C2482" s="14"/>
      <c r="D2482" s="13"/>
      <c r="E2482" s="15"/>
      <c r="F2482" s="15"/>
      <c r="G2482" s="15"/>
      <c r="H2482" s="14"/>
      <c r="I2482" s="16" t="str">
        <f aca="false">IF(OR(A2482="",C2482=""),"",IF(OR(H2482="İade",H2482="İptal"),0,E2482*IFERROR(INDEX(Kanallar!$B$5:$B$19,MATCH(C2482,Kanallar!$A$5:$A$19,0)),0)))</f>
        <v/>
      </c>
      <c r="J2482" s="16" t="str">
        <f aca="false">IF(I2482="","",IF(H2482="İptal",0,IF(H2482="İade",-G2482,E2482-I2482-F2482-G2482)))</f>
        <v/>
      </c>
    </row>
    <row r="2483" customFormat="false" ht="15" hidden="false" customHeight="false" outlineLevel="0" collapsed="false">
      <c r="A2483" s="12"/>
      <c r="B2483" s="13"/>
      <c r="C2483" s="14"/>
      <c r="D2483" s="13"/>
      <c r="E2483" s="15"/>
      <c r="F2483" s="15"/>
      <c r="G2483" s="15"/>
      <c r="H2483" s="14"/>
      <c r="I2483" s="16" t="str">
        <f aca="false">IF(OR(A2483="",C2483=""),"",IF(OR(H2483="İade",H2483="İptal"),0,E2483*IFERROR(INDEX(Kanallar!$B$5:$B$19,MATCH(C2483,Kanallar!$A$5:$A$19,0)),0)))</f>
        <v/>
      </c>
      <c r="J2483" s="16" t="str">
        <f aca="false">IF(I2483="","",IF(H2483="İptal",0,IF(H2483="İade",-G2483,E2483-I2483-F2483-G2483)))</f>
        <v/>
      </c>
    </row>
    <row r="2484" customFormat="false" ht="15" hidden="false" customHeight="false" outlineLevel="0" collapsed="false">
      <c r="A2484" s="12"/>
      <c r="B2484" s="13"/>
      <c r="C2484" s="14"/>
      <c r="D2484" s="13"/>
      <c r="E2484" s="15"/>
      <c r="F2484" s="15"/>
      <c r="G2484" s="15"/>
      <c r="H2484" s="14"/>
      <c r="I2484" s="16" t="str">
        <f aca="false">IF(OR(A2484="",C2484=""),"",IF(OR(H2484="İade",H2484="İptal"),0,E2484*IFERROR(INDEX(Kanallar!$B$5:$B$19,MATCH(C2484,Kanallar!$A$5:$A$19,0)),0)))</f>
        <v/>
      </c>
      <c r="J2484" s="16" t="str">
        <f aca="false">IF(I2484="","",IF(H2484="İptal",0,IF(H2484="İade",-G2484,E2484-I2484-F2484-G2484)))</f>
        <v/>
      </c>
    </row>
    <row r="2485" customFormat="false" ht="15" hidden="false" customHeight="false" outlineLevel="0" collapsed="false">
      <c r="A2485" s="12"/>
      <c r="B2485" s="13"/>
      <c r="C2485" s="14"/>
      <c r="D2485" s="13"/>
      <c r="E2485" s="15"/>
      <c r="F2485" s="15"/>
      <c r="G2485" s="15"/>
      <c r="H2485" s="14"/>
      <c r="I2485" s="16" t="str">
        <f aca="false">IF(OR(A2485="",C2485=""),"",IF(OR(H2485="İade",H2485="İptal"),0,E2485*IFERROR(INDEX(Kanallar!$B$5:$B$19,MATCH(C2485,Kanallar!$A$5:$A$19,0)),0)))</f>
        <v/>
      </c>
      <c r="J2485" s="16" t="str">
        <f aca="false">IF(I2485="","",IF(H2485="İptal",0,IF(H2485="İade",-G2485,E2485-I2485-F2485-G2485)))</f>
        <v/>
      </c>
    </row>
    <row r="2486" customFormat="false" ht="15" hidden="false" customHeight="false" outlineLevel="0" collapsed="false">
      <c r="A2486" s="12"/>
      <c r="B2486" s="13"/>
      <c r="C2486" s="14"/>
      <c r="D2486" s="13"/>
      <c r="E2486" s="15"/>
      <c r="F2486" s="15"/>
      <c r="G2486" s="15"/>
      <c r="H2486" s="14"/>
      <c r="I2486" s="16" t="str">
        <f aca="false">IF(OR(A2486="",C2486=""),"",IF(OR(H2486="İade",H2486="İptal"),0,E2486*IFERROR(INDEX(Kanallar!$B$5:$B$19,MATCH(C2486,Kanallar!$A$5:$A$19,0)),0)))</f>
        <v/>
      </c>
      <c r="J2486" s="16" t="str">
        <f aca="false">IF(I2486="","",IF(H2486="İptal",0,IF(H2486="İade",-G2486,E2486-I2486-F2486-G2486)))</f>
        <v/>
      </c>
    </row>
    <row r="2487" customFormat="false" ht="15" hidden="false" customHeight="false" outlineLevel="0" collapsed="false">
      <c r="A2487" s="12"/>
      <c r="B2487" s="13"/>
      <c r="C2487" s="14"/>
      <c r="D2487" s="13"/>
      <c r="E2487" s="15"/>
      <c r="F2487" s="15"/>
      <c r="G2487" s="15"/>
      <c r="H2487" s="14"/>
      <c r="I2487" s="16" t="str">
        <f aca="false">IF(OR(A2487="",C2487=""),"",IF(OR(H2487="İade",H2487="İptal"),0,E2487*IFERROR(INDEX(Kanallar!$B$5:$B$19,MATCH(C2487,Kanallar!$A$5:$A$19,0)),0)))</f>
        <v/>
      </c>
      <c r="J2487" s="16" t="str">
        <f aca="false">IF(I2487="","",IF(H2487="İptal",0,IF(H2487="İade",-G2487,E2487-I2487-F2487-G2487)))</f>
        <v/>
      </c>
    </row>
    <row r="2488" customFormat="false" ht="15" hidden="false" customHeight="false" outlineLevel="0" collapsed="false">
      <c r="A2488" s="12"/>
      <c r="B2488" s="13"/>
      <c r="C2488" s="14"/>
      <c r="D2488" s="13"/>
      <c r="E2488" s="15"/>
      <c r="F2488" s="15"/>
      <c r="G2488" s="15"/>
      <c r="H2488" s="14"/>
      <c r="I2488" s="16" t="str">
        <f aca="false">IF(OR(A2488="",C2488=""),"",IF(OR(H2488="İade",H2488="İptal"),0,E2488*IFERROR(INDEX(Kanallar!$B$5:$B$19,MATCH(C2488,Kanallar!$A$5:$A$19,0)),0)))</f>
        <v/>
      </c>
      <c r="J2488" s="16" t="str">
        <f aca="false">IF(I2488="","",IF(H2488="İptal",0,IF(H2488="İade",-G2488,E2488-I2488-F2488-G2488)))</f>
        <v/>
      </c>
    </row>
    <row r="2489" customFormat="false" ht="15" hidden="false" customHeight="false" outlineLevel="0" collapsed="false">
      <c r="A2489" s="12"/>
      <c r="B2489" s="13"/>
      <c r="C2489" s="14"/>
      <c r="D2489" s="13"/>
      <c r="E2489" s="15"/>
      <c r="F2489" s="15"/>
      <c r="G2489" s="15"/>
      <c r="H2489" s="14"/>
      <c r="I2489" s="16" t="str">
        <f aca="false">IF(OR(A2489="",C2489=""),"",IF(OR(H2489="İade",H2489="İptal"),0,E2489*IFERROR(INDEX(Kanallar!$B$5:$B$19,MATCH(C2489,Kanallar!$A$5:$A$19,0)),0)))</f>
        <v/>
      </c>
      <c r="J2489" s="16" t="str">
        <f aca="false">IF(I2489="","",IF(H2489="İptal",0,IF(H2489="İade",-G2489,E2489-I2489-F2489-G2489)))</f>
        <v/>
      </c>
    </row>
    <row r="2490" customFormat="false" ht="15" hidden="false" customHeight="false" outlineLevel="0" collapsed="false">
      <c r="A2490" s="12"/>
      <c r="B2490" s="13"/>
      <c r="C2490" s="14"/>
      <c r="D2490" s="13"/>
      <c r="E2490" s="15"/>
      <c r="F2490" s="15"/>
      <c r="G2490" s="15"/>
      <c r="H2490" s="14"/>
      <c r="I2490" s="16" t="str">
        <f aca="false">IF(OR(A2490="",C2490=""),"",IF(OR(H2490="İade",H2490="İptal"),0,E2490*IFERROR(INDEX(Kanallar!$B$5:$B$19,MATCH(C2490,Kanallar!$A$5:$A$19,0)),0)))</f>
        <v/>
      </c>
      <c r="J2490" s="16" t="str">
        <f aca="false">IF(I2490="","",IF(H2490="İptal",0,IF(H2490="İade",-G2490,E2490-I2490-F2490-G2490)))</f>
        <v/>
      </c>
    </row>
    <row r="2491" customFormat="false" ht="15" hidden="false" customHeight="false" outlineLevel="0" collapsed="false">
      <c r="A2491" s="12"/>
      <c r="B2491" s="13"/>
      <c r="C2491" s="14"/>
      <c r="D2491" s="13"/>
      <c r="E2491" s="15"/>
      <c r="F2491" s="15"/>
      <c r="G2491" s="15"/>
      <c r="H2491" s="14"/>
      <c r="I2491" s="16" t="str">
        <f aca="false">IF(OR(A2491="",C2491=""),"",IF(OR(H2491="İade",H2491="İptal"),0,E2491*IFERROR(INDEX(Kanallar!$B$5:$B$19,MATCH(C2491,Kanallar!$A$5:$A$19,0)),0)))</f>
        <v/>
      </c>
      <c r="J2491" s="16" t="str">
        <f aca="false">IF(I2491="","",IF(H2491="İptal",0,IF(H2491="İade",-G2491,E2491-I2491-F2491-G2491)))</f>
        <v/>
      </c>
    </row>
    <row r="2492" customFormat="false" ht="15" hidden="false" customHeight="false" outlineLevel="0" collapsed="false">
      <c r="A2492" s="12"/>
      <c r="B2492" s="13"/>
      <c r="C2492" s="14"/>
      <c r="D2492" s="13"/>
      <c r="E2492" s="15"/>
      <c r="F2492" s="15"/>
      <c r="G2492" s="15"/>
      <c r="H2492" s="14"/>
      <c r="I2492" s="16" t="str">
        <f aca="false">IF(OR(A2492="",C2492=""),"",IF(OR(H2492="İade",H2492="İptal"),0,E2492*IFERROR(INDEX(Kanallar!$B$5:$B$19,MATCH(C2492,Kanallar!$A$5:$A$19,0)),0)))</f>
        <v/>
      </c>
      <c r="J2492" s="16" t="str">
        <f aca="false">IF(I2492="","",IF(H2492="İptal",0,IF(H2492="İade",-G2492,E2492-I2492-F2492-G2492)))</f>
        <v/>
      </c>
    </row>
    <row r="2493" customFormat="false" ht="15" hidden="false" customHeight="false" outlineLevel="0" collapsed="false">
      <c r="A2493" s="12"/>
      <c r="B2493" s="13"/>
      <c r="C2493" s="14"/>
      <c r="D2493" s="13"/>
      <c r="E2493" s="15"/>
      <c r="F2493" s="15"/>
      <c r="G2493" s="15"/>
      <c r="H2493" s="14"/>
      <c r="I2493" s="16" t="str">
        <f aca="false">IF(OR(A2493="",C2493=""),"",IF(OR(H2493="İade",H2493="İptal"),0,E2493*IFERROR(INDEX(Kanallar!$B$5:$B$19,MATCH(C2493,Kanallar!$A$5:$A$19,0)),0)))</f>
        <v/>
      </c>
      <c r="J2493" s="16" t="str">
        <f aca="false">IF(I2493="","",IF(H2493="İptal",0,IF(H2493="İade",-G2493,E2493-I2493-F2493-G2493)))</f>
        <v/>
      </c>
    </row>
    <row r="2494" customFormat="false" ht="15" hidden="false" customHeight="false" outlineLevel="0" collapsed="false">
      <c r="A2494" s="12"/>
      <c r="B2494" s="13"/>
      <c r="C2494" s="14"/>
      <c r="D2494" s="13"/>
      <c r="E2494" s="15"/>
      <c r="F2494" s="15"/>
      <c r="G2494" s="15"/>
      <c r="H2494" s="14"/>
      <c r="I2494" s="16" t="str">
        <f aca="false">IF(OR(A2494="",C2494=""),"",IF(OR(H2494="İade",H2494="İptal"),0,E2494*IFERROR(INDEX(Kanallar!$B$5:$B$19,MATCH(C2494,Kanallar!$A$5:$A$19,0)),0)))</f>
        <v/>
      </c>
      <c r="J2494" s="16" t="str">
        <f aca="false">IF(I2494="","",IF(H2494="İptal",0,IF(H2494="İade",-G2494,E2494-I2494-F2494-G2494)))</f>
        <v/>
      </c>
    </row>
    <row r="2495" customFormat="false" ht="15" hidden="false" customHeight="false" outlineLevel="0" collapsed="false">
      <c r="A2495" s="12"/>
      <c r="B2495" s="13"/>
      <c r="C2495" s="14"/>
      <c r="D2495" s="13"/>
      <c r="E2495" s="15"/>
      <c r="F2495" s="15"/>
      <c r="G2495" s="15"/>
      <c r="H2495" s="14"/>
      <c r="I2495" s="16" t="str">
        <f aca="false">IF(OR(A2495="",C2495=""),"",IF(OR(H2495="İade",H2495="İptal"),0,E2495*IFERROR(INDEX(Kanallar!$B$5:$B$19,MATCH(C2495,Kanallar!$A$5:$A$19,0)),0)))</f>
        <v/>
      </c>
      <c r="J2495" s="16" t="str">
        <f aca="false">IF(I2495="","",IF(H2495="İptal",0,IF(H2495="İade",-G2495,E2495-I2495-F2495-G2495)))</f>
        <v/>
      </c>
    </row>
    <row r="2496" customFormat="false" ht="15" hidden="false" customHeight="false" outlineLevel="0" collapsed="false">
      <c r="A2496" s="12"/>
      <c r="B2496" s="13"/>
      <c r="C2496" s="14"/>
      <c r="D2496" s="13"/>
      <c r="E2496" s="15"/>
      <c r="F2496" s="15"/>
      <c r="G2496" s="15"/>
      <c r="H2496" s="14"/>
      <c r="I2496" s="16" t="str">
        <f aca="false">IF(OR(A2496="",C2496=""),"",IF(OR(H2496="İade",H2496="İptal"),0,E2496*IFERROR(INDEX(Kanallar!$B$5:$B$19,MATCH(C2496,Kanallar!$A$5:$A$19,0)),0)))</f>
        <v/>
      </c>
      <c r="J2496" s="16" t="str">
        <f aca="false">IF(I2496="","",IF(H2496="İptal",0,IF(H2496="İade",-G2496,E2496-I2496-F2496-G2496)))</f>
        <v/>
      </c>
    </row>
    <row r="2497" customFormat="false" ht="15" hidden="false" customHeight="false" outlineLevel="0" collapsed="false">
      <c r="A2497" s="12"/>
      <c r="B2497" s="13"/>
      <c r="C2497" s="14"/>
      <c r="D2497" s="13"/>
      <c r="E2497" s="15"/>
      <c r="F2497" s="15"/>
      <c r="G2497" s="15"/>
      <c r="H2497" s="14"/>
      <c r="I2497" s="16" t="str">
        <f aca="false">IF(OR(A2497="",C2497=""),"",IF(OR(H2497="İade",H2497="İptal"),0,E2497*IFERROR(INDEX(Kanallar!$B$5:$B$19,MATCH(C2497,Kanallar!$A$5:$A$19,0)),0)))</f>
        <v/>
      </c>
      <c r="J2497" s="16" t="str">
        <f aca="false">IF(I2497="","",IF(H2497="İptal",0,IF(H2497="İade",-G2497,E2497-I2497-F2497-G2497)))</f>
        <v/>
      </c>
    </row>
    <row r="2498" customFormat="false" ht="15" hidden="false" customHeight="false" outlineLevel="0" collapsed="false">
      <c r="A2498" s="12"/>
      <c r="B2498" s="13"/>
      <c r="C2498" s="14"/>
      <c r="D2498" s="13"/>
      <c r="E2498" s="15"/>
      <c r="F2498" s="15"/>
      <c r="G2498" s="15"/>
      <c r="H2498" s="14"/>
      <c r="I2498" s="16" t="str">
        <f aca="false">IF(OR(A2498="",C2498=""),"",IF(OR(H2498="İade",H2498="İptal"),0,E2498*IFERROR(INDEX(Kanallar!$B$5:$B$19,MATCH(C2498,Kanallar!$A$5:$A$19,0)),0)))</f>
        <v/>
      </c>
      <c r="J2498" s="16" t="str">
        <f aca="false">IF(I2498="","",IF(H2498="İptal",0,IF(H2498="İade",-G2498,E2498-I2498-F2498-G2498)))</f>
        <v/>
      </c>
    </row>
    <row r="2499" customFormat="false" ht="15" hidden="false" customHeight="false" outlineLevel="0" collapsed="false">
      <c r="A2499" s="12"/>
      <c r="B2499" s="13"/>
      <c r="C2499" s="14"/>
      <c r="D2499" s="13"/>
      <c r="E2499" s="15"/>
      <c r="F2499" s="15"/>
      <c r="G2499" s="15"/>
      <c r="H2499" s="14"/>
      <c r="I2499" s="16" t="str">
        <f aca="false">IF(OR(A2499="",C2499=""),"",IF(OR(H2499="İade",H2499="İptal"),0,E2499*IFERROR(INDEX(Kanallar!$B$5:$B$19,MATCH(C2499,Kanallar!$A$5:$A$19,0)),0)))</f>
        <v/>
      </c>
      <c r="J2499" s="16" t="str">
        <f aca="false">IF(I2499="","",IF(H2499="İptal",0,IF(H2499="İade",-G2499,E2499-I2499-F2499-G2499)))</f>
        <v/>
      </c>
    </row>
    <row r="2500" customFormat="false" ht="15" hidden="false" customHeight="false" outlineLevel="0" collapsed="false">
      <c r="A2500" s="12"/>
      <c r="B2500" s="13"/>
      <c r="C2500" s="14"/>
      <c r="D2500" s="13"/>
      <c r="E2500" s="15"/>
      <c r="F2500" s="15"/>
      <c r="G2500" s="15"/>
      <c r="H2500" s="14"/>
      <c r="I2500" s="16" t="str">
        <f aca="false">IF(OR(A2500="",C2500=""),"",IF(OR(H2500="İade",H2500="İptal"),0,E2500*IFERROR(INDEX(Kanallar!$B$5:$B$19,MATCH(C2500,Kanallar!$A$5:$A$19,0)),0)))</f>
        <v/>
      </c>
      <c r="J2500" s="16" t="str">
        <f aca="false">IF(I2500="","",IF(H2500="İptal",0,IF(H2500="İade",-G2500,E2500-I2500-F2500-G2500)))</f>
        <v/>
      </c>
    </row>
    <row r="2501" customFormat="false" ht="15" hidden="false" customHeight="false" outlineLevel="0" collapsed="false">
      <c r="A2501" s="12"/>
      <c r="B2501" s="13"/>
      <c r="C2501" s="14"/>
      <c r="D2501" s="13"/>
      <c r="E2501" s="15"/>
      <c r="F2501" s="15"/>
      <c r="G2501" s="15"/>
      <c r="H2501" s="14"/>
      <c r="I2501" s="16" t="str">
        <f aca="false">IF(OR(A2501="",C2501=""),"",IF(OR(H2501="İade",H2501="İptal"),0,E2501*IFERROR(INDEX(Kanallar!$B$5:$B$19,MATCH(C2501,Kanallar!$A$5:$A$19,0)),0)))</f>
        <v/>
      </c>
      <c r="J2501" s="16" t="str">
        <f aca="false">IF(I2501="","",IF(H2501="İptal",0,IF(H2501="İade",-G2501,E2501-I2501-F2501-G2501)))</f>
        <v/>
      </c>
    </row>
    <row r="2502" customFormat="false" ht="15" hidden="false" customHeight="false" outlineLevel="0" collapsed="false">
      <c r="A2502" s="12"/>
      <c r="B2502" s="13"/>
      <c r="C2502" s="14"/>
      <c r="D2502" s="13"/>
      <c r="E2502" s="15"/>
      <c r="F2502" s="15"/>
      <c r="G2502" s="15"/>
      <c r="H2502" s="14"/>
      <c r="I2502" s="16" t="str">
        <f aca="false">IF(OR(A2502="",C2502=""),"",IF(OR(H2502="İade",H2502="İptal"),0,E2502*IFERROR(INDEX(Kanallar!$B$5:$B$19,MATCH(C2502,Kanallar!$A$5:$A$19,0)),0)))</f>
        <v/>
      </c>
      <c r="J2502" s="16" t="str">
        <f aca="false">IF(I2502="","",IF(H2502="İptal",0,IF(H2502="İade",-G2502,E2502-I2502-F2502-G2502)))</f>
        <v/>
      </c>
    </row>
    <row r="2503" customFormat="false" ht="15" hidden="false" customHeight="false" outlineLevel="0" collapsed="false">
      <c r="A2503" s="12"/>
      <c r="B2503" s="13"/>
      <c r="C2503" s="14"/>
      <c r="D2503" s="13"/>
      <c r="E2503" s="15"/>
      <c r="F2503" s="15"/>
      <c r="G2503" s="15"/>
      <c r="H2503" s="14"/>
      <c r="I2503" s="16" t="str">
        <f aca="false">IF(OR(A2503="",C2503=""),"",IF(OR(H2503="İade",H2503="İptal"),0,E2503*IFERROR(INDEX(Kanallar!$B$5:$B$19,MATCH(C2503,Kanallar!$A$5:$A$19,0)),0)))</f>
        <v/>
      </c>
      <c r="J2503" s="16" t="str">
        <f aca="false">IF(I2503="","",IF(H2503="İptal",0,IF(H2503="İade",-G2503,E2503-I2503-F2503-G2503)))</f>
        <v/>
      </c>
    </row>
    <row r="2504" customFormat="false" ht="15" hidden="false" customHeight="false" outlineLevel="0" collapsed="false">
      <c r="A2504" s="12"/>
      <c r="B2504" s="13"/>
      <c r="C2504" s="14"/>
      <c r="D2504" s="13"/>
      <c r="E2504" s="15"/>
      <c r="F2504" s="15"/>
      <c r="G2504" s="15"/>
      <c r="H2504" s="14"/>
      <c r="I2504" s="16" t="str">
        <f aca="false">IF(OR(A2504="",C2504=""),"",IF(OR(H2504="İade",H2504="İptal"),0,E2504*IFERROR(INDEX(Kanallar!$B$5:$B$19,MATCH(C2504,Kanallar!$A$5:$A$19,0)),0)))</f>
        <v/>
      </c>
      <c r="J2504" s="16" t="str">
        <f aca="false">IF(I2504="","",IF(H2504="İptal",0,IF(H2504="İade",-G2504,E2504-I2504-F2504-G2504)))</f>
        <v/>
      </c>
    </row>
    <row r="2505" customFormat="false" ht="15" hidden="false" customHeight="false" outlineLevel="0" collapsed="false">
      <c r="A2505" s="12"/>
      <c r="B2505" s="13"/>
      <c r="C2505" s="14"/>
      <c r="D2505" s="13"/>
      <c r="E2505" s="15"/>
      <c r="F2505" s="15"/>
      <c r="G2505" s="15"/>
      <c r="H2505" s="14"/>
      <c r="I2505" s="16" t="str">
        <f aca="false">IF(OR(A2505="",C2505=""),"",IF(OR(H2505="İade",H2505="İptal"),0,E2505*IFERROR(INDEX(Kanallar!$B$5:$B$19,MATCH(C2505,Kanallar!$A$5:$A$19,0)),0)))</f>
        <v/>
      </c>
      <c r="J2505" s="16" t="str">
        <f aca="false">IF(I2505="","",IF(H2505="İptal",0,IF(H2505="İade",-G2505,E2505-I2505-F2505-G2505)))</f>
        <v/>
      </c>
    </row>
    <row r="2506" customFormat="false" ht="15" hidden="false" customHeight="false" outlineLevel="0" collapsed="false">
      <c r="A2506" s="12"/>
      <c r="B2506" s="13"/>
      <c r="C2506" s="14"/>
      <c r="D2506" s="13"/>
      <c r="E2506" s="15"/>
      <c r="F2506" s="15"/>
      <c r="G2506" s="15"/>
      <c r="H2506" s="14"/>
      <c r="I2506" s="16" t="str">
        <f aca="false">IF(OR(A2506="",C2506=""),"",IF(OR(H2506="İade",H2506="İptal"),0,E2506*IFERROR(INDEX(Kanallar!$B$5:$B$19,MATCH(C2506,Kanallar!$A$5:$A$19,0)),0)))</f>
        <v/>
      </c>
      <c r="J2506" s="16" t="str">
        <f aca="false">IF(I2506="","",IF(H2506="İptal",0,IF(H2506="İade",-G2506,E2506-I2506-F2506-G2506)))</f>
        <v/>
      </c>
    </row>
    <row r="2507" customFormat="false" ht="15" hidden="false" customHeight="false" outlineLevel="0" collapsed="false">
      <c r="A2507" s="12"/>
      <c r="B2507" s="13"/>
      <c r="C2507" s="14"/>
      <c r="D2507" s="13"/>
      <c r="E2507" s="15"/>
      <c r="F2507" s="15"/>
      <c r="G2507" s="15"/>
      <c r="H2507" s="14"/>
      <c r="I2507" s="16" t="str">
        <f aca="false">IF(OR(A2507="",C2507=""),"",IF(OR(H2507="İade",H2507="İptal"),0,E2507*IFERROR(INDEX(Kanallar!$B$5:$B$19,MATCH(C2507,Kanallar!$A$5:$A$19,0)),0)))</f>
        <v/>
      </c>
      <c r="J2507" s="16" t="str">
        <f aca="false">IF(I2507="","",IF(H2507="İptal",0,IF(H2507="İade",-G2507,E2507-I2507-F2507-G2507)))</f>
        <v/>
      </c>
    </row>
    <row r="2508" customFormat="false" ht="15" hidden="false" customHeight="false" outlineLevel="0" collapsed="false">
      <c r="A2508" s="12"/>
      <c r="B2508" s="13"/>
      <c r="C2508" s="14"/>
      <c r="D2508" s="13"/>
      <c r="E2508" s="15"/>
      <c r="F2508" s="15"/>
      <c r="G2508" s="15"/>
      <c r="H2508" s="14"/>
      <c r="I2508" s="16" t="str">
        <f aca="false">IF(OR(A2508="",C2508=""),"",IF(OR(H2508="İade",H2508="İptal"),0,E2508*IFERROR(INDEX(Kanallar!$B$5:$B$19,MATCH(C2508,Kanallar!$A$5:$A$19,0)),0)))</f>
        <v/>
      </c>
      <c r="J2508" s="16" t="str">
        <f aca="false">IF(I2508="","",IF(H2508="İptal",0,IF(H2508="İade",-G2508,E2508-I2508-F2508-G2508)))</f>
        <v/>
      </c>
    </row>
    <row r="2509" customFormat="false" ht="15" hidden="false" customHeight="false" outlineLevel="0" collapsed="false">
      <c r="A2509" s="12"/>
      <c r="B2509" s="13"/>
      <c r="C2509" s="14"/>
      <c r="D2509" s="13"/>
      <c r="E2509" s="15"/>
      <c r="F2509" s="15"/>
      <c r="G2509" s="15"/>
      <c r="H2509" s="14"/>
      <c r="I2509" s="16" t="str">
        <f aca="false">IF(OR(A2509="",C2509=""),"",IF(OR(H2509="İade",H2509="İptal"),0,E2509*IFERROR(INDEX(Kanallar!$B$5:$B$19,MATCH(C2509,Kanallar!$A$5:$A$19,0)),0)))</f>
        <v/>
      </c>
      <c r="J2509" s="16" t="str">
        <f aca="false">IF(I2509="","",IF(H2509="İptal",0,IF(H2509="İade",-G2509,E2509-I2509-F2509-G2509)))</f>
        <v/>
      </c>
    </row>
    <row r="2510" customFormat="false" ht="15" hidden="false" customHeight="false" outlineLevel="0" collapsed="false">
      <c r="A2510" s="12"/>
      <c r="B2510" s="13"/>
      <c r="C2510" s="14"/>
      <c r="D2510" s="13"/>
      <c r="E2510" s="15"/>
      <c r="F2510" s="15"/>
      <c r="G2510" s="15"/>
      <c r="H2510" s="14"/>
      <c r="I2510" s="16" t="str">
        <f aca="false">IF(OR(A2510="",C2510=""),"",IF(OR(H2510="İade",H2510="İptal"),0,E2510*IFERROR(INDEX(Kanallar!$B$5:$B$19,MATCH(C2510,Kanallar!$A$5:$A$19,0)),0)))</f>
        <v/>
      </c>
      <c r="J2510" s="16" t="str">
        <f aca="false">IF(I2510="","",IF(H2510="İptal",0,IF(H2510="İade",-G2510,E2510-I2510-F2510-G2510)))</f>
        <v/>
      </c>
    </row>
    <row r="2511" customFormat="false" ht="15" hidden="false" customHeight="false" outlineLevel="0" collapsed="false">
      <c r="A2511" s="12"/>
      <c r="B2511" s="13"/>
      <c r="C2511" s="14"/>
      <c r="D2511" s="13"/>
      <c r="E2511" s="15"/>
      <c r="F2511" s="15"/>
      <c r="G2511" s="15"/>
      <c r="H2511" s="14"/>
      <c r="I2511" s="16" t="str">
        <f aca="false">IF(OR(A2511="",C2511=""),"",IF(OR(H2511="İade",H2511="İptal"),0,E2511*IFERROR(INDEX(Kanallar!$B$5:$B$19,MATCH(C2511,Kanallar!$A$5:$A$19,0)),0)))</f>
        <v/>
      </c>
      <c r="J2511" s="16" t="str">
        <f aca="false">IF(I2511="","",IF(H2511="İptal",0,IF(H2511="İade",-G2511,E2511-I2511-F2511-G2511)))</f>
        <v/>
      </c>
    </row>
    <row r="2512" customFormat="false" ht="15" hidden="false" customHeight="false" outlineLevel="0" collapsed="false">
      <c r="A2512" s="12"/>
      <c r="B2512" s="13"/>
      <c r="C2512" s="14"/>
      <c r="D2512" s="13"/>
      <c r="E2512" s="15"/>
      <c r="F2512" s="15"/>
      <c r="G2512" s="15"/>
      <c r="H2512" s="14"/>
      <c r="I2512" s="16" t="str">
        <f aca="false">IF(OR(A2512="",C2512=""),"",IF(OR(H2512="İade",H2512="İptal"),0,E2512*IFERROR(INDEX(Kanallar!$B$5:$B$19,MATCH(C2512,Kanallar!$A$5:$A$19,0)),0)))</f>
        <v/>
      </c>
      <c r="J2512" s="16" t="str">
        <f aca="false">IF(I2512="","",IF(H2512="İptal",0,IF(H2512="İade",-G2512,E2512-I2512-F2512-G2512)))</f>
        <v/>
      </c>
    </row>
    <row r="2513" customFormat="false" ht="15" hidden="false" customHeight="false" outlineLevel="0" collapsed="false">
      <c r="A2513" s="12"/>
      <c r="B2513" s="13"/>
      <c r="C2513" s="14"/>
      <c r="D2513" s="13"/>
      <c r="E2513" s="15"/>
      <c r="F2513" s="15"/>
      <c r="G2513" s="15"/>
      <c r="H2513" s="14"/>
      <c r="I2513" s="16" t="str">
        <f aca="false">IF(OR(A2513="",C2513=""),"",IF(OR(H2513="İade",H2513="İptal"),0,E2513*IFERROR(INDEX(Kanallar!$B$5:$B$19,MATCH(C2513,Kanallar!$A$5:$A$19,0)),0)))</f>
        <v/>
      </c>
      <c r="J2513" s="16" t="str">
        <f aca="false">IF(I2513="","",IF(H2513="İptal",0,IF(H2513="İade",-G2513,E2513-I2513-F2513-G2513)))</f>
        <v/>
      </c>
    </row>
    <row r="2514" customFormat="false" ht="15" hidden="false" customHeight="false" outlineLevel="0" collapsed="false">
      <c r="A2514" s="12"/>
      <c r="B2514" s="13"/>
      <c r="C2514" s="14"/>
      <c r="D2514" s="13"/>
      <c r="E2514" s="15"/>
      <c r="F2514" s="15"/>
      <c r="G2514" s="15"/>
      <c r="H2514" s="14"/>
      <c r="I2514" s="16" t="str">
        <f aca="false">IF(OR(A2514="",C2514=""),"",IF(OR(H2514="İade",H2514="İptal"),0,E2514*IFERROR(INDEX(Kanallar!$B$5:$B$19,MATCH(C2514,Kanallar!$A$5:$A$19,0)),0)))</f>
        <v/>
      </c>
      <c r="J2514" s="16" t="str">
        <f aca="false">IF(I2514="","",IF(H2514="İptal",0,IF(H2514="İade",-G2514,E2514-I2514-F2514-G2514)))</f>
        <v/>
      </c>
    </row>
    <row r="2515" customFormat="false" ht="15" hidden="false" customHeight="false" outlineLevel="0" collapsed="false">
      <c r="A2515" s="12"/>
      <c r="B2515" s="13"/>
      <c r="C2515" s="14"/>
      <c r="D2515" s="13"/>
      <c r="E2515" s="15"/>
      <c r="F2515" s="15"/>
      <c r="G2515" s="15"/>
      <c r="H2515" s="14"/>
      <c r="I2515" s="16" t="str">
        <f aca="false">IF(OR(A2515="",C2515=""),"",IF(OR(H2515="İade",H2515="İptal"),0,E2515*IFERROR(INDEX(Kanallar!$B$5:$B$19,MATCH(C2515,Kanallar!$A$5:$A$19,0)),0)))</f>
        <v/>
      </c>
      <c r="J2515" s="16" t="str">
        <f aca="false">IF(I2515="","",IF(H2515="İptal",0,IF(H2515="İade",-G2515,E2515-I2515-F2515-G2515)))</f>
        <v/>
      </c>
    </row>
    <row r="2516" customFormat="false" ht="15" hidden="false" customHeight="false" outlineLevel="0" collapsed="false">
      <c r="A2516" s="12"/>
      <c r="B2516" s="13"/>
      <c r="C2516" s="14"/>
      <c r="D2516" s="13"/>
      <c r="E2516" s="15"/>
      <c r="F2516" s="15"/>
      <c r="G2516" s="15"/>
      <c r="H2516" s="14"/>
      <c r="I2516" s="16" t="str">
        <f aca="false">IF(OR(A2516="",C2516=""),"",IF(OR(H2516="İade",H2516="İptal"),0,E2516*IFERROR(INDEX(Kanallar!$B$5:$B$19,MATCH(C2516,Kanallar!$A$5:$A$19,0)),0)))</f>
        <v/>
      </c>
      <c r="J2516" s="16" t="str">
        <f aca="false">IF(I2516="","",IF(H2516="İptal",0,IF(H2516="İade",-G2516,E2516-I2516-F2516-G2516)))</f>
        <v/>
      </c>
    </row>
    <row r="2517" customFormat="false" ht="15" hidden="false" customHeight="false" outlineLevel="0" collapsed="false">
      <c r="A2517" s="12"/>
      <c r="B2517" s="13"/>
      <c r="C2517" s="14"/>
      <c r="D2517" s="13"/>
      <c r="E2517" s="15"/>
      <c r="F2517" s="15"/>
      <c r="G2517" s="15"/>
      <c r="H2517" s="14"/>
      <c r="I2517" s="16" t="str">
        <f aca="false">IF(OR(A2517="",C2517=""),"",IF(OR(H2517="İade",H2517="İptal"),0,E2517*IFERROR(INDEX(Kanallar!$B$5:$B$19,MATCH(C2517,Kanallar!$A$5:$A$19,0)),0)))</f>
        <v/>
      </c>
      <c r="J2517" s="16" t="str">
        <f aca="false">IF(I2517="","",IF(H2517="İptal",0,IF(H2517="İade",-G2517,E2517-I2517-F2517-G2517)))</f>
        <v/>
      </c>
    </row>
    <row r="2518" customFormat="false" ht="15" hidden="false" customHeight="false" outlineLevel="0" collapsed="false">
      <c r="A2518" s="12"/>
      <c r="B2518" s="13"/>
      <c r="C2518" s="14"/>
      <c r="D2518" s="13"/>
      <c r="E2518" s="15"/>
      <c r="F2518" s="15"/>
      <c r="G2518" s="15"/>
      <c r="H2518" s="14"/>
      <c r="I2518" s="16" t="str">
        <f aca="false">IF(OR(A2518="",C2518=""),"",IF(OR(H2518="İade",H2518="İptal"),0,E2518*IFERROR(INDEX(Kanallar!$B$5:$B$19,MATCH(C2518,Kanallar!$A$5:$A$19,0)),0)))</f>
        <v/>
      </c>
      <c r="J2518" s="16" t="str">
        <f aca="false">IF(I2518="","",IF(H2518="İptal",0,IF(H2518="İade",-G2518,E2518-I2518-F2518-G2518)))</f>
        <v/>
      </c>
    </row>
    <row r="2519" customFormat="false" ht="15" hidden="false" customHeight="false" outlineLevel="0" collapsed="false">
      <c r="A2519" s="12"/>
      <c r="B2519" s="13"/>
      <c r="C2519" s="14"/>
      <c r="D2519" s="13"/>
      <c r="E2519" s="15"/>
      <c r="F2519" s="15"/>
      <c r="G2519" s="15"/>
      <c r="H2519" s="14"/>
      <c r="I2519" s="16" t="str">
        <f aca="false">IF(OR(A2519="",C2519=""),"",IF(OR(H2519="İade",H2519="İptal"),0,E2519*IFERROR(INDEX(Kanallar!$B$5:$B$19,MATCH(C2519,Kanallar!$A$5:$A$19,0)),0)))</f>
        <v/>
      </c>
      <c r="J2519" s="16" t="str">
        <f aca="false">IF(I2519="","",IF(H2519="İptal",0,IF(H2519="İade",-G2519,E2519-I2519-F2519-G2519)))</f>
        <v/>
      </c>
    </row>
    <row r="2520" customFormat="false" ht="15" hidden="false" customHeight="false" outlineLevel="0" collapsed="false">
      <c r="A2520" s="12"/>
      <c r="B2520" s="13"/>
      <c r="C2520" s="14"/>
      <c r="D2520" s="13"/>
      <c r="E2520" s="15"/>
      <c r="F2520" s="15"/>
      <c r="G2520" s="15"/>
      <c r="H2520" s="14"/>
      <c r="I2520" s="16" t="str">
        <f aca="false">IF(OR(A2520="",C2520=""),"",IF(OR(H2520="İade",H2520="İptal"),0,E2520*IFERROR(INDEX(Kanallar!$B$5:$B$19,MATCH(C2520,Kanallar!$A$5:$A$19,0)),0)))</f>
        <v/>
      </c>
      <c r="J2520" s="16" t="str">
        <f aca="false">IF(I2520="","",IF(H2520="İptal",0,IF(H2520="İade",-G2520,E2520-I2520-F2520-G2520)))</f>
        <v/>
      </c>
    </row>
    <row r="2521" customFormat="false" ht="15" hidden="false" customHeight="false" outlineLevel="0" collapsed="false">
      <c r="A2521" s="12"/>
      <c r="B2521" s="13"/>
      <c r="C2521" s="14"/>
      <c r="D2521" s="13"/>
      <c r="E2521" s="15"/>
      <c r="F2521" s="15"/>
      <c r="G2521" s="15"/>
      <c r="H2521" s="14"/>
      <c r="I2521" s="16" t="str">
        <f aca="false">IF(OR(A2521="",C2521=""),"",IF(OR(H2521="İade",H2521="İptal"),0,E2521*IFERROR(INDEX(Kanallar!$B$5:$B$19,MATCH(C2521,Kanallar!$A$5:$A$19,0)),0)))</f>
        <v/>
      </c>
      <c r="J2521" s="16" t="str">
        <f aca="false">IF(I2521="","",IF(H2521="İptal",0,IF(H2521="İade",-G2521,E2521-I2521-F2521-G2521)))</f>
        <v/>
      </c>
    </row>
    <row r="2522" customFormat="false" ht="15" hidden="false" customHeight="false" outlineLevel="0" collapsed="false">
      <c r="A2522" s="12"/>
      <c r="B2522" s="13"/>
      <c r="C2522" s="14"/>
      <c r="D2522" s="13"/>
      <c r="E2522" s="15"/>
      <c r="F2522" s="15"/>
      <c r="G2522" s="15"/>
      <c r="H2522" s="14"/>
      <c r="I2522" s="16" t="str">
        <f aca="false">IF(OR(A2522="",C2522=""),"",IF(OR(H2522="İade",H2522="İptal"),0,E2522*IFERROR(INDEX(Kanallar!$B$5:$B$19,MATCH(C2522,Kanallar!$A$5:$A$19,0)),0)))</f>
        <v/>
      </c>
      <c r="J2522" s="16" t="str">
        <f aca="false">IF(I2522="","",IF(H2522="İptal",0,IF(H2522="İade",-G2522,E2522-I2522-F2522-G2522)))</f>
        <v/>
      </c>
    </row>
    <row r="2523" customFormat="false" ht="15" hidden="false" customHeight="false" outlineLevel="0" collapsed="false">
      <c r="A2523" s="12"/>
      <c r="B2523" s="13"/>
      <c r="C2523" s="14"/>
      <c r="D2523" s="13"/>
      <c r="E2523" s="15"/>
      <c r="F2523" s="15"/>
      <c r="G2523" s="15"/>
      <c r="H2523" s="14"/>
      <c r="I2523" s="16" t="str">
        <f aca="false">IF(OR(A2523="",C2523=""),"",IF(OR(H2523="İade",H2523="İptal"),0,E2523*IFERROR(INDEX(Kanallar!$B$5:$B$19,MATCH(C2523,Kanallar!$A$5:$A$19,0)),0)))</f>
        <v/>
      </c>
      <c r="J2523" s="16" t="str">
        <f aca="false">IF(I2523="","",IF(H2523="İptal",0,IF(H2523="İade",-G2523,E2523-I2523-F2523-G2523)))</f>
        <v/>
      </c>
    </row>
    <row r="2524" customFormat="false" ht="15" hidden="false" customHeight="false" outlineLevel="0" collapsed="false">
      <c r="A2524" s="12"/>
      <c r="B2524" s="13"/>
      <c r="C2524" s="14"/>
      <c r="D2524" s="13"/>
      <c r="E2524" s="15"/>
      <c r="F2524" s="15"/>
      <c r="G2524" s="15"/>
      <c r="H2524" s="14"/>
      <c r="I2524" s="16" t="str">
        <f aca="false">IF(OR(A2524="",C2524=""),"",IF(OR(H2524="İade",H2524="İptal"),0,E2524*IFERROR(INDEX(Kanallar!$B$5:$B$19,MATCH(C2524,Kanallar!$A$5:$A$19,0)),0)))</f>
        <v/>
      </c>
      <c r="J2524" s="16" t="str">
        <f aca="false">IF(I2524="","",IF(H2524="İptal",0,IF(H2524="İade",-G2524,E2524-I2524-F2524-G2524)))</f>
        <v/>
      </c>
    </row>
    <row r="2525" customFormat="false" ht="15" hidden="false" customHeight="false" outlineLevel="0" collapsed="false">
      <c r="A2525" s="12"/>
      <c r="B2525" s="13"/>
      <c r="C2525" s="14"/>
      <c r="D2525" s="13"/>
      <c r="E2525" s="15"/>
      <c r="F2525" s="15"/>
      <c r="G2525" s="15"/>
      <c r="H2525" s="14"/>
      <c r="I2525" s="16" t="str">
        <f aca="false">IF(OR(A2525="",C2525=""),"",IF(OR(H2525="İade",H2525="İptal"),0,E2525*IFERROR(INDEX(Kanallar!$B$5:$B$19,MATCH(C2525,Kanallar!$A$5:$A$19,0)),0)))</f>
        <v/>
      </c>
      <c r="J2525" s="16" t="str">
        <f aca="false">IF(I2525="","",IF(H2525="İptal",0,IF(H2525="İade",-G2525,E2525-I2525-F2525-G2525)))</f>
        <v/>
      </c>
    </row>
    <row r="2526" customFormat="false" ht="15" hidden="false" customHeight="false" outlineLevel="0" collapsed="false">
      <c r="A2526" s="12"/>
      <c r="B2526" s="13"/>
      <c r="C2526" s="14"/>
      <c r="D2526" s="13"/>
      <c r="E2526" s="15"/>
      <c r="F2526" s="15"/>
      <c r="G2526" s="15"/>
      <c r="H2526" s="14"/>
      <c r="I2526" s="16" t="str">
        <f aca="false">IF(OR(A2526="",C2526=""),"",IF(OR(H2526="İade",H2526="İptal"),0,E2526*IFERROR(INDEX(Kanallar!$B$5:$B$19,MATCH(C2526,Kanallar!$A$5:$A$19,0)),0)))</f>
        <v/>
      </c>
      <c r="J2526" s="16" t="str">
        <f aca="false">IF(I2526="","",IF(H2526="İptal",0,IF(H2526="İade",-G2526,E2526-I2526-F2526-G2526)))</f>
        <v/>
      </c>
    </row>
    <row r="2527" customFormat="false" ht="15" hidden="false" customHeight="false" outlineLevel="0" collapsed="false">
      <c r="A2527" s="12"/>
      <c r="B2527" s="13"/>
      <c r="C2527" s="14"/>
      <c r="D2527" s="13"/>
      <c r="E2527" s="15"/>
      <c r="F2527" s="15"/>
      <c r="G2527" s="15"/>
      <c r="H2527" s="14"/>
      <c r="I2527" s="16" t="str">
        <f aca="false">IF(OR(A2527="",C2527=""),"",IF(OR(H2527="İade",H2527="İptal"),0,E2527*IFERROR(INDEX(Kanallar!$B$5:$B$19,MATCH(C2527,Kanallar!$A$5:$A$19,0)),0)))</f>
        <v/>
      </c>
      <c r="J2527" s="16" t="str">
        <f aca="false">IF(I2527="","",IF(H2527="İptal",0,IF(H2527="İade",-G2527,E2527-I2527-F2527-G2527)))</f>
        <v/>
      </c>
    </row>
    <row r="2528" customFormat="false" ht="15" hidden="false" customHeight="false" outlineLevel="0" collapsed="false">
      <c r="A2528" s="12"/>
      <c r="B2528" s="13"/>
      <c r="C2528" s="14"/>
      <c r="D2528" s="13"/>
      <c r="E2528" s="15"/>
      <c r="F2528" s="15"/>
      <c r="G2528" s="15"/>
      <c r="H2528" s="14"/>
      <c r="I2528" s="16" t="str">
        <f aca="false">IF(OR(A2528="",C2528=""),"",IF(OR(H2528="İade",H2528="İptal"),0,E2528*IFERROR(INDEX(Kanallar!$B$5:$B$19,MATCH(C2528,Kanallar!$A$5:$A$19,0)),0)))</f>
        <v/>
      </c>
      <c r="J2528" s="16" t="str">
        <f aca="false">IF(I2528="","",IF(H2528="İptal",0,IF(H2528="İade",-G2528,E2528-I2528-F2528-G2528)))</f>
        <v/>
      </c>
    </row>
    <row r="2529" customFormat="false" ht="15" hidden="false" customHeight="false" outlineLevel="0" collapsed="false">
      <c r="A2529" s="12"/>
      <c r="B2529" s="13"/>
      <c r="C2529" s="14"/>
      <c r="D2529" s="13"/>
      <c r="E2529" s="15"/>
      <c r="F2529" s="15"/>
      <c r="G2529" s="15"/>
      <c r="H2529" s="14"/>
      <c r="I2529" s="16" t="str">
        <f aca="false">IF(OR(A2529="",C2529=""),"",IF(OR(H2529="İade",H2529="İptal"),0,E2529*IFERROR(INDEX(Kanallar!$B$5:$B$19,MATCH(C2529,Kanallar!$A$5:$A$19,0)),0)))</f>
        <v/>
      </c>
      <c r="J2529" s="16" t="str">
        <f aca="false">IF(I2529="","",IF(H2529="İptal",0,IF(H2529="İade",-G2529,E2529-I2529-F2529-G2529)))</f>
        <v/>
      </c>
    </row>
    <row r="2530" customFormat="false" ht="15" hidden="false" customHeight="false" outlineLevel="0" collapsed="false">
      <c r="A2530" s="12"/>
      <c r="B2530" s="13"/>
      <c r="C2530" s="14"/>
      <c r="D2530" s="13"/>
      <c r="E2530" s="15"/>
      <c r="F2530" s="15"/>
      <c r="G2530" s="15"/>
      <c r="H2530" s="14"/>
      <c r="I2530" s="16" t="str">
        <f aca="false">IF(OR(A2530="",C2530=""),"",IF(OR(H2530="İade",H2530="İptal"),0,E2530*IFERROR(INDEX(Kanallar!$B$5:$B$19,MATCH(C2530,Kanallar!$A$5:$A$19,0)),0)))</f>
        <v/>
      </c>
      <c r="J2530" s="16" t="str">
        <f aca="false">IF(I2530="","",IF(H2530="İptal",0,IF(H2530="İade",-G2530,E2530-I2530-F2530-G2530)))</f>
        <v/>
      </c>
    </row>
    <row r="2531" customFormat="false" ht="15" hidden="false" customHeight="false" outlineLevel="0" collapsed="false">
      <c r="A2531" s="12"/>
      <c r="B2531" s="13"/>
      <c r="C2531" s="14"/>
      <c r="D2531" s="13"/>
      <c r="E2531" s="15"/>
      <c r="F2531" s="15"/>
      <c r="G2531" s="15"/>
      <c r="H2531" s="14"/>
      <c r="I2531" s="16" t="str">
        <f aca="false">IF(OR(A2531="",C2531=""),"",IF(OR(H2531="İade",H2531="İptal"),0,E2531*IFERROR(INDEX(Kanallar!$B$5:$B$19,MATCH(C2531,Kanallar!$A$5:$A$19,0)),0)))</f>
        <v/>
      </c>
      <c r="J2531" s="16" t="str">
        <f aca="false">IF(I2531="","",IF(H2531="İptal",0,IF(H2531="İade",-G2531,E2531-I2531-F2531-G2531)))</f>
        <v/>
      </c>
    </row>
    <row r="2532" customFormat="false" ht="15" hidden="false" customHeight="false" outlineLevel="0" collapsed="false">
      <c r="A2532" s="12"/>
      <c r="B2532" s="13"/>
      <c r="C2532" s="14"/>
      <c r="D2532" s="13"/>
      <c r="E2532" s="15"/>
      <c r="F2532" s="15"/>
      <c r="G2532" s="15"/>
      <c r="H2532" s="14"/>
      <c r="I2532" s="16" t="str">
        <f aca="false">IF(OR(A2532="",C2532=""),"",IF(OR(H2532="İade",H2532="İptal"),0,E2532*IFERROR(INDEX(Kanallar!$B$5:$B$19,MATCH(C2532,Kanallar!$A$5:$A$19,0)),0)))</f>
        <v/>
      </c>
      <c r="J2532" s="16" t="str">
        <f aca="false">IF(I2532="","",IF(H2532="İptal",0,IF(H2532="İade",-G2532,E2532-I2532-F2532-G2532)))</f>
        <v/>
      </c>
    </row>
    <row r="2533" customFormat="false" ht="15" hidden="false" customHeight="false" outlineLevel="0" collapsed="false">
      <c r="A2533" s="12"/>
      <c r="B2533" s="13"/>
      <c r="C2533" s="14"/>
      <c r="D2533" s="13"/>
      <c r="E2533" s="15"/>
      <c r="F2533" s="15"/>
      <c r="G2533" s="15"/>
      <c r="H2533" s="14"/>
      <c r="I2533" s="16" t="str">
        <f aca="false">IF(OR(A2533="",C2533=""),"",IF(OR(H2533="İade",H2533="İptal"),0,E2533*IFERROR(INDEX(Kanallar!$B$5:$B$19,MATCH(C2533,Kanallar!$A$5:$A$19,0)),0)))</f>
        <v/>
      </c>
      <c r="J2533" s="16" t="str">
        <f aca="false">IF(I2533="","",IF(H2533="İptal",0,IF(H2533="İade",-G2533,E2533-I2533-F2533-G2533)))</f>
        <v/>
      </c>
    </row>
    <row r="2534" customFormat="false" ht="15" hidden="false" customHeight="false" outlineLevel="0" collapsed="false">
      <c r="A2534" s="12"/>
      <c r="B2534" s="13"/>
      <c r="C2534" s="14"/>
      <c r="D2534" s="13"/>
      <c r="E2534" s="15"/>
      <c r="F2534" s="15"/>
      <c r="G2534" s="15"/>
      <c r="H2534" s="14"/>
      <c r="I2534" s="16" t="str">
        <f aca="false">IF(OR(A2534="",C2534=""),"",IF(OR(H2534="İade",H2534="İptal"),0,E2534*IFERROR(INDEX(Kanallar!$B$5:$B$19,MATCH(C2534,Kanallar!$A$5:$A$19,0)),0)))</f>
        <v/>
      </c>
      <c r="J2534" s="16" t="str">
        <f aca="false">IF(I2534="","",IF(H2534="İptal",0,IF(H2534="İade",-G2534,E2534-I2534-F2534-G2534)))</f>
        <v/>
      </c>
    </row>
    <row r="2535" customFormat="false" ht="15" hidden="false" customHeight="false" outlineLevel="0" collapsed="false">
      <c r="A2535" s="12"/>
      <c r="B2535" s="13"/>
      <c r="C2535" s="14"/>
      <c r="D2535" s="13"/>
      <c r="E2535" s="15"/>
      <c r="F2535" s="15"/>
      <c r="G2535" s="15"/>
      <c r="H2535" s="14"/>
      <c r="I2535" s="16" t="str">
        <f aca="false">IF(OR(A2535="",C2535=""),"",IF(OR(H2535="İade",H2535="İptal"),0,E2535*IFERROR(INDEX(Kanallar!$B$5:$B$19,MATCH(C2535,Kanallar!$A$5:$A$19,0)),0)))</f>
        <v/>
      </c>
      <c r="J2535" s="16" t="str">
        <f aca="false">IF(I2535="","",IF(H2535="İptal",0,IF(H2535="İade",-G2535,E2535-I2535-F2535-G2535)))</f>
        <v/>
      </c>
    </row>
    <row r="2536" customFormat="false" ht="15" hidden="false" customHeight="false" outlineLevel="0" collapsed="false">
      <c r="A2536" s="12"/>
      <c r="B2536" s="13"/>
      <c r="C2536" s="14"/>
      <c r="D2536" s="13"/>
      <c r="E2536" s="15"/>
      <c r="F2536" s="15"/>
      <c r="G2536" s="15"/>
      <c r="H2536" s="14"/>
      <c r="I2536" s="16" t="str">
        <f aca="false">IF(OR(A2536="",C2536=""),"",IF(OR(H2536="İade",H2536="İptal"),0,E2536*IFERROR(INDEX(Kanallar!$B$5:$B$19,MATCH(C2536,Kanallar!$A$5:$A$19,0)),0)))</f>
        <v/>
      </c>
      <c r="J2536" s="16" t="str">
        <f aca="false">IF(I2536="","",IF(H2536="İptal",0,IF(H2536="İade",-G2536,E2536-I2536-F2536-G2536)))</f>
        <v/>
      </c>
    </row>
    <row r="2537" customFormat="false" ht="15" hidden="false" customHeight="false" outlineLevel="0" collapsed="false">
      <c r="A2537" s="12"/>
      <c r="B2537" s="13"/>
      <c r="C2537" s="14"/>
      <c r="D2537" s="13"/>
      <c r="E2537" s="15"/>
      <c r="F2537" s="15"/>
      <c r="G2537" s="15"/>
      <c r="H2537" s="14"/>
      <c r="I2537" s="16" t="str">
        <f aca="false">IF(OR(A2537="",C2537=""),"",IF(OR(H2537="İade",H2537="İptal"),0,E2537*IFERROR(INDEX(Kanallar!$B$5:$B$19,MATCH(C2537,Kanallar!$A$5:$A$19,0)),0)))</f>
        <v/>
      </c>
      <c r="J2537" s="16" t="str">
        <f aca="false">IF(I2537="","",IF(H2537="İptal",0,IF(H2537="İade",-G2537,E2537-I2537-F2537-G2537)))</f>
        <v/>
      </c>
    </row>
    <row r="2538" customFormat="false" ht="15" hidden="false" customHeight="false" outlineLevel="0" collapsed="false">
      <c r="A2538" s="12"/>
      <c r="B2538" s="13"/>
      <c r="C2538" s="14"/>
      <c r="D2538" s="13"/>
      <c r="E2538" s="15"/>
      <c r="F2538" s="15"/>
      <c r="G2538" s="15"/>
      <c r="H2538" s="14"/>
      <c r="I2538" s="16" t="str">
        <f aca="false">IF(OR(A2538="",C2538=""),"",IF(OR(H2538="İade",H2538="İptal"),0,E2538*IFERROR(INDEX(Kanallar!$B$5:$B$19,MATCH(C2538,Kanallar!$A$5:$A$19,0)),0)))</f>
        <v/>
      </c>
      <c r="J2538" s="16" t="str">
        <f aca="false">IF(I2538="","",IF(H2538="İptal",0,IF(H2538="İade",-G2538,E2538-I2538-F2538-G2538)))</f>
        <v/>
      </c>
    </row>
    <row r="2539" customFormat="false" ht="15" hidden="false" customHeight="false" outlineLevel="0" collapsed="false">
      <c r="A2539" s="12"/>
      <c r="B2539" s="13"/>
      <c r="C2539" s="14"/>
      <c r="D2539" s="13"/>
      <c r="E2539" s="15"/>
      <c r="F2539" s="15"/>
      <c r="G2539" s="15"/>
      <c r="H2539" s="14"/>
      <c r="I2539" s="16" t="str">
        <f aca="false">IF(OR(A2539="",C2539=""),"",IF(OR(H2539="İade",H2539="İptal"),0,E2539*IFERROR(INDEX(Kanallar!$B$5:$B$19,MATCH(C2539,Kanallar!$A$5:$A$19,0)),0)))</f>
        <v/>
      </c>
      <c r="J2539" s="16" t="str">
        <f aca="false">IF(I2539="","",IF(H2539="İptal",0,IF(H2539="İade",-G2539,E2539-I2539-F2539-G2539)))</f>
        <v/>
      </c>
    </row>
    <row r="2540" customFormat="false" ht="15" hidden="false" customHeight="false" outlineLevel="0" collapsed="false">
      <c r="A2540" s="12"/>
      <c r="B2540" s="13"/>
      <c r="C2540" s="14"/>
      <c r="D2540" s="13"/>
      <c r="E2540" s="15"/>
      <c r="F2540" s="15"/>
      <c r="G2540" s="15"/>
      <c r="H2540" s="14"/>
      <c r="I2540" s="16" t="str">
        <f aca="false">IF(OR(A2540="",C2540=""),"",IF(OR(H2540="İade",H2540="İptal"),0,E2540*IFERROR(INDEX(Kanallar!$B$5:$B$19,MATCH(C2540,Kanallar!$A$5:$A$19,0)),0)))</f>
        <v/>
      </c>
      <c r="J2540" s="16" t="str">
        <f aca="false">IF(I2540="","",IF(H2540="İptal",0,IF(H2540="İade",-G2540,E2540-I2540-F2540-G2540)))</f>
        <v/>
      </c>
    </row>
    <row r="2541" customFormat="false" ht="15" hidden="false" customHeight="false" outlineLevel="0" collapsed="false">
      <c r="A2541" s="12"/>
      <c r="B2541" s="13"/>
      <c r="C2541" s="14"/>
      <c r="D2541" s="13"/>
      <c r="E2541" s="15"/>
      <c r="F2541" s="15"/>
      <c r="G2541" s="15"/>
      <c r="H2541" s="14"/>
      <c r="I2541" s="16" t="str">
        <f aca="false">IF(OR(A2541="",C2541=""),"",IF(OR(H2541="İade",H2541="İptal"),0,E2541*IFERROR(INDEX(Kanallar!$B$5:$B$19,MATCH(C2541,Kanallar!$A$5:$A$19,0)),0)))</f>
        <v/>
      </c>
      <c r="J2541" s="16" t="str">
        <f aca="false">IF(I2541="","",IF(H2541="İptal",0,IF(H2541="İade",-G2541,E2541-I2541-F2541-G2541)))</f>
        <v/>
      </c>
    </row>
    <row r="2542" customFormat="false" ht="15" hidden="false" customHeight="false" outlineLevel="0" collapsed="false">
      <c r="A2542" s="12"/>
      <c r="B2542" s="13"/>
      <c r="C2542" s="14"/>
      <c r="D2542" s="13"/>
      <c r="E2542" s="15"/>
      <c r="F2542" s="15"/>
      <c r="G2542" s="15"/>
      <c r="H2542" s="14"/>
      <c r="I2542" s="16" t="str">
        <f aca="false">IF(OR(A2542="",C2542=""),"",IF(OR(H2542="İade",H2542="İptal"),0,E2542*IFERROR(INDEX(Kanallar!$B$5:$B$19,MATCH(C2542,Kanallar!$A$5:$A$19,0)),0)))</f>
        <v/>
      </c>
      <c r="J2542" s="16" t="str">
        <f aca="false">IF(I2542="","",IF(H2542="İptal",0,IF(H2542="İade",-G2542,E2542-I2542-F2542-G2542)))</f>
        <v/>
      </c>
    </row>
    <row r="2543" customFormat="false" ht="15" hidden="false" customHeight="false" outlineLevel="0" collapsed="false">
      <c r="A2543" s="12"/>
      <c r="B2543" s="13"/>
      <c r="C2543" s="14"/>
      <c r="D2543" s="13"/>
      <c r="E2543" s="15"/>
      <c r="F2543" s="15"/>
      <c r="G2543" s="15"/>
      <c r="H2543" s="14"/>
      <c r="I2543" s="16" t="str">
        <f aca="false">IF(OR(A2543="",C2543=""),"",IF(OR(H2543="İade",H2543="İptal"),0,E2543*IFERROR(INDEX(Kanallar!$B$5:$B$19,MATCH(C2543,Kanallar!$A$5:$A$19,0)),0)))</f>
        <v/>
      </c>
      <c r="J2543" s="16" t="str">
        <f aca="false">IF(I2543="","",IF(H2543="İptal",0,IF(H2543="İade",-G2543,E2543-I2543-F2543-G2543)))</f>
        <v/>
      </c>
    </row>
    <row r="2544" customFormat="false" ht="15" hidden="false" customHeight="false" outlineLevel="0" collapsed="false">
      <c r="A2544" s="12"/>
      <c r="B2544" s="13"/>
      <c r="C2544" s="14"/>
      <c r="D2544" s="13"/>
      <c r="E2544" s="15"/>
      <c r="F2544" s="15"/>
      <c r="G2544" s="15"/>
      <c r="H2544" s="14"/>
      <c r="I2544" s="16" t="str">
        <f aca="false">IF(OR(A2544="",C2544=""),"",IF(OR(H2544="İade",H2544="İptal"),0,E2544*IFERROR(INDEX(Kanallar!$B$5:$B$19,MATCH(C2544,Kanallar!$A$5:$A$19,0)),0)))</f>
        <v/>
      </c>
      <c r="J2544" s="16" t="str">
        <f aca="false">IF(I2544="","",IF(H2544="İptal",0,IF(H2544="İade",-G2544,E2544-I2544-F2544-G2544)))</f>
        <v/>
      </c>
    </row>
    <row r="2545" customFormat="false" ht="15" hidden="false" customHeight="false" outlineLevel="0" collapsed="false">
      <c r="A2545" s="12"/>
      <c r="B2545" s="13"/>
      <c r="C2545" s="14"/>
      <c r="D2545" s="13"/>
      <c r="E2545" s="15"/>
      <c r="F2545" s="15"/>
      <c r="G2545" s="15"/>
      <c r="H2545" s="14"/>
      <c r="I2545" s="16" t="str">
        <f aca="false">IF(OR(A2545="",C2545=""),"",IF(OR(H2545="İade",H2545="İptal"),0,E2545*IFERROR(INDEX(Kanallar!$B$5:$B$19,MATCH(C2545,Kanallar!$A$5:$A$19,0)),0)))</f>
        <v/>
      </c>
      <c r="J2545" s="16" t="str">
        <f aca="false">IF(I2545="","",IF(H2545="İptal",0,IF(H2545="İade",-G2545,E2545-I2545-F2545-G2545)))</f>
        <v/>
      </c>
    </row>
    <row r="2546" customFormat="false" ht="15" hidden="false" customHeight="false" outlineLevel="0" collapsed="false">
      <c r="A2546" s="12"/>
      <c r="B2546" s="13"/>
      <c r="C2546" s="14"/>
      <c r="D2546" s="13"/>
      <c r="E2546" s="15"/>
      <c r="F2546" s="15"/>
      <c r="G2546" s="15"/>
      <c r="H2546" s="14"/>
      <c r="I2546" s="16" t="str">
        <f aca="false">IF(OR(A2546="",C2546=""),"",IF(OR(H2546="İade",H2546="İptal"),0,E2546*IFERROR(INDEX(Kanallar!$B$5:$B$19,MATCH(C2546,Kanallar!$A$5:$A$19,0)),0)))</f>
        <v/>
      </c>
      <c r="J2546" s="16" t="str">
        <f aca="false">IF(I2546="","",IF(H2546="İptal",0,IF(H2546="İade",-G2546,E2546-I2546-F2546-G2546)))</f>
        <v/>
      </c>
    </row>
    <row r="2547" customFormat="false" ht="15" hidden="false" customHeight="false" outlineLevel="0" collapsed="false">
      <c r="A2547" s="12"/>
      <c r="B2547" s="13"/>
      <c r="C2547" s="14"/>
      <c r="D2547" s="13"/>
      <c r="E2547" s="15"/>
      <c r="F2547" s="15"/>
      <c r="G2547" s="15"/>
      <c r="H2547" s="14"/>
      <c r="I2547" s="16" t="str">
        <f aca="false">IF(OR(A2547="",C2547=""),"",IF(OR(H2547="İade",H2547="İptal"),0,E2547*IFERROR(INDEX(Kanallar!$B$5:$B$19,MATCH(C2547,Kanallar!$A$5:$A$19,0)),0)))</f>
        <v/>
      </c>
      <c r="J2547" s="16" t="str">
        <f aca="false">IF(I2547="","",IF(H2547="İptal",0,IF(H2547="İade",-G2547,E2547-I2547-F2547-G2547)))</f>
        <v/>
      </c>
    </row>
    <row r="2548" customFormat="false" ht="15" hidden="false" customHeight="false" outlineLevel="0" collapsed="false">
      <c r="A2548" s="12"/>
      <c r="B2548" s="13"/>
      <c r="C2548" s="14"/>
      <c r="D2548" s="13"/>
      <c r="E2548" s="15"/>
      <c r="F2548" s="15"/>
      <c r="G2548" s="15"/>
      <c r="H2548" s="14"/>
      <c r="I2548" s="16" t="str">
        <f aca="false">IF(OR(A2548="",C2548=""),"",IF(OR(H2548="İade",H2548="İptal"),0,E2548*IFERROR(INDEX(Kanallar!$B$5:$B$19,MATCH(C2548,Kanallar!$A$5:$A$19,0)),0)))</f>
        <v/>
      </c>
      <c r="J2548" s="16" t="str">
        <f aca="false">IF(I2548="","",IF(H2548="İptal",0,IF(H2548="İade",-G2548,E2548-I2548-F2548-G2548)))</f>
        <v/>
      </c>
    </row>
    <row r="2549" customFormat="false" ht="15" hidden="false" customHeight="false" outlineLevel="0" collapsed="false">
      <c r="A2549" s="12"/>
      <c r="B2549" s="13"/>
      <c r="C2549" s="14"/>
      <c r="D2549" s="13"/>
      <c r="E2549" s="15"/>
      <c r="F2549" s="15"/>
      <c r="G2549" s="15"/>
      <c r="H2549" s="14"/>
      <c r="I2549" s="16" t="str">
        <f aca="false">IF(OR(A2549="",C2549=""),"",IF(OR(H2549="İade",H2549="İptal"),0,E2549*IFERROR(INDEX(Kanallar!$B$5:$B$19,MATCH(C2549,Kanallar!$A$5:$A$19,0)),0)))</f>
        <v/>
      </c>
      <c r="J2549" s="16" t="str">
        <f aca="false">IF(I2549="","",IF(H2549="İptal",0,IF(H2549="İade",-G2549,E2549-I2549-F2549-G2549)))</f>
        <v/>
      </c>
    </row>
    <row r="2550" customFormat="false" ht="15" hidden="false" customHeight="false" outlineLevel="0" collapsed="false">
      <c r="A2550" s="12"/>
      <c r="B2550" s="13"/>
      <c r="C2550" s="14"/>
      <c r="D2550" s="13"/>
      <c r="E2550" s="15"/>
      <c r="F2550" s="15"/>
      <c r="G2550" s="15"/>
      <c r="H2550" s="14"/>
      <c r="I2550" s="16" t="str">
        <f aca="false">IF(OR(A2550="",C2550=""),"",IF(OR(H2550="İade",H2550="İptal"),0,E2550*IFERROR(INDEX(Kanallar!$B$5:$B$19,MATCH(C2550,Kanallar!$A$5:$A$19,0)),0)))</f>
        <v/>
      </c>
      <c r="J2550" s="16" t="str">
        <f aca="false">IF(I2550="","",IF(H2550="İptal",0,IF(H2550="İade",-G2550,E2550-I2550-F2550-G2550)))</f>
        <v/>
      </c>
    </row>
    <row r="2551" customFormat="false" ht="15" hidden="false" customHeight="false" outlineLevel="0" collapsed="false">
      <c r="A2551" s="12"/>
      <c r="B2551" s="13"/>
      <c r="C2551" s="14"/>
      <c r="D2551" s="13"/>
      <c r="E2551" s="15"/>
      <c r="F2551" s="15"/>
      <c r="G2551" s="15"/>
      <c r="H2551" s="14"/>
      <c r="I2551" s="16" t="str">
        <f aca="false">IF(OR(A2551="",C2551=""),"",IF(OR(H2551="İade",H2551="İptal"),0,E2551*IFERROR(INDEX(Kanallar!$B$5:$B$19,MATCH(C2551,Kanallar!$A$5:$A$19,0)),0)))</f>
        <v/>
      </c>
      <c r="J2551" s="16" t="str">
        <f aca="false">IF(I2551="","",IF(H2551="İptal",0,IF(H2551="İade",-G2551,E2551-I2551-F2551-G2551)))</f>
        <v/>
      </c>
    </row>
    <row r="2552" customFormat="false" ht="15" hidden="false" customHeight="false" outlineLevel="0" collapsed="false">
      <c r="A2552" s="12"/>
      <c r="B2552" s="13"/>
      <c r="C2552" s="14"/>
      <c r="D2552" s="13"/>
      <c r="E2552" s="15"/>
      <c r="F2552" s="15"/>
      <c r="G2552" s="15"/>
      <c r="H2552" s="14"/>
      <c r="I2552" s="16" t="str">
        <f aca="false">IF(OR(A2552="",C2552=""),"",IF(OR(H2552="İade",H2552="İptal"),0,E2552*IFERROR(INDEX(Kanallar!$B$5:$B$19,MATCH(C2552,Kanallar!$A$5:$A$19,0)),0)))</f>
        <v/>
      </c>
      <c r="J2552" s="16" t="str">
        <f aca="false">IF(I2552="","",IF(H2552="İptal",0,IF(H2552="İade",-G2552,E2552-I2552-F2552-G2552)))</f>
        <v/>
      </c>
    </row>
    <row r="2553" customFormat="false" ht="15" hidden="false" customHeight="false" outlineLevel="0" collapsed="false">
      <c r="A2553" s="12"/>
      <c r="B2553" s="13"/>
      <c r="C2553" s="14"/>
      <c r="D2553" s="13"/>
      <c r="E2553" s="15"/>
      <c r="F2553" s="15"/>
      <c r="G2553" s="15"/>
      <c r="H2553" s="14"/>
      <c r="I2553" s="16" t="str">
        <f aca="false">IF(OR(A2553="",C2553=""),"",IF(OR(H2553="İade",H2553="İptal"),0,E2553*IFERROR(INDEX(Kanallar!$B$5:$B$19,MATCH(C2553,Kanallar!$A$5:$A$19,0)),0)))</f>
        <v/>
      </c>
      <c r="J2553" s="16" t="str">
        <f aca="false">IF(I2553="","",IF(H2553="İptal",0,IF(H2553="İade",-G2553,E2553-I2553-F2553-G2553)))</f>
        <v/>
      </c>
    </row>
    <row r="2554" customFormat="false" ht="15" hidden="false" customHeight="false" outlineLevel="0" collapsed="false">
      <c r="A2554" s="12"/>
      <c r="B2554" s="13"/>
      <c r="C2554" s="14"/>
      <c r="D2554" s="13"/>
      <c r="E2554" s="15"/>
      <c r="F2554" s="15"/>
      <c r="G2554" s="15"/>
      <c r="H2554" s="14"/>
      <c r="I2554" s="16" t="str">
        <f aca="false">IF(OR(A2554="",C2554=""),"",IF(OR(H2554="İade",H2554="İptal"),0,E2554*IFERROR(INDEX(Kanallar!$B$5:$B$19,MATCH(C2554,Kanallar!$A$5:$A$19,0)),0)))</f>
        <v/>
      </c>
      <c r="J2554" s="16" t="str">
        <f aca="false">IF(I2554="","",IF(H2554="İptal",0,IF(H2554="İade",-G2554,E2554-I2554-F2554-G2554)))</f>
        <v/>
      </c>
    </row>
    <row r="2555" customFormat="false" ht="15" hidden="false" customHeight="false" outlineLevel="0" collapsed="false">
      <c r="A2555" s="12"/>
      <c r="B2555" s="13"/>
      <c r="C2555" s="14"/>
      <c r="D2555" s="13"/>
      <c r="E2555" s="15"/>
      <c r="F2555" s="15"/>
      <c r="G2555" s="15"/>
      <c r="H2555" s="14"/>
      <c r="I2555" s="16" t="str">
        <f aca="false">IF(OR(A2555="",C2555=""),"",IF(OR(H2555="İade",H2555="İptal"),0,E2555*IFERROR(INDEX(Kanallar!$B$5:$B$19,MATCH(C2555,Kanallar!$A$5:$A$19,0)),0)))</f>
        <v/>
      </c>
      <c r="J2555" s="16" t="str">
        <f aca="false">IF(I2555="","",IF(H2555="İptal",0,IF(H2555="İade",-G2555,E2555-I2555-F2555-G2555)))</f>
        <v/>
      </c>
    </row>
    <row r="2556" customFormat="false" ht="15" hidden="false" customHeight="false" outlineLevel="0" collapsed="false">
      <c r="A2556" s="12"/>
      <c r="B2556" s="13"/>
      <c r="C2556" s="14"/>
      <c r="D2556" s="13"/>
      <c r="E2556" s="15"/>
      <c r="F2556" s="15"/>
      <c r="G2556" s="15"/>
      <c r="H2556" s="14"/>
      <c r="I2556" s="16" t="str">
        <f aca="false">IF(OR(A2556="",C2556=""),"",IF(OR(H2556="İade",H2556="İptal"),0,E2556*IFERROR(INDEX(Kanallar!$B$5:$B$19,MATCH(C2556,Kanallar!$A$5:$A$19,0)),0)))</f>
        <v/>
      </c>
      <c r="J2556" s="16" t="str">
        <f aca="false">IF(I2556="","",IF(H2556="İptal",0,IF(H2556="İade",-G2556,E2556-I2556-F2556-G2556)))</f>
        <v/>
      </c>
    </row>
    <row r="2557" customFormat="false" ht="15" hidden="false" customHeight="false" outlineLevel="0" collapsed="false">
      <c r="A2557" s="12"/>
      <c r="B2557" s="13"/>
      <c r="C2557" s="14"/>
      <c r="D2557" s="13"/>
      <c r="E2557" s="15"/>
      <c r="F2557" s="15"/>
      <c r="G2557" s="15"/>
      <c r="H2557" s="14"/>
      <c r="I2557" s="16" t="str">
        <f aca="false">IF(OR(A2557="",C2557=""),"",IF(OR(H2557="İade",H2557="İptal"),0,E2557*IFERROR(INDEX(Kanallar!$B$5:$B$19,MATCH(C2557,Kanallar!$A$5:$A$19,0)),0)))</f>
        <v/>
      </c>
      <c r="J2557" s="16" t="str">
        <f aca="false">IF(I2557="","",IF(H2557="İptal",0,IF(H2557="İade",-G2557,E2557-I2557-F2557-G2557)))</f>
        <v/>
      </c>
    </row>
    <row r="2558" customFormat="false" ht="15" hidden="false" customHeight="false" outlineLevel="0" collapsed="false">
      <c r="A2558" s="12"/>
      <c r="B2558" s="13"/>
      <c r="C2558" s="14"/>
      <c r="D2558" s="13"/>
      <c r="E2558" s="15"/>
      <c r="F2558" s="15"/>
      <c r="G2558" s="15"/>
      <c r="H2558" s="14"/>
      <c r="I2558" s="16" t="str">
        <f aca="false">IF(OR(A2558="",C2558=""),"",IF(OR(H2558="İade",H2558="İptal"),0,E2558*IFERROR(INDEX(Kanallar!$B$5:$B$19,MATCH(C2558,Kanallar!$A$5:$A$19,0)),0)))</f>
        <v/>
      </c>
      <c r="J2558" s="16" t="str">
        <f aca="false">IF(I2558="","",IF(H2558="İptal",0,IF(H2558="İade",-G2558,E2558-I2558-F2558-G2558)))</f>
        <v/>
      </c>
    </row>
    <row r="2559" customFormat="false" ht="15" hidden="false" customHeight="false" outlineLevel="0" collapsed="false">
      <c r="A2559" s="12"/>
      <c r="B2559" s="13"/>
      <c r="C2559" s="14"/>
      <c r="D2559" s="13"/>
      <c r="E2559" s="15"/>
      <c r="F2559" s="15"/>
      <c r="G2559" s="15"/>
      <c r="H2559" s="14"/>
      <c r="I2559" s="16" t="str">
        <f aca="false">IF(OR(A2559="",C2559=""),"",IF(OR(H2559="İade",H2559="İptal"),0,E2559*IFERROR(INDEX(Kanallar!$B$5:$B$19,MATCH(C2559,Kanallar!$A$5:$A$19,0)),0)))</f>
        <v/>
      </c>
      <c r="J2559" s="16" t="str">
        <f aca="false">IF(I2559="","",IF(H2559="İptal",0,IF(H2559="İade",-G2559,E2559-I2559-F2559-G2559)))</f>
        <v/>
      </c>
    </row>
    <row r="2560" customFormat="false" ht="15" hidden="false" customHeight="false" outlineLevel="0" collapsed="false">
      <c r="A2560" s="12"/>
      <c r="B2560" s="13"/>
      <c r="C2560" s="14"/>
      <c r="D2560" s="13"/>
      <c r="E2560" s="15"/>
      <c r="F2560" s="15"/>
      <c r="G2560" s="15"/>
      <c r="H2560" s="14"/>
      <c r="I2560" s="16" t="str">
        <f aca="false">IF(OR(A2560="",C2560=""),"",IF(OR(H2560="İade",H2560="İptal"),0,E2560*IFERROR(INDEX(Kanallar!$B$5:$B$19,MATCH(C2560,Kanallar!$A$5:$A$19,0)),0)))</f>
        <v/>
      </c>
      <c r="J2560" s="16" t="str">
        <f aca="false">IF(I2560="","",IF(H2560="İptal",0,IF(H2560="İade",-G2560,E2560-I2560-F2560-G2560)))</f>
        <v/>
      </c>
    </row>
    <row r="2561" customFormat="false" ht="15" hidden="false" customHeight="false" outlineLevel="0" collapsed="false">
      <c r="A2561" s="12"/>
      <c r="B2561" s="13"/>
      <c r="C2561" s="14"/>
      <c r="D2561" s="13"/>
      <c r="E2561" s="15"/>
      <c r="F2561" s="15"/>
      <c r="G2561" s="15"/>
      <c r="H2561" s="14"/>
      <c r="I2561" s="16" t="str">
        <f aca="false">IF(OR(A2561="",C2561=""),"",IF(OR(H2561="İade",H2561="İptal"),0,E2561*IFERROR(INDEX(Kanallar!$B$5:$B$19,MATCH(C2561,Kanallar!$A$5:$A$19,0)),0)))</f>
        <v/>
      </c>
      <c r="J2561" s="16" t="str">
        <f aca="false">IF(I2561="","",IF(H2561="İptal",0,IF(H2561="İade",-G2561,E2561-I2561-F2561-G2561)))</f>
        <v/>
      </c>
    </row>
    <row r="2562" customFormat="false" ht="15" hidden="false" customHeight="false" outlineLevel="0" collapsed="false">
      <c r="A2562" s="12"/>
      <c r="B2562" s="13"/>
      <c r="C2562" s="14"/>
      <c r="D2562" s="13"/>
      <c r="E2562" s="15"/>
      <c r="F2562" s="15"/>
      <c r="G2562" s="15"/>
      <c r="H2562" s="14"/>
      <c r="I2562" s="16" t="str">
        <f aca="false">IF(OR(A2562="",C2562=""),"",IF(OR(H2562="İade",H2562="İptal"),0,E2562*IFERROR(INDEX(Kanallar!$B$5:$B$19,MATCH(C2562,Kanallar!$A$5:$A$19,0)),0)))</f>
        <v/>
      </c>
      <c r="J2562" s="16" t="str">
        <f aca="false">IF(I2562="","",IF(H2562="İptal",0,IF(H2562="İade",-G2562,E2562-I2562-F2562-G2562)))</f>
        <v/>
      </c>
    </row>
    <row r="2563" customFormat="false" ht="15" hidden="false" customHeight="false" outlineLevel="0" collapsed="false">
      <c r="A2563" s="12"/>
      <c r="B2563" s="13"/>
      <c r="C2563" s="14"/>
      <c r="D2563" s="13"/>
      <c r="E2563" s="15"/>
      <c r="F2563" s="15"/>
      <c r="G2563" s="15"/>
      <c r="H2563" s="14"/>
      <c r="I2563" s="16" t="str">
        <f aca="false">IF(OR(A2563="",C2563=""),"",IF(OR(H2563="İade",H2563="İptal"),0,E2563*IFERROR(INDEX(Kanallar!$B$5:$B$19,MATCH(C2563,Kanallar!$A$5:$A$19,0)),0)))</f>
        <v/>
      </c>
      <c r="J2563" s="16" t="str">
        <f aca="false">IF(I2563="","",IF(H2563="İptal",0,IF(H2563="İade",-G2563,E2563-I2563-F2563-G2563)))</f>
        <v/>
      </c>
    </row>
    <row r="2564" customFormat="false" ht="15" hidden="false" customHeight="false" outlineLevel="0" collapsed="false">
      <c r="A2564" s="12"/>
      <c r="B2564" s="13"/>
      <c r="C2564" s="14"/>
      <c r="D2564" s="13"/>
      <c r="E2564" s="15"/>
      <c r="F2564" s="15"/>
      <c r="G2564" s="15"/>
      <c r="H2564" s="14"/>
      <c r="I2564" s="16" t="str">
        <f aca="false">IF(OR(A2564="",C2564=""),"",IF(OR(H2564="İade",H2564="İptal"),0,E2564*IFERROR(INDEX(Kanallar!$B$5:$B$19,MATCH(C2564,Kanallar!$A$5:$A$19,0)),0)))</f>
        <v/>
      </c>
      <c r="J2564" s="16" t="str">
        <f aca="false">IF(I2564="","",IF(H2564="İptal",0,IF(H2564="İade",-G2564,E2564-I2564-F2564-G2564)))</f>
        <v/>
      </c>
    </row>
    <row r="2565" customFormat="false" ht="15" hidden="false" customHeight="false" outlineLevel="0" collapsed="false">
      <c r="A2565" s="12"/>
      <c r="B2565" s="13"/>
      <c r="C2565" s="14"/>
      <c r="D2565" s="13"/>
      <c r="E2565" s="15"/>
      <c r="F2565" s="15"/>
      <c r="G2565" s="15"/>
      <c r="H2565" s="14"/>
      <c r="I2565" s="16" t="str">
        <f aca="false">IF(OR(A2565="",C2565=""),"",IF(OR(H2565="İade",H2565="İptal"),0,E2565*IFERROR(INDEX(Kanallar!$B$5:$B$19,MATCH(C2565,Kanallar!$A$5:$A$19,0)),0)))</f>
        <v/>
      </c>
      <c r="J2565" s="16" t="str">
        <f aca="false">IF(I2565="","",IF(H2565="İptal",0,IF(H2565="İade",-G2565,E2565-I2565-F2565-G2565)))</f>
        <v/>
      </c>
    </row>
    <row r="2566" customFormat="false" ht="15" hidden="false" customHeight="false" outlineLevel="0" collapsed="false">
      <c r="A2566" s="12"/>
      <c r="B2566" s="13"/>
      <c r="C2566" s="14"/>
      <c r="D2566" s="13"/>
      <c r="E2566" s="15"/>
      <c r="F2566" s="15"/>
      <c r="G2566" s="15"/>
      <c r="H2566" s="14"/>
      <c r="I2566" s="16" t="str">
        <f aca="false">IF(OR(A2566="",C2566=""),"",IF(OR(H2566="İade",H2566="İptal"),0,E2566*IFERROR(INDEX(Kanallar!$B$5:$B$19,MATCH(C2566,Kanallar!$A$5:$A$19,0)),0)))</f>
        <v/>
      </c>
      <c r="J2566" s="16" t="str">
        <f aca="false">IF(I2566="","",IF(H2566="İptal",0,IF(H2566="İade",-G2566,E2566-I2566-F2566-G2566)))</f>
        <v/>
      </c>
    </row>
    <row r="2567" customFormat="false" ht="15" hidden="false" customHeight="false" outlineLevel="0" collapsed="false">
      <c r="A2567" s="12"/>
      <c r="B2567" s="13"/>
      <c r="C2567" s="14"/>
      <c r="D2567" s="13"/>
      <c r="E2567" s="15"/>
      <c r="F2567" s="15"/>
      <c r="G2567" s="15"/>
      <c r="H2567" s="14"/>
      <c r="I2567" s="16" t="str">
        <f aca="false">IF(OR(A2567="",C2567=""),"",IF(OR(H2567="İade",H2567="İptal"),0,E2567*IFERROR(INDEX(Kanallar!$B$5:$B$19,MATCH(C2567,Kanallar!$A$5:$A$19,0)),0)))</f>
        <v/>
      </c>
      <c r="J2567" s="16" t="str">
        <f aca="false">IF(I2567="","",IF(H2567="İptal",0,IF(H2567="İade",-G2567,E2567-I2567-F2567-G2567)))</f>
        <v/>
      </c>
    </row>
    <row r="2568" customFormat="false" ht="15" hidden="false" customHeight="false" outlineLevel="0" collapsed="false">
      <c r="A2568" s="12"/>
      <c r="B2568" s="13"/>
      <c r="C2568" s="14"/>
      <c r="D2568" s="13"/>
      <c r="E2568" s="15"/>
      <c r="F2568" s="15"/>
      <c r="G2568" s="15"/>
      <c r="H2568" s="14"/>
      <c r="I2568" s="16" t="str">
        <f aca="false">IF(OR(A2568="",C2568=""),"",IF(OR(H2568="İade",H2568="İptal"),0,E2568*IFERROR(INDEX(Kanallar!$B$5:$B$19,MATCH(C2568,Kanallar!$A$5:$A$19,0)),0)))</f>
        <v/>
      </c>
      <c r="J2568" s="16" t="str">
        <f aca="false">IF(I2568="","",IF(H2568="İptal",0,IF(H2568="İade",-G2568,E2568-I2568-F2568-G2568)))</f>
        <v/>
      </c>
    </row>
    <row r="2569" customFormat="false" ht="15" hidden="false" customHeight="false" outlineLevel="0" collapsed="false">
      <c r="A2569" s="12"/>
      <c r="B2569" s="13"/>
      <c r="C2569" s="14"/>
      <c r="D2569" s="13"/>
      <c r="E2569" s="15"/>
      <c r="F2569" s="15"/>
      <c r="G2569" s="15"/>
      <c r="H2569" s="14"/>
      <c r="I2569" s="16" t="str">
        <f aca="false">IF(OR(A2569="",C2569=""),"",IF(OR(H2569="İade",H2569="İptal"),0,E2569*IFERROR(INDEX(Kanallar!$B$5:$B$19,MATCH(C2569,Kanallar!$A$5:$A$19,0)),0)))</f>
        <v/>
      </c>
      <c r="J2569" s="16" t="str">
        <f aca="false">IF(I2569="","",IF(H2569="İptal",0,IF(H2569="İade",-G2569,E2569-I2569-F2569-G2569)))</f>
        <v/>
      </c>
    </row>
    <row r="2570" customFormat="false" ht="15" hidden="false" customHeight="false" outlineLevel="0" collapsed="false">
      <c r="A2570" s="12"/>
      <c r="B2570" s="13"/>
      <c r="C2570" s="14"/>
      <c r="D2570" s="13"/>
      <c r="E2570" s="15"/>
      <c r="F2570" s="15"/>
      <c r="G2570" s="15"/>
      <c r="H2570" s="14"/>
      <c r="I2570" s="16" t="str">
        <f aca="false">IF(OR(A2570="",C2570=""),"",IF(OR(H2570="İade",H2570="İptal"),0,E2570*IFERROR(INDEX(Kanallar!$B$5:$B$19,MATCH(C2570,Kanallar!$A$5:$A$19,0)),0)))</f>
        <v/>
      </c>
      <c r="J2570" s="16" t="str">
        <f aca="false">IF(I2570="","",IF(H2570="İptal",0,IF(H2570="İade",-G2570,E2570-I2570-F2570-G2570)))</f>
        <v/>
      </c>
    </row>
    <row r="2571" customFormat="false" ht="15" hidden="false" customHeight="false" outlineLevel="0" collapsed="false">
      <c r="A2571" s="12"/>
      <c r="B2571" s="13"/>
      <c r="C2571" s="14"/>
      <c r="D2571" s="13"/>
      <c r="E2571" s="15"/>
      <c r="F2571" s="15"/>
      <c r="G2571" s="15"/>
      <c r="H2571" s="14"/>
      <c r="I2571" s="16" t="str">
        <f aca="false">IF(OR(A2571="",C2571=""),"",IF(OR(H2571="İade",H2571="İptal"),0,E2571*IFERROR(INDEX(Kanallar!$B$5:$B$19,MATCH(C2571,Kanallar!$A$5:$A$19,0)),0)))</f>
        <v/>
      </c>
      <c r="J2571" s="16" t="str">
        <f aca="false">IF(I2571="","",IF(H2571="İptal",0,IF(H2571="İade",-G2571,E2571-I2571-F2571-G2571)))</f>
        <v/>
      </c>
    </row>
    <row r="2572" customFormat="false" ht="15" hidden="false" customHeight="false" outlineLevel="0" collapsed="false">
      <c r="A2572" s="12"/>
      <c r="B2572" s="13"/>
      <c r="C2572" s="14"/>
      <c r="D2572" s="13"/>
      <c r="E2572" s="15"/>
      <c r="F2572" s="15"/>
      <c r="G2572" s="15"/>
      <c r="H2572" s="14"/>
      <c r="I2572" s="16" t="str">
        <f aca="false">IF(OR(A2572="",C2572=""),"",IF(OR(H2572="İade",H2572="İptal"),0,E2572*IFERROR(INDEX(Kanallar!$B$5:$B$19,MATCH(C2572,Kanallar!$A$5:$A$19,0)),0)))</f>
        <v/>
      </c>
      <c r="J2572" s="16" t="str">
        <f aca="false">IF(I2572="","",IF(H2572="İptal",0,IF(H2572="İade",-G2572,E2572-I2572-F2572-G2572)))</f>
        <v/>
      </c>
    </row>
    <row r="2573" customFormat="false" ht="15" hidden="false" customHeight="false" outlineLevel="0" collapsed="false">
      <c r="A2573" s="12"/>
      <c r="B2573" s="13"/>
      <c r="C2573" s="14"/>
      <c r="D2573" s="13"/>
      <c r="E2573" s="15"/>
      <c r="F2573" s="15"/>
      <c r="G2573" s="15"/>
      <c r="H2573" s="14"/>
      <c r="I2573" s="16" t="str">
        <f aca="false">IF(OR(A2573="",C2573=""),"",IF(OR(H2573="İade",H2573="İptal"),0,E2573*IFERROR(INDEX(Kanallar!$B$5:$B$19,MATCH(C2573,Kanallar!$A$5:$A$19,0)),0)))</f>
        <v/>
      </c>
      <c r="J2573" s="16" t="str">
        <f aca="false">IF(I2573="","",IF(H2573="İptal",0,IF(H2573="İade",-G2573,E2573-I2573-F2573-G2573)))</f>
        <v/>
      </c>
    </row>
    <row r="2574" customFormat="false" ht="15" hidden="false" customHeight="false" outlineLevel="0" collapsed="false">
      <c r="A2574" s="12"/>
      <c r="B2574" s="13"/>
      <c r="C2574" s="14"/>
      <c r="D2574" s="13"/>
      <c r="E2574" s="15"/>
      <c r="F2574" s="15"/>
      <c r="G2574" s="15"/>
      <c r="H2574" s="14"/>
      <c r="I2574" s="16" t="str">
        <f aca="false">IF(OR(A2574="",C2574=""),"",IF(OR(H2574="İade",H2574="İptal"),0,E2574*IFERROR(INDEX(Kanallar!$B$5:$B$19,MATCH(C2574,Kanallar!$A$5:$A$19,0)),0)))</f>
        <v/>
      </c>
      <c r="J2574" s="16" t="str">
        <f aca="false">IF(I2574="","",IF(H2574="İptal",0,IF(H2574="İade",-G2574,E2574-I2574-F2574-G2574)))</f>
        <v/>
      </c>
    </row>
    <row r="2575" customFormat="false" ht="15" hidden="false" customHeight="false" outlineLevel="0" collapsed="false">
      <c r="A2575" s="12"/>
      <c r="B2575" s="13"/>
      <c r="C2575" s="14"/>
      <c r="D2575" s="13"/>
      <c r="E2575" s="15"/>
      <c r="F2575" s="15"/>
      <c r="G2575" s="15"/>
      <c r="H2575" s="14"/>
      <c r="I2575" s="16" t="str">
        <f aca="false">IF(OR(A2575="",C2575=""),"",IF(OR(H2575="İade",H2575="İptal"),0,E2575*IFERROR(INDEX(Kanallar!$B$5:$B$19,MATCH(C2575,Kanallar!$A$5:$A$19,0)),0)))</f>
        <v/>
      </c>
      <c r="J2575" s="16" t="str">
        <f aca="false">IF(I2575="","",IF(H2575="İptal",0,IF(H2575="İade",-G2575,E2575-I2575-F2575-G2575)))</f>
        <v/>
      </c>
    </row>
    <row r="2576" customFormat="false" ht="15" hidden="false" customHeight="false" outlineLevel="0" collapsed="false">
      <c r="A2576" s="12"/>
      <c r="B2576" s="13"/>
      <c r="C2576" s="14"/>
      <c r="D2576" s="13"/>
      <c r="E2576" s="15"/>
      <c r="F2576" s="15"/>
      <c r="G2576" s="15"/>
      <c r="H2576" s="14"/>
      <c r="I2576" s="16" t="str">
        <f aca="false">IF(OR(A2576="",C2576=""),"",IF(OR(H2576="İade",H2576="İptal"),0,E2576*IFERROR(INDEX(Kanallar!$B$5:$B$19,MATCH(C2576,Kanallar!$A$5:$A$19,0)),0)))</f>
        <v/>
      </c>
      <c r="J2576" s="16" t="str">
        <f aca="false">IF(I2576="","",IF(H2576="İptal",0,IF(H2576="İade",-G2576,E2576-I2576-F2576-G2576)))</f>
        <v/>
      </c>
    </row>
    <row r="2577" customFormat="false" ht="15" hidden="false" customHeight="false" outlineLevel="0" collapsed="false">
      <c r="A2577" s="12"/>
      <c r="B2577" s="13"/>
      <c r="C2577" s="14"/>
      <c r="D2577" s="13"/>
      <c r="E2577" s="15"/>
      <c r="F2577" s="15"/>
      <c r="G2577" s="15"/>
      <c r="H2577" s="14"/>
      <c r="I2577" s="16" t="str">
        <f aca="false">IF(OR(A2577="",C2577=""),"",IF(OR(H2577="İade",H2577="İptal"),0,E2577*IFERROR(INDEX(Kanallar!$B$5:$B$19,MATCH(C2577,Kanallar!$A$5:$A$19,0)),0)))</f>
        <v/>
      </c>
      <c r="J2577" s="16" t="str">
        <f aca="false">IF(I2577="","",IF(H2577="İptal",0,IF(H2577="İade",-G2577,E2577-I2577-F2577-G2577)))</f>
        <v/>
      </c>
    </row>
    <row r="2578" customFormat="false" ht="15" hidden="false" customHeight="false" outlineLevel="0" collapsed="false">
      <c r="A2578" s="12"/>
      <c r="B2578" s="13"/>
      <c r="C2578" s="14"/>
      <c r="D2578" s="13"/>
      <c r="E2578" s="15"/>
      <c r="F2578" s="15"/>
      <c r="G2578" s="15"/>
      <c r="H2578" s="14"/>
      <c r="I2578" s="16" t="str">
        <f aca="false">IF(OR(A2578="",C2578=""),"",IF(OR(H2578="İade",H2578="İptal"),0,E2578*IFERROR(INDEX(Kanallar!$B$5:$B$19,MATCH(C2578,Kanallar!$A$5:$A$19,0)),0)))</f>
        <v/>
      </c>
      <c r="J2578" s="16" t="str">
        <f aca="false">IF(I2578="","",IF(H2578="İptal",0,IF(H2578="İade",-G2578,E2578-I2578-F2578-G2578)))</f>
        <v/>
      </c>
    </row>
    <row r="2579" customFormat="false" ht="15" hidden="false" customHeight="false" outlineLevel="0" collapsed="false">
      <c r="A2579" s="12"/>
      <c r="B2579" s="13"/>
      <c r="C2579" s="14"/>
      <c r="D2579" s="13"/>
      <c r="E2579" s="15"/>
      <c r="F2579" s="15"/>
      <c r="G2579" s="15"/>
      <c r="H2579" s="14"/>
      <c r="I2579" s="16" t="str">
        <f aca="false">IF(OR(A2579="",C2579=""),"",IF(OR(H2579="İade",H2579="İptal"),0,E2579*IFERROR(INDEX(Kanallar!$B$5:$B$19,MATCH(C2579,Kanallar!$A$5:$A$19,0)),0)))</f>
        <v/>
      </c>
      <c r="J2579" s="16" t="str">
        <f aca="false">IF(I2579="","",IF(H2579="İptal",0,IF(H2579="İade",-G2579,E2579-I2579-F2579-G2579)))</f>
        <v/>
      </c>
    </row>
    <row r="2580" customFormat="false" ht="15" hidden="false" customHeight="false" outlineLevel="0" collapsed="false">
      <c r="A2580" s="12"/>
      <c r="B2580" s="13"/>
      <c r="C2580" s="14"/>
      <c r="D2580" s="13"/>
      <c r="E2580" s="15"/>
      <c r="F2580" s="15"/>
      <c r="G2580" s="15"/>
      <c r="H2580" s="14"/>
      <c r="I2580" s="16" t="str">
        <f aca="false">IF(OR(A2580="",C2580=""),"",IF(OR(H2580="İade",H2580="İptal"),0,E2580*IFERROR(INDEX(Kanallar!$B$5:$B$19,MATCH(C2580,Kanallar!$A$5:$A$19,0)),0)))</f>
        <v/>
      </c>
      <c r="J2580" s="16" t="str">
        <f aca="false">IF(I2580="","",IF(H2580="İptal",0,IF(H2580="İade",-G2580,E2580-I2580-F2580-G2580)))</f>
        <v/>
      </c>
    </row>
    <row r="2581" customFormat="false" ht="15" hidden="false" customHeight="false" outlineLevel="0" collapsed="false">
      <c r="A2581" s="12"/>
      <c r="B2581" s="13"/>
      <c r="C2581" s="14"/>
      <c r="D2581" s="13"/>
      <c r="E2581" s="15"/>
      <c r="F2581" s="15"/>
      <c r="G2581" s="15"/>
      <c r="H2581" s="14"/>
      <c r="I2581" s="16" t="str">
        <f aca="false">IF(OR(A2581="",C2581=""),"",IF(OR(H2581="İade",H2581="İptal"),0,E2581*IFERROR(INDEX(Kanallar!$B$5:$B$19,MATCH(C2581,Kanallar!$A$5:$A$19,0)),0)))</f>
        <v/>
      </c>
      <c r="J2581" s="16" t="str">
        <f aca="false">IF(I2581="","",IF(H2581="İptal",0,IF(H2581="İade",-G2581,E2581-I2581-F2581-G2581)))</f>
        <v/>
      </c>
    </row>
    <row r="2582" customFormat="false" ht="15" hidden="false" customHeight="false" outlineLevel="0" collapsed="false">
      <c r="A2582" s="12"/>
      <c r="B2582" s="13"/>
      <c r="C2582" s="14"/>
      <c r="D2582" s="13"/>
      <c r="E2582" s="15"/>
      <c r="F2582" s="15"/>
      <c r="G2582" s="15"/>
      <c r="H2582" s="14"/>
      <c r="I2582" s="16" t="str">
        <f aca="false">IF(OR(A2582="",C2582=""),"",IF(OR(H2582="İade",H2582="İptal"),0,E2582*IFERROR(INDEX(Kanallar!$B$5:$B$19,MATCH(C2582,Kanallar!$A$5:$A$19,0)),0)))</f>
        <v/>
      </c>
      <c r="J2582" s="16" t="str">
        <f aca="false">IF(I2582="","",IF(H2582="İptal",0,IF(H2582="İade",-G2582,E2582-I2582-F2582-G2582)))</f>
        <v/>
      </c>
    </row>
    <row r="2583" customFormat="false" ht="15" hidden="false" customHeight="false" outlineLevel="0" collapsed="false">
      <c r="A2583" s="12"/>
      <c r="B2583" s="13"/>
      <c r="C2583" s="14"/>
      <c r="D2583" s="13"/>
      <c r="E2583" s="15"/>
      <c r="F2583" s="15"/>
      <c r="G2583" s="15"/>
      <c r="H2583" s="14"/>
      <c r="I2583" s="16" t="str">
        <f aca="false">IF(OR(A2583="",C2583=""),"",IF(OR(H2583="İade",H2583="İptal"),0,E2583*IFERROR(INDEX(Kanallar!$B$5:$B$19,MATCH(C2583,Kanallar!$A$5:$A$19,0)),0)))</f>
        <v/>
      </c>
      <c r="J2583" s="16" t="str">
        <f aca="false">IF(I2583="","",IF(H2583="İptal",0,IF(H2583="İade",-G2583,E2583-I2583-F2583-G2583)))</f>
        <v/>
      </c>
    </row>
    <row r="2584" customFormat="false" ht="15" hidden="false" customHeight="false" outlineLevel="0" collapsed="false">
      <c r="A2584" s="12"/>
      <c r="B2584" s="13"/>
      <c r="C2584" s="14"/>
      <c r="D2584" s="13"/>
      <c r="E2584" s="15"/>
      <c r="F2584" s="15"/>
      <c r="G2584" s="15"/>
      <c r="H2584" s="14"/>
      <c r="I2584" s="16" t="str">
        <f aca="false">IF(OR(A2584="",C2584=""),"",IF(OR(H2584="İade",H2584="İptal"),0,E2584*IFERROR(INDEX(Kanallar!$B$5:$B$19,MATCH(C2584,Kanallar!$A$5:$A$19,0)),0)))</f>
        <v/>
      </c>
      <c r="J2584" s="16" t="str">
        <f aca="false">IF(I2584="","",IF(H2584="İptal",0,IF(H2584="İade",-G2584,E2584-I2584-F2584-G2584)))</f>
        <v/>
      </c>
    </row>
    <row r="2585" customFormat="false" ht="15" hidden="false" customHeight="false" outlineLevel="0" collapsed="false">
      <c r="A2585" s="12"/>
      <c r="B2585" s="13"/>
      <c r="C2585" s="14"/>
      <c r="D2585" s="13"/>
      <c r="E2585" s="15"/>
      <c r="F2585" s="15"/>
      <c r="G2585" s="15"/>
      <c r="H2585" s="14"/>
      <c r="I2585" s="16" t="str">
        <f aca="false">IF(OR(A2585="",C2585=""),"",IF(OR(H2585="İade",H2585="İptal"),0,E2585*IFERROR(INDEX(Kanallar!$B$5:$B$19,MATCH(C2585,Kanallar!$A$5:$A$19,0)),0)))</f>
        <v/>
      </c>
      <c r="J2585" s="16" t="str">
        <f aca="false">IF(I2585="","",IF(H2585="İptal",0,IF(H2585="İade",-G2585,E2585-I2585-F2585-G2585)))</f>
        <v/>
      </c>
    </row>
    <row r="2586" customFormat="false" ht="15" hidden="false" customHeight="false" outlineLevel="0" collapsed="false">
      <c r="A2586" s="12"/>
      <c r="B2586" s="13"/>
      <c r="C2586" s="14"/>
      <c r="D2586" s="13"/>
      <c r="E2586" s="15"/>
      <c r="F2586" s="15"/>
      <c r="G2586" s="15"/>
      <c r="H2586" s="14"/>
      <c r="I2586" s="16" t="str">
        <f aca="false">IF(OR(A2586="",C2586=""),"",IF(OR(H2586="İade",H2586="İptal"),0,E2586*IFERROR(INDEX(Kanallar!$B$5:$B$19,MATCH(C2586,Kanallar!$A$5:$A$19,0)),0)))</f>
        <v/>
      </c>
      <c r="J2586" s="16" t="str">
        <f aca="false">IF(I2586="","",IF(H2586="İptal",0,IF(H2586="İade",-G2586,E2586-I2586-F2586-G2586)))</f>
        <v/>
      </c>
    </row>
    <row r="2587" customFormat="false" ht="15" hidden="false" customHeight="false" outlineLevel="0" collapsed="false">
      <c r="A2587" s="12"/>
      <c r="B2587" s="13"/>
      <c r="C2587" s="14"/>
      <c r="D2587" s="13"/>
      <c r="E2587" s="15"/>
      <c r="F2587" s="15"/>
      <c r="G2587" s="15"/>
      <c r="H2587" s="14"/>
      <c r="I2587" s="16" t="str">
        <f aca="false">IF(OR(A2587="",C2587=""),"",IF(OR(H2587="İade",H2587="İptal"),0,E2587*IFERROR(INDEX(Kanallar!$B$5:$B$19,MATCH(C2587,Kanallar!$A$5:$A$19,0)),0)))</f>
        <v/>
      </c>
      <c r="J2587" s="16" t="str">
        <f aca="false">IF(I2587="","",IF(H2587="İptal",0,IF(H2587="İade",-G2587,E2587-I2587-F2587-G2587)))</f>
        <v/>
      </c>
    </row>
    <row r="2588" customFormat="false" ht="15" hidden="false" customHeight="false" outlineLevel="0" collapsed="false">
      <c r="A2588" s="12"/>
      <c r="B2588" s="13"/>
      <c r="C2588" s="14"/>
      <c r="D2588" s="13"/>
      <c r="E2588" s="15"/>
      <c r="F2588" s="15"/>
      <c r="G2588" s="15"/>
      <c r="H2588" s="14"/>
      <c r="I2588" s="16" t="str">
        <f aca="false">IF(OR(A2588="",C2588=""),"",IF(OR(H2588="İade",H2588="İptal"),0,E2588*IFERROR(INDEX(Kanallar!$B$5:$B$19,MATCH(C2588,Kanallar!$A$5:$A$19,0)),0)))</f>
        <v/>
      </c>
      <c r="J2588" s="16" t="str">
        <f aca="false">IF(I2588="","",IF(H2588="İptal",0,IF(H2588="İade",-G2588,E2588-I2588-F2588-G2588)))</f>
        <v/>
      </c>
    </row>
    <row r="2589" customFormat="false" ht="15" hidden="false" customHeight="false" outlineLevel="0" collapsed="false">
      <c r="A2589" s="12"/>
      <c r="B2589" s="13"/>
      <c r="C2589" s="14"/>
      <c r="D2589" s="13"/>
      <c r="E2589" s="15"/>
      <c r="F2589" s="15"/>
      <c r="G2589" s="15"/>
      <c r="H2589" s="14"/>
      <c r="I2589" s="16" t="str">
        <f aca="false">IF(OR(A2589="",C2589=""),"",IF(OR(H2589="İade",H2589="İptal"),0,E2589*IFERROR(INDEX(Kanallar!$B$5:$B$19,MATCH(C2589,Kanallar!$A$5:$A$19,0)),0)))</f>
        <v/>
      </c>
      <c r="J2589" s="16" t="str">
        <f aca="false">IF(I2589="","",IF(H2589="İptal",0,IF(H2589="İade",-G2589,E2589-I2589-F2589-G2589)))</f>
        <v/>
      </c>
    </row>
    <row r="2590" customFormat="false" ht="15" hidden="false" customHeight="false" outlineLevel="0" collapsed="false">
      <c r="A2590" s="12"/>
      <c r="B2590" s="13"/>
      <c r="C2590" s="14"/>
      <c r="D2590" s="13"/>
      <c r="E2590" s="15"/>
      <c r="F2590" s="15"/>
      <c r="G2590" s="15"/>
      <c r="H2590" s="14"/>
      <c r="I2590" s="16" t="str">
        <f aca="false">IF(OR(A2590="",C2590=""),"",IF(OR(H2590="İade",H2590="İptal"),0,E2590*IFERROR(INDEX(Kanallar!$B$5:$B$19,MATCH(C2590,Kanallar!$A$5:$A$19,0)),0)))</f>
        <v/>
      </c>
      <c r="J2590" s="16" t="str">
        <f aca="false">IF(I2590="","",IF(H2590="İptal",0,IF(H2590="İade",-G2590,E2590-I2590-F2590-G2590)))</f>
        <v/>
      </c>
    </row>
    <row r="2591" customFormat="false" ht="15" hidden="false" customHeight="false" outlineLevel="0" collapsed="false">
      <c r="A2591" s="12"/>
      <c r="B2591" s="13"/>
      <c r="C2591" s="14"/>
      <c r="D2591" s="13"/>
      <c r="E2591" s="15"/>
      <c r="F2591" s="15"/>
      <c r="G2591" s="15"/>
      <c r="H2591" s="14"/>
      <c r="I2591" s="16" t="str">
        <f aca="false">IF(OR(A2591="",C2591=""),"",IF(OR(H2591="İade",H2591="İptal"),0,E2591*IFERROR(INDEX(Kanallar!$B$5:$B$19,MATCH(C2591,Kanallar!$A$5:$A$19,0)),0)))</f>
        <v/>
      </c>
      <c r="J2591" s="16" t="str">
        <f aca="false">IF(I2591="","",IF(H2591="İptal",0,IF(H2591="İade",-G2591,E2591-I2591-F2591-G2591)))</f>
        <v/>
      </c>
    </row>
    <row r="2592" customFormat="false" ht="15" hidden="false" customHeight="false" outlineLevel="0" collapsed="false">
      <c r="A2592" s="12"/>
      <c r="B2592" s="13"/>
      <c r="C2592" s="14"/>
      <c r="D2592" s="13"/>
      <c r="E2592" s="15"/>
      <c r="F2592" s="15"/>
      <c r="G2592" s="15"/>
      <c r="H2592" s="14"/>
      <c r="I2592" s="16" t="str">
        <f aca="false">IF(OR(A2592="",C2592=""),"",IF(OR(H2592="İade",H2592="İptal"),0,E2592*IFERROR(INDEX(Kanallar!$B$5:$B$19,MATCH(C2592,Kanallar!$A$5:$A$19,0)),0)))</f>
        <v/>
      </c>
      <c r="J2592" s="16" t="str">
        <f aca="false">IF(I2592="","",IF(H2592="İptal",0,IF(H2592="İade",-G2592,E2592-I2592-F2592-G2592)))</f>
        <v/>
      </c>
    </row>
    <row r="2593" customFormat="false" ht="15" hidden="false" customHeight="false" outlineLevel="0" collapsed="false">
      <c r="A2593" s="12"/>
      <c r="B2593" s="13"/>
      <c r="C2593" s="14"/>
      <c r="D2593" s="13"/>
      <c r="E2593" s="15"/>
      <c r="F2593" s="15"/>
      <c r="G2593" s="15"/>
      <c r="H2593" s="14"/>
      <c r="I2593" s="16" t="str">
        <f aca="false">IF(OR(A2593="",C2593=""),"",IF(OR(H2593="İade",H2593="İptal"),0,E2593*IFERROR(INDEX(Kanallar!$B$5:$B$19,MATCH(C2593,Kanallar!$A$5:$A$19,0)),0)))</f>
        <v/>
      </c>
      <c r="J2593" s="16" t="str">
        <f aca="false">IF(I2593="","",IF(H2593="İptal",0,IF(H2593="İade",-G2593,E2593-I2593-F2593-G2593)))</f>
        <v/>
      </c>
    </row>
    <row r="2594" customFormat="false" ht="15" hidden="false" customHeight="false" outlineLevel="0" collapsed="false">
      <c r="A2594" s="12"/>
      <c r="B2594" s="13"/>
      <c r="C2594" s="14"/>
      <c r="D2594" s="13"/>
      <c r="E2594" s="15"/>
      <c r="F2594" s="15"/>
      <c r="G2594" s="15"/>
      <c r="H2594" s="14"/>
      <c r="I2594" s="16" t="str">
        <f aca="false">IF(OR(A2594="",C2594=""),"",IF(OR(H2594="İade",H2594="İptal"),0,E2594*IFERROR(INDEX(Kanallar!$B$5:$B$19,MATCH(C2594,Kanallar!$A$5:$A$19,0)),0)))</f>
        <v/>
      </c>
      <c r="J2594" s="16" t="str">
        <f aca="false">IF(I2594="","",IF(H2594="İptal",0,IF(H2594="İade",-G2594,E2594-I2594-F2594-G2594)))</f>
        <v/>
      </c>
    </row>
    <row r="2595" customFormat="false" ht="15" hidden="false" customHeight="false" outlineLevel="0" collapsed="false">
      <c r="A2595" s="12"/>
      <c r="B2595" s="13"/>
      <c r="C2595" s="14"/>
      <c r="D2595" s="13"/>
      <c r="E2595" s="15"/>
      <c r="F2595" s="15"/>
      <c r="G2595" s="15"/>
      <c r="H2595" s="14"/>
      <c r="I2595" s="16" t="str">
        <f aca="false">IF(OR(A2595="",C2595=""),"",IF(OR(H2595="İade",H2595="İptal"),0,E2595*IFERROR(INDEX(Kanallar!$B$5:$B$19,MATCH(C2595,Kanallar!$A$5:$A$19,0)),0)))</f>
        <v/>
      </c>
      <c r="J2595" s="16" t="str">
        <f aca="false">IF(I2595="","",IF(H2595="İptal",0,IF(H2595="İade",-G2595,E2595-I2595-F2595-G2595)))</f>
        <v/>
      </c>
    </row>
    <row r="2596" customFormat="false" ht="15" hidden="false" customHeight="false" outlineLevel="0" collapsed="false">
      <c r="A2596" s="12"/>
      <c r="B2596" s="13"/>
      <c r="C2596" s="14"/>
      <c r="D2596" s="13"/>
      <c r="E2596" s="15"/>
      <c r="F2596" s="15"/>
      <c r="G2596" s="15"/>
      <c r="H2596" s="14"/>
      <c r="I2596" s="16" t="str">
        <f aca="false">IF(OR(A2596="",C2596=""),"",IF(OR(H2596="İade",H2596="İptal"),0,E2596*IFERROR(INDEX(Kanallar!$B$5:$B$19,MATCH(C2596,Kanallar!$A$5:$A$19,0)),0)))</f>
        <v/>
      </c>
      <c r="J2596" s="16" t="str">
        <f aca="false">IF(I2596="","",IF(H2596="İptal",0,IF(H2596="İade",-G2596,E2596-I2596-F2596-G2596)))</f>
        <v/>
      </c>
    </row>
    <row r="2597" customFormat="false" ht="15" hidden="false" customHeight="false" outlineLevel="0" collapsed="false">
      <c r="A2597" s="12"/>
      <c r="B2597" s="13"/>
      <c r="C2597" s="14"/>
      <c r="D2597" s="13"/>
      <c r="E2597" s="15"/>
      <c r="F2597" s="15"/>
      <c r="G2597" s="15"/>
      <c r="H2597" s="14"/>
      <c r="I2597" s="16" t="str">
        <f aca="false">IF(OR(A2597="",C2597=""),"",IF(OR(H2597="İade",H2597="İptal"),0,E2597*IFERROR(INDEX(Kanallar!$B$5:$B$19,MATCH(C2597,Kanallar!$A$5:$A$19,0)),0)))</f>
        <v/>
      </c>
      <c r="J2597" s="16" t="str">
        <f aca="false">IF(I2597="","",IF(H2597="İptal",0,IF(H2597="İade",-G2597,E2597-I2597-F2597-G2597)))</f>
        <v/>
      </c>
    </row>
    <row r="2598" customFormat="false" ht="15" hidden="false" customHeight="false" outlineLevel="0" collapsed="false">
      <c r="A2598" s="12"/>
      <c r="B2598" s="13"/>
      <c r="C2598" s="14"/>
      <c r="D2598" s="13"/>
      <c r="E2598" s="15"/>
      <c r="F2598" s="15"/>
      <c r="G2598" s="15"/>
      <c r="H2598" s="14"/>
      <c r="I2598" s="16" t="str">
        <f aca="false">IF(OR(A2598="",C2598=""),"",IF(OR(H2598="İade",H2598="İptal"),0,E2598*IFERROR(INDEX(Kanallar!$B$5:$B$19,MATCH(C2598,Kanallar!$A$5:$A$19,0)),0)))</f>
        <v/>
      </c>
      <c r="J2598" s="16" t="str">
        <f aca="false">IF(I2598="","",IF(H2598="İptal",0,IF(H2598="İade",-G2598,E2598-I2598-F2598-G2598)))</f>
        <v/>
      </c>
    </row>
    <row r="2599" customFormat="false" ht="15" hidden="false" customHeight="false" outlineLevel="0" collapsed="false">
      <c r="A2599" s="12"/>
      <c r="B2599" s="13"/>
      <c r="C2599" s="14"/>
      <c r="D2599" s="13"/>
      <c r="E2599" s="15"/>
      <c r="F2599" s="15"/>
      <c r="G2599" s="15"/>
      <c r="H2599" s="14"/>
      <c r="I2599" s="16" t="str">
        <f aca="false">IF(OR(A2599="",C2599=""),"",IF(OR(H2599="İade",H2599="İptal"),0,E2599*IFERROR(INDEX(Kanallar!$B$5:$B$19,MATCH(C2599,Kanallar!$A$5:$A$19,0)),0)))</f>
        <v/>
      </c>
      <c r="J2599" s="16" t="str">
        <f aca="false">IF(I2599="","",IF(H2599="İptal",0,IF(H2599="İade",-G2599,E2599-I2599-F2599-G2599)))</f>
        <v/>
      </c>
    </row>
    <row r="2600" customFormat="false" ht="15" hidden="false" customHeight="false" outlineLevel="0" collapsed="false">
      <c r="A2600" s="12"/>
      <c r="B2600" s="13"/>
      <c r="C2600" s="14"/>
      <c r="D2600" s="13"/>
      <c r="E2600" s="15"/>
      <c r="F2600" s="15"/>
      <c r="G2600" s="15"/>
      <c r="H2600" s="14"/>
      <c r="I2600" s="16" t="str">
        <f aca="false">IF(OR(A2600="",C2600=""),"",IF(OR(H2600="İade",H2600="İptal"),0,E2600*IFERROR(INDEX(Kanallar!$B$5:$B$19,MATCH(C2600,Kanallar!$A$5:$A$19,0)),0)))</f>
        <v/>
      </c>
      <c r="J2600" s="16" t="str">
        <f aca="false">IF(I2600="","",IF(H2600="İptal",0,IF(H2600="İade",-G2600,E2600-I2600-F2600-G2600)))</f>
        <v/>
      </c>
    </row>
    <row r="2601" customFormat="false" ht="15" hidden="false" customHeight="false" outlineLevel="0" collapsed="false">
      <c r="A2601" s="12"/>
      <c r="B2601" s="13"/>
      <c r="C2601" s="14"/>
      <c r="D2601" s="13"/>
      <c r="E2601" s="15"/>
      <c r="F2601" s="15"/>
      <c r="G2601" s="15"/>
      <c r="H2601" s="14"/>
      <c r="I2601" s="16" t="str">
        <f aca="false">IF(OR(A2601="",C2601=""),"",IF(OR(H2601="İade",H2601="İptal"),0,E2601*IFERROR(INDEX(Kanallar!$B$5:$B$19,MATCH(C2601,Kanallar!$A$5:$A$19,0)),0)))</f>
        <v/>
      </c>
      <c r="J2601" s="16" t="str">
        <f aca="false">IF(I2601="","",IF(H2601="İptal",0,IF(H2601="İade",-G2601,E2601-I2601-F2601-G2601)))</f>
        <v/>
      </c>
    </row>
    <row r="2602" customFormat="false" ht="15" hidden="false" customHeight="false" outlineLevel="0" collapsed="false">
      <c r="A2602" s="12"/>
      <c r="B2602" s="13"/>
      <c r="C2602" s="14"/>
      <c r="D2602" s="13"/>
      <c r="E2602" s="15"/>
      <c r="F2602" s="15"/>
      <c r="G2602" s="15"/>
      <c r="H2602" s="14"/>
      <c r="I2602" s="16" t="str">
        <f aca="false">IF(OR(A2602="",C2602=""),"",IF(OR(H2602="İade",H2602="İptal"),0,E2602*IFERROR(INDEX(Kanallar!$B$5:$B$19,MATCH(C2602,Kanallar!$A$5:$A$19,0)),0)))</f>
        <v/>
      </c>
      <c r="J2602" s="16" t="str">
        <f aca="false">IF(I2602="","",IF(H2602="İptal",0,IF(H2602="İade",-G2602,E2602-I2602-F2602-G2602)))</f>
        <v/>
      </c>
    </row>
    <row r="2603" customFormat="false" ht="15" hidden="false" customHeight="false" outlineLevel="0" collapsed="false">
      <c r="A2603" s="12"/>
      <c r="B2603" s="13"/>
      <c r="C2603" s="14"/>
      <c r="D2603" s="13"/>
      <c r="E2603" s="15"/>
      <c r="F2603" s="15"/>
      <c r="G2603" s="15"/>
      <c r="H2603" s="14"/>
      <c r="I2603" s="16" t="str">
        <f aca="false">IF(OR(A2603="",C2603=""),"",IF(OR(H2603="İade",H2603="İptal"),0,E2603*IFERROR(INDEX(Kanallar!$B$5:$B$19,MATCH(C2603,Kanallar!$A$5:$A$19,0)),0)))</f>
        <v/>
      </c>
      <c r="J2603" s="16" t="str">
        <f aca="false">IF(I2603="","",IF(H2603="İptal",0,IF(H2603="İade",-G2603,E2603-I2603-F2603-G2603)))</f>
        <v/>
      </c>
    </row>
    <row r="2604" customFormat="false" ht="15" hidden="false" customHeight="false" outlineLevel="0" collapsed="false">
      <c r="A2604" s="12"/>
      <c r="B2604" s="13"/>
      <c r="C2604" s="14"/>
      <c r="D2604" s="13"/>
      <c r="E2604" s="15"/>
      <c r="F2604" s="15"/>
      <c r="G2604" s="15"/>
      <c r="H2604" s="14"/>
      <c r="I2604" s="16" t="str">
        <f aca="false">IF(OR(A2604="",C2604=""),"",IF(OR(H2604="İade",H2604="İptal"),0,E2604*IFERROR(INDEX(Kanallar!$B$5:$B$19,MATCH(C2604,Kanallar!$A$5:$A$19,0)),0)))</f>
        <v/>
      </c>
      <c r="J2604" s="16" t="str">
        <f aca="false">IF(I2604="","",IF(H2604="İptal",0,IF(H2604="İade",-G2604,E2604-I2604-F2604-G2604)))</f>
        <v/>
      </c>
    </row>
    <row r="2605" customFormat="false" ht="15" hidden="false" customHeight="false" outlineLevel="0" collapsed="false">
      <c r="A2605" s="12"/>
      <c r="B2605" s="13"/>
      <c r="C2605" s="14"/>
      <c r="D2605" s="13"/>
      <c r="E2605" s="15"/>
      <c r="F2605" s="15"/>
      <c r="G2605" s="15"/>
      <c r="H2605" s="14"/>
      <c r="I2605" s="16" t="str">
        <f aca="false">IF(OR(A2605="",C2605=""),"",IF(OR(H2605="İade",H2605="İptal"),0,E2605*IFERROR(INDEX(Kanallar!$B$5:$B$19,MATCH(C2605,Kanallar!$A$5:$A$19,0)),0)))</f>
        <v/>
      </c>
      <c r="J2605" s="16" t="str">
        <f aca="false">IF(I2605="","",IF(H2605="İptal",0,IF(H2605="İade",-G2605,E2605-I2605-F2605-G2605)))</f>
        <v/>
      </c>
    </row>
    <row r="2606" customFormat="false" ht="15" hidden="false" customHeight="false" outlineLevel="0" collapsed="false">
      <c r="A2606" s="12"/>
      <c r="B2606" s="13"/>
      <c r="C2606" s="14"/>
      <c r="D2606" s="13"/>
      <c r="E2606" s="15"/>
      <c r="F2606" s="15"/>
      <c r="G2606" s="15"/>
      <c r="H2606" s="14"/>
      <c r="I2606" s="16" t="str">
        <f aca="false">IF(OR(A2606="",C2606=""),"",IF(OR(H2606="İade",H2606="İptal"),0,E2606*IFERROR(INDEX(Kanallar!$B$5:$B$19,MATCH(C2606,Kanallar!$A$5:$A$19,0)),0)))</f>
        <v/>
      </c>
      <c r="J2606" s="16" t="str">
        <f aca="false">IF(I2606="","",IF(H2606="İptal",0,IF(H2606="İade",-G2606,E2606-I2606-F2606-G2606)))</f>
        <v/>
      </c>
    </row>
    <row r="2607" customFormat="false" ht="15" hidden="false" customHeight="false" outlineLevel="0" collapsed="false">
      <c r="A2607" s="12"/>
      <c r="B2607" s="13"/>
      <c r="C2607" s="14"/>
      <c r="D2607" s="13"/>
      <c r="E2607" s="15"/>
      <c r="F2607" s="15"/>
      <c r="G2607" s="15"/>
      <c r="H2607" s="14"/>
      <c r="I2607" s="16" t="str">
        <f aca="false">IF(OR(A2607="",C2607=""),"",IF(OR(H2607="İade",H2607="İptal"),0,E2607*IFERROR(INDEX(Kanallar!$B$5:$B$19,MATCH(C2607,Kanallar!$A$5:$A$19,0)),0)))</f>
        <v/>
      </c>
      <c r="J2607" s="16" t="str">
        <f aca="false">IF(I2607="","",IF(H2607="İptal",0,IF(H2607="İade",-G2607,E2607-I2607-F2607-G2607)))</f>
        <v/>
      </c>
    </row>
    <row r="2608" customFormat="false" ht="15" hidden="false" customHeight="false" outlineLevel="0" collapsed="false">
      <c r="A2608" s="12"/>
      <c r="B2608" s="13"/>
      <c r="C2608" s="14"/>
      <c r="D2608" s="13"/>
      <c r="E2608" s="15"/>
      <c r="F2608" s="15"/>
      <c r="G2608" s="15"/>
      <c r="H2608" s="14"/>
      <c r="I2608" s="16" t="str">
        <f aca="false">IF(OR(A2608="",C2608=""),"",IF(OR(H2608="İade",H2608="İptal"),0,E2608*IFERROR(INDEX(Kanallar!$B$5:$B$19,MATCH(C2608,Kanallar!$A$5:$A$19,0)),0)))</f>
        <v/>
      </c>
      <c r="J2608" s="16" t="str">
        <f aca="false">IF(I2608="","",IF(H2608="İptal",0,IF(H2608="İade",-G2608,E2608-I2608-F2608-G2608)))</f>
        <v/>
      </c>
    </row>
    <row r="2609" customFormat="false" ht="15" hidden="false" customHeight="false" outlineLevel="0" collapsed="false">
      <c r="A2609" s="12"/>
      <c r="B2609" s="13"/>
      <c r="C2609" s="14"/>
      <c r="D2609" s="13"/>
      <c r="E2609" s="15"/>
      <c r="F2609" s="15"/>
      <c r="G2609" s="15"/>
      <c r="H2609" s="14"/>
      <c r="I2609" s="16" t="str">
        <f aca="false">IF(OR(A2609="",C2609=""),"",IF(OR(H2609="İade",H2609="İptal"),0,E2609*IFERROR(INDEX(Kanallar!$B$5:$B$19,MATCH(C2609,Kanallar!$A$5:$A$19,0)),0)))</f>
        <v/>
      </c>
      <c r="J2609" s="16" t="str">
        <f aca="false">IF(I2609="","",IF(H2609="İptal",0,IF(H2609="İade",-G2609,E2609-I2609-F2609-G2609)))</f>
        <v/>
      </c>
    </row>
    <row r="2610" customFormat="false" ht="15" hidden="false" customHeight="false" outlineLevel="0" collapsed="false">
      <c r="A2610" s="12"/>
      <c r="B2610" s="13"/>
      <c r="C2610" s="14"/>
      <c r="D2610" s="13"/>
      <c r="E2610" s="15"/>
      <c r="F2610" s="15"/>
      <c r="G2610" s="15"/>
      <c r="H2610" s="14"/>
      <c r="I2610" s="16" t="str">
        <f aca="false">IF(OR(A2610="",C2610=""),"",IF(OR(H2610="İade",H2610="İptal"),0,E2610*IFERROR(INDEX(Kanallar!$B$5:$B$19,MATCH(C2610,Kanallar!$A$5:$A$19,0)),0)))</f>
        <v/>
      </c>
      <c r="J2610" s="16" t="str">
        <f aca="false">IF(I2610="","",IF(H2610="İptal",0,IF(H2610="İade",-G2610,E2610-I2610-F2610-G2610)))</f>
        <v/>
      </c>
    </row>
    <row r="2611" customFormat="false" ht="15" hidden="false" customHeight="false" outlineLevel="0" collapsed="false">
      <c r="A2611" s="12"/>
      <c r="B2611" s="13"/>
      <c r="C2611" s="14"/>
      <c r="D2611" s="13"/>
      <c r="E2611" s="15"/>
      <c r="F2611" s="15"/>
      <c r="G2611" s="15"/>
      <c r="H2611" s="14"/>
      <c r="I2611" s="16" t="str">
        <f aca="false">IF(OR(A2611="",C2611=""),"",IF(OR(H2611="İade",H2611="İptal"),0,E2611*IFERROR(INDEX(Kanallar!$B$5:$B$19,MATCH(C2611,Kanallar!$A$5:$A$19,0)),0)))</f>
        <v/>
      </c>
      <c r="J2611" s="16" t="str">
        <f aca="false">IF(I2611="","",IF(H2611="İptal",0,IF(H2611="İade",-G2611,E2611-I2611-F2611-G2611)))</f>
        <v/>
      </c>
    </row>
    <row r="2612" customFormat="false" ht="15" hidden="false" customHeight="false" outlineLevel="0" collapsed="false">
      <c r="A2612" s="12"/>
      <c r="B2612" s="13"/>
      <c r="C2612" s="14"/>
      <c r="D2612" s="13"/>
      <c r="E2612" s="15"/>
      <c r="F2612" s="15"/>
      <c r="G2612" s="15"/>
      <c r="H2612" s="14"/>
      <c r="I2612" s="16" t="str">
        <f aca="false">IF(OR(A2612="",C2612=""),"",IF(OR(H2612="İade",H2612="İptal"),0,E2612*IFERROR(INDEX(Kanallar!$B$5:$B$19,MATCH(C2612,Kanallar!$A$5:$A$19,0)),0)))</f>
        <v/>
      </c>
      <c r="J2612" s="16" t="str">
        <f aca="false">IF(I2612="","",IF(H2612="İptal",0,IF(H2612="İade",-G2612,E2612-I2612-F2612-G2612)))</f>
        <v/>
      </c>
    </row>
    <row r="2613" customFormat="false" ht="15" hidden="false" customHeight="false" outlineLevel="0" collapsed="false">
      <c r="A2613" s="12"/>
      <c r="B2613" s="13"/>
      <c r="C2613" s="14"/>
      <c r="D2613" s="13"/>
      <c r="E2613" s="15"/>
      <c r="F2613" s="15"/>
      <c r="G2613" s="15"/>
      <c r="H2613" s="14"/>
      <c r="I2613" s="16" t="str">
        <f aca="false">IF(OR(A2613="",C2613=""),"",IF(OR(H2613="İade",H2613="İptal"),0,E2613*IFERROR(INDEX(Kanallar!$B$5:$B$19,MATCH(C2613,Kanallar!$A$5:$A$19,0)),0)))</f>
        <v/>
      </c>
      <c r="J2613" s="16" t="str">
        <f aca="false">IF(I2613="","",IF(H2613="İptal",0,IF(H2613="İade",-G2613,E2613-I2613-F2613-G2613)))</f>
        <v/>
      </c>
    </row>
    <row r="2614" customFormat="false" ht="15" hidden="false" customHeight="false" outlineLevel="0" collapsed="false">
      <c r="A2614" s="12"/>
      <c r="B2614" s="13"/>
      <c r="C2614" s="14"/>
      <c r="D2614" s="13"/>
      <c r="E2614" s="15"/>
      <c r="F2614" s="15"/>
      <c r="G2614" s="15"/>
      <c r="H2614" s="14"/>
      <c r="I2614" s="16" t="str">
        <f aca="false">IF(OR(A2614="",C2614=""),"",IF(OR(H2614="İade",H2614="İptal"),0,E2614*IFERROR(INDEX(Kanallar!$B$5:$B$19,MATCH(C2614,Kanallar!$A$5:$A$19,0)),0)))</f>
        <v/>
      </c>
      <c r="J2614" s="16" t="str">
        <f aca="false">IF(I2614="","",IF(H2614="İptal",0,IF(H2614="İade",-G2614,E2614-I2614-F2614-G2614)))</f>
        <v/>
      </c>
    </row>
    <row r="2615" customFormat="false" ht="15" hidden="false" customHeight="false" outlineLevel="0" collapsed="false">
      <c r="A2615" s="12"/>
      <c r="B2615" s="13"/>
      <c r="C2615" s="14"/>
      <c r="D2615" s="13"/>
      <c r="E2615" s="15"/>
      <c r="F2615" s="15"/>
      <c r="G2615" s="15"/>
      <c r="H2615" s="14"/>
      <c r="I2615" s="16" t="str">
        <f aca="false">IF(OR(A2615="",C2615=""),"",IF(OR(H2615="İade",H2615="İptal"),0,E2615*IFERROR(INDEX(Kanallar!$B$5:$B$19,MATCH(C2615,Kanallar!$A$5:$A$19,0)),0)))</f>
        <v/>
      </c>
      <c r="J2615" s="16" t="str">
        <f aca="false">IF(I2615="","",IF(H2615="İptal",0,IF(H2615="İade",-G2615,E2615-I2615-F2615-G2615)))</f>
        <v/>
      </c>
    </row>
    <row r="2616" customFormat="false" ht="15" hidden="false" customHeight="false" outlineLevel="0" collapsed="false">
      <c r="A2616" s="12"/>
      <c r="B2616" s="13"/>
      <c r="C2616" s="14"/>
      <c r="D2616" s="13"/>
      <c r="E2616" s="15"/>
      <c r="F2616" s="15"/>
      <c r="G2616" s="15"/>
      <c r="H2616" s="14"/>
      <c r="I2616" s="16" t="str">
        <f aca="false">IF(OR(A2616="",C2616=""),"",IF(OR(H2616="İade",H2616="İptal"),0,E2616*IFERROR(INDEX(Kanallar!$B$5:$B$19,MATCH(C2616,Kanallar!$A$5:$A$19,0)),0)))</f>
        <v/>
      </c>
      <c r="J2616" s="16" t="str">
        <f aca="false">IF(I2616="","",IF(H2616="İptal",0,IF(H2616="İade",-G2616,E2616-I2616-F2616-G2616)))</f>
        <v/>
      </c>
    </row>
    <row r="2617" customFormat="false" ht="15" hidden="false" customHeight="false" outlineLevel="0" collapsed="false">
      <c r="A2617" s="12"/>
      <c r="B2617" s="13"/>
      <c r="C2617" s="14"/>
      <c r="D2617" s="13"/>
      <c r="E2617" s="15"/>
      <c r="F2617" s="15"/>
      <c r="G2617" s="15"/>
      <c r="H2617" s="14"/>
      <c r="I2617" s="16" t="str">
        <f aca="false">IF(OR(A2617="",C2617=""),"",IF(OR(H2617="İade",H2617="İptal"),0,E2617*IFERROR(INDEX(Kanallar!$B$5:$B$19,MATCH(C2617,Kanallar!$A$5:$A$19,0)),0)))</f>
        <v/>
      </c>
      <c r="J2617" s="16" t="str">
        <f aca="false">IF(I2617="","",IF(H2617="İptal",0,IF(H2617="İade",-G2617,E2617-I2617-F2617-G2617)))</f>
        <v/>
      </c>
    </row>
    <row r="2618" customFormat="false" ht="15" hidden="false" customHeight="false" outlineLevel="0" collapsed="false">
      <c r="A2618" s="12"/>
      <c r="B2618" s="13"/>
      <c r="C2618" s="14"/>
      <c r="D2618" s="13"/>
      <c r="E2618" s="15"/>
      <c r="F2618" s="15"/>
      <c r="G2618" s="15"/>
      <c r="H2618" s="14"/>
      <c r="I2618" s="16" t="str">
        <f aca="false">IF(OR(A2618="",C2618=""),"",IF(OR(H2618="İade",H2618="İptal"),0,E2618*IFERROR(INDEX(Kanallar!$B$5:$B$19,MATCH(C2618,Kanallar!$A$5:$A$19,0)),0)))</f>
        <v/>
      </c>
      <c r="J2618" s="16" t="str">
        <f aca="false">IF(I2618="","",IF(H2618="İptal",0,IF(H2618="İade",-G2618,E2618-I2618-F2618-G2618)))</f>
        <v/>
      </c>
    </row>
    <row r="2619" customFormat="false" ht="15" hidden="false" customHeight="false" outlineLevel="0" collapsed="false">
      <c r="A2619" s="12"/>
      <c r="B2619" s="13"/>
      <c r="C2619" s="14"/>
      <c r="D2619" s="13"/>
      <c r="E2619" s="15"/>
      <c r="F2619" s="15"/>
      <c r="G2619" s="15"/>
      <c r="H2619" s="14"/>
      <c r="I2619" s="16" t="str">
        <f aca="false">IF(OR(A2619="",C2619=""),"",IF(OR(H2619="İade",H2619="İptal"),0,E2619*IFERROR(INDEX(Kanallar!$B$5:$B$19,MATCH(C2619,Kanallar!$A$5:$A$19,0)),0)))</f>
        <v/>
      </c>
      <c r="J2619" s="16" t="str">
        <f aca="false">IF(I2619="","",IF(H2619="İptal",0,IF(H2619="İade",-G2619,E2619-I2619-F2619-G2619)))</f>
        <v/>
      </c>
    </row>
    <row r="2620" customFormat="false" ht="15" hidden="false" customHeight="false" outlineLevel="0" collapsed="false">
      <c r="A2620" s="12"/>
      <c r="B2620" s="13"/>
      <c r="C2620" s="14"/>
      <c r="D2620" s="13"/>
      <c r="E2620" s="15"/>
      <c r="F2620" s="15"/>
      <c r="G2620" s="15"/>
      <c r="H2620" s="14"/>
      <c r="I2620" s="16" t="str">
        <f aca="false">IF(OR(A2620="",C2620=""),"",IF(OR(H2620="İade",H2620="İptal"),0,E2620*IFERROR(INDEX(Kanallar!$B$5:$B$19,MATCH(C2620,Kanallar!$A$5:$A$19,0)),0)))</f>
        <v/>
      </c>
      <c r="J2620" s="16" t="str">
        <f aca="false">IF(I2620="","",IF(H2620="İptal",0,IF(H2620="İade",-G2620,E2620-I2620-F2620-G2620)))</f>
        <v/>
      </c>
    </row>
    <row r="2621" customFormat="false" ht="15" hidden="false" customHeight="false" outlineLevel="0" collapsed="false">
      <c r="A2621" s="12"/>
      <c r="B2621" s="13"/>
      <c r="C2621" s="14"/>
      <c r="D2621" s="13"/>
      <c r="E2621" s="15"/>
      <c r="F2621" s="15"/>
      <c r="G2621" s="15"/>
      <c r="H2621" s="14"/>
      <c r="I2621" s="16" t="str">
        <f aca="false">IF(OR(A2621="",C2621=""),"",IF(OR(H2621="İade",H2621="İptal"),0,E2621*IFERROR(INDEX(Kanallar!$B$5:$B$19,MATCH(C2621,Kanallar!$A$5:$A$19,0)),0)))</f>
        <v/>
      </c>
      <c r="J2621" s="16" t="str">
        <f aca="false">IF(I2621="","",IF(H2621="İptal",0,IF(H2621="İade",-G2621,E2621-I2621-F2621-G2621)))</f>
        <v/>
      </c>
    </row>
    <row r="2622" customFormat="false" ht="15" hidden="false" customHeight="false" outlineLevel="0" collapsed="false">
      <c r="A2622" s="12"/>
      <c r="B2622" s="13"/>
      <c r="C2622" s="14"/>
      <c r="D2622" s="13"/>
      <c r="E2622" s="15"/>
      <c r="F2622" s="15"/>
      <c r="G2622" s="15"/>
      <c r="H2622" s="14"/>
      <c r="I2622" s="16" t="str">
        <f aca="false">IF(OR(A2622="",C2622=""),"",IF(OR(H2622="İade",H2622="İptal"),0,E2622*IFERROR(INDEX(Kanallar!$B$5:$B$19,MATCH(C2622,Kanallar!$A$5:$A$19,0)),0)))</f>
        <v/>
      </c>
      <c r="J2622" s="16" t="str">
        <f aca="false">IF(I2622="","",IF(H2622="İptal",0,IF(H2622="İade",-G2622,E2622-I2622-F2622-G2622)))</f>
        <v/>
      </c>
    </row>
    <row r="2623" customFormat="false" ht="15" hidden="false" customHeight="false" outlineLevel="0" collapsed="false">
      <c r="A2623" s="12"/>
      <c r="B2623" s="13"/>
      <c r="C2623" s="14"/>
      <c r="D2623" s="13"/>
      <c r="E2623" s="15"/>
      <c r="F2623" s="15"/>
      <c r="G2623" s="15"/>
      <c r="H2623" s="14"/>
      <c r="I2623" s="16" t="str">
        <f aca="false">IF(OR(A2623="",C2623=""),"",IF(OR(H2623="İade",H2623="İptal"),0,E2623*IFERROR(INDEX(Kanallar!$B$5:$B$19,MATCH(C2623,Kanallar!$A$5:$A$19,0)),0)))</f>
        <v/>
      </c>
      <c r="J2623" s="16" t="str">
        <f aca="false">IF(I2623="","",IF(H2623="İptal",0,IF(H2623="İade",-G2623,E2623-I2623-F2623-G2623)))</f>
        <v/>
      </c>
    </row>
    <row r="2624" customFormat="false" ht="15" hidden="false" customHeight="false" outlineLevel="0" collapsed="false">
      <c r="A2624" s="12"/>
      <c r="B2624" s="13"/>
      <c r="C2624" s="14"/>
      <c r="D2624" s="13"/>
      <c r="E2624" s="15"/>
      <c r="F2624" s="15"/>
      <c r="G2624" s="15"/>
      <c r="H2624" s="14"/>
      <c r="I2624" s="16" t="str">
        <f aca="false">IF(OR(A2624="",C2624=""),"",IF(OR(H2624="İade",H2624="İptal"),0,E2624*IFERROR(INDEX(Kanallar!$B$5:$B$19,MATCH(C2624,Kanallar!$A$5:$A$19,0)),0)))</f>
        <v/>
      </c>
      <c r="J2624" s="16" t="str">
        <f aca="false">IF(I2624="","",IF(H2624="İptal",0,IF(H2624="İade",-G2624,E2624-I2624-F2624-G2624)))</f>
        <v/>
      </c>
    </row>
    <row r="2625" customFormat="false" ht="15" hidden="false" customHeight="false" outlineLevel="0" collapsed="false">
      <c r="A2625" s="12"/>
      <c r="B2625" s="13"/>
      <c r="C2625" s="14"/>
      <c r="D2625" s="13"/>
      <c r="E2625" s="15"/>
      <c r="F2625" s="15"/>
      <c r="G2625" s="15"/>
      <c r="H2625" s="14"/>
      <c r="I2625" s="16" t="str">
        <f aca="false">IF(OR(A2625="",C2625=""),"",IF(OR(H2625="İade",H2625="İptal"),0,E2625*IFERROR(INDEX(Kanallar!$B$5:$B$19,MATCH(C2625,Kanallar!$A$5:$A$19,0)),0)))</f>
        <v/>
      </c>
      <c r="J2625" s="16" t="str">
        <f aca="false">IF(I2625="","",IF(H2625="İptal",0,IF(H2625="İade",-G2625,E2625-I2625-F2625-G2625)))</f>
        <v/>
      </c>
    </row>
    <row r="2626" customFormat="false" ht="15" hidden="false" customHeight="false" outlineLevel="0" collapsed="false">
      <c r="A2626" s="12"/>
      <c r="B2626" s="13"/>
      <c r="C2626" s="14"/>
      <c r="D2626" s="13"/>
      <c r="E2626" s="15"/>
      <c r="F2626" s="15"/>
      <c r="G2626" s="15"/>
      <c r="H2626" s="14"/>
      <c r="I2626" s="16" t="str">
        <f aca="false">IF(OR(A2626="",C2626=""),"",IF(OR(H2626="İade",H2626="İptal"),0,E2626*IFERROR(INDEX(Kanallar!$B$5:$B$19,MATCH(C2626,Kanallar!$A$5:$A$19,0)),0)))</f>
        <v/>
      </c>
      <c r="J2626" s="16" t="str">
        <f aca="false">IF(I2626="","",IF(H2626="İptal",0,IF(H2626="İade",-G2626,E2626-I2626-F2626-G2626)))</f>
        <v/>
      </c>
    </row>
    <row r="2627" customFormat="false" ht="15" hidden="false" customHeight="false" outlineLevel="0" collapsed="false">
      <c r="A2627" s="12"/>
      <c r="B2627" s="13"/>
      <c r="C2627" s="14"/>
      <c r="D2627" s="13"/>
      <c r="E2627" s="15"/>
      <c r="F2627" s="15"/>
      <c r="G2627" s="15"/>
      <c r="H2627" s="14"/>
      <c r="I2627" s="16" t="str">
        <f aca="false">IF(OR(A2627="",C2627=""),"",IF(OR(H2627="İade",H2627="İptal"),0,E2627*IFERROR(INDEX(Kanallar!$B$5:$B$19,MATCH(C2627,Kanallar!$A$5:$A$19,0)),0)))</f>
        <v/>
      </c>
      <c r="J2627" s="16" t="str">
        <f aca="false">IF(I2627="","",IF(H2627="İptal",0,IF(H2627="İade",-G2627,E2627-I2627-F2627-G2627)))</f>
        <v/>
      </c>
    </row>
    <row r="2628" customFormat="false" ht="15" hidden="false" customHeight="false" outlineLevel="0" collapsed="false">
      <c r="A2628" s="12"/>
      <c r="B2628" s="13"/>
      <c r="C2628" s="14"/>
      <c r="D2628" s="13"/>
      <c r="E2628" s="15"/>
      <c r="F2628" s="15"/>
      <c r="G2628" s="15"/>
      <c r="H2628" s="14"/>
      <c r="I2628" s="16" t="str">
        <f aca="false">IF(OR(A2628="",C2628=""),"",IF(OR(H2628="İade",H2628="İptal"),0,E2628*IFERROR(INDEX(Kanallar!$B$5:$B$19,MATCH(C2628,Kanallar!$A$5:$A$19,0)),0)))</f>
        <v/>
      </c>
      <c r="J2628" s="16" t="str">
        <f aca="false">IF(I2628="","",IF(H2628="İptal",0,IF(H2628="İade",-G2628,E2628-I2628-F2628-G2628)))</f>
        <v/>
      </c>
    </row>
    <row r="2629" customFormat="false" ht="15" hidden="false" customHeight="false" outlineLevel="0" collapsed="false">
      <c r="A2629" s="12"/>
      <c r="B2629" s="13"/>
      <c r="C2629" s="14"/>
      <c r="D2629" s="13"/>
      <c r="E2629" s="15"/>
      <c r="F2629" s="15"/>
      <c r="G2629" s="15"/>
      <c r="H2629" s="14"/>
      <c r="I2629" s="16" t="str">
        <f aca="false">IF(OR(A2629="",C2629=""),"",IF(OR(H2629="İade",H2629="İptal"),0,E2629*IFERROR(INDEX(Kanallar!$B$5:$B$19,MATCH(C2629,Kanallar!$A$5:$A$19,0)),0)))</f>
        <v/>
      </c>
      <c r="J2629" s="16" t="str">
        <f aca="false">IF(I2629="","",IF(H2629="İptal",0,IF(H2629="İade",-G2629,E2629-I2629-F2629-G2629)))</f>
        <v/>
      </c>
    </row>
    <row r="2630" customFormat="false" ht="15" hidden="false" customHeight="false" outlineLevel="0" collapsed="false">
      <c r="A2630" s="12"/>
      <c r="B2630" s="13"/>
      <c r="C2630" s="14"/>
      <c r="D2630" s="13"/>
      <c r="E2630" s="15"/>
      <c r="F2630" s="15"/>
      <c r="G2630" s="15"/>
      <c r="H2630" s="14"/>
      <c r="I2630" s="16" t="str">
        <f aca="false">IF(OR(A2630="",C2630=""),"",IF(OR(H2630="İade",H2630="İptal"),0,E2630*IFERROR(INDEX(Kanallar!$B$5:$B$19,MATCH(C2630,Kanallar!$A$5:$A$19,0)),0)))</f>
        <v/>
      </c>
      <c r="J2630" s="16" t="str">
        <f aca="false">IF(I2630="","",IF(H2630="İptal",0,IF(H2630="İade",-G2630,E2630-I2630-F2630-G2630)))</f>
        <v/>
      </c>
    </row>
    <row r="2631" customFormat="false" ht="15" hidden="false" customHeight="false" outlineLevel="0" collapsed="false">
      <c r="A2631" s="12"/>
      <c r="B2631" s="13"/>
      <c r="C2631" s="14"/>
      <c r="D2631" s="13"/>
      <c r="E2631" s="15"/>
      <c r="F2631" s="15"/>
      <c r="G2631" s="15"/>
      <c r="H2631" s="14"/>
      <c r="I2631" s="16" t="str">
        <f aca="false">IF(OR(A2631="",C2631=""),"",IF(OR(H2631="İade",H2631="İptal"),0,E2631*IFERROR(INDEX(Kanallar!$B$5:$B$19,MATCH(C2631,Kanallar!$A$5:$A$19,0)),0)))</f>
        <v/>
      </c>
      <c r="J2631" s="16" t="str">
        <f aca="false">IF(I2631="","",IF(H2631="İptal",0,IF(H2631="İade",-G2631,E2631-I2631-F2631-G2631)))</f>
        <v/>
      </c>
    </row>
    <row r="2632" customFormat="false" ht="15" hidden="false" customHeight="false" outlineLevel="0" collapsed="false">
      <c r="A2632" s="12"/>
      <c r="B2632" s="13"/>
      <c r="C2632" s="14"/>
      <c r="D2632" s="13"/>
      <c r="E2632" s="15"/>
      <c r="F2632" s="15"/>
      <c r="G2632" s="15"/>
      <c r="H2632" s="14"/>
      <c r="I2632" s="16" t="str">
        <f aca="false">IF(OR(A2632="",C2632=""),"",IF(OR(H2632="İade",H2632="İptal"),0,E2632*IFERROR(INDEX(Kanallar!$B$5:$B$19,MATCH(C2632,Kanallar!$A$5:$A$19,0)),0)))</f>
        <v/>
      </c>
      <c r="J2632" s="16" t="str">
        <f aca="false">IF(I2632="","",IF(H2632="İptal",0,IF(H2632="İade",-G2632,E2632-I2632-F2632-G2632)))</f>
        <v/>
      </c>
    </row>
    <row r="2633" customFormat="false" ht="15" hidden="false" customHeight="false" outlineLevel="0" collapsed="false">
      <c r="A2633" s="12"/>
      <c r="B2633" s="13"/>
      <c r="C2633" s="14"/>
      <c r="D2633" s="13"/>
      <c r="E2633" s="15"/>
      <c r="F2633" s="15"/>
      <c r="G2633" s="15"/>
      <c r="H2633" s="14"/>
      <c r="I2633" s="16" t="str">
        <f aca="false">IF(OR(A2633="",C2633=""),"",IF(OR(H2633="İade",H2633="İptal"),0,E2633*IFERROR(INDEX(Kanallar!$B$5:$B$19,MATCH(C2633,Kanallar!$A$5:$A$19,0)),0)))</f>
        <v/>
      </c>
      <c r="J2633" s="16" t="str">
        <f aca="false">IF(I2633="","",IF(H2633="İptal",0,IF(H2633="İade",-G2633,E2633-I2633-F2633-G2633)))</f>
        <v/>
      </c>
    </row>
    <row r="2634" customFormat="false" ht="15" hidden="false" customHeight="false" outlineLevel="0" collapsed="false">
      <c r="A2634" s="12"/>
      <c r="B2634" s="13"/>
      <c r="C2634" s="14"/>
      <c r="D2634" s="13"/>
      <c r="E2634" s="15"/>
      <c r="F2634" s="15"/>
      <c r="G2634" s="15"/>
      <c r="H2634" s="14"/>
      <c r="I2634" s="16" t="str">
        <f aca="false">IF(OR(A2634="",C2634=""),"",IF(OR(H2634="İade",H2634="İptal"),0,E2634*IFERROR(INDEX(Kanallar!$B$5:$B$19,MATCH(C2634,Kanallar!$A$5:$A$19,0)),0)))</f>
        <v/>
      </c>
      <c r="J2634" s="16" t="str">
        <f aca="false">IF(I2634="","",IF(H2634="İptal",0,IF(H2634="İade",-G2634,E2634-I2634-F2634-G2634)))</f>
        <v/>
      </c>
    </row>
    <row r="2635" customFormat="false" ht="15" hidden="false" customHeight="false" outlineLevel="0" collapsed="false">
      <c r="A2635" s="12"/>
      <c r="B2635" s="13"/>
      <c r="C2635" s="14"/>
      <c r="D2635" s="13"/>
      <c r="E2635" s="15"/>
      <c r="F2635" s="15"/>
      <c r="G2635" s="15"/>
      <c r="H2635" s="14"/>
      <c r="I2635" s="16" t="str">
        <f aca="false">IF(OR(A2635="",C2635=""),"",IF(OR(H2635="İade",H2635="İptal"),0,E2635*IFERROR(INDEX(Kanallar!$B$5:$B$19,MATCH(C2635,Kanallar!$A$5:$A$19,0)),0)))</f>
        <v/>
      </c>
      <c r="J2635" s="16" t="str">
        <f aca="false">IF(I2635="","",IF(H2635="İptal",0,IF(H2635="İade",-G2635,E2635-I2635-F2635-G2635)))</f>
        <v/>
      </c>
    </row>
    <row r="2636" customFormat="false" ht="15" hidden="false" customHeight="false" outlineLevel="0" collapsed="false">
      <c r="A2636" s="12"/>
      <c r="B2636" s="13"/>
      <c r="C2636" s="14"/>
      <c r="D2636" s="13"/>
      <c r="E2636" s="15"/>
      <c r="F2636" s="15"/>
      <c r="G2636" s="15"/>
      <c r="H2636" s="14"/>
      <c r="I2636" s="16" t="str">
        <f aca="false">IF(OR(A2636="",C2636=""),"",IF(OR(H2636="İade",H2636="İptal"),0,E2636*IFERROR(INDEX(Kanallar!$B$5:$B$19,MATCH(C2636,Kanallar!$A$5:$A$19,0)),0)))</f>
        <v/>
      </c>
      <c r="J2636" s="16" t="str">
        <f aca="false">IF(I2636="","",IF(H2636="İptal",0,IF(H2636="İade",-G2636,E2636-I2636-F2636-G2636)))</f>
        <v/>
      </c>
    </row>
    <row r="2637" customFormat="false" ht="15" hidden="false" customHeight="false" outlineLevel="0" collapsed="false">
      <c r="A2637" s="12"/>
      <c r="B2637" s="13"/>
      <c r="C2637" s="14"/>
      <c r="D2637" s="13"/>
      <c r="E2637" s="15"/>
      <c r="F2637" s="15"/>
      <c r="G2637" s="15"/>
      <c r="H2637" s="14"/>
      <c r="I2637" s="16" t="str">
        <f aca="false">IF(OR(A2637="",C2637=""),"",IF(OR(H2637="İade",H2637="İptal"),0,E2637*IFERROR(INDEX(Kanallar!$B$5:$B$19,MATCH(C2637,Kanallar!$A$5:$A$19,0)),0)))</f>
        <v/>
      </c>
      <c r="J2637" s="16" t="str">
        <f aca="false">IF(I2637="","",IF(H2637="İptal",0,IF(H2637="İade",-G2637,E2637-I2637-F2637-G2637)))</f>
        <v/>
      </c>
    </row>
    <row r="2638" customFormat="false" ht="15" hidden="false" customHeight="false" outlineLevel="0" collapsed="false">
      <c r="A2638" s="12"/>
      <c r="B2638" s="13"/>
      <c r="C2638" s="14"/>
      <c r="D2638" s="13"/>
      <c r="E2638" s="15"/>
      <c r="F2638" s="15"/>
      <c r="G2638" s="15"/>
      <c r="H2638" s="14"/>
      <c r="I2638" s="16" t="str">
        <f aca="false">IF(OR(A2638="",C2638=""),"",IF(OR(H2638="İade",H2638="İptal"),0,E2638*IFERROR(INDEX(Kanallar!$B$5:$B$19,MATCH(C2638,Kanallar!$A$5:$A$19,0)),0)))</f>
        <v/>
      </c>
      <c r="J2638" s="16" t="str">
        <f aca="false">IF(I2638="","",IF(H2638="İptal",0,IF(H2638="İade",-G2638,E2638-I2638-F2638-G2638)))</f>
        <v/>
      </c>
    </row>
    <row r="2639" customFormat="false" ht="15" hidden="false" customHeight="false" outlineLevel="0" collapsed="false">
      <c r="A2639" s="12"/>
      <c r="B2639" s="13"/>
      <c r="C2639" s="14"/>
      <c r="D2639" s="13"/>
      <c r="E2639" s="15"/>
      <c r="F2639" s="15"/>
      <c r="G2639" s="15"/>
      <c r="H2639" s="14"/>
      <c r="I2639" s="16" t="str">
        <f aca="false">IF(OR(A2639="",C2639=""),"",IF(OR(H2639="İade",H2639="İptal"),0,E2639*IFERROR(INDEX(Kanallar!$B$5:$B$19,MATCH(C2639,Kanallar!$A$5:$A$19,0)),0)))</f>
        <v/>
      </c>
      <c r="J2639" s="16" t="str">
        <f aca="false">IF(I2639="","",IF(H2639="İptal",0,IF(H2639="İade",-G2639,E2639-I2639-F2639-G2639)))</f>
        <v/>
      </c>
    </row>
    <row r="2640" customFormat="false" ht="15" hidden="false" customHeight="false" outlineLevel="0" collapsed="false">
      <c r="A2640" s="12"/>
      <c r="B2640" s="13"/>
      <c r="C2640" s="14"/>
      <c r="D2640" s="13"/>
      <c r="E2640" s="15"/>
      <c r="F2640" s="15"/>
      <c r="G2640" s="15"/>
      <c r="H2640" s="14"/>
      <c r="I2640" s="16" t="str">
        <f aca="false">IF(OR(A2640="",C2640=""),"",IF(OR(H2640="İade",H2640="İptal"),0,E2640*IFERROR(INDEX(Kanallar!$B$5:$B$19,MATCH(C2640,Kanallar!$A$5:$A$19,0)),0)))</f>
        <v/>
      </c>
      <c r="J2640" s="16" t="str">
        <f aca="false">IF(I2640="","",IF(H2640="İptal",0,IF(H2640="İade",-G2640,E2640-I2640-F2640-G2640)))</f>
        <v/>
      </c>
    </row>
    <row r="2641" customFormat="false" ht="15" hidden="false" customHeight="false" outlineLevel="0" collapsed="false">
      <c r="A2641" s="12"/>
      <c r="B2641" s="13"/>
      <c r="C2641" s="14"/>
      <c r="D2641" s="13"/>
      <c r="E2641" s="15"/>
      <c r="F2641" s="15"/>
      <c r="G2641" s="15"/>
      <c r="H2641" s="14"/>
      <c r="I2641" s="16" t="str">
        <f aca="false">IF(OR(A2641="",C2641=""),"",IF(OR(H2641="İade",H2641="İptal"),0,E2641*IFERROR(INDEX(Kanallar!$B$5:$B$19,MATCH(C2641,Kanallar!$A$5:$A$19,0)),0)))</f>
        <v/>
      </c>
      <c r="J2641" s="16" t="str">
        <f aca="false">IF(I2641="","",IF(H2641="İptal",0,IF(H2641="İade",-G2641,E2641-I2641-F2641-G2641)))</f>
        <v/>
      </c>
    </row>
    <row r="2642" customFormat="false" ht="15" hidden="false" customHeight="false" outlineLevel="0" collapsed="false">
      <c r="A2642" s="12"/>
      <c r="B2642" s="13"/>
      <c r="C2642" s="14"/>
      <c r="D2642" s="13"/>
      <c r="E2642" s="15"/>
      <c r="F2642" s="15"/>
      <c r="G2642" s="15"/>
      <c r="H2642" s="14"/>
      <c r="I2642" s="16" t="str">
        <f aca="false">IF(OR(A2642="",C2642=""),"",IF(OR(H2642="İade",H2642="İptal"),0,E2642*IFERROR(INDEX(Kanallar!$B$5:$B$19,MATCH(C2642,Kanallar!$A$5:$A$19,0)),0)))</f>
        <v/>
      </c>
      <c r="J2642" s="16" t="str">
        <f aca="false">IF(I2642="","",IF(H2642="İptal",0,IF(H2642="İade",-G2642,E2642-I2642-F2642-G2642)))</f>
        <v/>
      </c>
    </row>
    <row r="2643" customFormat="false" ht="15" hidden="false" customHeight="false" outlineLevel="0" collapsed="false">
      <c r="A2643" s="12"/>
      <c r="B2643" s="13"/>
      <c r="C2643" s="14"/>
      <c r="D2643" s="13"/>
      <c r="E2643" s="15"/>
      <c r="F2643" s="15"/>
      <c r="G2643" s="15"/>
      <c r="H2643" s="14"/>
      <c r="I2643" s="16" t="str">
        <f aca="false">IF(OR(A2643="",C2643=""),"",IF(OR(H2643="İade",H2643="İptal"),0,E2643*IFERROR(INDEX(Kanallar!$B$5:$B$19,MATCH(C2643,Kanallar!$A$5:$A$19,0)),0)))</f>
        <v/>
      </c>
      <c r="J2643" s="16" t="str">
        <f aca="false">IF(I2643="","",IF(H2643="İptal",0,IF(H2643="İade",-G2643,E2643-I2643-F2643-G2643)))</f>
        <v/>
      </c>
    </row>
    <row r="2644" customFormat="false" ht="15" hidden="false" customHeight="false" outlineLevel="0" collapsed="false">
      <c r="A2644" s="12"/>
      <c r="B2644" s="13"/>
      <c r="C2644" s="14"/>
      <c r="D2644" s="13"/>
      <c r="E2644" s="15"/>
      <c r="F2644" s="15"/>
      <c r="G2644" s="15"/>
      <c r="H2644" s="14"/>
      <c r="I2644" s="16" t="str">
        <f aca="false">IF(OR(A2644="",C2644=""),"",IF(OR(H2644="İade",H2644="İptal"),0,E2644*IFERROR(INDEX(Kanallar!$B$5:$B$19,MATCH(C2644,Kanallar!$A$5:$A$19,0)),0)))</f>
        <v/>
      </c>
      <c r="J2644" s="16" t="str">
        <f aca="false">IF(I2644="","",IF(H2644="İptal",0,IF(H2644="İade",-G2644,E2644-I2644-F2644-G2644)))</f>
        <v/>
      </c>
    </row>
    <row r="2645" customFormat="false" ht="15" hidden="false" customHeight="false" outlineLevel="0" collapsed="false">
      <c r="A2645" s="12"/>
      <c r="B2645" s="13"/>
      <c r="C2645" s="14"/>
      <c r="D2645" s="13"/>
      <c r="E2645" s="15"/>
      <c r="F2645" s="15"/>
      <c r="G2645" s="15"/>
      <c r="H2645" s="14"/>
      <c r="I2645" s="16" t="str">
        <f aca="false">IF(OR(A2645="",C2645=""),"",IF(OR(H2645="İade",H2645="İptal"),0,E2645*IFERROR(INDEX(Kanallar!$B$5:$B$19,MATCH(C2645,Kanallar!$A$5:$A$19,0)),0)))</f>
        <v/>
      </c>
      <c r="J2645" s="16" t="str">
        <f aca="false">IF(I2645="","",IF(H2645="İptal",0,IF(H2645="İade",-G2645,E2645-I2645-F2645-G2645)))</f>
        <v/>
      </c>
    </row>
    <row r="2646" customFormat="false" ht="15" hidden="false" customHeight="false" outlineLevel="0" collapsed="false">
      <c r="A2646" s="12"/>
      <c r="B2646" s="13"/>
      <c r="C2646" s="14"/>
      <c r="D2646" s="13"/>
      <c r="E2646" s="15"/>
      <c r="F2646" s="15"/>
      <c r="G2646" s="15"/>
      <c r="H2646" s="14"/>
      <c r="I2646" s="16" t="str">
        <f aca="false">IF(OR(A2646="",C2646=""),"",IF(OR(H2646="İade",H2646="İptal"),0,E2646*IFERROR(INDEX(Kanallar!$B$5:$B$19,MATCH(C2646,Kanallar!$A$5:$A$19,0)),0)))</f>
        <v/>
      </c>
      <c r="J2646" s="16" t="str">
        <f aca="false">IF(I2646="","",IF(H2646="İptal",0,IF(H2646="İade",-G2646,E2646-I2646-F2646-G2646)))</f>
        <v/>
      </c>
    </row>
    <row r="2647" customFormat="false" ht="15" hidden="false" customHeight="false" outlineLevel="0" collapsed="false">
      <c r="A2647" s="12"/>
      <c r="B2647" s="13"/>
      <c r="C2647" s="14"/>
      <c r="D2647" s="13"/>
      <c r="E2647" s="15"/>
      <c r="F2647" s="15"/>
      <c r="G2647" s="15"/>
      <c r="H2647" s="14"/>
      <c r="I2647" s="16" t="str">
        <f aca="false">IF(OR(A2647="",C2647=""),"",IF(OR(H2647="İade",H2647="İptal"),0,E2647*IFERROR(INDEX(Kanallar!$B$5:$B$19,MATCH(C2647,Kanallar!$A$5:$A$19,0)),0)))</f>
        <v/>
      </c>
      <c r="J2647" s="16" t="str">
        <f aca="false">IF(I2647="","",IF(H2647="İptal",0,IF(H2647="İade",-G2647,E2647-I2647-F2647-G2647)))</f>
        <v/>
      </c>
    </row>
    <row r="2648" customFormat="false" ht="15" hidden="false" customHeight="false" outlineLevel="0" collapsed="false">
      <c r="A2648" s="12"/>
      <c r="B2648" s="13"/>
      <c r="C2648" s="14"/>
      <c r="D2648" s="13"/>
      <c r="E2648" s="15"/>
      <c r="F2648" s="15"/>
      <c r="G2648" s="15"/>
      <c r="H2648" s="14"/>
      <c r="I2648" s="16" t="str">
        <f aca="false">IF(OR(A2648="",C2648=""),"",IF(OR(H2648="İade",H2648="İptal"),0,E2648*IFERROR(INDEX(Kanallar!$B$5:$B$19,MATCH(C2648,Kanallar!$A$5:$A$19,0)),0)))</f>
        <v/>
      </c>
      <c r="J2648" s="16" t="str">
        <f aca="false">IF(I2648="","",IF(H2648="İptal",0,IF(H2648="İade",-G2648,E2648-I2648-F2648-G2648)))</f>
        <v/>
      </c>
    </row>
    <row r="2649" customFormat="false" ht="15" hidden="false" customHeight="false" outlineLevel="0" collapsed="false">
      <c r="A2649" s="12"/>
      <c r="B2649" s="13"/>
      <c r="C2649" s="14"/>
      <c r="D2649" s="13"/>
      <c r="E2649" s="15"/>
      <c r="F2649" s="15"/>
      <c r="G2649" s="15"/>
      <c r="H2649" s="14"/>
      <c r="I2649" s="16" t="str">
        <f aca="false">IF(OR(A2649="",C2649=""),"",IF(OR(H2649="İade",H2649="İptal"),0,E2649*IFERROR(INDEX(Kanallar!$B$5:$B$19,MATCH(C2649,Kanallar!$A$5:$A$19,0)),0)))</f>
        <v/>
      </c>
      <c r="J2649" s="16" t="str">
        <f aca="false">IF(I2649="","",IF(H2649="İptal",0,IF(H2649="İade",-G2649,E2649-I2649-F2649-G2649)))</f>
        <v/>
      </c>
    </row>
    <row r="2650" customFormat="false" ht="15" hidden="false" customHeight="false" outlineLevel="0" collapsed="false">
      <c r="A2650" s="12"/>
      <c r="B2650" s="13"/>
      <c r="C2650" s="14"/>
      <c r="D2650" s="13"/>
      <c r="E2650" s="15"/>
      <c r="F2650" s="15"/>
      <c r="G2650" s="15"/>
      <c r="H2650" s="14"/>
      <c r="I2650" s="16" t="str">
        <f aca="false">IF(OR(A2650="",C2650=""),"",IF(OR(H2650="İade",H2650="İptal"),0,E2650*IFERROR(INDEX(Kanallar!$B$5:$B$19,MATCH(C2650,Kanallar!$A$5:$A$19,0)),0)))</f>
        <v/>
      </c>
      <c r="J2650" s="16" t="str">
        <f aca="false">IF(I2650="","",IF(H2650="İptal",0,IF(H2650="İade",-G2650,E2650-I2650-F2650-G2650)))</f>
        <v/>
      </c>
    </row>
    <row r="2651" customFormat="false" ht="15" hidden="false" customHeight="false" outlineLevel="0" collapsed="false">
      <c r="A2651" s="12"/>
      <c r="B2651" s="13"/>
      <c r="C2651" s="14"/>
      <c r="D2651" s="13"/>
      <c r="E2651" s="15"/>
      <c r="F2651" s="15"/>
      <c r="G2651" s="15"/>
      <c r="H2651" s="14"/>
      <c r="I2651" s="16" t="str">
        <f aca="false">IF(OR(A2651="",C2651=""),"",IF(OR(H2651="İade",H2651="İptal"),0,E2651*IFERROR(INDEX(Kanallar!$B$5:$B$19,MATCH(C2651,Kanallar!$A$5:$A$19,0)),0)))</f>
        <v/>
      </c>
      <c r="J2651" s="16" t="str">
        <f aca="false">IF(I2651="","",IF(H2651="İptal",0,IF(H2651="İade",-G2651,E2651-I2651-F2651-G2651)))</f>
        <v/>
      </c>
    </row>
    <row r="2652" customFormat="false" ht="15" hidden="false" customHeight="false" outlineLevel="0" collapsed="false">
      <c r="A2652" s="12"/>
      <c r="B2652" s="13"/>
      <c r="C2652" s="14"/>
      <c r="D2652" s="13"/>
      <c r="E2652" s="15"/>
      <c r="F2652" s="15"/>
      <c r="G2652" s="15"/>
      <c r="H2652" s="14"/>
      <c r="I2652" s="16" t="str">
        <f aca="false">IF(OR(A2652="",C2652=""),"",IF(OR(H2652="İade",H2652="İptal"),0,E2652*IFERROR(INDEX(Kanallar!$B$5:$B$19,MATCH(C2652,Kanallar!$A$5:$A$19,0)),0)))</f>
        <v/>
      </c>
      <c r="J2652" s="16" t="str">
        <f aca="false">IF(I2652="","",IF(H2652="İptal",0,IF(H2652="İade",-G2652,E2652-I2652-F2652-G2652)))</f>
        <v/>
      </c>
    </row>
    <row r="2653" customFormat="false" ht="15" hidden="false" customHeight="false" outlineLevel="0" collapsed="false">
      <c r="A2653" s="12"/>
      <c r="B2653" s="13"/>
      <c r="C2653" s="14"/>
      <c r="D2653" s="13"/>
      <c r="E2653" s="15"/>
      <c r="F2653" s="15"/>
      <c r="G2653" s="15"/>
      <c r="H2653" s="14"/>
      <c r="I2653" s="16" t="str">
        <f aca="false">IF(OR(A2653="",C2653=""),"",IF(OR(H2653="İade",H2653="İptal"),0,E2653*IFERROR(INDEX(Kanallar!$B$5:$B$19,MATCH(C2653,Kanallar!$A$5:$A$19,0)),0)))</f>
        <v/>
      </c>
      <c r="J2653" s="16" t="str">
        <f aca="false">IF(I2653="","",IF(H2653="İptal",0,IF(H2653="İade",-G2653,E2653-I2653-F2653-G2653)))</f>
        <v/>
      </c>
    </row>
    <row r="2654" customFormat="false" ht="15" hidden="false" customHeight="false" outlineLevel="0" collapsed="false">
      <c r="A2654" s="12"/>
      <c r="B2654" s="13"/>
      <c r="C2654" s="14"/>
      <c r="D2654" s="13"/>
      <c r="E2654" s="15"/>
      <c r="F2654" s="15"/>
      <c r="G2654" s="15"/>
      <c r="H2654" s="14"/>
      <c r="I2654" s="16" t="str">
        <f aca="false">IF(OR(A2654="",C2654=""),"",IF(OR(H2654="İade",H2654="İptal"),0,E2654*IFERROR(INDEX(Kanallar!$B$5:$B$19,MATCH(C2654,Kanallar!$A$5:$A$19,0)),0)))</f>
        <v/>
      </c>
      <c r="J2654" s="16" t="str">
        <f aca="false">IF(I2654="","",IF(H2654="İptal",0,IF(H2654="İade",-G2654,E2654-I2654-F2654-G2654)))</f>
        <v/>
      </c>
    </row>
    <row r="2655" customFormat="false" ht="15" hidden="false" customHeight="false" outlineLevel="0" collapsed="false">
      <c r="A2655" s="12"/>
      <c r="B2655" s="13"/>
      <c r="C2655" s="14"/>
      <c r="D2655" s="13"/>
      <c r="E2655" s="15"/>
      <c r="F2655" s="15"/>
      <c r="G2655" s="15"/>
      <c r="H2655" s="14"/>
      <c r="I2655" s="16" t="str">
        <f aca="false">IF(OR(A2655="",C2655=""),"",IF(OR(H2655="İade",H2655="İptal"),0,E2655*IFERROR(INDEX(Kanallar!$B$5:$B$19,MATCH(C2655,Kanallar!$A$5:$A$19,0)),0)))</f>
        <v/>
      </c>
      <c r="J2655" s="16" t="str">
        <f aca="false">IF(I2655="","",IF(H2655="İptal",0,IF(H2655="İade",-G2655,E2655-I2655-F2655-G2655)))</f>
        <v/>
      </c>
    </row>
    <row r="2656" customFormat="false" ht="15" hidden="false" customHeight="false" outlineLevel="0" collapsed="false">
      <c r="A2656" s="12"/>
      <c r="B2656" s="13"/>
      <c r="C2656" s="14"/>
      <c r="D2656" s="13"/>
      <c r="E2656" s="15"/>
      <c r="F2656" s="15"/>
      <c r="G2656" s="15"/>
      <c r="H2656" s="14"/>
      <c r="I2656" s="16" t="str">
        <f aca="false">IF(OR(A2656="",C2656=""),"",IF(OR(H2656="İade",H2656="İptal"),0,E2656*IFERROR(INDEX(Kanallar!$B$5:$B$19,MATCH(C2656,Kanallar!$A$5:$A$19,0)),0)))</f>
        <v/>
      </c>
      <c r="J2656" s="16" t="str">
        <f aca="false">IF(I2656="","",IF(H2656="İptal",0,IF(H2656="İade",-G2656,E2656-I2656-F2656-G2656)))</f>
        <v/>
      </c>
    </row>
    <row r="2657" customFormat="false" ht="15" hidden="false" customHeight="false" outlineLevel="0" collapsed="false">
      <c r="A2657" s="12"/>
      <c r="B2657" s="13"/>
      <c r="C2657" s="14"/>
      <c r="D2657" s="13"/>
      <c r="E2657" s="15"/>
      <c r="F2657" s="15"/>
      <c r="G2657" s="15"/>
      <c r="H2657" s="14"/>
      <c r="I2657" s="16" t="str">
        <f aca="false">IF(OR(A2657="",C2657=""),"",IF(OR(H2657="İade",H2657="İptal"),0,E2657*IFERROR(INDEX(Kanallar!$B$5:$B$19,MATCH(C2657,Kanallar!$A$5:$A$19,0)),0)))</f>
        <v/>
      </c>
      <c r="J2657" s="16" t="str">
        <f aca="false">IF(I2657="","",IF(H2657="İptal",0,IF(H2657="İade",-G2657,E2657-I2657-F2657-G2657)))</f>
        <v/>
      </c>
    </row>
    <row r="2658" customFormat="false" ht="15" hidden="false" customHeight="false" outlineLevel="0" collapsed="false">
      <c r="A2658" s="12"/>
      <c r="B2658" s="13"/>
      <c r="C2658" s="14"/>
      <c r="D2658" s="13"/>
      <c r="E2658" s="15"/>
      <c r="F2658" s="15"/>
      <c r="G2658" s="15"/>
      <c r="H2658" s="14"/>
      <c r="I2658" s="16" t="str">
        <f aca="false">IF(OR(A2658="",C2658=""),"",IF(OR(H2658="İade",H2658="İptal"),0,E2658*IFERROR(INDEX(Kanallar!$B$5:$B$19,MATCH(C2658,Kanallar!$A$5:$A$19,0)),0)))</f>
        <v/>
      </c>
      <c r="J2658" s="16" t="str">
        <f aca="false">IF(I2658="","",IF(H2658="İptal",0,IF(H2658="İade",-G2658,E2658-I2658-F2658-G2658)))</f>
        <v/>
      </c>
    </row>
    <row r="2659" customFormat="false" ht="15" hidden="false" customHeight="false" outlineLevel="0" collapsed="false">
      <c r="A2659" s="12"/>
      <c r="B2659" s="13"/>
      <c r="C2659" s="14"/>
      <c r="D2659" s="13"/>
      <c r="E2659" s="15"/>
      <c r="F2659" s="15"/>
      <c r="G2659" s="15"/>
      <c r="H2659" s="14"/>
      <c r="I2659" s="16" t="str">
        <f aca="false">IF(OR(A2659="",C2659=""),"",IF(OR(H2659="İade",H2659="İptal"),0,E2659*IFERROR(INDEX(Kanallar!$B$5:$B$19,MATCH(C2659,Kanallar!$A$5:$A$19,0)),0)))</f>
        <v/>
      </c>
      <c r="J2659" s="16" t="str">
        <f aca="false">IF(I2659="","",IF(H2659="İptal",0,IF(H2659="İade",-G2659,E2659-I2659-F2659-G2659)))</f>
        <v/>
      </c>
    </row>
    <row r="2660" customFormat="false" ht="15" hidden="false" customHeight="false" outlineLevel="0" collapsed="false">
      <c r="A2660" s="12"/>
      <c r="B2660" s="13"/>
      <c r="C2660" s="14"/>
      <c r="D2660" s="13"/>
      <c r="E2660" s="15"/>
      <c r="F2660" s="15"/>
      <c r="G2660" s="15"/>
      <c r="H2660" s="14"/>
      <c r="I2660" s="16" t="str">
        <f aca="false">IF(OR(A2660="",C2660=""),"",IF(OR(H2660="İade",H2660="İptal"),0,E2660*IFERROR(INDEX(Kanallar!$B$5:$B$19,MATCH(C2660,Kanallar!$A$5:$A$19,0)),0)))</f>
        <v/>
      </c>
      <c r="J2660" s="16" t="str">
        <f aca="false">IF(I2660="","",IF(H2660="İptal",0,IF(H2660="İade",-G2660,E2660-I2660-F2660-G2660)))</f>
        <v/>
      </c>
    </row>
    <row r="2661" customFormat="false" ht="15" hidden="false" customHeight="false" outlineLevel="0" collapsed="false">
      <c r="A2661" s="12"/>
      <c r="B2661" s="13"/>
      <c r="C2661" s="14"/>
      <c r="D2661" s="13"/>
      <c r="E2661" s="15"/>
      <c r="F2661" s="15"/>
      <c r="G2661" s="15"/>
      <c r="H2661" s="14"/>
      <c r="I2661" s="16" t="str">
        <f aca="false">IF(OR(A2661="",C2661=""),"",IF(OR(H2661="İade",H2661="İptal"),0,E2661*IFERROR(INDEX(Kanallar!$B$5:$B$19,MATCH(C2661,Kanallar!$A$5:$A$19,0)),0)))</f>
        <v/>
      </c>
      <c r="J2661" s="16" t="str">
        <f aca="false">IF(I2661="","",IF(H2661="İptal",0,IF(H2661="İade",-G2661,E2661-I2661-F2661-G2661)))</f>
        <v/>
      </c>
    </row>
    <row r="2662" customFormat="false" ht="15" hidden="false" customHeight="false" outlineLevel="0" collapsed="false">
      <c r="A2662" s="12"/>
      <c r="B2662" s="13"/>
      <c r="C2662" s="14"/>
      <c r="D2662" s="13"/>
      <c r="E2662" s="15"/>
      <c r="F2662" s="15"/>
      <c r="G2662" s="15"/>
      <c r="H2662" s="14"/>
      <c r="I2662" s="16" t="str">
        <f aca="false">IF(OR(A2662="",C2662=""),"",IF(OR(H2662="İade",H2662="İptal"),0,E2662*IFERROR(INDEX(Kanallar!$B$5:$B$19,MATCH(C2662,Kanallar!$A$5:$A$19,0)),0)))</f>
        <v/>
      </c>
      <c r="J2662" s="16" t="str">
        <f aca="false">IF(I2662="","",IF(H2662="İptal",0,IF(H2662="İade",-G2662,E2662-I2662-F2662-G2662)))</f>
        <v/>
      </c>
    </row>
    <row r="2663" customFormat="false" ht="15" hidden="false" customHeight="false" outlineLevel="0" collapsed="false">
      <c r="A2663" s="12"/>
      <c r="B2663" s="13"/>
      <c r="C2663" s="14"/>
      <c r="D2663" s="13"/>
      <c r="E2663" s="15"/>
      <c r="F2663" s="15"/>
      <c r="G2663" s="15"/>
      <c r="H2663" s="14"/>
      <c r="I2663" s="16" t="str">
        <f aca="false">IF(OR(A2663="",C2663=""),"",IF(OR(H2663="İade",H2663="İptal"),0,E2663*IFERROR(INDEX(Kanallar!$B$5:$B$19,MATCH(C2663,Kanallar!$A$5:$A$19,0)),0)))</f>
        <v/>
      </c>
      <c r="J2663" s="16" t="str">
        <f aca="false">IF(I2663="","",IF(H2663="İptal",0,IF(H2663="İade",-G2663,E2663-I2663-F2663-G2663)))</f>
        <v/>
      </c>
    </row>
    <row r="2664" customFormat="false" ht="15" hidden="false" customHeight="false" outlineLevel="0" collapsed="false">
      <c r="A2664" s="12"/>
      <c r="B2664" s="13"/>
      <c r="C2664" s="14"/>
      <c r="D2664" s="13"/>
      <c r="E2664" s="15"/>
      <c r="F2664" s="15"/>
      <c r="G2664" s="15"/>
      <c r="H2664" s="14"/>
      <c r="I2664" s="16" t="str">
        <f aca="false">IF(OR(A2664="",C2664=""),"",IF(OR(H2664="İade",H2664="İptal"),0,E2664*IFERROR(INDEX(Kanallar!$B$5:$B$19,MATCH(C2664,Kanallar!$A$5:$A$19,0)),0)))</f>
        <v/>
      </c>
      <c r="J2664" s="16" t="str">
        <f aca="false">IF(I2664="","",IF(H2664="İptal",0,IF(H2664="İade",-G2664,E2664-I2664-F2664-G2664)))</f>
        <v/>
      </c>
    </row>
    <row r="2665" customFormat="false" ht="15" hidden="false" customHeight="false" outlineLevel="0" collapsed="false">
      <c r="A2665" s="12"/>
      <c r="B2665" s="13"/>
      <c r="C2665" s="14"/>
      <c r="D2665" s="13"/>
      <c r="E2665" s="15"/>
      <c r="F2665" s="15"/>
      <c r="G2665" s="15"/>
      <c r="H2665" s="14"/>
      <c r="I2665" s="16" t="str">
        <f aca="false">IF(OR(A2665="",C2665=""),"",IF(OR(H2665="İade",H2665="İptal"),0,E2665*IFERROR(INDEX(Kanallar!$B$5:$B$19,MATCH(C2665,Kanallar!$A$5:$A$19,0)),0)))</f>
        <v/>
      </c>
      <c r="J2665" s="16" t="str">
        <f aca="false">IF(I2665="","",IF(H2665="İptal",0,IF(H2665="İade",-G2665,E2665-I2665-F2665-G2665)))</f>
        <v/>
      </c>
    </row>
    <row r="2666" customFormat="false" ht="15" hidden="false" customHeight="false" outlineLevel="0" collapsed="false">
      <c r="A2666" s="12"/>
      <c r="B2666" s="13"/>
      <c r="C2666" s="14"/>
      <c r="D2666" s="13"/>
      <c r="E2666" s="15"/>
      <c r="F2666" s="15"/>
      <c r="G2666" s="15"/>
      <c r="H2666" s="14"/>
      <c r="I2666" s="16" t="str">
        <f aca="false">IF(OR(A2666="",C2666=""),"",IF(OR(H2666="İade",H2666="İptal"),0,E2666*IFERROR(INDEX(Kanallar!$B$5:$B$19,MATCH(C2666,Kanallar!$A$5:$A$19,0)),0)))</f>
        <v/>
      </c>
      <c r="J2666" s="16" t="str">
        <f aca="false">IF(I2666="","",IF(H2666="İptal",0,IF(H2666="İade",-G2666,E2666-I2666-F2666-G2666)))</f>
        <v/>
      </c>
    </row>
    <row r="2667" customFormat="false" ht="15" hidden="false" customHeight="false" outlineLevel="0" collapsed="false">
      <c r="A2667" s="12"/>
      <c r="B2667" s="13"/>
      <c r="C2667" s="14"/>
      <c r="D2667" s="13"/>
      <c r="E2667" s="15"/>
      <c r="F2667" s="15"/>
      <c r="G2667" s="15"/>
      <c r="H2667" s="14"/>
      <c r="I2667" s="16" t="str">
        <f aca="false">IF(OR(A2667="",C2667=""),"",IF(OR(H2667="İade",H2667="İptal"),0,E2667*IFERROR(INDEX(Kanallar!$B$5:$B$19,MATCH(C2667,Kanallar!$A$5:$A$19,0)),0)))</f>
        <v/>
      </c>
      <c r="J2667" s="16" t="str">
        <f aca="false">IF(I2667="","",IF(H2667="İptal",0,IF(H2667="İade",-G2667,E2667-I2667-F2667-G2667)))</f>
        <v/>
      </c>
    </row>
    <row r="2668" customFormat="false" ht="15" hidden="false" customHeight="false" outlineLevel="0" collapsed="false">
      <c r="A2668" s="12"/>
      <c r="B2668" s="13"/>
      <c r="C2668" s="14"/>
      <c r="D2668" s="13"/>
      <c r="E2668" s="15"/>
      <c r="F2668" s="15"/>
      <c r="G2668" s="15"/>
      <c r="H2668" s="14"/>
      <c r="I2668" s="16" t="str">
        <f aca="false">IF(OR(A2668="",C2668=""),"",IF(OR(H2668="İade",H2668="İptal"),0,E2668*IFERROR(INDEX(Kanallar!$B$5:$B$19,MATCH(C2668,Kanallar!$A$5:$A$19,0)),0)))</f>
        <v/>
      </c>
      <c r="J2668" s="16" t="str">
        <f aca="false">IF(I2668="","",IF(H2668="İptal",0,IF(H2668="İade",-G2668,E2668-I2668-F2668-G2668)))</f>
        <v/>
      </c>
    </row>
    <row r="2669" customFormat="false" ht="15" hidden="false" customHeight="false" outlineLevel="0" collapsed="false">
      <c r="A2669" s="12"/>
      <c r="B2669" s="13"/>
      <c r="C2669" s="14"/>
      <c r="D2669" s="13"/>
      <c r="E2669" s="15"/>
      <c r="F2669" s="15"/>
      <c r="G2669" s="15"/>
      <c r="H2669" s="14"/>
      <c r="I2669" s="16" t="str">
        <f aca="false">IF(OR(A2669="",C2669=""),"",IF(OR(H2669="İade",H2669="İptal"),0,E2669*IFERROR(INDEX(Kanallar!$B$5:$B$19,MATCH(C2669,Kanallar!$A$5:$A$19,0)),0)))</f>
        <v/>
      </c>
      <c r="J2669" s="16" t="str">
        <f aca="false">IF(I2669="","",IF(H2669="İptal",0,IF(H2669="İade",-G2669,E2669-I2669-F2669-G2669)))</f>
        <v/>
      </c>
    </row>
    <row r="2670" customFormat="false" ht="15" hidden="false" customHeight="false" outlineLevel="0" collapsed="false">
      <c r="A2670" s="12"/>
      <c r="B2670" s="13"/>
      <c r="C2670" s="14"/>
      <c r="D2670" s="13"/>
      <c r="E2670" s="15"/>
      <c r="F2670" s="15"/>
      <c r="G2670" s="15"/>
      <c r="H2670" s="14"/>
      <c r="I2670" s="16" t="str">
        <f aca="false">IF(OR(A2670="",C2670=""),"",IF(OR(H2670="İade",H2670="İptal"),0,E2670*IFERROR(INDEX(Kanallar!$B$5:$B$19,MATCH(C2670,Kanallar!$A$5:$A$19,0)),0)))</f>
        <v/>
      </c>
      <c r="J2670" s="16" t="str">
        <f aca="false">IF(I2670="","",IF(H2670="İptal",0,IF(H2670="İade",-G2670,E2670-I2670-F2670-G2670)))</f>
        <v/>
      </c>
    </row>
    <row r="2671" customFormat="false" ht="15" hidden="false" customHeight="false" outlineLevel="0" collapsed="false">
      <c r="A2671" s="12"/>
      <c r="B2671" s="13"/>
      <c r="C2671" s="14"/>
      <c r="D2671" s="13"/>
      <c r="E2671" s="15"/>
      <c r="F2671" s="15"/>
      <c r="G2671" s="15"/>
      <c r="H2671" s="14"/>
      <c r="I2671" s="16" t="str">
        <f aca="false">IF(OR(A2671="",C2671=""),"",IF(OR(H2671="İade",H2671="İptal"),0,E2671*IFERROR(INDEX(Kanallar!$B$5:$B$19,MATCH(C2671,Kanallar!$A$5:$A$19,0)),0)))</f>
        <v/>
      </c>
      <c r="J2671" s="16" t="str">
        <f aca="false">IF(I2671="","",IF(H2671="İptal",0,IF(H2671="İade",-G2671,E2671-I2671-F2671-G2671)))</f>
        <v/>
      </c>
    </row>
    <row r="2672" customFormat="false" ht="15" hidden="false" customHeight="false" outlineLevel="0" collapsed="false">
      <c r="A2672" s="12"/>
      <c r="B2672" s="13"/>
      <c r="C2672" s="14"/>
      <c r="D2672" s="13"/>
      <c r="E2672" s="15"/>
      <c r="F2672" s="15"/>
      <c r="G2672" s="15"/>
      <c r="H2672" s="14"/>
      <c r="I2672" s="16" t="str">
        <f aca="false">IF(OR(A2672="",C2672=""),"",IF(OR(H2672="İade",H2672="İptal"),0,E2672*IFERROR(INDEX(Kanallar!$B$5:$B$19,MATCH(C2672,Kanallar!$A$5:$A$19,0)),0)))</f>
        <v/>
      </c>
      <c r="J2672" s="16" t="str">
        <f aca="false">IF(I2672="","",IF(H2672="İptal",0,IF(H2672="İade",-G2672,E2672-I2672-F2672-G2672)))</f>
        <v/>
      </c>
    </row>
    <row r="2673" customFormat="false" ht="15" hidden="false" customHeight="false" outlineLevel="0" collapsed="false">
      <c r="A2673" s="12"/>
      <c r="B2673" s="13"/>
      <c r="C2673" s="14"/>
      <c r="D2673" s="13"/>
      <c r="E2673" s="15"/>
      <c r="F2673" s="15"/>
      <c r="G2673" s="15"/>
      <c r="H2673" s="14"/>
      <c r="I2673" s="16" t="str">
        <f aca="false">IF(OR(A2673="",C2673=""),"",IF(OR(H2673="İade",H2673="İptal"),0,E2673*IFERROR(INDEX(Kanallar!$B$5:$B$19,MATCH(C2673,Kanallar!$A$5:$A$19,0)),0)))</f>
        <v/>
      </c>
      <c r="J2673" s="16" t="str">
        <f aca="false">IF(I2673="","",IF(H2673="İptal",0,IF(H2673="İade",-G2673,E2673-I2673-F2673-G2673)))</f>
        <v/>
      </c>
    </row>
    <row r="2674" customFormat="false" ht="15" hidden="false" customHeight="false" outlineLevel="0" collapsed="false">
      <c r="A2674" s="12"/>
      <c r="B2674" s="13"/>
      <c r="C2674" s="14"/>
      <c r="D2674" s="13"/>
      <c r="E2674" s="15"/>
      <c r="F2674" s="15"/>
      <c r="G2674" s="15"/>
      <c r="H2674" s="14"/>
      <c r="I2674" s="16" t="str">
        <f aca="false">IF(OR(A2674="",C2674=""),"",IF(OR(H2674="İade",H2674="İptal"),0,E2674*IFERROR(INDEX(Kanallar!$B$5:$B$19,MATCH(C2674,Kanallar!$A$5:$A$19,0)),0)))</f>
        <v/>
      </c>
      <c r="J2674" s="16" t="str">
        <f aca="false">IF(I2674="","",IF(H2674="İptal",0,IF(H2674="İade",-G2674,E2674-I2674-F2674-G2674)))</f>
        <v/>
      </c>
    </row>
    <row r="2675" customFormat="false" ht="15" hidden="false" customHeight="false" outlineLevel="0" collapsed="false">
      <c r="A2675" s="12"/>
      <c r="B2675" s="13"/>
      <c r="C2675" s="14"/>
      <c r="D2675" s="13"/>
      <c r="E2675" s="15"/>
      <c r="F2675" s="15"/>
      <c r="G2675" s="15"/>
      <c r="H2675" s="14"/>
      <c r="I2675" s="16" t="str">
        <f aca="false">IF(OR(A2675="",C2675=""),"",IF(OR(H2675="İade",H2675="İptal"),0,E2675*IFERROR(INDEX(Kanallar!$B$5:$B$19,MATCH(C2675,Kanallar!$A$5:$A$19,0)),0)))</f>
        <v/>
      </c>
      <c r="J2675" s="16" t="str">
        <f aca="false">IF(I2675="","",IF(H2675="İptal",0,IF(H2675="İade",-G2675,E2675-I2675-F2675-G2675)))</f>
        <v/>
      </c>
    </row>
    <row r="2676" customFormat="false" ht="15" hidden="false" customHeight="false" outlineLevel="0" collapsed="false">
      <c r="A2676" s="12"/>
      <c r="B2676" s="13"/>
      <c r="C2676" s="14"/>
      <c r="D2676" s="13"/>
      <c r="E2676" s="15"/>
      <c r="F2676" s="15"/>
      <c r="G2676" s="15"/>
      <c r="H2676" s="14"/>
      <c r="I2676" s="16" t="str">
        <f aca="false">IF(OR(A2676="",C2676=""),"",IF(OR(H2676="İade",H2676="İptal"),0,E2676*IFERROR(INDEX(Kanallar!$B$5:$B$19,MATCH(C2676,Kanallar!$A$5:$A$19,0)),0)))</f>
        <v/>
      </c>
      <c r="J2676" s="16" t="str">
        <f aca="false">IF(I2676="","",IF(H2676="İptal",0,IF(H2676="İade",-G2676,E2676-I2676-F2676-G2676)))</f>
        <v/>
      </c>
    </row>
    <row r="2677" customFormat="false" ht="15" hidden="false" customHeight="false" outlineLevel="0" collapsed="false">
      <c r="A2677" s="12"/>
      <c r="B2677" s="13"/>
      <c r="C2677" s="14"/>
      <c r="D2677" s="13"/>
      <c r="E2677" s="15"/>
      <c r="F2677" s="15"/>
      <c r="G2677" s="15"/>
      <c r="H2677" s="14"/>
      <c r="I2677" s="16" t="str">
        <f aca="false">IF(OR(A2677="",C2677=""),"",IF(OR(H2677="İade",H2677="İptal"),0,E2677*IFERROR(INDEX(Kanallar!$B$5:$B$19,MATCH(C2677,Kanallar!$A$5:$A$19,0)),0)))</f>
        <v/>
      </c>
      <c r="J2677" s="16" t="str">
        <f aca="false">IF(I2677="","",IF(H2677="İptal",0,IF(H2677="İade",-G2677,E2677-I2677-F2677-G2677)))</f>
        <v/>
      </c>
    </row>
    <row r="2678" customFormat="false" ht="15" hidden="false" customHeight="false" outlineLevel="0" collapsed="false">
      <c r="A2678" s="12"/>
      <c r="B2678" s="13"/>
      <c r="C2678" s="14"/>
      <c r="D2678" s="13"/>
      <c r="E2678" s="15"/>
      <c r="F2678" s="15"/>
      <c r="G2678" s="15"/>
      <c r="H2678" s="14"/>
      <c r="I2678" s="16" t="str">
        <f aca="false">IF(OR(A2678="",C2678=""),"",IF(OR(H2678="İade",H2678="İptal"),0,E2678*IFERROR(INDEX(Kanallar!$B$5:$B$19,MATCH(C2678,Kanallar!$A$5:$A$19,0)),0)))</f>
        <v/>
      </c>
      <c r="J2678" s="16" t="str">
        <f aca="false">IF(I2678="","",IF(H2678="İptal",0,IF(H2678="İade",-G2678,E2678-I2678-F2678-G2678)))</f>
        <v/>
      </c>
    </row>
    <row r="2679" customFormat="false" ht="15" hidden="false" customHeight="false" outlineLevel="0" collapsed="false">
      <c r="A2679" s="12"/>
      <c r="B2679" s="13"/>
      <c r="C2679" s="14"/>
      <c r="D2679" s="13"/>
      <c r="E2679" s="15"/>
      <c r="F2679" s="15"/>
      <c r="G2679" s="15"/>
      <c r="H2679" s="14"/>
      <c r="I2679" s="16" t="str">
        <f aca="false">IF(OR(A2679="",C2679=""),"",IF(OR(H2679="İade",H2679="İptal"),0,E2679*IFERROR(INDEX(Kanallar!$B$5:$B$19,MATCH(C2679,Kanallar!$A$5:$A$19,0)),0)))</f>
        <v/>
      </c>
      <c r="J2679" s="16" t="str">
        <f aca="false">IF(I2679="","",IF(H2679="İptal",0,IF(H2679="İade",-G2679,E2679-I2679-F2679-G2679)))</f>
        <v/>
      </c>
    </row>
    <row r="2680" customFormat="false" ht="15" hidden="false" customHeight="false" outlineLevel="0" collapsed="false">
      <c r="A2680" s="12"/>
      <c r="B2680" s="13"/>
      <c r="C2680" s="14"/>
      <c r="D2680" s="13"/>
      <c r="E2680" s="15"/>
      <c r="F2680" s="15"/>
      <c r="G2680" s="15"/>
      <c r="H2680" s="14"/>
      <c r="I2680" s="16" t="str">
        <f aca="false">IF(OR(A2680="",C2680=""),"",IF(OR(H2680="İade",H2680="İptal"),0,E2680*IFERROR(INDEX(Kanallar!$B$5:$B$19,MATCH(C2680,Kanallar!$A$5:$A$19,0)),0)))</f>
        <v/>
      </c>
      <c r="J2680" s="16" t="str">
        <f aca="false">IF(I2680="","",IF(H2680="İptal",0,IF(H2680="İade",-G2680,E2680-I2680-F2680-G2680)))</f>
        <v/>
      </c>
    </row>
    <row r="2681" customFormat="false" ht="15" hidden="false" customHeight="false" outlineLevel="0" collapsed="false">
      <c r="A2681" s="12"/>
      <c r="B2681" s="13"/>
      <c r="C2681" s="14"/>
      <c r="D2681" s="13"/>
      <c r="E2681" s="15"/>
      <c r="F2681" s="15"/>
      <c r="G2681" s="15"/>
      <c r="H2681" s="14"/>
      <c r="I2681" s="16" t="str">
        <f aca="false">IF(OR(A2681="",C2681=""),"",IF(OR(H2681="İade",H2681="İptal"),0,E2681*IFERROR(INDEX(Kanallar!$B$5:$B$19,MATCH(C2681,Kanallar!$A$5:$A$19,0)),0)))</f>
        <v/>
      </c>
      <c r="J2681" s="16" t="str">
        <f aca="false">IF(I2681="","",IF(H2681="İptal",0,IF(H2681="İade",-G2681,E2681-I2681-F2681-G2681)))</f>
        <v/>
      </c>
    </row>
    <row r="2682" customFormat="false" ht="15" hidden="false" customHeight="false" outlineLevel="0" collapsed="false">
      <c r="A2682" s="12"/>
      <c r="B2682" s="13"/>
      <c r="C2682" s="14"/>
      <c r="D2682" s="13"/>
      <c r="E2682" s="15"/>
      <c r="F2682" s="15"/>
      <c r="G2682" s="15"/>
      <c r="H2682" s="14"/>
      <c r="I2682" s="16" t="str">
        <f aca="false">IF(OR(A2682="",C2682=""),"",IF(OR(H2682="İade",H2682="İptal"),0,E2682*IFERROR(INDEX(Kanallar!$B$5:$B$19,MATCH(C2682,Kanallar!$A$5:$A$19,0)),0)))</f>
        <v/>
      </c>
      <c r="J2682" s="16" t="str">
        <f aca="false">IF(I2682="","",IF(H2682="İptal",0,IF(H2682="İade",-G2682,E2682-I2682-F2682-G2682)))</f>
        <v/>
      </c>
    </row>
    <row r="2683" customFormat="false" ht="15" hidden="false" customHeight="false" outlineLevel="0" collapsed="false">
      <c r="A2683" s="12"/>
      <c r="B2683" s="13"/>
      <c r="C2683" s="14"/>
      <c r="D2683" s="13"/>
      <c r="E2683" s="15"/>
      <c r="F2683" s="15"/>
      <c r="G2683" s="15"/>
      <c r="H2683" s="14"/>
      <c r="I2683" s="16" t="str">
        <f aca="false">IF(OR(A2683="",C2683=""),"",IF(OR(H2683="İade",H2683="İptal"),0,E2683*IFERROR(INDEX(Kanallar!$B$5:$B$19,MATCH(C2683,Kanallar!$A$5:$A$19,0)),0)))</f>
        <v/>
      </c>
      <c r="J2683" s="16" t="str">
        <f aca="false">IF(I2683="","",IF(H2683="İptal",0,IF(H2683="İade",-G2683,E2683-I2683-F2683-G2683)))</f>
        <v/>
      </c>
    </row>
    <row r="2684" customFormat="false" ht="15" hidden="false" customHeight="false" outlineLevel="0" collapsed="false">
      <c r="A2684" s="12"/>
      <c r="B2684" s="13"/>
      <c r="C2684" s="14"/>
      <c r="D2684" s="13"/>
      <c r="E2684" s="15"/>
      <c r="F2684" s="15"/>
      <c r="G2684" s="15"/>
      <c r="H2684" s="14"/>
      <c r="I2684" s="16" t="str">
        <f aca="false">IF(OR(A2684="",C2684=""),"",IF(OR(H2684="İade",H2684="İptal"),0,E2684*IFERROR(INDEX(Kanallar!$B$5:$B$19,MATCH(C2684,Kanallar!$A$5:$A$19,0)),0)))</f>
        <v/>
      </c>
      <c r="J2684" s="16" t="str">
        <f aca="false">IF(I2684="","",IF(H2684="İptal",0,IF(H2684="İade",-G2684,E2684-I2684-F2684-G2684)))</f>
        <v/>
      </c>
    </row>
    <row r="2685" customFormat="false" ht="15" hidden="false" customHeight="false" outlineLevel="0" collapsed="false">
      <c r="A2685" s="12"/>
      <c r="B2685" s="13"/>
      <c r="C2685" s="14"/>
      <c r="D2685" s="13"/>
      <c r="E2685" s="15"/>
      <c r="F2685" s="15"/>
      <c r="G2685" s="15"/>
      <c r="H2685" s="14"/>
      <c r="I2685" s="16" t="str">
        <f aca="false">IF(OR(A2685="",C2685=""),"",IF(OR(H2685="İade",H2685="İptal"),0,E2685*IFERROR(INDEX(Kanallar!$B$5:$B$19,MATCH(C2685,Kanallar!$A$5:$A$19,0)),0)))</f>
        <v/>
      </c>
      <c r="J2685" s="16" t="str">
        <f aca="false">IF(I2685="","",IF(H2685="İptal",0,IF(H2685="İade",-G2685,E2685-I2685-F2685-G2685)))</f>
        <v/>
      </c>
    </row>
    <row r="2686" customFormat="false" ht="15" hidden="false" customHeight="false" outlineLevel="0" collapsed="false">
      <c r="A2686" s="12"/>
      <c r="B2686" s="13"/>
      <c r="C2686" s="14"/>
      <c r="D2686" s="13"/>
      <c r="E2686" s="15"/>
      <c r="F2686" s="15"/>
      <c r="G2686" s="15"/>
      <c r="H2686" s="14"/>
      <c r="I2686" s="16" t="str">
        <f aca="false">IF(OR(A2686="",C2686=""),"",IF(OR(H2686="İade",H2686="İptal"),0,E2686*IFERROR(INDEX(Kanallar!$B$5:$B$19,MATCH(C2686,Kanallar!$A$5:$A$19,0)),0)))</f>
        <v/>
      </c>
      <c r="J2686" s="16" t="str">
        <f aca="false">IF(I2686="","",IF(H2686="İptal",0,IF(H2686="İade",-G2686,E2686-I2686-F2686-G2686)))</f>
        <v/>
      </c>
    </row>
    <row r="2687" customFormat="false" ht="15" hidden="false" customHeight="false" outlineLevel="0" collapsed="false">
      <c r="A2687" s="12"/>
      <c r="B2687" s="13"/>
      <c r="C2687" s="14"/>
      <c r="D2687" s="13"/>
      <c r="E2687" s="15"/>
      <c r="F2687" s="15"/>
      <c r="G2687" s="15"/>
      <c r="H2687" s="14"/>
      <c r="I2687" s="16" t="str">
        <f aca="false">IF(OR(A2687="",C2687=""),"",IF(OR(H2687="İade",H2687="İptal"),0,E2687*IFERROR(INDEX(Kanallar!$B$5:$B$19,MATCH(C2687,Kanallar!$A$5:$A$19,0)),0)))</f>
        <v/>
      </c>
      <c r="J2687" s="16" t="str">
        <f aca="false">IF(I2687="","",IF(H2687="İptal",0,IF(H2687="İade",-G2687,E2687-I2687-F2687-G2687)))</f>
        <v/>
      </c>
    </row>
    <row r="2688" customFormat="false" ht="15" hidden="false" customHeight="false" outlineLevel="0" collapsed="false">
      <c r="A2688" s="12"/>
      <c r="B2688" s="13"/>
      <c r="C2688" s="14"/>
      <c r="D2688" s="13"/>
      <c r="E2688" s="15"/>
      <c r="F2688" s="15"/>
      <c r="G2688" s="15"/>
      <c r="H2688" s="14"/>
      <c r="I2688" s="16" t="str">
        <f aca="false">IF(OR(A2688="",C2688=""),"",IF(OR(H2688="İade",H2688="İptal"),0,E2688*IFERROR(INDEX(Kanallar!$B$5:$B$19,MATCH(C2688,Kanallar!$A$5:$A$19,0)),0)))</f>
        <v/>
      </c>
      <c r="J2688" s="16" t="str">
        <f aca="false">IF(I2688="","",IF(H2688="İptal",0,IF(H2688="İade",-G2688,E2688-I2688-F2688-G2688)))</f>
        <v/>
      </c>
    </row>
    <row r="2689" customFormat="false" ht="15" hidden="false" customHeight="false" outlineLevel="0" collapsed="false">
      <c r="A2689" s="12"/>
      <c r="B2689" s="13"/>
      <c r="C2689" s="14"/>
      <c r="D2689" s="13"/>
      <c r="E2689" s="15"/>
      <c r="F2689" s="15"/>
      <c r="G2689" s="15"/>
      <c r="H2689" s="14"/>
      <c r="I2689" s="16" t="str">
        <f aca="false">IF(OR(A2689="",C2689=""),"",IF(OR(H2689="İade",H2689="İptal"),0,E2689*IFERROR(INDEX(Kanallar!$B$5:$B$19,MATCH(C2689,Kanallar!$A$5:$A$19,0)),0)))</f>
        <v/>
      </c>
      <c r="J2689" s="16" t="str">
        <f aca="false">IF(I2689="","",IF(H2689="İptal",0,IF(H2689="İade",-G2689,E2689-I2689-F2689-G2689)))</f>
        <v/>
      </c>
    </row>
    <row r="2690" customFormat="false" ht="15" hidden="false" customHeight="false" outlineLevel="0" collapsed="false">
      <c r="A2690" s="12"/>
      <c r="B2690" s="13"/>
      <c r="C2690" s="14"/>
      <c r="D2690" s="13"/>
      <c r="E2690" s="15"/>
      <c r="F2690" s="15"/>
      <c r="G2690" s="15"/>
      <c r="H2690" s="14"/>
      <c r="I2690" s="16" t="str">
        <f aca="false">IF(OR(A2690="",C2690=""),"",IF(OR(H2690="İade",H2690="İptal"),0,E2690*IFERROR(INDEX(Kanallar!$B$5:$B$19,MATCH(C2690,Kanallar!$A$5:$A$19,0)),0)))</f>
        <v/>
      </c>
      <c r="J2690" s="16" t="str">
        <f aca="false">IF(I2690="","",IF(H2690="İptal",0,IF(H2690="İade",-G2690,E2690-I2690-F2690-G2690)))</f>
        <v/>
      </c>
    </row>
    <row r="2691" customFormat="false" ht="15" hidden="false" customHeight="false" outlineLevel="0" collapsed="false">
      <c r="A2691" s="12"/>
      <c r="B2691" s="13"/>
      <c r="C2691" s="14"/>
      <c r="D2691" s="13"/>
      <c r="E2691" s="15"/>
      <c r="F2691" s="15"/>
      <c r="G2691" s="15"/>
      <c r="H2691" s="14"/>
      <c r="I2691" s="16" t="str">
        <f aca="false">IF(OR(A2691="",C2691=""),"",IF(OR(H2691="İade",H2691="İptal"),0,E2691*IFERROR(INDEX(Kanallar!$B$5:$B$19,MATCH(C2691,Kanallar!$A$5:$A$19,0)),0)))</f>
        <v/>
      </c>
      <c r="J2691" s="16" t="str">
        <f aca="false">IF(I2691="","",IF(H2691="İptal",0,IF(H2691="İade",-G2691,E2691-I2691-F2691-G2691)))</f>
        <v/>
      </c>
    </row>
    <row r="2692" customFormat="false" ht="15" hidden="false" customHeight="false" outlineLevel="0" collapsed="false">
      <c r="A2692" s="12"/>
      <c r="B2692" s="13"/>
      <c r="C2692" s="14"/>
      <c r="D2692" s="13"/>
      <c r="E2692" s="15"/>
      <c r="F2692" s="15"/>
      <c r="G2692" s="15"/>
      <c r="H2692" s="14"/>
      <c r="I2692" s="16" t="str">
        <f aca="false">IF(OR(A2692="",C2692=""),"",IF(OR(H2692="İade",H2692="İptal"),0,E2692*IFERROR(INDEX(Kanallar!$B$5:$B$19,MATCH(C2692,Kanallar!$A$5:$A$19,0)),0)))</f>
        <v/>
      </c>
      <c r="J2692" s="16" t="str">
        <f aca="false">IF(I2692="","",IF(H2692="İptal",0,IF(H2692="İade",-G2692,E2692-I2692-F2692-G2692)))</f>
        <v/>
      </c>
    </row>
    <row r="2693" customFormat="false" ht="15" hidden="false" customHeight="false" outlineLevel="0" collapsed="false">
      <c r="A2693" s="12"/>
      <c r="B2693" s="13"/>
      <c r="C2693" s="14"/>
      <c r="D2693" s="13"/>
      <c r="E2693" s="15"/>
      <c r="F2693" s="15"/>
      <c r="G2693" s="15"/>
      <c r="H2693" s="14"/>
      <c r="I2693" s="16" t="str">
        <f aca="false">IF(OR(A2693="",C2693=""),"",IF(OR(H2693="İade",H2693="İptal"),0,E2693*IFERROR(INDEX(Kanallar!$B$5:$B$19,MATCH(C2693,Kanallar!$A$5:$A$19,0)),0)))</f>
        <v/>
      </c>
      <c r="J2693" s="16" t="str">
        <f aca="false">IF(I2693="","",IF(H2693="İptal",0,IF(H2693="İade",-G2693,E2693-I2693-F2693-G2693)))</f>
        <v/>
      </c>
    </row>
    <row r="2694" customFormat="false" ht="15" hidden="false" customHeight="false" outlineLevel="0" collapsed="false">
      <c r="A2694" s="12"/>
      <c r="B2694" s="13"/>
      <c r="C2694" s="14"/>
      <c r="D2694" s="13"/>
      <c r="E2694" s="15"/>
      <c r="F2694" s="15"/>
      <c r="G2694" s="15"/>
      <c r="H2694" s="14"/>
      <c r="I2694" s="16" t="str">
        <f aca="false">IF(OR(A2694="",C2694=""),"",IF(OR(H2694="İade",H2694="İptal"),0,E2694*IFERROR(INDEX(Kanallar!$B$5:$B$19,MATCH(C2694,Kanallar!$A$5:$A$19,0)),0)))</f>
        <v/>
      </c>
      <c r="J2694" s="16" t="str">
        <f aca="false">IF(I2694="","",IF(H2694="İptal",0,IF(H2694="İade",-G2694,E2694-I2694-F2694-G2694)))</f>
        <v/>
      </c>
    </row>
    <row r="2695" customFormat="false" ht="15" hidden="false" customHeight="false" outlineLevel="0" collapsed="false">
      <c r="A2695" s="12"/>
      <c r="B2695" s="13"/>
      <c r="C2695" s="14"/>
      <c r="D2695" s="13"/>
      <c r="E2695" s="15"/>
      <c r="F2695" s="15"/>
      <c r="G2695" s="15"/>
      <c r="H2695" s="14"/>
      <c r="I2695" s="16" t="str">
        <f aca="false">IF(OR(A2695="",C2695=""),"",IF(OR(H2695="İade",H2695="İptal"),0,E2695*IFERROR(INDEX(Kanallar!$B$5:$B$19,MATCH(C2695,Kanallar!$A$5:$A$19,0)),0)))</f>
        <v/>
      </c>
      <c r="J2695" s="16" t="str">
        <f aca="false">IF(I2695="","",IF(H2695="İptal",0,IF(H2695="İade",-G2695,E2695-I2695-F2695-G2695)))</f>
        <v/>
      </c>
    </row>
    <row r="2696" customFormat="false" ht="15" hidden="false" customHeight="false" outlineLevel="0" collapsed="false">
      <c r="A2696" s="12"/>
      <c r="B2696" s="13"/>
      <c r="C2696" s="14"/>
      <c r="D2696" s="13"/>
      <c r="E2696" s="15"/>
      <c r="F2696" s="15"/>
      <c r="G2696" s="15"/>
      <c r="H2696" s="14"/>
      <c r="I2696" s="16" t="str">
        <f aca="false">IF(OR(A2696="",C2696=""),"",IF(OR(H2696="İade",H2696="İptal"),0,E2696*IFERROR(INDEX(Kanallar!$B$5:$B$19,MATCH(C2696,Kanallar!$A$5:$A$19,0)),0)))</f>
        <v/>
      </c>
      <c r="J2696" s="16" t="str">
        <f aca="false">IF(I2696="","",IF(H2696="İptal",0,IF(H2696="İade",-G2696,E2696-I2696-F2696-G2696)))</f>
        <v/>
      </c>
    </row>
    <row r="2697" customFormat="false" ht="15" hidden="false" customHeight="false" outlineLevel="0" collapsed="false">
      <c r="A2697" s="12"/>
      <c r="B2697" s="13"/>
      <c r="C2697" s="14"/>
      <c r="D2697" s="13"/>
      <c r="E2697" s="15"/>
      <c r="F2697" s="15"/>
      <c r="G2697" s="15"/>
      <c r="H2697" s="14"/>
      <c r="I2697" s="16" t="str">
        <f aca="false">IF(OR(A2697="",C2697=""),"",IF(OR(H2697="İade",H2697="İptal"),0,E2697*IFERROR(INDEX(Kanallar!$B$5:$B$19,MATCH(C2697,Kanallar!$A$5:$A$19,0)),0)))</f>
        <v/>
      </c>
      <c r="J2697" s="16" t="str">
        <f aca="false">IF(I2697="","",IF(H2697="İptal",0,IF(H2697="İade",-G2697,E2697-I2697-F2697-G2697)))</f>
        <v/>
      </c>
    </row>
    <row r="2698" customFormat="false" ht="15" hidden="false" customHeight="false" outlineLevel="0" collapsed="false">
      <c r="A2698" s="12"/>
      <c r="B2698" s="13"/>
      <c r="C2698" s="14"/>
      <c r="D2698" s="13"/>
      <c r="E2698" s="15"/>
      <c r="F2698" s="15"/>
      <c r="G2698" s="15"/>
      <c r="H2698" s="14"/>
      <c r="I2698" s="16" t="str">
        <f aca="false">IF(OR(A2698="",C2698=""),"",IF(OR(H2698="İade",H2698="İptal"),0,E2698*IFERROR(INDEX(Kanallar!$B$5:$B$19,MATCH(C2698,Kanallar!$A$5:$A$19,0)),0)))</f>
        <v/>
      </c>
      <c r="J2698" s="16" t="str">
        <f aca="false">IF(I2698="","",IF(H2698="İptal",0,IF(H2698="İade",-G2698,E2698-I2698-F2698-G2698)))</f>
        <v/>
      </c>
    </row>
    <row r="2699" customFormat="false" ht="15" hidden="false" customHeight="false" outlineLevel="0" collapsed="false">
      <c r="A2699" s="12"/>
      <c r="B2699" s="13"/>
      <c r="C2699" s="14"/>
      <c r="D2699" s="13"/>
      <c r="E2699" s="15"/>
      <c r="F2699" s="15"/>
      <c r="G2699" s="15"/>
      <c r="H2699" s="14"/>
      <c r="I2699" s="16" t="str">
        <f aca="false">IF(OR(A2699="",C2699=""),"",IF(OR(H2699="İade",H2699="İptal"),0,E2699*IFERROR(INDEX(Kanallar!$B$5:$B$19,MATCH(C2699,Kanallar!$A$5:$A$19,0)),0)))</f>
        <v/>
      </c>
      <c r="J2699" s="16" t="str">
        <f aca="false">IF(I2699="","",IF(H2699="İptal",0,IF(H2699="İade",-G2699,E2699-I2699-F2699-G2699)))</f>
        <v/>
      </c>
    </row>
    <row r="2700" customFormat="false" ht="15" hidden="false" customHeight="false" outlineLevel="0" collapsed="false">
      <c r="A2700" s="12"/>
      <c r="B2700" s="13"/>
      <c r="C2700" s="14"/>
      <c r="D2700" s="13"/>
      <c r="E2700" s="15"/>
      <c r="F2700" s="15"/>
      <c r="G2700" s="15"/>
      <c r="H2700" s="14"/>
      <c r="I2700" s="16" t="str">
        <f aca="false">IF(OR(A2700="",C2700=""),"",IF(OR(H2700="İade",H2700="İptal"),0,E2700*IFERROR(INDEX(Kanallar!$B$5:$B$19,MATCH(C2700,Kanallar!$A$5:$A$19,0)),0)))</f>
        <v/>
      </c>
      <c r="J2700" s="16" t="str">
        <f aca="false">IF(I2700="","",IF(H2700="İptal",0,IF(H2700="İade",-G2700,E2700-I2700-F2700-G2700)))</f>
        <v/>
      </c>
    </row>
    <row r="2701" customFormat="false" ht="15" hidden="false" customHeight="false" outlineLevel="0" collapsed="false">
      <c r="A2701" s="12"/>
      <c r="B2701" s="13"/>
      <c r="C2701" s="14"/>
      <c r="D2701" s="13"/>
      <c r="E2701" s="15"/>
      <c r="F2701" s="15"/>
      <c r="G2701" s="15"/>
      <c r="H2701" s="14"/>
      <c r="I2701" s="16" t="str">
        <f aca="false">IF(OR(A2701="",C2701=""),"",IF(OR(H2701="İade",H2701="İptal"),0,E2701*IFERROR(INDEX(Kanallar!$B$5:$B$19,MATCH(C2701,Kanallar!$A$5:$A$19,0)),0)))</f>
        <v/>
      </c>
      <c r="J2701" s="16" t="str">
        <f aca="false">IF(I2701="","",IF(H2701="İptal",0,IF(H2701="İade",-G2701,E2701-I2701-F2701-G2701)))</f>
        <v/>
      </c>
    </row>
    <row r="2702" customFormat="false" ht="15" hidden="false" customHeight="false" outlineLevel="0" collapsed="false">
      <c r="A2702" s="12"/>
      <c r="B2702" s="13"/>
      <c r="C2702" s="14"/>
      <c r="D2702" s="13"/>
      <c r="E2702" s="15"/>
      <c r="F2702" s="15"/>
      <c r="G2702" s="15"/>
      <c r="H2702" s="14"/>
      <c r="I2702" s="16" t="str">
        <f aca="false">IF(OR(A2702="",C2702=""),"",IF(OR(H2702="İade",H2702="İptal"),0,E2702*IFERROR(INDEX(Kanallar!$B$5:$B$19,MATCH(C2702,Kanallar!$A$5:$A$19,0)),0)))</f>
        <v/>
      </c>
      <c r="J2702" s="16" t="str">
        <f aca="false">IF(I2702="","",IF(H2702="İptal",0,IF(H2702="İade",-G2702,E2702-I2702-F2702-G2702)))</f>
        <v/>
      </c>
    </row>
    <row r="2703" customFormat="false" ht="15" hidden="false" customHeight="false" outlineLevel="0" collapsed="false">
      <c r="A2703" s="12"/>
      <c r="B2703" s="13"/>
      <c r="C2703" s="14"/>
      <c r="D2703" s="13"/>
      <c r="E2703" s="15"/>
      <c r="F2703" s="15"/>
      <c r="G2703" s="15"/>
      <c r="H2703" s="14"/>
      <c r="I2703" s="16" t="str">
        <f aca="false">IF(OR(A2703="",C2703=""),"",IF(OR(H2703="İade",H2703="İptal"),0,E2703*IFERROR(INDEX(Kanallar!$B$5:$B$19,MATCH(C2703,Kanallar!$A$5:$A$19,0)),0)))</f>
        <v/>
      </c>
      <c r="J2703" s="16" t="str">
        <f aca="false">IF(I2703="","",IF(H2703="İptal",0,IF(H2703="İade",-G2703,E2703-I2703-F2703-G2703)))</f>
        <v/>
      </c>
    </row>
    <row r="2704" customFormat="false" ht="15" hidden="false" customHeight="false" outlineLevel="0" collapsed="false">
      <c r="A2704" s="12"/>
      <c r="B2704" s="13"/>
      <c r="C2704" s="14"/>
      <c r="D2704" s="13"/>
      <c r="E2704" s="15"/>
      <c r="F2704" s="15"/>
      <c r="G2704" s="15"/>
      <c r="H2704" s="14"/>
      <c r="I2704" s="16" t="str">
        <f aca="false">IF(OR(A2704="",C2704=""),"",IF(OR(H2704="İade",H2704="İptal"),0,E2704*IFERROR(INDEX(Kanallar!$B$5:$B$19,MATCH(C2704,Kanallar!$A$5:$A$19,0)),0)))</f>
        <v/>
      </c>
      <c r="J2704" s="16" t="str">
        <f aca="false">IF(I2704="","",IF(H2704="İptal",0,IF(H2704="İade",-G2704,E2704-I2704-F2704-G2704)))</f>
        <v/>
      </c>
    </row>
    <row r="2705" customFormat="false" ht="15" hidden="false" customHeight="false" outlineLevel="0" collapsed="false">
      <c r="A2705" s="12"/>
      <c r="B2705" s="13"/>
      <c r="C2705" s="14"/>
      <c r="D2705" s="13"/>
      <c r="E2705" s="15"/>
      <c r="F2705" s="15"/>
      <c r="G2705" s="15"/>
      <c r="H2705" s="14"/>
      <c r="I2705" s="16" t="str">
        <f aca="false">IF(OR(A2705="",C2705=""),"",IF(OR(H2705="İade",H2705="İptal"),0,E2705*IFERROR(INDEX(Kanallar!$B$5:$B$19,MATCH(C2705,Kanallar!$A$5:$A$19,0)),0)))</f>
        <v/>
      </c>
      <c r="J2705" s="16" t="str">
        <f aca="false">IF(I2705="","",IF(H2705="İptal",0,IF(H2705="İade",-G2705,E2705-I2705-F2705-G2705)))</f>
        <v/>
      </c>
    </row>
    <row r="2706" customFormat="false" ht="15" hidden="false" customHeight="false" outlineLevel="0" collapsed="false">
      <c r="A2706" s="12"/>
      <c r="B2706" s="13"/>
      <c r="C2706" s="14"/>
      <c r="D2706" s="13"/>
      <c r="E2706" s="15"/>
      <c r="F2706" s="15"/>
      <c r="G2706" s="15"/>
      <c r="H2706" s="14"/>
      <c r="I2706" s="16" t="str">
        <f aca="false">IF(OR(A2706="",C2706=""),"",IF(OR(H2706="İade",H2706="İptal"),0,E2706*IFERROR(INDEX(Kanallar!$B$5:$B$19,MATCH(C2706,Kanallar!$A$5:$A$19,0)),0)))</f>
        <v/>
      </c>
      <c r="J2706" s="16" t="str">
        <f aca="false">IF(I2706="","",IF(H2706="İptal",0,IF(H2706="İade",-G2706,E2706-I2706-F2706-G2706)))</f>
        <v/>
      </c>
    </row>
    <row r="2707" customFormat="false" ht="15" hidden="false" customHeight="false" outlineLevel="0" collapsed="false">
      <c r="A2707" s="12"/>
      <c r="B2707" s="13"/>
      <c r="C2707" s="14"/>
      <c r="D2707" s="13"/>
      <c r="E2707" s="15"/>
      <c r="F2707" s="15"/>
      <c r="G2707" s="15"/>
      <c r="H2707" s="14"/>
      <c r="I2707" s="16" t="str">
        <f aca="false">IF(OR(A2707="",C2707=""),"",IF(OR(H2707="İade",H2707="İptal"),0,E2707*IFERROR(INDEX(Kanallar!$B$5:$B$19,MATCH(C2707,Kanallar!$A$5:$A$19,0)),0)))</f>
        <v/>
      </c>
      <c r="J2707" s="16" t="str">
        <f aca="false">IF(I2707="","",IF(H2707="İptal",0,IF(H2707="İade",-G2707,E2707-I2707-F2707-G2707)))</f>
        <v/>
      </c>
    </row>
    <row r="2708" customFormat="false" ht="15" hidden="false" customHeight="false" outlineLevel="0" collapsed="false">
      <c r="A2708" s="12"/>
      <c r="B2708" s="13"/>
      <c r="C2708" s="14"/>
      <c r="D2708" s="13"/>
      <c r="E2708" s="15"/>
      <c r="F2708" s="15"/>
      <c r="G2708" s="15"/>
      <c r="H2708" s="14"/>
      <c r="I2708" s="16" t="str">
        <f aca="false">IF(OR(A2708="",C2708=""),"",IF(OR(H2708="İade",H2708="İptal"),0,E2708*IFERROR(INDEX(Kanallar!$B$5:$B$19,MATCH(C2708,Kanallar!$A$5:$A$19,0)),0)))</f>
        <v/>
      </c>
      <c r="J2708" s="16" t="str">
        <f aca="false">IF(I2708="","",IF(H2708="İptal",0,IF(H2708="İade",-G2708,E2708-I2708-F2708-G2708)))</f>
        <v/>
      </c>
    </row>
    <row r="2709" customFormat="false" ht="15" hidden="false" customHeight="false" outlineLevel="0" collapsed="false">
      <c r="A2709" s="12"/>
      <c r="B2709" s="13"/>
      <c r="C2709" s="14"/>
      <c r="D2709" s="13"/>
      <c r="E2709" s="15"/>
      <c r="F2709" s="15"/>
      <c r="G2709" s="15"/>
      <c r="H2709" s="14"/>
      <c r="I2709" s="16" t="str">
        <f aca="false">IF(OR(A2709="",C2709=""),"",IF(OR(H2709="İade",H2709="İptal"),0,E2709*IFERROR(INDEX(Kanallar!$B$5:$B$19,MATCH(C2709,Kanallar!$A$5:$A$19,0)),0)))</f>
        <v/>
      </c>
      <c r="J2709" s="16" t="str">
        <f aca="false">IF(I2709="","",IF(H2709="İptal",0,IF(H2709="İade",-G2709,E2709-I2709-F2709-G2709)))</f>
        <v/>
      </c>
    </row>
    <row r="2710" customFormat="false" ht="15" hidden="false" customHeight="false" outlineLevel="0" collapsed="false">
      <c r="A2710" s="12"/>
      <c r="B2710" s="13"/>
      <c r="C2710" s="14"/>
      <c r="D2710" s="13"/>
      <c r="E2710" s="15"/>
      <c r="F2710" s="15"/>
      <c r="G2710" s="15"/>
      <c r="H2710" s="14"/>
      <c r="I2710" s="16" t="str">
        <f aca="false">IF(OR(A2710="",C2710=""),"",IF(OR(H2710="İade",H2710="İptal"),0,E2710*IFERROR(INDEX(Kanallar!$B$5:$B$19,MATCH(C2710,Kanallar!$A$5:$A$19,0)),0)))</f>
        <v/>
      </c>
      <c r="J2710" s="16" t="str">
        <f aca="false">IF(I2710="","",IF(H2710="İptal",0,IF(H2710="İade",-G2710,E2710-I2710-F2710-G2710)))</f>
        <v/>
      </c>
    </row>
    <row r="2711" customFormat="false" ht="15" hidden="false" customHeight="false" outlineLevel="0" collapsed="false">
      <c r="A2711" s="12"/>
      <c r="B2711" s="13"/>
      <c r="C2711" s="14"/>
      <c r="D2711" s="13"/>
      <c r="E2711" s="15"/>
      <c r="F2711" s="15"/>
      <c r="G2711" s="15"/>
      <c r="H2711" s="14"/>
      <c r="I2711" s="16" t="str">
        <f aca="false">IF(OR(A2711="",C2711=""),"",IF(OR(H2711="İade",H2711="İptal"),0,E2711*IFERROR(INDEX(Kanallar!$B$5:$B$19,MATCH(C2711,Kanallar!$A$5:$A$19,0)),0)))</f>
        <v/>
      </c>
      <c r="J2711" s="16" t="str">
        <f aca="false">IF(I2711="","",IF(H2711="İptal",0,IF(H2711="İade",-G2711,E2711-I2711-F2711-G2711)))</f>
        <v/>
      </c>
    </row>
    <row r="2712" customFormat="false" ht="15" hidden="false" customHeight="false" outlineLevel="0" collapsed="false">
      <c r="A2712" s="12"/>
      <c r="B2712" s="13"/>
      <c r="C2712" s="14"/>
      <c r="D2712" s="13"/>
      <c r="E2712" s="15"/>
      <c r="F2712" s="15"/>
      <c r="G2712" s="15"/>
      <c r="H2712" s="14"/>
      <c r="I2712" s="16" t="str">
        <f aca="false">IF(OR(A2712="",C2712=""),"",IF(OR(H2712="İade",H2712="İptal"),0,E2712*IFERROR(INDEX(Kanallar!$B$5:$B$19,MATCH(C2712,Kanallar!$A$5:$A$19,0)),0)))</f>
        <v/>
      </c>
      <c r="J2712" s="16" t="str">
        <f aca="false">IF(I2712="","",IF(H2712="İptal",0,IF(H2712="İade",-G2712,E2712-I2712-F2712-G2712)))</f>
        <v/>
      </c>
    </row>
    <row r="2713" customFormat="false" ht="15" hidden="false" customHeight="false" outlineLevel="0" collapsed="false">
      <c r="A2713" s="12"/>
      <c r="B2713" s="13"/>
      <c r="C2713" s="14"/>
      <c r="D2713" s="13"/>
      <c r="E2713" s="15"/>
      <c r="F2713" s="15"/>
      <c r="G2713" s="15"/>
      <c r="H2713" s="14"/>
      <c r="I2713" s="16" t="str">
        <f aca="false">IF(OR(A2713="",C2713=""),"",IF(OR(H2713="İade",H2713="İptal"),0,E2713*IFERROR(INDEX(Kanallar!$B$5:$B$19,MATCH(C2713,Kanallar!$A$5:$A$19,0)),0)))</f>
        <v/>
      </c>
      <c r="J2713" s="16" t="str">
        <f aca="false">IF(I2713="","",IF(H2713="İptal",0,IF(H2713="İade",-G2713,E2713-I2713-F2713-G2713)))</f>
        <v/>
      </c>
    </row>
    <row r="2714" customFormat="false" ht="15" hidden="false" customHeight="false" outlineLevel="0" collapsed="false">
      <c r="A2714" s="12"/>
      <c r="B2714" s="13"/>
      <c r="C2714" s="14"/>
      <c r="D2714" s="13"/>
      <c r="E2714" s="15"/>
      <c r="F2714" s="15"/>
      <c r="G2714" s="15"/>
      <c r="H2714" s="14"/>
      <c r="I2714" s="16" t="str">
        <f aca="false">IF(OR(A2714="",C2714=""),"",IF(OR(H2714="İade",H2714="İptal"),0,E2714*IFERROR(INDEX(Kanallar!$B$5:$B$19,MATCH(C2714,Kanallar!$A$5:$A$19,0)),0)))</f>
        <v/>
      </c>
      <c r="J2714" s="16" t="str">
        <f aca="false">IF(I2714="","",IF(H2714="İptal",0,IF(H2714="İade",-G2714,E2714-I2714-F2714-G2714)))</f>
        <v/>
      </c>
    </row>
    <row r="2715" customFormat="false" ht="15" hidden="false" customHeight="false" outlineLevel="0" collapsed="false">
      <c r="A2715" s="12"/>
      <c r="B2715" s="13"/>
      <c r="C2715" s="14"/>
      <c r="D2715" s="13"/>
      <c r="E2715" s="15"/>
      <c r="F2715" s="15"/>
      <c r="G2715" s="15"/>
      <c r="H2715" s="14"/>
      <c r="I2715" s="16" t="str">
        <f aca="false">IF(OR(A2715="",C2715=""),"",IF(OR(H2715="İade",H2715="İptal"),0,E2715*IFERROR(INDEX(Kanallar!$B$5:$B$19,MATCH(C2715,Kanallar!$A$5:$A$19,0)),0)))</f>
        <v/>
      </c>
      <c r="J2715" s="16" t="str">
        <f aca="false">IF(I2715="","",IF(H2715="İptal",0,IF(H2715="İade",-G2715,E2715-I2715-F2715-G2715)))</f>
        <v/>
      </c>
    </row>
    <row r="2716" customFormat="false" ht="15" hidden="false" customHeight="false" outlineLevel="0" collapsed="false">
      <c r="A2716" s="12"/>
      <c r="B2716" s="13"/>
      <c r="C2716" s="14"/>
      <c r="D2716" s="13"/>
      <c r="E2716" s="15"/>
      <c r="F2716" s="15"/>
      <c r="G2716" s="15"/>
      <c r="H2716" s="14"/>
      <c r="I2716" s="16" t="str">
        <f aca="false">IF(OR(A2716="",C2716=""),"",IF(OR(H2716="İade",H2716="İptal"),0,E2716*IFERROR(INDEX(Kanallar!$B$5:$B$19,MATCH(C2716,Kanallar!$A$5:$A$19,0)),0)))</f>
        <v/>
      </c>
      <c r="J2716" s="16" t="str">
        <f aca="false">IF(I2716="","",IF(H2716="İptal",0,IF(H2716="İade",-G2716,E2716-I2716-F2716-G2716)))</f>
        <v/>
      </c>
    </row>
    <row r="2717" customFormat="false" ht="15" hidden="false" customHeight="false" outlineLevel="0" collapsed="false">
      <c r="A2717" s="12"/>
      <c r="B2717" s="13"/>
      <c r="C2717" s="14"/>
      <c r="D2717" s="13"/>
      <c r="E2717" s="15"/>
      <c r="F2717" s="15"/>
      <c r="G2717" s="15"/>
      <c r="H2717" s="14"/>
      <c r="I2717" s="16" t="str">
        <f aca="false">IF(OR(A2717="",C2717=""),"",IF(OR(H2717="İade",H2717="İptal"),0,E2717*IFERROR(INDEX(Kanallar!$B$5:$B$19,MATCH(C2717,Kanallar!$A$5:$A$19,0)),0)))</f>
        <v/>
      </c>
      <c r="J2717" s="16" t="str">
        <f aca="false">IF(I2717="","",IF(H2717="İptal",0,IF(H2717="İade",-G2717,E2717-I2717-F2717-G2717)))</f>
        <v/>
      </c>
    </row>
    <row r="2718" customFormat="false" ht="15" hidden="false" customHeight="false" outlineLevel="0" collapsed="false">
      <c r="A2718" s="12"/>
      <c r="B2718" s="13"/>
      <c r="C2718" s="14"/>
      <c r="D2718" s="13"/>
      <c r="E2718" s="15"/>
      <c r="F2718" s="15"/>
      <c r="G2718" s="15"/>
      <c r="H2718" s="14"/>
      <c r="I2718" s="16" t="str">
        <f aca="false">IF(OR(A2718="",C2718=""),"",IF(OR(H2718="İade",H2718="İptal"),0,E2718*IFERROR(INDEX(Kanallar!$B$5:$B$19,MATCH(C2718,Kanallar!$A$5:$A$19,0)),0)))</f>
        <v/>
      </c>
      <c r="J2718" s="16" t="str">
        <f aca="false">IF(I2718="","",IF(H2718="İptal",0,IF(H2718="İade",-G2718,E2718-I2718-F2718-G2718)))</f>
        <v/>
      </c>
    </row>
    <row r="2719" customFormat="false" ht="15" hidden="false" customHeight="false" outlineLevel="0" collapsed="false">
      <c r="A2719" s="12"/>
      <c r="B2719" s="13"/>
      <c r="C2719" s="14"/>
      <c r="D2719" s="13"/>
      <c r="E2719" s="15"/>
      <c r="F2719" s="15"/>
      <c r="G2719" s="15"/>
      <c r="H2719" s="14"/>
      <c r="I2719" s="16" t="str">
        <f aca="false">IF(OR(A2719="",C2719=""),"",IF(OR(H2719="İade",H2719="İptal"),0,E2719*IFERROR(INDEX(Kanallar!$B$5:$B$19,MATCH(C2719,Kanallar!$A$5:$A$19,0)),0)))</f>
        <v/>
      </c>
      <c r="J2719" s="16" t="str">
        <f aca="false">IF(I2719="","",IF(H2719="İptal",0,IF(H2719="İade",-G2719,E2719-I2719-F2719-G2719)))</f>
        <v/>
      </c>
    </row>
    <row r="2720" customFormat="false" ht="15" hidden="false" customHeight="false" outlineLevel="0" collapsed="false">
      <c r="A2720" s="12"/>
      <c r="B2720" s="13"/>
      <c r="C2720" s="14"/>
      <c r="D2720" s="13"/>
      <c r="E2720" s="15"/>
      <c r="F2720" s="15"/>
      <c r="G2720" s="15"/>
      <c r="H2720" s="14"/>
      <c r="I2720" s="16" t="str">
        <f aca="false">IF(OR(A2720="",C2720=""),"",IF(OR(H2720="İade",H2720="İptal"),0,E2720*IFERROR(INDEX(Kanallar!$B$5:$B$19,MATCH(C2720,Kanallar!$A$5:$A$19,0)),0)))</f>
        <v/>
      </c>
      <c r="J2720" s="16" t="str">
        <f aca="false">IF(I2720="","",IF(H2720="İptal",0,IF(H2720="İade",-G2720,E2720-I2720-F2720-G2720)))</f>
        <v/>
      </c>
    </row>
    <row r="2721" customFormat="false" ht="15" hidden="false" customHeight="false" outlineLevel="0" collapsed="false">
      <c r="A2721" s="12"/>
      <c r="B2721" s="13"/>
      <c r="C2721" s="14"/>
      <c r="D2721" s="13"/>
      <c r="E2721" s="15"/>
      <c r="F2721" s="15"/>
      <c r="G2721" s="15"/>
      <c r="H2721" s="14"/>
      <c r="I2721" s="16" t="str">
        <f aca="false">IF(OR(A2721="",C2721=""),"",IF(OR(H2721="İade",H2721="İptal"),0,E2721*IFERROR(INDEX(Kanallar!$B$5:$B$19,MATCH(C2721,Kanallar!$A$5:$A$19,0)),0)))</f>
        <v/>
      </c>
      <c r="J2721" s="16" t="str">
        <f aca="false">IF(I2721="","",IF(H2721="İptal",0,IF(H2721="İade",-G2721,E2721-I2721-F2721-G2721)))</f>
        <v/>
      </c>
    </row>
    <row r="2722" customFormat="false" ht="15" hidden="false" customHeight="false" outlineLevel="0" collapsed="false">
      <c r="A2722" s="12"/>
      <c r="B2722" s="13"/>
      <c r="C2722" s="14"/>
      <c r="D2722" s="13"/>
      <c r="E2722" s="15"/>
      <c r="F2722" s="15"/>
      <c r="G2722" s="15"/>
      <c r="H2722" s="14"/>
      <c r="I2722" s="16" t="str">
        <f aca="false">IF(OR(A2722="",C2722=""),"",IF(OR(H2722="İade",H2722="İptal"),0,E2722*IFERROR(INDEX(Kanallar!$B$5:$B$19,MATCH(C2722,Kanallar!$A$5:$A$19,0)),0)))</f>
        <v/>
      </c>
      <c r="J2722" s="16" t="str">
        <f aca="false">IF(I2722="","",IF(H2722="İptal",0,IF(H2722="İade",-G2722,E2722-I2722-F2722-G2722)))</f>
        <v/>
      </c>
    </row>
    <row r="2723" customFormat="false" ht="15" hidden="false" customHeight="false" outlineLevel="0" collapsed="false">
      <c r="A2723" s="12"/>
      <c r="B2723" s="13"/>
      <c r="C2723" s="14"/>
      <c r="D2723" s="13"/>
      <c r="E2723" s="15"/>
      <c r="F2723" s="15"/>
      <c r="G2723" s="15"/>
      <c r="H2723" s="14"/>
      <c r="I2723" s="16" t="str">
        <f aca="false">IF(OR(A2723="",C2723=""),"",IF(OR(H2723="İade",H2723="İptal"),0,E2723*IFERROR(INDEX(Kanallar!$B$5:$B$19,MATCH(C2723,Kanallar!$A$5:$A$19,0)),0)))</f>
        <v/>
      </c>
      <c r="J2723" s="16" t="str">
        <f aca="false">IF(I2723="","",IF(H2723="İptal",0,IF(H2723="İade",-G2723,E2723-I2723-F2723-G2723)))</f>
        <v/>
      </c>
    </row>
    <row r="2724" customFormat="false" ht="15" hidden="false" customHeight="false" outlineLevel="0" collapsed="false">
      <c r="A2724" s="12"/>
      <c r="B2724" s="13"/>
      <c r="C2724" s="14"/>
      <c r="D2724" s="13"/>
      <c r="E2724" s="15"/>
      <c r="F2724" s="15"/>
      <c r="G2724" s="15"/>
      <c r="H2724" s="14"/>
      <c r="I2724" s="16" t="str">
        <f aca="false">IF(OR(A2724="",C2724=""),"",IF(OR(H2724="İade",H2724="İptal"),0,E2724*IFERROR(INDEX(Kanallar!$B$5:$B$19,MATCH(C2724,Kanallar!$A$5:$A$19,0)),0)))</f>
        <v/>
      </c>
      <c r="J2724" s="16" t="str">
        <f aca="false">IF(I2724="","",IF(H2724="İptal",0,IF(H2724="İade",-G2724,E2724-I2724-F2724-G2724)))</f>
        <v/>
      </c>
    </row>
    <row r="2725" customFormat="false" ht="15" hidden="false" customHeight="false" outlineLevel="0" collapsed="false">
      <c r="A2725" s="12"/>
      <c r="B2725" s="13"/>
      <c r="C2725" s="14"/>
      <c r="D2725" s="13"/>
      <c r="E2725" s="15"/>
      <c r="F2725" s="15"/>
      <c r="G2725" s="15"/>
      <c r="H2725" s="14"/>
      <c r="I2725" s="16" t="str">
        <f aca="false">IF(OR(A2725="",C2725=""),"",IF(OR(H2725="İade",H2725="İptal"),0,E2725*IFERROR(INDEX(Kanallar!$B$5:$B$19,MATCH(C2725,Kanallar!$A$5:$A$19,0)),0)))</f>
        <v/>
      </c>
      <c r="J2725" s="16" t="str">
        <f aca="false">IF(I2725="","",IF(H2725="İptal",0,IF(H2725="İade",-G2725,E2725-I2725-F2725-G2725)))</f>
        <v/>
      </c>
    </row>
    <row r="2726" customFormat="false" ht="15" hidden="false" customHeight="false" outlineLevel="0" collapsed="false">
      <c r="A2726" s="12"/>
      <c r="B2726" s="13"/>
      <c r="C2726" s="14"/>
      <c r="D2726" s="13"/>
      <c r="E2726" s="15"/>
      <c r="F2726" s="15"/>
      <c r="G2726" s="15"/>
      <c r="H2726" s="14"/>
      <c r="I2726" s="16" t="str">
        <f aca="false">IF(OR(A2726="",C2726=""),"",IF(OR(H2726="İade",H2726="İptal"),0,E2726*IFERROR(INDEX(Kanallar!$B$5:$B$19,MATCH(C2726,Kanallar!$A$5:$A$19,0)),0)))</f>
        <v/>
      </c>
      <c r="J2726" s="16" t="str">
        <f aca="false">IF(I2726="","",IF(H2726="İptal",0,IF(H2726="İade",-G2726,E2726-I2726-F2726-G2726)))</f>
        <v/>
      </c>
    </row>
    <row r="2727" customFormat="false" ht="15" hidden="false" customHeight="false" outlineLevel="0" collapsed="false">
      <c r="A2727" s="12"/>
      <c r="B2727" s="13"/>
      <c r="C2727" s="14"/>
      <c r="D2727" s="13"/>
      <c r="E2727" s="15"/>
      <c r="F2727" s="15"/>
      <c r="G2727" s="15"/>
      <c r="H2727" s="14"/>
      <c r="I2727" s="16" t="str">
        <f aca="false">IF(OR(A2727="",C2727=""),"",IF(OR(H2727="İade",H2727="İptal"),0,E2727*IFERROR(INDEX(Kanallar!$B$5:$B$19,MATCH(C2727,Kanallar!$A$5:$A$19,0)),0)))</f>
        <v/>
      </c>
      <c r="J2727" s="16" t="str">
        <f aca="false">IF(I2727="","",IF(H2727="İptal",0,IF(H2727="İade",-G2727,E2727-I2727-F2727-G2727)))</f>
        <v/>
      </c>
    </row>
    <row r="2728" customFormat="false" ht="15" hidden="false" customHeight="false" outlineLevel="0" collapsed="false">
      <c r="A2728" s="12"/>
      <c r="B2728" s="13"/>
      <c r="C2728" s="14"/>
      <c r="D2728" s="13"/>
      <c r="E2728" s="15"/>
      <c r="F2728" s="15"/>
      <c r="G2728" s="15"/>
      <c r="H2728" s="14"/>
      <c r="I2728" s="16" t="str">
        <f aca="false">IF(OR(A2728="",C2728=""),"",IF(OR(H2728="İade",H2728="İptal"),0,E2728*IFERROR(INDEX(Kanallar!$B$5:$B$19,MATCH(C2728,Kanallar!$A$5:$A$19,0)),0)))</f>
        <v/>
      </c>
      <c r="J2728" s="16" t="str">
        <f aca="false">IF(I2728="","",IF(H2728="İptal",0,IF(H2728="İade",-G2728,E2728-I2728-F2728-G2728)))</f>
        <v/>
      </c>
    </row>
    <row r="2729" customFormat="false" ht="15" hidden="false" customHeight="false" outlineLevel="0" collapsed="false">
      <c r="A2729" s="12"/>
      <c r="B2729" s="13"/>
      <c r="C2729" s="14"/>
      <c r="D2729" s="13"/>
      <c r="E2729" s="15"/>
      <c r="F2729" s="15"/>
      <c r="G2729" s="15"/>
      <c r="H2729" s="14"/>
      <c r="I2729" s="16" t="str">
        <f aca="false">IF(OR(A2729="",C2729=""),"",IF(OR(H2729="İade",H2729="İptal"),0,E2729*IFERROR(INDEX(Kanallar!$B$5:$B$19,MATCH(C2729,Kanallar!$A$5:$A$19,0)),0)))</f>
        <v/>
      </c>
      <c r="J2729" s="16" t="str">
        <f aca="false">IF(I2729="","",IF(H2729="İptal",0,IF(H2729="İade",-G2729,E2729-I2729-F2729-G2729)))</f>
        <v/>
      </c>
    </row>
    <row r="2730" customFormat="false" ht="15" hidden="false" customHeight="false" outlineLevel="0" collapsed="false">
      <c r="A2730" s="12"/>
      <c r="B2730" s="13"/>
      <c r="C2730" s="14"/>
      <c r="D2730" s="13"/>
      <c r="E2730" s="15"/>
      <c r="F2730" s="15"/>
      <c r="G2730" s="15"/>
      <c r="H2730" s="14"/>
      <c r="I2730" s="16" t="str">
        <f aca="false">IF(OR(A2730="",C2730=""),"",IF(OR(H2730="İade",H2730="İptal"),0,E2730*IFERROR(INDEX(Kanallar!$B$5:$B$19,MATCH(C2730,Kanallar!$A$5:$A$19,0)),0)))</f>
        <v/>
      </c>
      <c r="J2730" s="16" t="str">
        <f aca="false">IF(I2730="","",IF(H2730="İptal",0,IF(H2730="İade",-G2730,E2730-I2730-F2730-G2730)))</f>
        <v/>
      </c>
    </row>
    <row r="2731" customFormat="false" ht="15" hidden="false" customHeight="false" outlineLevel="0" collapsed="false">
      <c r="A2731" s="12"/>
      <c r="B2731" s="13"/>
      <c r="C2731" s="14"/>
      <c r="D2731" s="13"/>
      <c r="E2731" s="15"/>
      <c r="F2731" s="15"/>
      <c r="G2731" s="15"/>
      <c r="H2731" s="14"/>
      <c r="I2731" s="16" t="str">
        <f aca="false">IF(OR(A2731="",C2731=""),"",IF(OR(H2731="İade",H2731="İptal"),0,E2731*IFERROR(INDEX(Kanallar!$B$5:$B$19,MATCH(C2731,Kanallar!$A$5:$A$19,0)),0)))</f>
        <v/>
      </c>
      <c r="J2731" s="16" t="str">
        <f aca="false">IF(I2731="","",IF(H2731="İptal",0,IF(H2731="İade",-G2731,E2731-I2731-F2731-G2731)))</f>
        <v/>
      </c>
    </row>
    <row r="2732" customFormat="false" ht="15" hidden="false" customHeight="false" outlineLevel="0" collapsed="false">
      <c r="A2732" s="12"/>
      <c r="B2732" s="13"/>
      <c r="C2732" s="14"/>
      <c r="D2732" s="13"/>
      <c r="E2732" s="15"/>
      <c r="F2732" s="15"/>
      <c r="G2732" s="15"/>
      <c r="H2732" s="14"/>
      <c r="I2732" s="16" t="str">
        <f aca="false">IF(OR(A2732="",C2732=""),"",IF(OR(H2732="İade",H2732="İptal"),0,E2732*IFERROR(INDEX(Kanallar!$B$5:$B$19,MATCH(C2732,Kanallar!$A$5:$A$19,0)),0)))</f>
        <v/>
      </c>
      <c r="J2732" s="16" t="str">
        <f aca="false">IF(I2732="","",IF(H2732="İptal",0,IF(H2732="İade",-G2732,E2732-I2732-F2732-G2732)))</f>
        <v/>
      </c>
    </row>
    <row r="2733" customFormat="false" ht="15" hidden="false" customHeight="false" outlineLevel="0" collapsed="false">
      <c r="A2733" s="12"/>
      <c r="B2733" s="13"/>
      <c r="C2733" s="14"/>
      <c r="D2733" s="13"/>
      <c r="E2733" s="15"/>
      <c r="F2733" s="15"/>
      <c r="G2733" s="15"/>
      <c r="H2733" s="14"/>
      <c r="I2733" s="16" t="str">
        <f aca="false">IF(OR(A2733="",C2733=""),"",IF(OR(H2733="İade",H2733="İptal"),0,E2733*IFERROR(INDEX(Kanallar!$B$5:$B$19,MATCH(C2733,Kanallar!$A$5:$A$19,0)),0)))</f>
        <v/>
      </c>
      <c r="J2733" s="16" t="str">
        <f aca="false">IF(I2733="","",IF(H2733="İptal",0,IF(H2733="İade",-G2733,E2733-I2733-F2733-G2733)))</f>
        <v/>
      </c>
    </row>
    <row r="2734" customFormat="false" ht="15" hidden="false" customHeight="false" outlineLevel="0" collapsed="false">
      <c r="A2734" s="12"/>
      <c r="B2734" s="13"/>
      <c r="C2734" s="14"/>
      <c r="D2734" s="13"/>
      <c r="E2734" s="15"/>
      <c r="F2734" s="15"/>
      <c r="G2734" s="15"/>
      <c r="H2734" s="14"/>
      <c r="I2734" s="16" t="str">
        <f aca="false">IF(OR(A2734="",C2734=""),"",IF(OR(H2734="İade",H2734="İptal"),0,E2734*IFERROR(INDEX(Kanallar!$B$5:$B$19,MATCH(C2734,Kanallar!$A$5:$A$19,0)),0)))</f>
        <v/>
      </c>
      <c r="J2734" s="16" t="str">
        <f aca="false">IF(I2734="","",IF(H2734="İptal",0,IF(H2734="İade",-G2734,E2734-I2734-F2734-G2734)))</f>
        <v/>
      </c>
    </row>
    <row r="2735" customFormat="false" ht="15" hidden="false" customHeight="false" outlineLevel="0" collapsed="false">
      <c r="A2735" s="12"/>
      <c r="B2735" s="13"/>
      <c r="C2735" s="14"/>
      <c r="D2735" s="13"/>
      <c r="E2735" s="15"/>
      <c r="F2735" s="15"/>
      <c r="G2735" s="15"/>
      <c r="H2735" s="14"/>
      <c r="I2735" s="16" t="str">
        <f aca="false">IF(OR(A2735="",C2735=""),"",IF(OR(H2735="İade",H2735="İptal"),0,E2735*IFERROR(INDEX(Kanallar!$B$5:$B$19,MATCH(C2735,Kanallar!$A$5:$A$19,0)),0)))</f>
        <v/>
      </c>
      <c r="J2735" s="16" t="str">
        <f aca="false">IF(I2735="","",IF(H2735="İptal",0,IF(H2735="İade",-G2735,E2735-I2735-F2735-G2735)))</f>
        <v/>
      </c>
    </row>
    <row r="2736" customFormat="false" ht="15" hidden="false" customHeight="false" outlineLevel="0" collapsed="false">
      <c r="A2736" s="12"/>
      <c r="B2736" s="13"/>
      <c r="C2736" s="14"/>
      <c r="D2736" s="13"/>
      <c r="E2736" s="15"/>
      <c r="F2736" s="15"/>
      <c r="G2736" s="15"/>
      <c r="H2736" s="14"/>
      <c r="I2736" s="16" t="str">
        <f aca="false">IF(OR(A2736="",C2736=""),"",IF(OR(H2736="İade",H2736="İptal"),0,E2736*IFERROR(INDEX(Kanallar!$B$5:$B$19,MATCH(C2736,Kanallar!$A$5:$A$19,0)),0)))</f>
        <v/>
      </c>
      <c r="J2736" s="16" t="str">
        <f aca="false">IF(I2736="","",IF(H2736="İptal",0,IF(H2736="İade",-G2736,E2736-I2736-F2736-G2736)))</f>
        <v/>
      </c>
    </row>
    <row r="2737" customFormat="false" ht="15" hidden="false" customHeight="false" outlineLevel="0" collapsed="false">
      <c r="A2737" s="12"/>
      <c r="B2737" s="13"/>
      <c r="C2737" s="14"/>
      <c r="D2737" s="13"/>
      <c r="E2737" s="15"/>
      <c r="F2737" s="15"/>
      <c r="G2737" s="15"/>
      <c r="H2737" s="14"/>
      <c r="I2737" s="16" t="str">
        <f aca="false">IF(OR(A2737="",C2737=""),"",IF(OR(H2737="İade",H2737="İptal"),0,E2737*IFERROR(INDEX(Kanallar!$B$5:$B$19,MATCH(C2737,Kanallar!$A$5:$A$19,0)),0)))</f>
        <v/>
      </c>
      <c r="J2737" s="16" t="str">
        <f aca="false">IF(I2737="","",IF(H2737="İptal",0,IF(H2737="İade",-G2737,E2737-I2737-F2737-G2737)))</f>
        <v/>
      </c>
    </row>
    <row r="2738" customFormat="false" ht="15" hidden="false" customHeight="false" outlineLevel="0" collapsed="false">
      <c r="A2738" s="12"/>
      <c r="B2738" s="13"/>
      <c r="C2738" s="14"/>
      <c r="D2738" s="13"/>
      <c r="E2738" s="15"/>
      <c r="F2738" s="15"/>
      <c r="G2738" s="15"/>
      <c r="H2738" s="14"/>
      <c r="I2738" s="16" t="str">
        <f aca="false">IF(OR(A2738="",C2738=""),"",IF(OR(H2738="İade",H2738="İptal"),0,E2738*IFERROR(INDEX(Kanallar!$B$5:$B$19,MATCH(C2738,Kanallar!$A$5:$A$19,0)),0)))</f>
        <v/>
      </c>
      <c r="J2738" s="16" t="str">
        <f aca="false">IF(I2738="","",IF(H2738="İptal",0,IF(H2738="İade",-G2738,E2738-I2738-F2738-G2738)))</f>
        <v/>
      </c>
    </row>
    <row r="2739" customFormat="false" ht="15" hidden="false" customHeight="false" outlineLevel="0" collapsed="false">
      <c r="A2739" s="12"/>
      <c r="B2739" s="13"/>
      <c r="C2739" s="14"/>
      <c r="D2739" s="13"/>
      <c r="E2739" s="15"/>
      <c r="F2739" s="15"/>
      <c r="G2739" s="15"/>
      <c r="H2739" s="14"/>
      <c r="I2739" s="16" t="str">
        <f aca="false">IF(OR(A2739="",C2739=""),"",IF(OR(H2739="İade",H2739="İptal"),0,E2739*IFERROR(INDEX(Kanallar!$B$5:$B$19,MATCH(C2739,Kanallar!$A$5:$A$19,0)),0)))</f>
        <v/>
      </c>
      <c r="J2739" s="16" t="str">
        <f aca="false">IF(I2739="","",IF(H2739="İptal",0,IF(H2739="İade",-G2739,E2739-I2739-F2739-G2739)))</f>
        <v/>
      </c>
    </row>
    <row r="2740" customFormat="false" ht="15" hidden="false" customHeight="false" outlineLevel="0" collapsed="false">
      <c r="A2740" s="12"/>
      <c r="B2740" s="13"/>
      <c r="C2740" s="14"/>
      <c r="D2740" s="13"/>
      <c r="E2740" s="15"/>
      <c r="F2740" s="15"/>
      <c r="G2740" s="15"/>
      <c r="H2740" s="14"/>
      <c r="I2740" s="16" t="str">
        <f aca="false">IF(OR(A2740="",C2740=""),"",IF(OR(H2740="İade",H2740="İptal"),0,E2740*IFERROR(INDEX(Kanallar!$B$5:$B$19,MATCH(C2740,Kanallar!$A$5:$A$19,0)),0)))</f>
        <v/>
      </c>
      <c r="J2740" s="16" t="str">
        <f aca="false">IF(I2740="","",IF(H2740="İptal",0,IF(H2740="İade",-G2740,E2740-I2740-F2740-G2740)))</f>
        <v/>
      </c>
    </row>
    <row r="2741" customFormat="false" ht="15" hidden="false" customHeight="false" outlineLevel="0" collapsed="false">
      <c r="A2741" s="12"/>
      <c r="B2741" s="13"/>
      <c r="C2741" s="14"/>
      <c r="D2741" s="13"/>
      <c r="E2741" s="15"/>
      <c r="F2741" s="15"/>
      <c r="G2741" s="15"/>
      <c r="H2741" s="14"/>
      <c r="I2741" s="16" t="str">
        <f aca="false">IF(OR(A2741="",C2741=""),"",IF(OR(H2741="İade",H2741="İptal"),0,E2741*IFERROR(INDEX(Kanallar!$B$5:$B$19,MATCH(C2741,Kanallar!$A$5:$A$19,0)),0)))</f>
        <v/>
      </c>
      <c r="J2741" s="16" t="str">
        <f aca="false">IF(I2741="","",IF(H2741="İptal",0,IF(H2741="İade",-G2741,E2741-I2741-F2741-G2741)))</f>
        <v/>
      </c>
    </row>
    <row r="2742" customFormat="false" ht="15" hidden="false" customHeight="false" outlineLevel="0" collapsed="false">
      <c r="A2742" s="12"/>
      <c r="B2742" s="13"/>
      <c r="C2742" s="14"/>
      <c r="D2742" s="13"/>
      <c r="E2742" s="15"/>
      <c r="F2742" s="15"/>
      <c r="G2742" s="15"/>
      <c r="H2742" s="14"/>
      <c r="I2742" s="16" t="str">
        <f aca="false">IF(OR(A2742="",C2742=""),"",IF(OR(H2742="İade",H2742="İptal"),0,E2742*IFERROR(INDEX(Kanallar!$B$5:$B$19,MATCH(C2742,Kanallar!$A$5:$A$19,0)),0)))</f>
        <v/>
      </c>
      <c r="J2742" s="16" t="str">
        <f aca="false">IF(I2742="","",IF(H2742="İptal",0,IF(H2742="İade",-G2742,E2742-I2742-F2742-G2742)))</f>
        <v/>
      </c>
    </row>
    <row r="2743" customFormat="false" ht="15" hidden="false" customHeight="false" outlineLevel="0" collapsed="false">
      <c r="A2743" s="12"/>
      <c r="B2743" s="13"/>
      <c r="C2743" s="14"/>
      <c r="D2743" s="13"/>
      <c r="E2743" s="15"/>
      <c r="F2743" s="15"/>
      <c r="G2743" s="15"/>
      <c r="H2743" s="14"/>
      <c r="I2743" s="16" t="str">
        <f aca="false">IF(OR(A2743="",C2743=""),"",IF(OR(H2743="İade",H2743="İptal"),0,E2743*IFERROR(INDEX(Kanallar!$B$5:$B$19,MATCH(C2743,Kanallar!$A$5:$A$19,0)),0)))</f>
        <v/>
      </c>
      <c r="J2743" s="16" t="str">
        <f aca="false">IF(I2743="","",IF(H2743="İptal",0,IF(H2743="İade",-G2743,E2743-I2743-F2743-G2743)))</f>
        <v/>
      </c>
    </row>
    <row r="2744" customFormat="false" ht="15" hidden="false" customHeight="false" outlineLevel="0" collapsed="false">
      <c r="A2744" s="12"/>
      <c r="B2744" s="13"/>
      <c r="C2744" s="14"/>
      <c r="D2744" s="13"/>
      <c r="E2744" s="15"/>
      <c r="F2744" s="15"/>
      <c r="G2744" s="15"/>
      <c r="H2744" s="14"/>
      <c r="I2744" s="16" t="str">
        <f aca="false">IF(OR(A2744="",C2744=""),"",IF(OR(H2744="İade",H2744="İptal"),0,E2744*IFERROR(INDEX(Kanallar!$B$5:$B$19,MATCH(C2744,Kanallar!$A$5:$A$19,0)),0)))</f>
        <v/>
      </c>
      <c r="J2744" s="16" t="str">
        <f aca="false">IF(I2744="","",IF(H2744="İptal",0,IF(H2744="İade",-G2744,E2744-I2744-F2744-G2744)))</f>
        <v/>
      </c>
    </row>
    <row r="2745" customFormat="false" ht="15" hidden="false" customHeight="false" outlineLevel="0" collapsed="false">
      <c r="A2745" s="12"/>
      <c r="B2745" s="13"/>
      <c r="C2745" s="14"/>
      <c r="D2745" s="13"/>
      <c r="E2745" s="15"/>
      <c r="F2745" s="15"/>
      <c r="G2745" s="15"/>
      <c r="H2745" s="14"/>
      <c r="I2745" s="16" t="str">
        <f aca="false">IF(OR(A2745="",C2745=""),"",IF(OR(H2745="İade",H2745="İptal"),0,E2745*IFERROR(INDEX(Kanallar!$B$5:$B$19,MATCH(C2745,Kanallar!$A$5:$A$19,0)),0)))</f>
        <v/>
      </c>
      <c r="J2745" s="16" t="str">
        <f aca="false">IF(I2745="","",IF(H2745="İptal",0,IF(H2745="İade",-G2745,E2745-I2745-F2745-G2745)))</f>
        <v/>
      </c>
    </row>
    <row r="2746" customFormat="false" ht="15" hidden="false" customHeight="false" outlineLevel="0" collapsed="false">
      <c r="A2746" s="12"/>
      <c r="B2746" s="13"/>
      <c r="C2746" s="14"/>
      <c r="D2746" s="13"/>
      <c r="E2746" s="15"/>
      <c r="F2746" s="15"/>
      <c r="G2746" s="15"/>
      <c r="H2746" s="14"/>
      <c r="I2746" s="16" t="str">
        <f aca="false">IF(OR(A2746="",C2746=""),"",IF(OR(H2746="İade",H2746="İptal"),0,E2746*IFERROR(INDEX(Kanallar!$B$5:$B$19,MATCH(C2746,Kanallar!$A$5:$A$19,0)),0)))</f>
        <v/>
      </c>
      <c r="J2746" s="16" t="str">
        <f aca="false">IF(I2746="","",IF(H2746="İptal",0,IF(H2746="İade",-G2746,E2746-I2746-F2746-G2746)))</f>
        <v/>
      </c>
    </row>
    <row r="2747" customFormat="false" ht="15" hidden="false" customHeight="false" outlineLevel="0" collapsed="false">
      <c r="A2747" s="12"/>
      <c r="B2747" s="13"/>
      <c r="C2747" s="14"/>
      <c r="D2747" s="13"/>
      <c r="E2747" s="15"/>
      <c r="F2747" s="15"/>
      <c r="G2747" s="15"/>
      <c r="H2747" s="14"/>
      <c r="I2747" s="16" t="str">
        <f aca="false">IF(OR(A2747="",C2747=""),"",IF(OR(H2747="İade",H2747="İptal"),0,E2747*IFERROR(INDEX(Kanallar!$B$5:$B$19,MATCH(C2747,Kanallar!$A$5:$A$19,0)),0)))</f>
        <v/>
      </c>
      <c r="J2747" s="16" t="str">
        <f aca="false">IF(I2747="","",IF(H2747="İptal",0,IF(H2747="İade",-G2747,E2747-I2747-F2747-G2747)))</f>
        <v/>
      </c>
    </row>
    <row r="2748" customFormat="false" ht="15" hidden="false" customHeight="false" outlineLevel="0" collapsed="false">
      <c r="A2748" s="12"/>
      <c r="B2748" s="13"/>
      <c r="C2748" s="14"/>
      <c r="D2748" s="13"/>
      <c r="E2748" s="15"/>
      <c r="F2748" s="15"/>
      <c r="G2748" s="15"/>
      <c r="H2748" s="14"/>
      <c r="I2748" s="16" t="str">
        <f aca="false">IF(OR(A2748="",C2748=""),"",IF(OR(H2748="İade",H2748="İptal"),0,E2748*IFERROR(INDEX(Kanallar!$B$5:$B$19,MATCH(C2748,Kanallar!$A$5:$A$19,0)),0)))</f>
        <v/>
      </c>
      <c r="J2748" s="16" t="str">
        <f aca="false">IF(I2748="","",IF(H2748="İptal",0,IF(H2748="İade",-G2748,E2748-I2748-F2748-G2748)))</f>
        <v/>
      </c>
    </row>
    <row r="2749" customFormat="false" ht="15" hidden="false" customHeight="false" outlineLevel="0" collapsed="false">
      <c r="A2749" s="12"/>
      <c r="B2749" s="13"/>
      <c r="C2749" s="14"/>
      <c r="D2749" s="13"/>
      <c r="E2749" s="15"/>
      <c r="F2749" s="15"/>
      <c r="G2749" s="15"/>
      <c r="H2749" s="14"/>
      <c r="I2749" s="16" t="str">
        <f aca="false">IF(OR(A2749="",C2749=""),"",IF(OR(H2749="İade",H2749="İptal"),0,E2749*IFERROR(INDEX(Kanallar!$B$5:$B$19,MATCH(C2749,Kanallar!$A$5:$A$19,0)),0)))</f>
        <v/>
      </c>
      <c r="J2749" s="16" t="str">
        <f aca="false">IF(I2749="","",IF(H2749="İptal",0,IF(H2749="İade",-G2749,E2749-I2749-F2749-G2749)))</f>
        <v/>
      </c>
    </row>
    <row r="2750" customFormat="false" ht="15" hidden="false" customHeight="false" outlineLevel="0" collapsed="false">
      <c r="A2750" s="12"/>
      <c r="B2750" s="13"/>
      <c r="C2750" s="14"/>
      <c r="D2750" s="13"/>
      <c r="E2750" s="15"/>
      <c r="F2750" s="15"/>
      <c r="G2750" s="15"/>
      <c r="H2750" s="14"/>
      <c r="I2750" s="16" t="str">
        <f aca="false">IF(OR(A2750="",C2750=""),"",IF(OR(H2750="İade",H2750="İptal"),0,E2750*IFERROR(INDEX(Kanallar!$B$5:$B$19,MATCH(C2750,Kanallar!$A$5:$A$19,0)),0)))</f>
        <v/>
      </c>
      <c r="J2750" s="16" t="str">
        <f aca="false">IF(I2750="","",IF(H2750="İptal",0,IF(H2750="İade",-G2750,E2750-I2750-F2750-G2750)))</f>
        <v/>
      </c>
    </row>
    <row r="2751" customFormat="false" ht="15" hidden="false" customHeight="false" outlineLevel="0" collapsed="false">
      <c r="A2751" s="12"/>
      <c r="B2751" s="13"/>
      <c r="C2751" s="14"/>
      <c r="D2751" s="13"/>
      <c r="E2751" s="15"/>
      <c r="F2751" s="15"/>
      <c r="G2751" s="15"/>
      <c r="H2751" s="14"/>
      <c r="I2751" s="16" t="str">
        <f aca="false">IF(OR(A2751="",C2751=""),"",IF(OR(H2751="İade",H2751="İptal"),0,E2751*IFERROR(INDEX(Kanallar!$B$5:$B$19,MATCH(C2751,Kanallar!$A$5:$A$19,0)),0)))</f>
        <v/>
      </c>
      <c r="J2751" s="16" t="str">
        <f aca="false">IF(I2751="","",IF(H2751="İptal",0,IF(H2751="İade",-G2751,E2751-I2751-F2751-G2751)))</f>
        <v/>
      </c>
    </row>
    <row r="2752" customFormat="false" ht="15" hidden="false" customHeight="false" outlineLevel="0" collapsed="false">
      <c r="A2752" s="12"/>
      <c r="B2752" s="13"/>
      <c r="C2752" s="14"/>
      <c r="D2752" s="13"/>
      <c r="E2752" s="15"/>
      <c r="F2752" s="15"/>
      <c r="G2752" s="15"/>
      <c r="H2752" s="14"/>
      <c r="I2752" s="16" t="str">
        <f aca="false">IF(OR(A2752="",C2752=""),"",IF(OR(H2752="İade",H2752="İptal"),0,E2752*IFERROR(INDEX(Kanallar!$B$5:$B$19,MATCH(C2752,Kanallar!$A$5:$A$19,0)),0)))</f>
        <v/>
      </c>
      <c r="J2752" s="16" t="str">
        <f aca="false">IF(I2752="","",IF(H2752="İptal",0,IF(H2752="İade",-G2752,E2752-I2752-F2752-G2752)))</f>
        <v/>
      </c>
    </row>
    <row r="2753" customFormat="false" ht="15" hidden="false" customHeight="false" outlineLevel="0" collapsed="false">
      <c r="A2753" s="12"/>
      <c r="B2753" s="13"/>
      <c r="C2753" s="14"/>
      <c r="D2753" s="13"/>
      <c r="E2753" s="15"/>
      <c r="F2753" s="15"/>
      <c r="G2753" s="15"/>
      <c r="H2753" s="14"/>
      <c r="I2753" s="16" t="str">
        <f aca="false">IF(OR(A2753="",C2753=""),"",IF(OR(H2753="İade",H2753="İptal"),0,E2753*IFERROR(INDEX(Kanallar!$B$5:$B$19,MATCH(C2753,Kanallar!$A$5:$A$19,0)),0)))</f>
        <v/>
      </c>
      <c r="J2753" s="16" t="str">
        <f aca="false">IF(I2753="","",IF(H2753="İptal",0,IF(H2753="İade",-G2753,E2753-I2753-F2753-G2753)))</f>
        <v/>
      </c>
    </row>
    <row r="2754" customFormat="false" ht="15" hidden="false" customHeight="false" outlineLevel="0" collapsed="false">
      <c r="A2754" s="12"/>
      <c r="B2754" s="13"/>
      <c r="C2754" s="14"/>
      <c r="D2754" s="13"/>
      <c r="E2754" s="15"/>
      <c r="F2754" s="15"/>
      <c r="G2754" s="15"/>
      <c r="H2754" s="14"/>
      <c r="I2754" s="16" t="str">
        <f aca="false">IF(OR(A2754="",C2754=""),"",IF(OR(H2754="İade",H2754="İptal"),0,E2754*IFERROR(INDEX(Kanallar!$B$5:$B$19,MATCH(C2754,Kanallar!$A$5:$A$19,0)),0)))</f>
        <v/>
      </c>
      <c r="J2754" s="16" t="str">
        <f aca="false">IF(I2754="","",IF(H2754="İptal",0,IF(H2754="İade",-G2754,E2754-I2754-F2754-G2754)))</f>
        <v/>
      </c>
    </row>
    <row r="2755" customFormat="false" ht="15" hidden="false" customHeight="false" outlineLevel="0" collapsed="false">
      <c r="A2755" s="12"/>
      <c r="B2755" s="13"/>
      <c r="C2755" s="14"/>
      <c r="D2755" s="13"/>
      <c r="E2755" s="15"/>
      <c r="F2755" s="15"/>
      <c r="G2755" s="15"/>
      <c r="H2755" s="14"/>
      <c r="I2755" s="16" t="str">
        <f aca="false">IF(OR(A2755="",C2755=""),"",IF(OR(H2755="İade",H2755="İptal"),0,E2755*IFERROR(INDEX(Kanallar!$B$5:$B$19,MATCH(C2755,Kanallar!$A$5:$A$19,0)),0)))</f>
        <v/>
      </c>
      <c r="J2755" s="16" t="str">
        <f aca="false">IF(I2755="","",IF(H2755="İptal",0,IF(H2755="İade",-G2755,E2755-I2755-F2755-G2755)))</f>
        <v/>
      </c>
    </row>
    <row r="2756" customFormat="false" ht="15" hidden="false" customHeight="false" outlineLevel="0" collapsed="false">
      <c r="A2756" s="12"/>
      <c r="B2756" s="13"/>
      <c r="C2756" s="14"/>
      <c r="D2756" s="13"/>
      <c r="E2756" s="15"/>
      <c r="F2756" s="15"/>
      <c r="G2756" s="15"/>
      <c r="H2756" s="14"/>
      <c r="I2756" s="16" t="str">
        <f aca="false">IF(OR(A2756="",C2756=""),"",IF(OR(H2756="İade",H2756="İptal"),0,E2756*IFERROR(INDEX(Kanallar!$B$5:$B$19,MATCH(C2756,Kanallar!$A$5:$A$19,0)),0)))</f>
        <v/>
      </c>
      <c r="J2756" s="16" t="str">
        <f aca="false">IF(I2756="","",IF(H2756="İptal",0,IF(H2756="İade",-G2756,E2756-I2756-F2756-G2756)))</f>
        <v/>
      </c>
    </row>
    <row r="2757" customFormat="false" ht="15" hidden="false" customHeight="false" outlineLevel="0" collapsed="false">
      <c r="A2757" s="12"/>
      <c r="B2757" s="13"/>
      <c r="C2757" s="14"/>
      <c r="D2757" s="13"/>
      <c r="E2757" s="15"/>
      <c r="F2757" s="15"/>
      <c r="G2757" s="15"/>
      <c r="H2757" s="14"/>
      <c r="I2757" s="16" t="str">
        <f aca="false">IF(OR(A2757="",C2757=""),"",IF(OR(H2757="İade",H2757="İptal"),0,E2757*IFERROR(INDEX(Kanallar!$B$5:$B$19,MATCH(C2757,Kanallar!$A$5:$A$19,0)),0)))</f>
        <v/>
      </c>
      <c r="J2757" s="16" t="str">
        <f aca="false">IF(I2757="","",IF(H2757="İptal",0,IF(H2757="İade",-G2757,E2757-I2757-F2757-G2757)))</f>
        <v/>
      </c>
    </row>
    <row r="2758" customFormat="false" ht="15" hidden="false" customHeight="false" outlineLevel="0" collapsed="false">
      <c r="A2758" s="12"/>
      <c r="B2758" s="13"/>
      <c r="C2758" s="14"/>
      <c r="D2758" s="13"/>
      <c r="E2758" s="15"/>
      <c r="F2758" s="15"/>
      <c r="G2758" s="15"/>
      <c r="H2758" s="14"/>
      <c r="I2758" s="16" t="str">
        <f aca="false">IF(OR(A2758="",C2758=""),"",IF(OR(H2758="İade",H2758="İptal"),0,E2758*IFERROR(INDEX(Kanallar!$B$5:$B$19,MATCH(C2758,Kanallar!$A$5:$A$19,0)),0)))</f>
        <v/>
      </c>
      <c r="J2758" s="16" t="str">
        <f aca="false">IF(I2758="","",IF(H2758="İptal",0,IF(H2758="İade",-G2758,E2758-I2758-F2758-G2758)))</f>
        <v/>
      </c>
    </row>
    <row r="2759" customFormat="false" ht="15" hidden="false" customHeight="false" outlineLevel="0" collapsed="false">
      <c r="A2759" s="12"/>
      <c r="B2759" s="13"/>
      <c r="C2759" s="14"/>
      <c r="D2759" s="13"/>
      <c r="E2759" s="15"/>
      <c r="F2759" s="15"/>
      <c r="G2759" s="15"/>
      <c r="H2759" s="14"/>
      <c r="I2759" s="16" t="str">
        <f aca="false">IF(OR(A2759="",C2759=""),"",IF(OR(H2759="İade",H2759="İptal"),0,E2759*IFERROR(INDEX(Kanallar!$B$5:$B$19,MATCH(C2759,Kanallar!$A$5:$A$19,0)),0)))</f>
        <v/>
      </c>
      <c r="J2759" s="16" t="str">
        <f aca="false">IF(I2759="","",IF(H2759="İptal",0,IF(H2759="İade",-G2759,E2759-I2759-F2759-G2759)))</f>
        <v/>
      </c>
    </row>
    <row r="2760" customFormat="false" ht="15" hidden="false" customHeight="false" outlineLevel="0" collapsed="false">
      <c r="A2760" s="12"/>
      <c r="B2760" s="13"/>
      <c r="C2760" s="14"/>
      <c r="D2760" s="13"/>
      <c r="E2760" s="15"/>
      <c r="F2760" s="15"/>
      <c r="G2760" s="15"/>
      <c r="H2760" s="14"/>
      <c r="I2760" s="16" t="str">
        <f aca="false">IF(OR(A2760="",C2760=""),"",IF(OR(H2760="İade",H2760="İptal"),0,E2760*IFERROR(INDEX(Kanallar!$B$5:$B$19,MATCH(C2760,Kanallar!$A$5:$A$19,0)),0)))</f>
        <v/>
      </c>
      <c r="J2760" s="16" t="str">
        <f aca="false">IF(I2760="","",IF(H2760="İptal",0,IF(H2760="İade",-G2760,E2760-I2760-F2760-G2760)))</f>
        <v/>
      </c>
    </row>
    <row r="2761" customFormat="false" ht="15" hidden="false" customHeight="false" outlineLevel="0" collapsed="false">
      <c r="A2761" s="12"/>
      <c r="B2761" s="13"/>
      <c r="C2761" s="14"/>
      <c r="D2761" s="13"/>
      <c r="E2761" s="15"/>
      <c r="F2761" s="15"/>
      <c r="G2761" s="15"/>
      <c r="H2761" s="14"/>
      <c r="I2761" s="16" t="str">
        <f aca="false">IF(OR(A2761="",C2761=""),"",IF(OR(H2761="İade",H2761="İptal"),0,E2761*IFERROR(INDEX(Kanallar!$B$5:$B$19,MATCH(C2761,Kanallar!$A$5:$A$19,0)),0)))</f>
        <v/>
      </c>
      <c r="J2761" s="16" t="str">
        <f aca="false">IF(I2761="","",IF(H2761="İptal",0,IF(H2761="İade",-G2761,E2761-I2761-F2761-G2761)))</f>
        <v/>
      </c>
    </row>
    <row r="2762" customFormat="false" ht="15" hidden="false" customHeight="false" outlineLevel="0" collapsed="false">
      <c r="A2762" s="12"/>
      <c r="B2762" s="13"/>
      <c r="C2762" s="14"/>
      <c r="D2762" s="13"/>
      <c r="E2762" s="15"/>
      <c r="F2762" s="15"/>
      <c r="G2762" s="15"/>
      <c r="H2762" s="14"/>
      <c r="I2762" s="16" t="str">
        <f aca="false">IF(OR(A2762="",C2762=""),"",IF(OR(H2762="İade",H2762="İptal"),0,E2762*IFERROR(INDEX(Kanallar!$B$5:$B$19,MATCH(C2762,Kanallar!$A$5:$A$19,0)),0)))</f>
        <v/>
      </c>
      <c r="J2762" s="16" t="str">
        <f aca="false">IF(I2762="","",IF(H2762="İptal",0,IF(H2762="İade",-G2762,E2762-I2762-F2762-G2762)))</f>
        <v/>
      </c>
    </row>
    <row r="2763" customFormat="false" ht="15" hidden="false" customHeight="false" outlineLevel="0" collapsed="false">
      <c r="A2763" s="12"/>
      <c r="B2763" s="13"/>
      <c r="C2763" s="14"/>
      <c r="D2763" s="13"/>
      <c r="E2763" s="15"/>
      <c r="F2763" s="15"/>
      <c r="G2763" s="15"/>
      <c r="H2763" s="14"/>
      <c r="I2763" s="16" t="str">
        <f aca="false">IF(OR(A2763="",C2763=""),"",IF(OR(H2763="İade",H2763="İptal"),0,E2763*IFERROR(INDEX(Kanallar!$B$5:$B$19,MATCH(C2763,Kanallar!$A$5:$A$19,0)),0)))</f>
        <v/>
      </c>
      <c r="J2763" s="16" t="str">
        <f aca="false">IF(I2763="","",IF(H2763="İptal",0,IF(H2763="İade",-G2763,E2763-I2763-F2763-G2763)))</f>
        <v/>
      </c>
    </row>
    <row r="2764" customFormat="false" ht="15" hidden="false" customHeight="false" outlineLevel="0" collapsed="false">
      <c r="A2764" s="12"/>
      <c r="B2764" s="13"/>
      <c r="C2764" s="14"/>
      <c r="D2764" s="13"/>
      <c r="E2764" s="15"/>
      <c r="F2764" s="15"/>
      <c r="G2764" s="15"/>
      <c r="H2764" s="14"/>
      <c r="I2764" s="16" t="str">
        <f aca="false">IF(OR(A2764="",C2764=""),"",IF(OR(H2764="İade",H2764="İptal"),0,E2764*IFERROR(INDEX(Kanallar!$B$5:$B$19,MATCH(C2764,Kanallar!$A$5:$A$19,0)),0)))</f>
        <v/>
      </c>
      <c r="J2764" s="16" t="str">
        <f aca="false">IF(I2764="","",IF(H2764="İptal",0,IF(H2764="İade",-G2764,E2764-I2764-F2764-G2764)))</f>
        <v/>
      </c>
    </row>
    <row r="2765" customFormat="false" ht="15" hidden="false" customHeight="false" outlineLevel="0" collapsed="false">
      <c r="A2765" s="12"/>
      <c r="B2765" s="13"/>
      <c r="C2765" s="14"/>
      <c r="D2765" s="13"/>
      <c r="E2765" s="15"/>
      <c r="F2765" s="15"/>
      <c r="G2765" s="15"/>
      <c r="H2765" s="14"/>
      <c r="I2765" s="16" t="str">
        <f aca="false">IF(OR(A2765="",C2765=""),"",IF(OR(H2765="İade",H2765="İptal"),0,E2765*IFERROR(INDEX(Kanallar!$B$5:$B$19,MATCH(C2765,Kanallar!$A$5:$A$19,0)),0)))</f>
        <v/>
      </c>
      <c r="J2765" s="16" t="str">
        <f aca="false">IF(I2765="","",IF(H2765="İptal",0,IF(H2765="İade",-G2765,E2765-I2765-F2765-G2765)))</f>
        <v/>
      </c>
    </row>
    <row r="2766" customFormat="false" ht="15" hidden="false" customHeight="false" outlineLevel="0" collapsed="false">
      <c r="A2766" s="12"/>
      <c r="B2766" s="13"/>
      <c r="C2766" s="14"/>
      <c r="D2766" s="13"/>
      <c r="E2766" s="15"/>
      <c r="F2766" s="15"/>
      <c r="G2766" s="15"/>
      <c r="H2766" s="14"/>
      <c r="I2766" s="16" t="str">
        <f aca="false">IF(OR(A2766="",C2766=""),"",IF(OR(H2766="İade",H2766="İptal"),0,E2766*IFERROR(INDEX(Kanallar!$B$5:$B$19,MATCH(C2766,Kanallar!$A$5:$A$19,0)),0)))</f>
        <v/>
      </c>
      <c r="J2766" s="16" t="str">
        <f aca="false">IF(I2766="","",IF(H2766="İptal",0,IF(H2766="İade",-G2766,E2766-I2766-F2766-G2766)))</f>
        <v/>
      </c>
    </row>
    <row r="2767" customFormat="false" ht="15" hidden="false" customHeight="false" outlineLevel="0" collapsed="false">
      <c r="A2767" s="12"/>
      <c r="B2767" s="13"/>
      <c r="C2767" s="14"/>
      <c r="D2767" s="13"/>
      <c r="E2767" s="15"/>
      <c r="F2767" s="15"/>
      <c r="G2767" s="15"/>
      <c r="H2767" s="14"/>
      <c r="I2767" s="16" t="str">
        <f aca="false">IF(OR(A2767="",C2767=""),"",IF(OR(H2767="İade",H2767="İptal"),0,E2767*IFERROR(INDEX(Kanallar!$B$5:$B$19,MATCH(C2767,Kanallar!$A$5:$A$19,0)),0)))</f>
        <v/>
      </c>
      <c r="J2767" s="16" t="str">
        <f aca="false">IF(I2767="","",IF(H2767="İptal",0,IF(H2767="İade",-G2767,E2767-I2767-F2767-G2767)))</f>
        <v/>
      </c>
    </row>
    <row r="2768" customFormat="false" ht="15" hidden="false" customHeight="false" outlineLevel="0" collapsed="false">
      <c r="A2768" s="12"/>
      <c r="B2768" s="13"/>
      <c r="C2768" s="14"/>
      <c r="D2768" s="13"/>
      <c r="E2768" s="15"/>
      <c r="F2768" s="15"/>
      <c r="G2768" s="15"/>
      <c r="H2768" s="14"/>
      <c r="I2768" s="16" t="str">
        <f aca="false">IF(OR(A2768="",C2768=""),"",IF(OR(H2768="İade",H2768="İptal"),0,E2768*IFERROR(INDEX(Kanallar!$B$5:$B$19,MATCH(C2768,Kanallar!$A$5:$A$19,0)),0)))</f>
        <v/>
      </c>
      <c r="J2768" s="16" t="str">
        <f aca="false">IF(I2768="","",IF(H2768="İptal",0,IF(H2768="İade",-G2768,E2768-I2768-F2768-G2768)))</f>
        <v/>
      </c>
    </row>
    <row r="2769" customFormat="false" ht="15" hidden="false" customHeight="false" outlineLevel="0" collapsed="false">
      <c r="A2769" s="12"/>
      <c r="B2769" s="13"/>
      <c r="C2769" s="14"/>
      <c r="D2769" s="13"/>
      <c r="E2769" s="15"/>
      <c r="F2769" s="15"/>
      <c r="G2769" s="15"/>
      <c r="H2769" s="14"/>
      <c r="I2769" s="16" t="str">
        <f aca="false">IF(OR(A2769="",C2769=""),"",IF(OR(H2769="İade",H2769="İptal"),0,E2769*IFERROR(INDEX(Kanallar!$B$5:$B$19,MATCH(C2769,Kanallar!$A$5:$A$19,0)),0)))</f>
        <v/>
      </c>
      <c r="J2769" s="16" t="str">
        <f aca="false">IF(I2769="","",IF(H2769="İptal",0,IF(H2769="İade",-G2769,E2769-I2769-F2769-G2769)))</f>
        <v/>
      </c>
    </row>
    <row r="2770" customFormat="false" ht="15" hidden="false" customHeight="false" outlineLevel="0" collapsed="false">
      <c r="A2770" s="12"/>
      <c r="B2770" s="13"/>
      <c r="C2770" s="14"/>
      <c r="D2770" s="13"/>
      <c r="E2770" s="15"/>
      <c r="F2770" s="15"/>
      <c r="G2770" s="15"/>
      <c r="H2770" s="14"/>
      <c r="I2770" s="16" t="str">
        <f aca="false">IF(OR(A2770="",C2770=""),"",IF(OR(H2770="İade",H2770="İptal"),0,E2770*IFERROR(INDEX(Kanallar!$B$5:$B$19,MATCH(C2770,Kanallar!$A$5:$A$19,0)),0)))</f>
        <v/>
      </c>
      <c r="J2770" s="16" t="str">
        <f aca="false">IF(I2770="","",IF(H2770="İptal",0,IF(H2770="İade",-G2770,E2770-I2770-F2770-G2770)))</f>
        <v/>
      </c>
    </row>
    <row r="2771" customFormat="false" ht="15" hidden="false" customHeight="false" outlineLevel="0" collapsed="false">
      <c r="A2771" s="12"/>
      <c r="B2771" s="13"/>
      <c r="C2771" s="14"/>
      <c r="D2771" s="13"/>
      <c r="E2771" s="15"/>
      <c r="F2771" s="15"/>
      <c r="G2771" s="15"/>
      <c r="H2771" s="14"/>
      <c r="I2771" s="16" t="str">
        <f aca="false">IF(OR(A2771="",C2771=""),"",IF(OR(H2771="İade",H2771="İptal"),0,E2771*IFERROR(INDEX(Kanallar!$B$5:$B$19,MATCH(C2771,Kanallar!$A$5:$A$19,0)),0)))</f>
        <v/>
      </c>
      <c r="J2771" s="16" t="str">
        <f aca="false">IF(I2771="","",IF(H2771="İptal",0,IF(H2771="İade",-G2771,E2771-I2771-F2771-G2771)))</f>
        <v/>
      </c>
    </row>
    <row r="2772" customFormat="false" ht="15" hidden="false" customHeight="false" outlineLevel="0" collapsed="false">
      <c r="A2772" s="12"/>
      <c r="B2772" s="13"/>
      <c r="C2772" s="14"/>
      <c r="D2772" s="13"/>
      <c r="E2772" s="15"/>
      <c r="F2772" s="15"/>
      <c r="G2772" s="15"/>
      <c r="H2772" s="14"/>
      <c r="I2772" s="16" t="str">
        <f aca="false">IF(OR(A2772="",C2772=""),"",IF(OR(H2772="İade",H2772="İptal"),0,E2772*IFERROR(INDEX(Kanallar!$B$5:$B$19,MATCH(C2772,Kanallar!$A$5:$A$19,0)),0)))</f>
        <v/>
      </c>
      <c r="J2772" s="16" t="str">
        <f aca="false">IF(I2772="","",IF(H2772="İptal",0,IF(H2772="İade",-G2772,E2772-I2772-F2772-G2772)))</f>
        <v/>
      </c>
    </row>
    <row r="2773" customFormat="false" ht="15" hidden="false" customHeight="false" outlineLevel="0" collapsed="false">
      <c r="A2773" s="12"/>
      <c r="B2773" s="13"/>
      <c r="C2773" s="14"/>
      <c r="D2773" s="13"/>
      <c r="E2773" s="15"/>
      <c r="F2773" s="15"/>
      <c r="G2773" s="15"/>
      <c r="H2773" s="14"/>
      <c r="I2773" s="16" t="str">
        <f aca="false">IF(OR(A2773="",C2773=""),"",IF(OR(H2773="İade",H2773="İptal"),0,E2773*IFERROR(INDEX(Kanallar!$B$5:$B$19,MATCH(C2773,Kanallar!$A$5:$A$19,0)),0)))</f>
        <v/>
      </c>
      <c r="J2773" s="16" t="str">
        <f aca="false">IF(I2773="","",IF(H2773="İptal",0,IF(H2773="İade",-G2773,E2773-I2773-F2773-G2773)))</f>
        <v/>
      </c>
    </row>
    <row r="2774" customFormat="false" ht="15" hidden="false" customHeight="false" outlineLevel="0" collapsed="false">
      <c r="A2774" s="12"/>
      <c r="B2774" s="13"/>
      <c r="C2774" s="14"/>
      <c r="D2774" s="13"/>
      <c r="E2774" s="15"/>
      <c r="F2774" s="15"/>
      <c r="G2774" s="15"/>
      <c r="H2774" s="14"/>
      <c r="I2774" s="16" t="str">
        <f aca="false">IF(OR(A2774="",C2774=""),"",IF(OR(H2774="İade",H2774="İptal"),0,E2774*IFERROR(INDEX(Kanallar!$B$5:$B$19,MATCH(C2774,Kanallar!$A$5:$A$19,0)),0)))</f>
        <v/>
      </c>
      <c r="J2774" s="16" t="str">
        <f aca="false">IF(I2774="","",IF(H2774="İptal",0,IF(H2774="İade",-G2774,E2774-I2774-F2774-G2774)))</f>
        <v/>
      </c>
    </row>
    <row r="2775" customFormat="false" ht="15" hidden="false" customHeight="false" outlineLevel="0" collapsed="false">
      <c r="A2775" s="12"/>
      <c r="B2775" s="13"/>
      <c r="C2775" s="14"/>
      <c r="D2775" s="13"/>
      <c r="E2775" s="15"/>
      <c r="F2775" s="15"/>
      <c r="G2775" s="15"/>
      <c r="H2775" s="14"/>
      <c r="I2775" s="16" t="str">
        <f aca="false">IF(OR(A2775="",C2775=""),"",IF(OR(H2775="İade",H2775="İptal"),0,E2775*IFERROR(INDEX(Kanallar!$B$5:$B$19,MATCH(C2775,Kanallar!$A$5:$A$19,0)),0)))</f>
        <v/>
      </c>
      <c r="J2775" s="16" t="str">
        <f aca="false">IF(I2775="","",IF(H2775="İptal",0,IF(H2775="İade",-G2775,E2775-I2775-F2775-G2775)))</f>
        <v/>
      </c>
    </row>
    <row r="2776" customFormat="false" ht="15" hidden="false" customHeight="false" outlineLevel="0" collapsed="false">
      <c r="A2776" s="12"/>
      <c r="B2776" s="13"/>
      <c r="C2776" s="14"/>
      <c r="D2776" s="13"/>
      <c r="E2776" s="15"/>
      <c r="F2776" s="15"/>
      <c r="G2776" s="15"/>
      <c r="H2776" s="14"/>
      <c r="I2776" s="16" t="str">
        <f aca="false">IF(OR(A2776="",C2776=""),"",IF(OR(H2776="İade",H2776="İptal"),0,E2776*IFERROR(INDEX(Kanallar!$B$5:$B$19,MATCH(C2776,Kanallar!$A$5:$A$19,0)),0)))</f>
        <v/>
      </c>
      <c r="J2776" s="16" t="str">
        <f aca="false">IF(I2776="","",IF(H2776="İptal",0,IF(H2776="İade",-G2776,E2776-I2776-F2776-G2776)))</f>
        <v/>
      </c>
    </row>
    <row r="2777" customFormat="false" ht="15" hidden="false" customHeight="false" outlineLevel="0" collapsed="false">
      <c r="A2777" s="12"/>
      <c r="B2777" s="13"/>
      <c r="C2777" s="14"/>
      <c r="D2777" s="13"/>
      <c r="E2777" s="15"/>
      <c r="F2777" s="15"/>
      <c r="G2777" s="15"/>
      <c r="H2777" s="14"/>
      <c r="I2777" s="16" t="str">
        <f aca="false">IF(OR(A2777="",C2777=""),"",IF(OR(H2777="İade",H2777="İptal"),0,E2777*IFERROR(INDEX(Kanallar!$B$5:$B$19,MATCH(C2777,Kanallar!$A$5:$A$19,0)),0)))</f>
        <v/>
      </c>
      <c r="J2777" s="16" t="str">
        <f aca="false">IF(I2777="","",IF(H2777="İptal",0,IF(H2777="İade",-G2777,E2777-I2777-F2777-G2777)))</f>
        <v/>
      </c>
    </row>
    <row r="2778" customFormat="false" ht="15" hidden="false" customHeight="false" outlineLevel="0" collapsed="false">
      <c r="A2778" s="12"/>
      <c r="B2778" s="13"/>
      <c r="C2778" s="14"/>
      <c r="D2778" s="13"/>
      <c r="E2778" s="15"/>
      <c r="F2778" s="15"/>
      <c r="G2778" s="15"/>
      <c r="H2778" s="14"/>
      <c r="I2778" s="16" t="str">
        <f aca="false">IF(OR(A2778="",C2778=""),"",IF(OR(H2778="İade",H2778="İptal"),0,E2778*IFERROR(INDEX(Kanallar!$B$5:$B$19,MATCH(C2778,Kanallar!$A$5:$A$19,0)),0)))</f>
        <v/>
      </c>
      <c r="J2778" s="16" t="str">
        <f aca="false">IF(I2778="","",IF(H2778="İptal",0,IF(H2778="İade",-G2778,E2778-I2778-F2778-G2778)))</f>
        <v/>
      </c>
    </row>
    <row r="2779" customFormat="false" ht="15" hidden="false" customHeight="false" outlineLevel="0" collapsed="false">
      <c r="A2779" s="12"/>
      <c r="B2779" s="13"/>
      <c r="C2779" s="14"/>
      <c r="D2779" s="13"/>
      <c r="E2779" s="15"/>
      <c r="F2779" s="15"/>
      <c r="G2779" s="15"/>
      <c r="H2779" s="14"/>
      <c r="I2779" s="16" t="str">
        <f aca="false">IF(OR(A2779="",C2779=""),"",IF(OR(H2779="İade",H2779="İptal"),0,E2779*IFERROR(INDEX(Kanallar!$B$5:$B$19,MATCH(C2779,Kanallar!$A$5:$A$19,0)),0)))</f>
        <v/>
      </c>
      <c r="J2779" s="16" t="str">
        <f aca="false">IF(I2779="","",IF(H2779="İptal",0,IF(H2779="İade",-G2779,E2779-I2779-F2779-G2779)))</f>
        <v/>
      </c>
    </row>
    <row r="2780" customFormat="false" ht="15" hidden="false" customHeight="false" outlineLevel="0" collapsed="false">
      <c r="A2780" s="12"/>
      <c r="B2780" s="13"/>
      <c r="C2780" s="14"/>
      <c r="D2780" s="13"/>
      <c r="E2780" s="15"/>
      <c r="F2780" s="15"/>
      <c r="G2780" s="15"/>
      <c r="H2780" s="14"/>
      <c r="I2780" s="16" t="str">
        <f aca="false">IF(OR(A2780="",C2780=""),"",IF(OR(H2780="İade",H2780="İptal"),0,E2780*IFERROR(INDEX(Kanallar!$B$5:$B$19,MATCH(C2780,Kanallar!$A$5:$A$19,0)),0)))</f>
        <v/>
      </c>
      <c r="J2780" s="16" t="str">
        <f aca="false">IF(I2780="","",IF(H2780="İptal",0,IF(H2780="İade",-G2780,E2780-I2780-F2780-G2780)))</f>
        <v/>
      </c>
    </row>
    <row r="2781" customFormat="false" ht="15" hidden="false" customHeight="false" outlineLevel="0" collapsed="false">
      <c r="A2781" s="12"/>
      <c r="B2781" s="13"/>
      <c r="C2781" s="14"/>
      <c r="D2781" s="13"/>
      <c r="E2781" s="15"/>
      <c r="F2781" s="15"/>
      <c r="G2781" s="15"/>
      <c r="H2781" s="14"/>
      <c r="I2781" s="16" t="str">
        <f aca="false">IF(OR(A2781="",C2781=""),"",IF(OR(H2781="İade",H2781="İptal"),0,E2781*IFERROR(INDEX(Kanallar!$B$5:$B$19,MATCH(C2781,Kanallar!$A$5:$A$19,0)),0)))</f>
        <v/>
      </c>
      <c r="J2781" s="16" t="str">
        <f aca="false">IF(I2781="","",IF(H2781="İptal",0,IF(H2781="İade",-G2781,E2781-I2781-F2781-G2781)))</f>
        <v/>
      </c>
    </row>
    <row r="2782" customFormat="false" ht="15" hidden="false" customHeight="false" outlineLevel="0" collapsed="false">
      <c r="A2782" s="12"/>
      <c r="B2782" s="13"/>
      <c r="C2782" s="14"/>
      <c r="D2782" s="13"/>
      <c r="E2782" s="15"/>
      <c r="F2782" s="15"/>
      <c r="G2782" s="15"/>
      <c r="H2782" s="14"/>
      <c r="I2782" s="16" t="str">
        <f aca="false">IF(OR(A2782="",C2782=""),"",IF(OR(H2782="İade",H2782="İptal"),0,E2782*IFERROR(INDEX(Kanallar!$B$5:$B$19,MATCH(C2782,Kanallar!$A$5:$A$19,0)),0)))</f>
        <v/>
      </c>
      <c r="J2782" s="16" t="str">
        <f aca="false">IF(I2782="","",IF(H2782="İptal",0,IF(H2782="İade",-G2782,E2782-I2782-F2782-G2782)))</f>
        <v/>
      </c>
    </row>
    <row r="2783" customFormat="false" ht="15" hidden="false" customHeight="false" outlineLevel="0" collapsed="false">
      <c r="A2783" s="12"/>
      <c r="B2783" s="13"/>
      <c r="C2783" s="14"/>
      <c r="D2783" s="13"/>
      <c r="E2783" s="15"/>
      <c r="F2783" s="15"/>
      <c r="G2783" s="15"/>
      <c r="H2783" s="14"/>
      <c r="I2783" s="16" t="str">
        <f aca="false">IF(OR(A2783="",C2783=""),"",IF(OR(H2783="İade",H2783="İptal"),0,E2783*IFERROR(INDEX(Kanallar!$B$5:$B$19,MATCH(C2783,Kanallar!$A$5:$A$19,0)),0)))</f>
        <v/>
      </c>
      <c r="J2783" s="16" t="str">
        <f aca="false">IF(I2783="","",IF(H2783="İptal",0,IF(H2783="İade",-G2783,E2783-I2783-F2783-G2783)))</f>
        <v/>
      </c>
    </row>
    <row r="2784" customFormat="false" ht="15" hidden="false" customHeight="false" outlineLevel="0" collapsed="false">
      <c r="A2784" s="12"/>
      <c r="B2784" s="13"/>
      <c r="C2784" s="14"/>
      <c r="D2784" s="13"/>
      <c r="E2784" s="15"/>
      <c r="F2784" s="15"/>
      <c r="G2784" s="15"/>
      <c r="H2784" s="14"/>
      <c r="I2784" s="16" t="str">
        <f aca="false">IF(OR(A2784="",C2784=""),"",IF(OR(H2784="İade",H2784="İptal"),0,E2784*IFERROR(INDEX(Kanallar!$B$5:$B$19,MATCH(C2784,Kanallar!$A$5:$A$19,0)),0)))</f>
        <v/>
      </c>
      <c r="J2784" s="16" t="str">
        <f aca="false">IF(I2784="","",IF(H2784="İptal",0,IF(H2784="İade",-G2784,E2784-I2784-F2784-G2784)))</f>
        <v/>
      </c>
    </row>
    <row r="2785" customFormat="false" ht="15" hidden="false" customHeight="false" outlineLevel="0" collapsed="false">
      <c r="A2785" s="12"/>
      <c r="B2785" s="13"/>
      <c r="C2785" s="14"/>
      <c r="D2785" s="13"/>
      <c r="E2785" s="15"/>
      <c r="F2785" s="15"/>
      <c r="G2785" s="15"/>
      <c r="H2785" s="14"/>
      <c r="I2785" s="16" t="str">
        <f aca="false">IF(OR(A2785="",C2785=""),"",IF(OR(H2785="İade",H2785="İptal"),0,E2785*IFERROR(INDEX(Kanallar!$B$5:$B$19,MATCH(C2785,Kanallar!$A$5:$A$19,0)),0)))</f>
        <v/>
      </c>
      <c r="J2785" s="16" t="str">
        <f aca="false">IF(I2785="","",IF(H2785="İptal",0,IF(H2785="İade",-G2785,E2785-I2785-F2785-G2785)))</f>
        <v/>
      </c>
    </row>
    <row r="2786" customFormat="false" ht="15" hidden="false" customHeight="false" outlineLevel="0" collapsed="false">
      <c r="A2786" s="12"/>
      <c r="B2786" s="13"/>
      <c r="C2786" s="14"/>
      <c r="D2786" s="13"/>
      <c r="E2786" s="15"/>
      <c r="F2786" s="15"/>
      <c r="G2786" s="15"/>
      <c r="H2786" s="14"/>
      <c r="I2786" s="16" t="str">
        <f aca="false">IF(OR(A2786="",C2786=""),"",IF(OR(H2786="İade",H2786="İptal"),0,E2786*IFERROR(INDEX(Kanallar!$B$5:$B$19,MATCH(C2786,Kanallar!$A$5:$A$19,0)),0)))</f>
        <v/>
      </c>
      <c r="J2786" s="16" t="str">
        <f aca="false">IF(I2786="","",IF(H2786="İptal",0,IF(H2786="İade",-G2786,E2786-I2786-F2786-G2786)))</f>
        <v/>
      </c>
    </row>
    <row r="2787" customFormat="false" ht="15" hidden="false" customHeight="false" outlineLevel="0" collapsed="false">
      <c r="A2787" s="12"/>
      <c r="B2787" s="13"/>
      <c r="C2787" s="14"/>
      <c r="D2787" s="13"/>
      <c r="E2787" s="15"/>
      <c r="F2787" s="15"/>
      <c r="G2787" s="15"/>
      <c r="H2787" s="14"/>
      <c r="I2787" s="16" t="str">
        <f aca="false">IF(OR(A2787="",C2787=""),"",IF(OR(H2787="İade",H2787="İptal"),0,E2787*IFERROR(INDEX(Kanallar!$B$5:$B$19,MATCH(C2787,Kanallar!$A$5:$A$19,0)),0)))</f>
        <v/>
      </c>
      <c r="J2787" s="16" t="str">
        <f aca="false">IF(I2787="","",IF(H2787="İptal",0,IF(H2787="İade",-G2787,E2787-I2787-F2787-G2787)))</f>
        <v/>
      </c>
    </row>
    <row r="2788" customFormat="false" ht="15" hidden="false" customHeight="false" outlineLevel="0" collapsed="false">
      <c r="A2788" s="12"/>
      <c r="B2788" s="13"/>
      <c r="C2788" s="14"/>
      <c r="D2788" s="13"/>
      <c r="E2788" s="15"/>
      <c r="F2788" s="15"/>
      <c r="G2788" s="15"/>
      <c r="H2788" s="14"/>
      <c r="I2788" s="16" t="str">
        <f aca="false">IF(OR(A2788="",C2788=""),"",IF(OR(H2788="İade",H2788="İptal"),0,E2788*IFERROR(INDEX(Kanallar!$B$5:$B$19,MATCH(C2788,Kanallar!$A$5:$A$19,0)),0)))</f>
        <v/>
      </c>
      <c r="J2788" s="16" t="str">
        <f aca="false">IF(I2788="","",IF(H2788="İptal",0,IF(H2788="İade",-G2788,E2788-I2788-F2788-G2788)))</f>
        <v/>
      </c>
    </row>
    <row r="2789" customFormat="false" ht="15" hidden="false" customHeight="false" outlineLevel="0" collapsed="false">
      <c r="A2789" s="12"/>
      <c r="B2789" s="13"/>
      <c r="C2789" s="14"/>
      <c r="D2789" s="13"/>
      <c r="E2789" s="15"/>
      <c r="F2789" s="15"/>
      <c r="G2789" s="15"/>
      <c r="H2789" s="14"/>
      <c r="I2789" s="16" t="str">
        <f aca="false">IF(OR(A2789="",C2789=""),"",IF(OR(H2789="İade",H2789="İptal"),0,E2789*IFERROR(INDEX(Kanallar!$B$5:$B$19,MATCH(C2789,Kanallar!$A$5:$A$19,0)),0)))</f>
        <v/>
      </c>
      <c r="J2789" s="16" t="str">
        <f aca="false">IF(I2789="","",IF(H2789="İptal",0,IF(H2789="İade",-G2789,E2789-I2789-F2789-G2789)))</f>
        <v/>
      </c>
    </row>
    <row r="2790" customFormat="false" ht="15" hidden="false" customHeight="false" outlineLevel="0" collapsed="false">
      <c r="A2790" s="12"/>
      <c r="B2790" s="13"/>
      <c r="C2790" s="14"/>
      <c r="D2790" s="13"/>
      <c r="E2790" s="15"/>
      <c r="F2790" s="15"/>
      <c r="G2790" s="15"/>
      <c r="H2790" s="14"/>
      <c r="I2790" s="16" t="str">
        <f aca="false">IF(OR(A2790="",C2790=""),"",IF(OR(H2790="İade",H2790="İptal"),0,E2790*IFERROR(INDEX(Kanallar!$B$5:$B$19,MATCH(C2790,Kanallar!$A$5:$A$19,0)),0)))</f>
        <v/>
      </c>
      <c r="J2790" s="16" t="str">
        <f aca="false">IF(I2790="","",IF(H2790="İptal",0,IF(H2790="İade",-G2790,E2790-I2790-F2790-G2790)))</f>
        <v/>
      </c>
    </row>
    <row r="2791" customFormat="false" ht="15" hidden="false" customHeight="false" outlineLevel="0" collapsed="false">
      <c r="A2791" s="12"/>
      <c r="B2791" s="13"/>
      <c r="C2791" s="14"/>
      <c r="D2791" s="13"/>
      <c r="E2791" s="15"/>
      <c r="F2791" s="15"/>
      <c r="G2791" s="15"/>
      <c r="H2791" s="14"/>
      <c r="I2791" s="16" t="str">
        <f aca="false">IF(OR(A2791="",C2791=""),"",IF(OR(H2791="İade",H2791="İptal"),0,E2791*IFERROR(INDEX(Kanallar!$B$5:$B$19,MATCH(C2791,Kanallar!$A$5:$A$19,0)),0)))</f>
        <v/>
      </c>
      <c r="J2791" s="16" t="str">
        <f aca="false">IF(I2791="","",IF(H2791="İptal",0,IF(H2791="İade",-G2791,E2791-I2791-F2791-G2791)))</f>
        <v/>
      </c>
    </row>
    <row r="2792" customFormat="false" ht="15" hidden="false" customHeight="false" outlineLevel="0" collapsed="false">
      <c r="A2792" s="12"/>
      <c r="B2792" s="13"/>
      <c r="C2792" s="14"/>
      <c r="D2792" s="13"/>
      <c r="E2792" s="15"/>
      <c r="F2792" s="15"/>
      <c r="G2792" s="15"/>
      <c r="H2792" s="14"/>
      <c r="I2792" s="16" t="str">
        <f aca="false">IF(OR(A2792="",C2792=""),"",IF(OR(H2792="İade",H2792="İptal"),0,E2792*IFERROR(INDEX(Kanallar!$B$5:$B$19,MATCH(C2792,Kanallar!$A$5:$A$19,0)),0)))</f>
        <v/>
      </c>
      <c r="J2792" s="16" t="str">
        <f aca="false">IF(I2792="","",IF(H2792="İptal",0,IF(H2792="İade",-G2792,E2792-I2792-F2792-G2792)))</f>
        <v/>
      </c>
    </row>
    <row r="2793" customFormat="false" ht="15" hidden="false" customHeight="false" outlineLevel="0" collapsed="false">
      <c r="A2793" s="12"/>
      <c r="B2793" s="13"/>
      <c r="C2793" s="14"/>
      <c r="D2793" s="13"/>
      <c r="E2793" s="15"/>
      <c r="F2793" s="15"/>
      <c r="G2793" s="15"/>
      <c r="H2793" s="14"/>
      <c r="I2793" s="16" t="str">
        <f aca="false">IF(OR(A2793="",C2793=""),"",IF(OR(H2793="İade",H2793="İptal"),0,E2793*IFERROR(INDEX(Kanallar!$B$5:$B$19,MATCH(C2793,Kanallar!$A$5:$A$19,0)),0)))</f>
        <v/>
      </c>
      <c r="J2793" s="16" t="str">
        <f aca="false">IF(I2793="","",IF(H2793="İptal",0,IF(H2793="İade",-G2793,E2793-I2793-F2793-G2793)))</f>
        <v/>
      </c>
    </row>
    <row r="2794" customFormat="false" ht="15" hidden="false" customHeight="false" outlineLevel="0" collapsed="false">
      <c r="A2794" s="12"/>
      <c r="B2794" s="13"/>
      <c r="C2794" s="14"/>
      <c r="D2794" s="13"/>
      <c r="E2794" s="15"/>
      <c r="F2794" s="15"/>
      <c r="G2794" s="15"/>
      <c r="H2794" s="14"/>
      <c r="I2794" s="16" t="str">
        <f aca="false">IF(OR(A2794="",C2794=""),"",IF(OR(H2794="İade",H2794="İptal"),0,E2794*IFERROR(INDEX(Kanallar!$B$5:$B$19,MATCH(C2794,Kanallar!$A$5:$A$19,0)),0)))</f>
        <v/>
      </c>
      <c r="J2794" s="16" t="str">
        <f aca="false">IF(I2794="","",IF(H2794="İptal",0,IF(H2794="İade",-G2794,E2794-I2794-F2794-G2794)))</f>
        <v/>
      </c>
    </row>
    <row r="2795" customFormat="false" ht="15" hidden="false" customHeight="false" outlineLevel="0" collapsed="false">
      <c r="A2795" s="12"/>
      <c r="B2795" s="13"/>
      <c r="C2795" s="14"/>
      <c r="D2795" s="13"/>
      <c r="E2795" s="15"/>
      <c r="F2795" s="15"/>
      <c r="G2795" s="15"/>
      <c r="H2795" s="14"/>
      <c r="I2795" s="16" t="str">
        <f aca="false">IF(OR(A2795="",C2795=""),"",IF(OR(H2795="İade",H2795="İptal"),0,E2795*IFERROR(INDEX(Kanallar!$B$5:$B$19,MATCH(C2795,Kanallar!$A$5:$A$19,0)),0)))</f>
        <v/>
      </c>
      <c r="J2795" s="16" t="str">
        <f aca="false">IF(I2795="","",IF(H2795="İptal",0,IF(H2795="İade",-G2795,E2795-I2795-F2795-G2795)))</f>
        <v/>
      </c>
    </row>
    <row r="2796" customFormat="false" ht="15" hidden="false" customHeight="false" outlineLevel="0" collapsed="false">
      <c r="A2796" s="12"/>
      <c r="B2796" s="13"/>
      <c r="C2796" s="14"/>
      <c r="D2796" s="13"/>
      <c r="E2796" s="15"/>
      <c r="F2796" s="15"/>
      <c r="G2796" s="15"/>
      <c r="H2796" s="14"/>
      <c r="I2796" s="16" t="str">
        <f aca="false">IF(OR(A2796="",C2796=""),"",IF(OR(H2796="İade",H2796="İptal"),0,E2796*IFERROR(INDEX(Kanallar!$B$5:$B$19,MATCH(C2796,Kanallar!$A$5:$A$19,0)),0)))</f>
        <v/>
      </c>
      <c r="J2796" s="16" t="str">
        <f aca="false">IF(I2796="","",IF(H2796="İptal",0,IF(H2796="İade",-G2796,E2796-I2796-F2796-G2796)))</f>
        <v/>
      </c>
    </row>
    <row r="2797" customFormat="false" ht="15" hidden="false" customHeight="false" outlineLevel="0" collapsed="false">
      <c r="A2797" s="12"/>
      <c r="B2797" s="13"/>
      <c r="C2797" s="14"/>
      <c r="D2797" s="13"/>
      <c r="E2797" s="15"/>
      <c r="F2797" s="15"/>
      <c r="G2797" s="15"/>
      <c r="H2797" s="14"/>
      <c r="I2797" s="16" t="str">
        <f aca="false">IF(OR(A2797="",C2797=""),"",IF(OR(H2797="İade",H2797="İptal"),0,E2797*IFERROR(INDEX(Kanallar!$B$5:$B$19,MATCH(C2797,Kanallar!$A$5:$A$19,0)),0)))</f>
        <v/>
      </c>
      <c r="J2797" s="16" t="str">
        <f aca="false">IF(I2797="","",IF(H2797="İptal",0,IF(H2797="İade",-G2797,E2797-I2797-F2797-G2797)))</f>
        <v/>
      </c>
    </row>
    <row r="2798" customFormat="false" ht="15" hidden="false" customHeight="false" outlineLevel="0" collapsed="false">
      <c r="A2798" s="12"/>
      <c r="B2798" s="13"/>
      <c r="C2798" s="14"/>
      <c r="D2798" s="13"/>
      <c r="E2798" s="15"/>
      <c r="F2798" s="15"/>
      <c r="G2798" s="15"/>
      <c r="H2798" s="14"/>
      <c r="I2798" s="16" t="str">
        <f aca="false">IF(OR(A2798="",C2798=""),"",IF(OR(H2798="İade",H2798="İptal"),0,E2798*IFERROR(INDEX(Kanallar!$B$5:$B$19,MATCH(C2798,Kanallar!$A$5:$A$19,0)),0)))</f>
        <v/>
      </c>
      <c r="J2798" s="16" t="str">
        <f aca="false">IF(I2798="","",IF(H2798="İptal",0,IF(H2798="İade",-G2798,E2798-I2798-F2798-G2798)))</f>
        <v/>
      </c>
    </row>
    <row r="2799" customFormat="false" ht="15" hidden="false" customHeight="false" outlineLevel="0" collapsed="false">
      <c r="A2799" s="12"/>
      <c r="B2799" s="13"/>
      <c r="C2799" s="14"/>
      <c r="D2799" s="13"/>
      <c r="E2799" s="15"/>
      <c r="F2799" s="15"/>
      <c r="G2799" s="15"/>
      <c r="H2799" s="14"/>
      <c r="I2799" s="16" t="str">
        <f aca="false">IF(OR(A2799="",C2799=""),"",IF(OR(H2799="İade",H2799="İptal"),0,E2799*IFERROR(INDEX(Kanallar!$B$5:$B$19,MATCH(C2799,Kanallar!$A$5:$A$19,0)),0)))</f>
        <v/>
      </c>
      <c r="J2799" s="16" t="str">
        <f aca="false">IF(I2799="","",IF(H2799="İptal",0,IF(H2799="İade",-G2799,E2799-I2799-F2799-G2799)))</f>
        <v/>
      </c>
    </row>
    <row r="2800" customFormat="false" ht="15" hidden="false" customHeight="false" outlineLevel="0" collapsed="false">
      <c r="A2800" s="12"/>
      <c r="B2800" s="13"/>
      <c r="C2800" s="14"/>
      <c r="D2800" s="13"/>
      <c r="E2800" s="15"/>
      <c r="F2800" s="15"/>
      <c r="G2800" s="15"/>
      <c r="H2800" s="14"/>
      <c r="I2800" s="16" t="str">
        <f aca="false">IF(OR(A2800="",C2800=""),"",IF(OR(H2800="İade",H2800="İptal"),0,E2800*IFERROR(INDEX(Kanallar!$B$5:$B$19,MATCH(C2800,Kanallar!$A$5:$A$19,0)),0)))</f>
        <v/>
      </c>
      <c r="J2800" s="16" t="str">
        <f aca="false">IF(I2800="","",IF(H2800="İptal",0,IF(H2800="İade",-G2800,E2800-I2800-F2800-G2800)))</f>
        <v/>
      </c>
    </row>
    <row r="2801" customFormat="false" ht="15" hidden="false" customHeight="false" outlineLevel="0" collapsed="false">
      <c r="A2801" s="12"/>
      <c r="B2801" s="13"/>
      <c r="C2801" s="14"/>
      <c r="D2801" s="13"/>
      <c r="E2801" s="15"/>
      <c r="F2801" s="15"/>
      <c r="G2801" s="15"/>
      <c r="H2801" s="14"/>
      <c r="I2801" s="16" t="str">
        <f aca="false">IF(OR(A2801="",C2801=""),"",IF(OR(H2801="İade",H2801="İptal"),0,E2801*IFERROR(INDEX(Kanallar!$B$5:$B$19,MATCH(C2801,Kanallar!$A$5:$A$19,0)),0)))</f>
        <v/>
      </c>
      <c r="J2801" s="16" t="str">
        <f aca="false">IF(I2801="","",IF(H2801="İptal",0,IF(H2801="İade",-G2801,E2801-I2801-F2801-G2801)))</f>
        <v/>
      </c>
    </row>
    <row r="2802" customFormat="false" ht="15" hidden="false" customHeight="false" outlineLevel="0" collapsed="false">
      <c r="A2802" s="12"/>
      <c r="B2802" s="13"/>
      <c r="C2802" s="14"/>
      <c r="D2802" s="13"/>
      <c r="E2802" s="15"/>
      <c r="F2802" s="15"/>
      <c r="G2802" s="15"/>
      <c r="H2802" s="14"/>
      <c r="I2802" s="16" t="str">
        <f aca="false">IF(OR(A2802="",C2802=""),"",IF(OR(H2802="İade",H2802="İptal"),0,E2802*IFERROR(INDEX(Kanallar!$B$5:$B$19,MATCH(C2802,Kanallar!$A$5:$A$19,0)),0)))</f>
        <v/>
      </c>
      <c r="J2802" s="16" t="str">
        <f aca="false">IF(I2802="","",IF(H2802="İptal",0,IF(H2802="İade",-G2802,E2802-I2802-F2802-G2802)))</f>
        <v/>
      </c>
    </row>
    <row r="2803" customFormat="false" ht="15" hidden="false" customHeight="false" outlineLevel="0" collapsed="false">
      <c r="A2803" s="12"/>
      <c r="B2803" s="13"/>
      <c r="C2803" s="14"/>
      <c r="D2803" s="13"/>
      <c r="E2803" s="15"/>
      <c r="F2803" s="15"/>
      <c r="G2803" s="15"/>
      <c r="H2803" s="14"/>
      <c r="I2803" s="16" t="str">
        <f aca="false">IF(OR(A2803="",C2803=""),"",IF(OR(H2803="İade",H2803="İptal"),0,E2803*IFERROR(INDEX(Kanallar!$B$5:$B$19,MATCH(C2803,Kanallar!$A$5:$A$19,0)),0)))</f>
        <v/>
      </c>
      <c r="J2803" s="16" t="str">
        <f aca="false">IF(I2803="","",IF(H2803="İptal",0,IF(H2803="İade",-G2803,E2803-I2803-F2803-G2803)))</f>
        <v/>
      </c>
    </row>
    <row r="2804" customFormat="false" ht="15" hidden="false" customHeight="false" outlineLevel="0" collapsed="false">
      <c r="A2804" s="12"/>
      <c r="B2804" s="13"/>
      <c r="C2804" s="14"/>
      <c r="D2804" s="13"/>
      <c r="E2804" s="15"/>
      <c r="F2804" s="15"/>
      <c r="G2804" s="15"/>
      <c r="H2804" s="14"/>
      <c r="I2804" s="16" t="str">
        <f aca="false">IF(OR(A2804="",C2804=""),"",IF(OR(H2804="İade",H2804="İptal"),0,E2804*IFERROR(INDEX(Kanallar!$B$5:$B$19,MATCH(C2804,Kanallar!$A$5:$A$19,0)),0)))</f>
        <v/>
      </c>
      <c r="J2804" s="16" t="str">
        <f aca="false">IF(I2804="","",IF(H2804="İptal",0,IF(H2804="İade",-G2804,E2804-I2804-F2804-G2804)))</f>
        <v/>
      </c>
    </row>
    <row r="2805" customFormat="false" ht="15" hidden="false" customHeight="false" outlineLevel="0" collapsed="false">
      <c r="A2805" s="12"/>
      <c r="B2805" s="13"/>
      <c r="C2805" s="14"/>
      <c r="D2805" s="13"/>
      <c r="E2805" s="15"/>
      <c r="F2805" s="15"/>
      <c r="G2805" s="15"/>
      <c r="H2805" s="14"/>
      <c r="I2805" s="16" t="str">
        <f aca="false">IF(OR(A2805="",C2805=""),"",IF(OR(H2805="İade",H2805="İptal"),0,E2805*IFERROR(INDEX(Kanallar!$B$5:$B$19,MATCH(C2805,Kanallar!$A$5:$A$19,0)),0)))</f>
        <v/>
      </c>
      <c r="J2805" s="16" t="str">
        <f aca="false">IF(I2805="","",IF(H2805="İptal",0,IF(H2805="İade",-G2805,E2805-I2805-F2805-G2805)))</f>
        <v/>
      </c>
    </row>
    <row r="2806" customFormat="false" ht="15" hidden="false" customHeight="false" outlineLevel="0" collapsed="false">
      <c r="A2806" s="12"/>
      <c r="B2806" s="13"/>
      <c r="C2806" s="14"/>
      <c r="D2806" s="13"/>
      <c r="E2806" s="15"/>
      <c r="F2806" s="15"/>
      <c r="G2806" s="15"/>
      <c r="H2806" s="14"/>
      <c r="I2806" s="16" t="str">
        <f aca="false">IF(OR(A2806="",C2806=""),"",IF(OR(H2806="İade",H2806="İptal"),0,E2806*IFERROR(INDEX(Kanallar!$B$5:$B$19,MATCH(C2806,Kanallar!$A$5:$A$19,0)),0)))</f>
        <v/>
      </c>
      <c r="J2806" s="16" t="str">
        <f aca="false">IF(I2806="","",IF(H2806="İptal",0,IF(H2806="İade",-G2806,E2806-I2806-F2806-G2806)))</f>
        <v/>
      </c>
    </row>
    <row r="2807" customFormat="false" ht="15" hidden="false" customHeight="false" outlineLevel="0" collapsed="false">
      <c r="A2807" s="12"/>
      <c r="B2807" s="13"/>
      <c r="C2807" s="14"/>
      <c r="D2807" s="13"/>
      <c r="E2807" s="15"/>
      <c r="F2807" s="15"/>
      <c r="G2807" s="15"/>
      <c r="H2807" s="14"/>
      <c r="I2807" s="16" t="str">
        <f aca="false">IF(OR(A2807="",C2807=""),"",IF(OR(H2807="İade",H2807="İptal"),0,E2807*IFERROR(INDEX(Kanallar!$B$5:$B$19,MATCH(C2807,Kanallar!$A$5:$A$19,0)),0)))</f>
        <v/>
      </c>
      <c r="J2807" s="16" t="str">
        <f aca="false">IF(I2807="","",IF(H2807="İptal",0,IF(H2807="İade",-G2807,E2807-I2807-F2807-G2807)))</f>
        <v/>
      </c>
    </row>
    <row r="2808" customFormat="false" ht="15" hidden="false" customHeight="false" outlineLevel="0" collapsed="false">
      <c r="A2808" s="12"/>
      <c r="B2808" s="13"/>
      <c r="C2808" s="14"/>
      <c r="D2808" s="13"/>
      <c r="E2808" s="15"/>
      <c r="F2808" s="15"/>
      <c r="G2808" s="15"/>
      <c r="H2808" s="14"/>
      <c r="I2808" s="16" t="str">
        <f aca="false">IF(OR(A2808="",C2808=""),"",IF(OR(H2808="İade",H2808="İptal"),0,E2808*IFERROR(INDEX(Kanallar!$B$5:$B$19,MATCH(C2808,Kanallar!$A$5:$A$19,0)),0)))</f>
        <v/>
      </c>
      <c r="J2808" s="16" t="str">
        <f aca="false">IF(I2808="","",IF(H2808="İptal",0,IF(H2808="İade",-G2808,E2808-I2808-F2808-G2808)))</f>
        <v/>
      </c>
    </row>
    <row r="2809" customFormat="false" ht="15" hidden="false" customHeight="false" outlineLevel="0" collapsed="false">
      <c r="A2809" s="12"/>
      <c r="B2809" s="13"/>
      <c r="C2809" s="14"/>
      <c r="D2809" s="13"/>
      <c r="E2809" s="15"/>
      <c r="F2809" s="15"/>
      <c r="G2809" s="15"/>
      <c r="H2809" s="14"/>
      <c r="I2809" s="16" t="str">
        <f aca="false">IF(OR(A2809="",C2809=""),"",IF(OR(H2809="İade",H2809="İptal"),0,E2809*IFERROR(INDEX(Kanallar!$B$5:$B$19,MATCH(C2809,Kanallar!$A$5:$A$19,0)),0)))</f>
        <v/>
      </c>
      <c r="J2809" s="16" t="str">
        <f aca="false">IF(I2809="","",IF(H2809="İptal",0,IF(H2809="İade",-G2809,E2809-I2809-F2809-G2809)))</f>
        <v/>
      </c>
    </row>
    <row r="2810" customFormat="false" ht="15" hidden="false" customHeight="false" outlineLevel="0" collapsed="false">
      <c r="A2810" s="12"/>
      <c r="B2810" s="13"/>
      <c r="C2810" s="14"/>
      <c r="D2810" s="13"/>
      <c r="E2810" s="15"/>
      <c r="F2810" s="15"/>
      <c r="G2810" s="15"/>
      <c r="H2810" s="14"/>
      <c r="I2810" s="16" t="str">
        <f aca="false">IF(OR(A2810="",C2810=""),"",IF(OR(H2810="İade",H2810="İptal"),0,E2810*IFERROR(INDEX(Kanallar!$B$5:$B$19,MATCH(C2810,Kanallar!$A$5:$A$19,0)),0)))</f>
        <v/>
      </c>
      <c r="J2810" s="16" t="str">
        <f aca="false">IF(I2810="","",IF(H2810="İptal",0,IF(H2810="İade",-G2810,E2810-I2810-F2810-G2810)))</f>
        <v/>
      </c>
    </row>
    <row r="2811" customFormat="false" ht="15" hidden="false" customHeight="false" outlineLevel="0" collapsed="false">
      <c r="A2811" s="12"/>
      <c r="B2811" s="13"/>
      <c r="C2811" s="14"/>
      <c r="D2811" s="13"/>
      <c r="E2811" s="15"/>
      <c r="F2811" s="15"/>
      <c r="G2811" s="15"/>
      <c r="H2811" s="14"/>
      <c r="I2811" s="16" t="str">
        <f aca="false">IF(OR(A2811="",C2811=""),"",IF(OR(H2811="İade",H2811="İptal"),0,E2811*IFERROR(INDEX(Kanallar!$B$5:$B$19,MATCH(C2811,Kanallar!$A$5:$A$19,0)),0)))</f>
        <v/>
      </c>
      <c r="J2811" s="16" t="str">
        <f aca="false">IF(I2811="","",IF(H2811="İptal",0,IF(H2811="İade",-G2811,E2811-I2811-F2811-G2811)))</f>
        <v/>
      </c>
    </row>
    <row r="2812" customFormat="false" ht="15" hidden="false" customHeight="false" outlineLevel="0" collapsed="false">
      <c r="A2812" s="12"/>
      <c r="B2812" s="13"/>
      <c r="C2812" s="14"/>
      <c r="D2812" s="13"/>
      <c r="E2812" s="15"/>
      <c r="F2812" s="15"/>
      <c r="G2812" s="15"/>
      <c r="H2812" s="14"/>
      <c r="I2812" s="16" t="str">
        <f aca="false">IF(OR(A2812="",C2812=""),"",IF(OR(H2812="İade",H2812="İptal"),0,E2812*IFERROR(INDEX(Kanallar!$B$5:$B$19,MATCH(C2812,Kanallar!$A$5:$A$19,0)),0)))</f>
        <v/>
      </c>
      <c r="J2812" s="16" t="str">
        <f aca="false">IF(I2812="","",IF(H2812="İptal",0,IF(H2812="İade",-G2812,E2812-I2812-F2812-G2812)))</f>
        <v/>
      </c>
    </row>
    <row r="2813" customFormat="false" ht="15" hidden="false" customHeight="false" outlineLevel="0" collapsed="false">
      <c r="A2813" s="12"/>
      <c r="B2813" s="13"/>
      <c r="C2813" s="14"/>
      <c r="D2813" s="13"/>
      <c r="E2813" s="15"/>
      <c r="F2813" s="15"/>
      <c r="G2813" s="15"/>
      <c r="H2813" s="14"/>
      <c r="I2813" s="16" t="str">
        <f aca="false">IF(OR(A2813="",C2813=""),"",IF(OR(H2813="İade",H2813="İptal"),0,E2813*IFERROR(INDEX(Kanallar!$B$5:$B$19,MATCH(C2813,Kanallar!$A$5:$A$19,0)),0)))</f>
        <v/>
      </c>
      <c r="J2813" s="16" t="str">
        <f aca="false">IF(I2813="","",IF(H2813="İptal",0,IF(H2813="İade",-G2813,E2813-I2813-F2813-G2813)))</f>
        <v/>
      </c>
    </row>
    <row r="2814" customFormat="false" ht="15" hidden="false" customHeight="false" outlineLevel="0" collapsed="false">
      <c r="A2814" s="12"/>
      <c r="B2814" s="13"/>
      <c r="C2814" s="14"/>
      <c r="D2814" s="13"/>
      <c r="E2814" s="15"/>
      <c r="F2814" s="15"/>
      <c r="G2814" s="15"/>
      <c r="H2814" s="14"/>
      <c r="I2814" s="16" t="str">
        <f aca="false">IF(OR(A2814="",C2814=""),"",IF(OR(H2814="İade",H2814="İptal"),0,E2814*IFERROR(INDEX(Kanallar!$B$5:$B$19,MATCH(C2814,Kanallar!$A$5:$A$19,0)),0)))</f>
        <v/>
      </c>
      <c r="J2814" s="16" t="str">
        <f aca="false">IF(I2814="","",IF(H2814="İptal",0,IF(H2814="İade",-G2814,E2814-I2814-F2814-G2814)))</f>
        <v/>
      </c>
    </row>
    <row r="2815" customFormat="false" ht="15" hidden="false" customHeight="false" outlineLevel="0" collapsed="false">
      <c r="A2815" s="12"/>
      <c r="B2815" s="13"/>
      <c r="C2815" s="14"/>
      <c r="D2815" s="13"/>
      <c r="E2815" s="15"/>
      <c r="F2815" s="15"/>
      <c r="G2815" s="15"/>
      <c r="H2815" s="14"/>
      <c r="I2815" s="16" t="str">
        <f aca="false">IF(OR(A2815="",C2815=""),"",IF(OR(H2815="İade",H2815="İptal"),0,E2815*IFERROR(INDEX(Kanallar!$B$5:$B$19,MATCH(C2815,Kanallar!$A$5:$A$19,0)),0)))</f>
        <v/>
      </c>
      <c r="J2815" s="16" t="str">
        <f aca="false">IF(I2815="","",IF(H2815="İptal",0,IF(H2815="İade",-G2815,E2815-I2815-F2815-G2815)))</f>
        <v/>
      </c>
    </row>
    <row r="2816" customFormat="false" ht="15" hidden="false" customHeight="false" outlineLevel="0" collapsed="false">
      <c r="A2816" s="12"/>
      <c r="B2816" s="13"/>
      <c r="C2816" s="14"/>
      <c r="D2816" s="13"/>
      <c r="E2816" s="15"/>
      <c r="F2816" s="15"/>
      <c r="G2816" s="15"/>
      <c r="H2816" s="14"/>
      <c r="I2816" s="16" t="str">
        <f aca="false">IF(OR(A2816="",C2816=""),"",IF(OR(H2816="İade",H2816="İptal"),0,E2816*IFERROR(INDEX(Kanallar!$B$5:$B$19,MATCH(C2816,Kanallar!$A$5:$A$19,0)),0)))</f>
        <v/>
      </c>
      <c r="J2816" s="16" t="str">
        <f aca="false">IF(I2816="","",IF(H2816="İptal",0,IF(H2816="İade",-G2816,E2816-I2816-F2816-G2816)))</f>
        <v/>
      </c>
    </row>
    <row r="2817" customFormat="false" ht="15" hidden="false" customHeight="false" outlineLevel="0" collapsed="false">
      <c r="A2817" s="12"/>
      <c r="B2817" s="13"/>
      <c r="C2817" s="14"/>
      <c r="D2817" s="13"/>
      <c r="E2817" s="15"/>
      <c r="F2817" s="15"/>
      <c r="G2817" s="15"/>
      <c r="H2817" s="14"/>
      <c r="I2817" s="16" t="str">
        <f aca="false">IF(OR(A2817="",C2817=""),"",IF(OR(H2817="İade",H2817="İptal"),0,E2817*IFERROR(INDEX(Kanallar!$B$5:$B$19,MATCH(C2817,Kanallar!$A$5:$A$19,0)),0)))</f>
        <v/>
      </c>
      <c r="J2817" s="16" t="str">
        <f aca="false">IF(I2817="","",IF(H2817="İptal",0,IF(H2817="İade",-G2817,E2817-I2817-F2817-G2817)))</f>
        <v/>
      </c>
    </row>
    <row r="2818" customFormat="false" ht="15" hidden="false" customHeight="false" outlineLevel="0" collapsed="false">
      <c r="A2818" s="12"/>
      <c r="B2818" s="13"/>
      <c r="C2818" s="14"/>
      <c r="D2818" s="13"/>
      <c r="E2818" s="15"/>
      <c r="F2818" s="15"/>
      <c r="G2818" s="15"/>
      <c r="H2818" s="14"/>
      <c r="I2818" s="16" t="str">
        <f aca="false">IF(OR(A2818="",C2818=""),"",IF(OR(H2818="İade",H2818="İptal"),0,E2818*IFERROR(INDEX(Kanallar!$B$5:$B$19,MATCH(C2818,Kanallar!$A$5:$A$19,0)),0)))</f>
        <v/>
      </c>
      <c r="J2818" s="16" t="str">
        <f aca="false">IF(I2818="","",IF(H2818="İptal",0,IF(H2818="İade",-G2818,E2818-I2818-F2818-G2818)))</f>
        <v/>
      </c>
    </row>
    <row r="2819" customFormat="false" ht="15" hidden="false" customHeight="false" outlineLevel="0" collapsed="false">
      <c r="A2819" s="12"/>
      <c r="B2819" s="13"/>
      <c r="C2819" s="14"/>
      <c r="D2819" s="13"/>
      <c r="E2819" s="15"/>
      <c r="F2819" s="15"/>
      <c r="G2819" s="15"/>
      <c r="H2819" s="14"/>
      <c r="I2819" s="16" t="str">
        <f aca="false">IF(OR(A2819="",C2819=""),"",IF(OR(H2819="İade",H2819="İptal"),0,E2819*IFERROR(INDEX(Kanallar!$B$5:$B$19,MATCH(C2819,Kanallar!$A$5:$A$19,0)),0)))</f>
        <v/>
      </c>
      <c r="J2819" s="16" t="str">
        <f aca="false">IF(I2819="","",IF(H2819="İptal",0,IF(H2819="İade",-G2819,E2819-I2819-F2819-G2819)))</f>
        <v/>
      </c>
    </row>
    <row r="2820" customFormat="false" ht="15" hidden="false" customHeight="false" outlineLevel="0" collapsed="false">
      <c r="A2820" s="12"/>
      <c r="B2820" s="13"/>
      <c r="C2820" s="14"/>
      <c r="D2820" s="13"/>
      <c r="E2820" s="15"/>
      <c r="F2820" s="15"/>
      <c r="G2820" s="15"/>
      <c r="H2820" s="14"/>
      <c r="I2820" s="16" t="str">
        <f aca="false">IF(OR(A2820="",C2820=""),"",IF(OR(H2820="İade",H2820="İptal"),0,E2820*IFERROR(INDEX(Kanallar!$B$5:$B$19,MATCH(C2820,Kanallar!$A$5:$A$19,0)),0)))</f>
        <v/>
      </c>
      <c r="J2820" s="16" t="str">
        <f aca="false">IF(I2820="","",IF(H2820="İptal",0,IF(H2820="İade",-G2820,E2820-I2820-F2820-G2820)))</f>
        <v/>
      </c>
    </row>
    <row r="2821" customFormat="false" ht="15" hidden="false" customHeight="false" outlineLevel="0" collapsed="false">
      <c r="A2821" s="12"/>
      <c r="B2821" s="13"/>
      <c r="C2821" s="14"/>
      <c r="D2821" s="13"/>
      <c r="E2821" s="15"/>
      <c r="F2821" s="15"/>
      <c r="G2821" s="15"/>
      <c r="H2821" s="14"/>
      <c r="I2821" s="16" t="str">
        <f aca="false">IF(OR(A2821="",C2821=""),"",IF(OR(H2821="İade",H2821="İptal"),0,E2821*IFERROR(INDEX(Kanallar!$B$5:$B$19,MATCH(C2821,Kanallar!$A$5:$A$19,0)),0)))</f>
        <v/>
      </c>
      <c r="J2821" s="16" t="str">
        <f aca="false">IF(I2821="","",IF(H2821="İptal",0,IF(H2821="İade",-G2821,E2821-I2821-F2821-G2821)))</f>
        <v/>
      </c>
    </row>
    <row r="2822" customFormat="false" ht="15" hidden="false" customHeight="false" outlineLevel="0" collapsed="false">
      <c r="A2822" s="12"/>
      <c r="B2822" s="13"/>
      <c r="C2822" s="14"/>
      <c r="D2822" s="13"/>
      <c r="E2822" s="15"/>
      <c r="F2822" s="15"/>
      <c r="G2822" s="15"/>
      <c r="H2822" s="14"/>
      <c r="I2822" s="16" t="str">
        <f aca="false">IF(OR(A2822="",C2822=""),"",IF(OR(H2822="İade",H2822="İptal"),0,E2822*IFERROR(INDEX(Kanallar!$B$5:$B$19,MATCH(C2822,Kanallar!$A$5:$A$19,0)),0)))</f>
        <v/>
      </c>
      <c r="J2822" s="16" t="str">
        <f aca="false">IF(I2822="","",IF(H2822="İptal",0,IF(H2822="İade",-G2822,E2822-I2822-F2822-G2822)))</f>
        <v/>
      </c>
    </row>
    <row r="2823" customFormat="false" ht="15" hidden="false" customHeight="false" outlineLevel="0" collapsed="false">
      <c r="A2823" s="12"/>
      <c r="B2823" s="13"/>
      <c r="C2823" s="14"/>
      <c r="D2823" s="13"/>
      <c r="E2823" s="15"/>
      <c r="F2823" s="15"/>
      <c r="G2823" s="15"/>
      <c r="H2823" s="14"/>
      <c r="I2823" s="16" t="str">
        <f aca="false">IF(OR(A2823="",C2823=""),"",IF(OR(H2823="İade",H2823="İptal"),0,E2823*IFERROR(INDEX(Kanallar!$B$5:$B$19,MATCH(C2823,Kanallar!$A$5:$A$19,0)),0)))</f>
        <v/>
      </c>
      <c r="J2823" s="16" t="str">
        <f aca="false">IF(I2823="","",IF(H2823="İptal",0,IF(H2823="İade",-G2823,E2823-I2823-F2823-G2823)))</f>
        <v/>
      </c>
    </row>
    <row r="2824" customFormat="false" ht="15" hidden="false" customHeight="false" outlineLevel="0" collapsed="false">
      <c r="A2824" s="12"/>
      <c r="B2824" s="13"/>
      <c r="C2824" s="14"/>
      <c r="D2824" s="13"/>
      <c r="E2824" s="15"/>
      <c r="F2824" s="15"/>
      <c r="G2824" s="15"/>
      <c r="H2824" s="14"/>
      <c r="I2824" s="16" t="str">
        <f aca="false">IF(OR(A2824="",C2824=""),"",IF(OR(H2824="İade",H2824="İptal"),0,E2824*IFERROR(INDEX(Kanallar!$B$5:$B$19,MATCH(C2824,Kanallar!$A$5:$A$19,0)),0)))</f>
        <v/>
      </c>
      <c r="J2824" s="16" t="str">
        <f aca="false">IF(I2824="","",IF(H2824="İptal",0,IF(H2824="İade",-G2824,E2824-I2824-F2824-G2824)))</f>
        <v/>
      </c>
    </row>
    <row r="2825" customFormat="false" ht="15" hidden="false" customHeight="false" outlineLevel="0" collapsed="false">
      <c r="A2825" s="12"/>
      <c r="B2825" s="13"/>
      <c r="C2825" s="14"/>
      <c r="D2825" s="13"/>
      <c r="E2825" s="15"/>
      <c r="F2825" s="15"/>
      <c r="G2825" s="15"/>
      <c r="H2825" s="14"/>
      <c r="I2825" s="16" t="str">
        <f aca="false">IF(OR(A2825="",C2825=""),"",IF(OR(H2825="İade",H2825="İptal"),0,E2825*IFERROR(INDEX(Kanallar!$B$5:$B$19,MATCH(C2825,Kanallar!$A$5:$A$19,0)),0)))</f>
        <v/>
      </c>
      <c r="J2825" s="16" t="str">
        <f aca="false">IF(I2825="","",IF(H2825="İptal",0,IF(H2825="İade",-G2825,E2825-I2825-F2825-G2825)))</f>
        <v/>
      </c>
    </row>
    <row r="2826" customFormat="false" ht="15" hidden="false" customHeight="false" outlineLevel="0" collapsed="false">
      <c r="A2826" s="12"/>
      <c r="B2826" s="13"/>
      <c r="C2826" s="14"/>
      <c r="D2826" s="13"/>
      <c r="E2826" s="15"/>
      <c r="F2826" s="15"/>
      <c r="G2826" s="15"/>
      <c r="H2826" s="14"/>
      <c r="I2826" s="16" t="str">
        <f aca="false">IF(OR(A2826="",C2826=""),"",IF(OR(H2826="İade",H2826="İptal"),0,E2826*IFERROR(INDEX(Kanallar!$B$5:$B$19,MATCH(C2826,Kanallar!$A$5:$A$19,0)),0)))</f>
        <v/>
      </c>
      <c r="J2826" s="16" t="str">
        <f aca="false">IF(I2826="","",IF(H2826="İptal",0,IF(H2826="İade",-G2826,E2826-I2826-F2826-G2826)))</f>
        <v/>
      </c>
    </row>
    <row r="2827" customFormat="false" ht="15" hidden="false" customHeight="false" outlineLevel="0" collapsed="false">
      <c r="A2827" s="12"/>
      <c r="B2827" s="13"/>
      <c r="C2827" s="14"/>
      <c r="D2827" s="13"/>
      <c r="E2827" s="15"/>
      <c r="F2827" s="15"/>
      <c r="G2827" s="15"/>
      <c r="H2827" s="14"/>
      <c r="I2827" s="16" t="str">
        <f aca="false">IF(OR(A2827="",C2827=""),"",IF(OR(H2827="İade",H2827="İptal"),0,E2827*IFERROR(INDEX(Kanallar!$B$5:$B$19,MATCH(C2827,Kanallar!$A$5:$A$19,0)),0)))</f>
        <v/>
      </c>
      <c r="J2827" s="16" t="str">
        <f aca="false">IF(I2827="","",IF(H2827="İptal",0,IF(H2827="İade",-G2827,E2827-I2827-F2827-G2827)))</f>
        <v/>
      </c>
    </row>
    <row r="2828" customFormat="false" ht="15" hidden="false" customHeight="false" outlineLevel="0" collapsed="false">
      <c r="A2828" s="12"/>
      <c r="B2828" s="13"/>
      <c r="C2828" s="14"/>
      <c r="D2828" s="13"/>
      <c r="E2828" s="15"/>
      <c r="F2828" s="15"/>
      <c r="G2828" s="15"/>
      <c r="H2828" s="14"/>
      <c r="I2828" s="16" t="str">
        <f aca="false">IF(OR(A2828="",C2828=""),"",IF(OR(H2828="İade",H2828="İptal"),0,E2828*IFERROR(INDEX(Kanallar!$B$5:$B$19,MATCH(C2828,Kanallar!$A$5:$A$19,0)),0)))</f>
        <v/>
      </c>
      <c r="J2828" s="16" t="str">
        <f aca="false">IF(I2828="","",IF(H2828="İptal",0,IF(H2828="İade",-G2828,E2828-I2828-F2828-G2828)))</f>
        <v/>
      </c>
    </row>
    <row r="2829" customFormat="false" ht="15" hidden="false" customHeight="false" outlineLevel="0" collapsed="false">
      <c r="A2829" s="12"/>
      <c r="B2829" s="13"/>
      <c r="C2829" s="14"/>
      <c r="D2829" s="13"/>
      <c r="E2829" s="15"/>
      <c r="F2829" s="15"/>
      <c r="G2829" s="15"/>
      <c r="H2829" s="14"/>
      <c r="I2829" s="16" t="str">
        <f aca="false">IF(OR(A2829="",C2829=""),"",IF(OR(H2829="İade",H2829="İptal"),0,E2829*IFERROR(INDEX(Kanallar!$B$5:$B$19,MATCH(C2829,Kanallar!$A$5:$A$19,0)),0)))</f>
        <v/>
      </c>
      <c r="J2829" s="16" t="str">
        <f aca="false">IF(I2829="","",IF(H2829="İptal",0,IF(H2829="İade",-G2829,E2829-I2829-F2829-G2829)))</f>
        <v/>
      </c>
    </row>
    <row r="2830" customFormat="false" ht="15" hidden="false" customHeight="false" outlineLevel="0" collapsed="false">
      <c r="A2830" s="12"/>
      <c r="B2830" s="13"/>
      <c r="C2830" s="14"/>
      <c r="D2830" s="13"/>
      <c r="E2830" s="15"/>
      <c r="F2830" s="15"/>
      <c r="G2830" s="15"/>
      <c r="H2830" s="14"/>
      <c r="I2830" s="16" t="str">
        <f aca="false">IF(OR(A2830="",C2830=""),"",IF(OR(H2830="İade",H2830="İptal"),0,E2830*IFERROR(INDEX(Kanallar!$B$5:$B$19,MATCH(C2830,Kanallar!$A$5:$A$19,0)),0)))</f>
        <v/>
      </c>
      <c r="J2830" s="16" t="str">
        <f aca="false">IF(I2830="","",IF(H2830="İptal",0,IF(H2830="İade",-G2830,E2830-I2830-F2830-G2830)))</f>
        <v/>
      </c>
    </row>
    <row r="2831" customFormat="false" ht="15" hidden="false" customHeight="false" outlineLevel="0" collapsed="false">
      <c r="A2831" s="12"/>
      <c r="B2831" s="13"/>
      <c r="C2831" s="14"/>
      <c r="D2831" s="13"/>
      <c r="E2831" s="15"/>
      <c r="F2831" s="15"/>
      <c r="G2831" s="15"/>
      <c r="H2831" s="14"/>
      <c r="I2831" s="16" t="str">
        <f aca="false">IF(OR(A2831="",C2831=""),"",IF(OR(H2831="İade",H2831="İptal"),0,E2831*IFERROR(INDEX(Kanallar!$B$5:$B$19,MATCH(C2831,Kanallar!$A$5:$A$19,0)),0)))</f>
        <v/>
      </c>
      <c r="J2831" s="16" t="str">
        <f aca="false">IF(I2831="","",IF(H2831="İptal",0,IF(H2831="İade",-G2831,E2831-I2831-F2831-G2831)))</f>
        <v/>
      </c>
    </row>
    <row r="2832" customFormat="false" ht="15" hidden="false" customHeight="false" outlineLevel="0" collapsed="false">
      <c r="A2832" s="12"/>
      <c r="B2832" s="13"/>
      <c r="C2832" s="14"/>
      <c r="D2832" s="13"/>
      <c r="E2832" s="15"/>
      <c r="F2832" s="15"/>
      <c r="G2832" s="15"/>
      <c r="H2832" s="14"/>
      <c r="I2832" s="16" t="str">
        <f aca="false">IF(OR(A2832="",C2832=""),"",IF(OR(H2832="İade",H2832="İptal"),0,E2832*IFERROR(INDEX(Kanallar!$B$5:$B$19,MATCH(C2832,Kanallar!$A$5:$A$19,0)),0)))</f>
        <v/>
      </c>
      <c r="J2832" s="16" t="str">
        <f aca="false">IF(I2832="","",IF(H2832="İptal",0,IF(H2832="İade",-G2832,E2832-I2832-F2832-G2832)))</f>
        <v/>
      </c>
    </row>
    <row r="2833" customFormat="false" ht="15" hidden="false" customHeight="false" outlineLevel="0" collapsed="false">
      <c r="A2833" s="12"/>
      <c r="B2833" s="13"/>
      <c r="C2833" s="14"/>
      <c r="D2833" s="13"/>
      <c r="E2833" s="15"/>
      <c r="F2833" s="15"/>
      <c r="G2833" s="15"/>
      <c r="H2833" s="14"/>
      <c r="I2833" s="16" t="str">
        <f aca="false">IF(OR(A2833="",C2833=""),"",IF(OR(H2833="İade",H2833="İptal"),0,E2833*IFERROR(INDEX(Kanallar!$B$5:$B$19,MATCH(C2833,Kanallar!$A$5:$A$19,0)),0)))</f>
        <v/>
      </c>
      <c r="J2833" s="16" t="str">
        <f aca="false">IF(I2833="","",IF(H2833="İptal",0,IF(H2833="İade",-G2833,E2833-I2833-F2833-G2833)))</f>
        <v/>
      </c>
    </row>
    <row r="2834" customFormat="false" ht="15" hidden="false" customHeight="false" outlineLevel="0" collapsed="false">
      <c r="A2834" s="12"/>
      <c r="B2834" s="13"/>
      <c r="C2834" s="14"/>
      <c r="D2834" s="13"/>
      <c r="E2834" s="15"/>
      <c r="F2834" s="15"/>
      <c r="G2834" s="15"/>
      <c r="H2834" s="14"/>
      <c r="I2834" s="16" t="str">
        <f aca="false">IF(OR(A2834="",C2834=""),"",IF(OR(H2834="İade",H2834="İptal"),0,E2834*IFERROR(INDEX(Kanallar!$B$5:$B$19,MATCH(C2834,Kanallar!$A$5:$A$19,0)),0)))</f>
        <v/>
      </c>
      <c r="J2834" s="16" t="str">
        <f aca="false">IF(I2834="","",IF(H2834="İptal",0,IF(H2834="İade",-G2834,E2834-I2834-F2834-G2834)))</f>
        <v/>
      </c>
    </row>
    <row r="2835" customFormat="false" ht="15" hidden="false" customHeight="false" outlineLevel="0" collapsed="false">
      <c r="A2835" s="12"/>
      <c r="B2835" s="13"/>
      <c r="C2835" s="14"/>
      <c r="D2835" s="13"/>
      <c r="E2835" s="15"/>
      <c r="F2835" s="15"/>
      <c r="G2835" s="15"/>
      <c r="H2835" s="14"/>
      <c r="I2835" s="16" t="str">
        <f aca="false">IF(OR(A2835="",C2835=""),"",IF(OR(H2835="İade",H2835="İptal"),0,E2835*IFERROR(INDEX(Kanallar!$B$5:$B$19,MATCH(C2835,Kanallar!$A$5:$A$19,0)),0)))</f>
        <v/>
      </c>
      <c r="J2835" s="16" t="str">
        <f aca="false">IF(I2835="","",IF(H2835="İptal",0,IF(H2835="İade",-G2835,E2835-I2835-F2835-G2835)))</f>
        <v/>
      </c>
    </row>
    <row r="2836" customFormat="false" ht="15" hidden="false" customHeight="false" outlineLevel="0" collapsed="false">
      <c r="A2836" s="12"/>
      <c r="B2836" s="13"/>
      <c r="C2836" s="14"/>
      <c r="D2836" s="13"/>
      <c r="E2836" s="15"/>
      <c r="F2836" s="15"/>
      <c r="G2836" s="15"/>
      <c r="H2836" s="14"/>
      <c r="I2836" s="16" t="str">
        <f aca="false">IF(OR(A2836="",C2836=""),"",IF(OR(H2836="İade",H2836="İptal"),0,E2836*IFERROR(INDEX(Kanallar!$B$5:$B$19,MATCH(C2836,Kanallar!$A$5:$A$19,0)),0)))</f>
        <v/>
      </c>
      <c r="J2836" s="16" t="str">
        <f aca="false">IF(I2836="","",IF(H2836="İptal",0,IF(H2836="İade",-G2836,E2836-I2836-F2836-G2836)))</f>
        <v/>
      </c>
    </row>
    <row r="2837" customFormat="false" ht="15" hidden="false" customHeight="false" outlineLevel="0" collapsed="false">
      <c r="A2837" s="12"/>
      <c r="B2837" s="13"/>
      <c r="C2837" s="14"/>
      <c r="D2837" s="13"/>
      <c r="E2837" s="15"/>
      <c r="F2837" s="15"/>
      <c r="G2837" s="15"/>
      <c r="H2837" s="14"/>
      <c r="I2837" s="16" t="str">
        <f aca="false">IF(OR(A2837="",C2837=""),"",IF(OR(H2837="İade",H2837="İptal"),0,E2837*IFERROR(INDEX(Kanallar!$B$5:$B$19,MATCH(C2837,Kanallar!$A$5:$A$19,0)),0)))</f>
        <v/>
      </c>
      <c r="J2837" s="16" t="str">
        <f aca="false">IF(I2837="","",IF(H2837="İptal",0,IF(H2837="İade",-G2837,E2837-I2837-F2837-G2837)))</f>
        <v/>
      </c>
    </row>
    <row r="2838" customFormat="false" ht="15" hidden="false" customHeight="false" outlineLevel="0" collapsed="false">
      <c r="A2838" s="12"/>
      <c r="B2838" s="13"/>
      <c r="C2838" s="14"/>
      <c r="D2838" s="13"/>
      <c r="E2838" s="15"/>
      <c r="F2838" s="15"/>
      <c r="G2838" s="15"/>
      <c r="H2838" s="14"/>
      <c r="I2838" s="16" t="str">
        <f aca="false">IF(OR(A2838="",C2838=""),"",IF(OR(H2838="İade",H2838="İptal"),0,E2838*IFERROR(INDEX(Kanallar!$B$5:$B$19,MATCH(C2838,Kanallar!$A$5:$A$19,0)),0)))</f>
        <v/>
      </c>
      <c r="J2838" s="16" t="str">
        <f aca="false">IF(I2838="","",IF(H2838="İptal",0,IF(H2838="İade",-G2838,E2838-I2838-F2838-G2838)))</f>
        <v/>
      </c>
    </row>
    <row r="2839" customFormat="false" ht="15" hidden="false" customHeight="false" outlineLevel="0" collapsed="false">
      <c r="A2839" s="12"/>
      <c r="B2839" s="13"/>
      <c r="C2839" s="14"/>
      <c r="D2839" s="13"/>
      <c r="E2839" s="15"/>
      <c r="F2839" s="15"/>
      <c r="G2839" s="15"/>
      <c r="H2839" s="14"/>
      <c r="I2839" s="16" t="str">
        <f aca="false">IF(OR(A2839="",C2839=""),"",IF(OR(H2839="İade",H2839="İptal"),0,E2839*IFERROR(INDEX(Kanallar!$B$5:$B$19,MATCH(C2839,Kanallar!$A$5:$A$19,0)),0)))</f>
        <v/>
      </c>
      <c r="J2839" s="16" t="str">
        <f aca="false">IF(I2839="","",IF(H2839="İptal",0,IF(H2839="İade",-G2839,E2839-I2839-F2839-G2839)))</f>
        <v/>
      </c>
    </row>
    <row r="2840" customFormat="false" ht="15" hidden="false" customHeight="false" outlineLevel="0" collapsed="false">
      <c r="A2840" s="12"/>
      <c r="B2840" s="13"/>
      <c r="C2840" s="14"/>
      <c r="D2840" s="13"/>
      <c r="E2840" s="15"/>
      <c r="F2840" s="15"/>
      <c r="G2840" s="15"/>
      <c r="H2840" s="14"/>
      <c r="I2840" s="16" t="str">
        <f aca="false">IF(OR(A2840="",C2840=""),"",IF(OR(H2840="İade",H2840="İptal"),0,E2840*IFERROR(INDEX(Kanallar!$B$5:$B$19,MATCH(C2840,Kanallar!$A$5:$A$19,0)),0)))</f>
        <v/>
      </c>
      <c r="J2840" s="16" t="str">
        <f aca="false">IF(I2840="","",IF(H2840="İptal",0,IF(H2840="İade",-G2840,E2840-I2840-F2840-G2840)))</f>
        <v/>
      </c>
    </row>
    <row r="2841" customFormat="false" ht="15" hidden="false" customHeight="false" outlineLevel="0" collapsed="false">
      <c r="A2841" s="12"/>
      <c r="B2841" s="13"/>
      <c r="C2841" s="14"/>
      <c r="D2841" s="13"/>
      <c r="E2841" s="15"/>
      <c r="F2841" s="15"/>
      <c r="G2841" s="15"/>
      <c r="H2841" s="14"/>
      <c r="I2841" s="16" t="str">
        <f aca="false">IF(OR(A2841="",C2841=""),"",IF(OR(H2841="İade",H2841="İptal"),0,E2841*IFERROR(INDEX(Kanallar!$B$5:$B$19,MATCH(C2841,Kanallar!$A$5:$A$19,0)),0)))</f>
        <v/>
      </c>
      <c r="J2841" s="16" t="str">
        <f aca="false">IF(I2841="","",IF(H2841="İptal",0,IF(H2841="İade",-G2841,E2841-I2841-F2841-G2841)))</f>
        <v/>
      </c>
    </row>
    <row r="2842" customFormat="false" ht="15" hidden="false" customHeight="false" outlineLevel="0" collapsed="false">
      <c r="A2842" s="12"/>
      <c r="B2842" s="13"/>
      <c r="C2842" s="14"/>
      <c r="D2842" s="13"/>
      <c r="E2842" s="15"/>
      <c r="F2842" s="15"/>
      <c r="G2842" s="15"/>
      <c r="H2842" s="14"/>
      <c r="I2842" s="16" t="str">
        <f aca="false">IF(OR(A2842="",C2842=""),"",IF(OR(H2842="İade",H2842="İptal"),0,E2842*IFERROR(INDEX(Kanallar!$B$5:$B$19,MATCH(C2842,Kanallar!$A$5:$A$19,0)),0)))</f>
        <v/>
      </c>
      <c r="J2842" s="16" t="str">
        <f aca="false">IF(I2842="","",IF(H2842="İptal",0,IF(H2842="İade",-G2842,E2842-I2842-F2842-G2842)))</f>
        <v/>
      </c>
    </row>
    <row r="2843" customFormat="false" ht="15" hidden="false" customHeight="false" outlineLevel="0" collapsed="false">
      <c r="A2843" s="12"/>
      <c r="B2843" s="13"/>
      <c r="C2843" s="14"/>
      <c r="D2843" s="13"/>
      <c r="E2843" s="15"/>
      <c r="F2843" s="15"/>
      <c r="G2843" s="15"/>
      <c r="H2843" s="14"/>
      <c r="I2843" s="16" t="str">
        <f aca="false">IF(OR(A2843="",C2843=""),"",IF(OR(H2843="İade",H2843="İptal"),0,E2843*IFERROR(INDEX(Kanallar!$B$5:$B$19,MATCH(C2843,Kanallar!$A$5:$A$19,0)),0)))</f>
        <v/>
      </c>
      <c r="J2843" s="16" t="str">
        <f aca="false">IF(I2843="","",IF(H2843="İptal",0,IF(H2843="İade",-G2843,E2843-I2843-F2843-G2843)))</f>
        <v/>
      </c>
    </row>
    <row r="2844" customFormat="false" ht="15" hidden="false" customHeight="false" outlineLevel="0" collapsed="false">
      <c r="A2844" s="12"/>
      <c r="B2844" s="13"/>
      <c r="C2844" s="14"/>
      <c r="D2844" s="13"/>
      <c r="E2844" s="15"/>
      <c r="F2844" s="15"/>
      <c r="G2844" s="15"/>
      <c r="H2844" s="14"/>
      <c r="I2844" s="16" t="str">
        <f aca="false">IF(OR(A2844="",C2844=""),"",IF(OR(H2844="İade",H2844="İptal"),0,E2844*IFERROR(INDEX(Kanallar!$B$5:$B$19,MATCH(C2844,Kanallar!$A$5:$A$19,0)),0)))</f>
        <v/>
      </c>
      <c r="J2844" s="16" t="str">
        <f aca="false">IF(I2844="","",IF(H2844="İptal",0,IF(H2844="İade",-G2844,E2844-I2844-F2844-G2844)))</f>
        <v/>
      </c>
    </row>
    <row r="2845" customFormat="false" ht="15" hidden="false" customHeight="false" outlineLevel="0" collapsed="false">
      <c r="A2845" s="12"/>
      <c r="B2845" s="13"/>
      <c r="C2845" s="14"/>
      <c r="D2845" s="13"/>
      <c r="E2845" s="15"/>
      <c r="F2845" s="15"/>
      <c r="G2845" s="15"/>
      <c r="H2845" s="14"/>
      <c r="I2845" s="16" t="str">
        <f aca="false">IF(OR(A2845="",C2845=""),"",IF(OR(H2845="İade",H2845="İptal"),0,E2845*IFERROR(INDEX(Kanallar!$B$5:$B$19,MATCH(C2845,Kanallar!$A$5:$A$19,0)),0)))</f>
        <v/>
      </c>
      <c r="J2845" s="16" t="str">
        <f aca="false">IF(I2845="","",IF(H2845="İptal",0,IF(H2845="İade",-G2845,E2845-I2845-F2845-G2845)))</f>
        <v/>
      </c>
    </row>
    <row r="2846" customFormat="false" ht="15" hidden="false" customHeight="false" outlineLevel="0" collapsed="false">
      <c r="A2846" s="12"/>
      <c r="B2846" s="13"/>
      <c r="C2846" s="14"/>
      <c r="D2846" s="13"/>
      <c r="E2846" s="15"/>
      <c r="F2846" s="15"/>
      <c r="G2846" s="15"/>
      <c r="H2846" s="14"/>
      <c r="I2846" s="16" t="str">
        <f aca="false">IF(OR(A2846="",C2846=""),"",IF(OR(H2846="İade",H2846="İptal"),0,E2846*IFERROR(INDEX(Kanallar!$B$5:$B$19,MATCH(C2846,Kanallar!$A$5:$A$19,0)),0)))</f>
        <v/>
      </c>
      <c r="J2846" s="16" t="str">
        <f aca="false">IF(I2846="","",IF(H2846="İptal",0,IF(H2846="İade",-G2846,E2846-I2846-F2846-G2846)))</f>
        <v/>
      </c>
    </row>
    <row r="2847" customFormat="false" ht="15" hidden="false" customHeight="false" outlineLevel="0" collapsed="false">
      <c r="A2847" s="12"/>
      <c r="B2847" s="13"/>
      <c r="C2847" s="14"/>
      <c r="D2847" s="13"/>
      <c r="E2847" s="15"/>
      <c r="F2847" s="15"/>
      <c r="G2847" s="15"/>
      <c r="H2847" s="14"/>
      <c r="I2847" s="16" t="str">
        <f aca="false">IF(OR(A2847="",C2847=""),"",IF(OR(H2847="İade",H2847="İptal"),0,E2847*IFERROR(INDEX(Kanallar!$B$5:$B$19,MATCH(C2847,Kanallar!$A$5:$A$19,0)),0)))</f>
        <v/>
      </c>
      <c r="J2847" s="16" t="str">
        <f aca="false">IF(I2847="","",IF(H2847="İptal",0,IF(H2847="İade",-G2847,E2847-I2847-F2847-G2847)))</f>
        <v/>
      </c>
    </row>
    <row r="2848" customFormat="false" ht="15" hidden="false" customHeight="false" outlineLevel="0" collapsed="false">
      <c r="A2848" s="12"/>
      <c r="B2848" s="13"/>
      <c r="C2848" s="14"/>
      <c r="D2848" s="13"/>
      <c r="E2848" s="15"/>
      <c r="F2848" s="15"/>
      <c r="G2848" s="15"/>
      <c r="H2848" s="14"/>
      <c r="I2848" s="16" t="str">
        <f aca="false">IF(OR(A2848="",C2848=""),"",IF(OR(H2848="İade",H2848="İptal"),0,E2848*IFERROR(INDEX(Kanallar!$B$5:$B$19,MATCH(C2848,Kanallar!$A$5:$A$19,0)),0)))</f>
        <v/>
      </c>
      <c r="J2848" s="16" t="str">
        <f aca="false">IF(I2848="","",IF(H2848="İptal",0,IF(H2848="İade",-G2848,E2848-I2848-F2848-G2848)))</f>
        <v/>
      </c>
    </row>
    <row r="2849" customFormat="false" ht="15" hidden="false" customHeight="false" outlineLevel="0" collapsed="false">
      <c r="A2849" s="12"/>
      <c r="B2849" s="13"/>
      <c r="C2849" s="14"/>
      <c r="D2849" s="13"/>
      <c r="E2849" s="15"/>
      <c r="F2849" s="15"/>
      <c r="G2849" s="15"/>
      <c r="H2849" s="14"/>
      <c r="I2849" s="16" t="str">
        <f aca="false">IF(OR(A2849="",C2849=""),"",IF(OR(H2849="İade",H2849="İptal"),0,E2849*IFERROR(INDEX(Kanallar!$B$5:$B$19,MATCH(C2849,Kanallar!$A$5:$A$19,0)),0)))</f>
        <v/>
      </c>
      <c r="J2849" s="16" t="str">
        <f aca="false">IF(I2849="","",IF(H2849="İptal",0,IF(H2849="İade",-G2849,E2849-I2849-F2849-G2849)))</f>
        <v/>
      </c>
    </row>
    <row r="2850" customFormat="false" ht="15" hidden="false" customHeight="false" outlineLevel="0" collapsed="false">
      <c r="A2850" s="12"/>
      <c r="B2850" s="13"/>
      <c r="C2850" s="14"/>
      <c r="D2850" s="13"/>
      <c r="E2850" s="15"/>
      <c r="F2850" s="15"/>
      <c r="G2850" s="15"/>
      <c r="H2850" s="14"/>
      <c r="I2850" s="16" t="str">
        <f aca="false">IF(OR(A2850="",C2850=""),"",IF(OR(H2850="İade",H2850="İptal"),0,E2850*IFERROR(INDEX(Kanallar!$B$5:$B$19,MATCH(C2850,Kanallar!$A$5:$A$19,0)),0)))</f>
        <v/>
      </c>
      <c r="J2850" s="16" t="str">
        <f aca="false">IF(I2850="","",IF(H2850="İptal",0,IF(H2850="İade",-G2850,E2850-I2850-F2850-G2850)))</f>
        <v/>
      </c>
    </row>
    <row r="2851" customFormat="false" ht="15" hidden="false" customHeight="false" outlineLevel="0" collapsed="false">
      <c r="A2851" s="12"/>
      <c r="B2851" s="13"/>
      <c r="C2851" s="14"/>
      <c r="D2851" s="13"/>
      <c r="E2851" s="15"/>
      <c r="F2851" s="15"/>
      <c r="G2851" s="15"/>
      <c r="H2851" s="14"/>
      <c r="I2851" s="16" t="str">
        <f aca="false">IF(OR(A2851="",C2851=""),"",IF(OR(H2851="İade",H2851="İptal"),0,E2851*IFERROR(INDEX(Kanallar!$B$5:$B$19,MATCH(C2851,Kanallar!$A$5:$A$19,0)),0)))</f>
        <v/>
      </c>
      <c r="J2851" s="16" t="str">
        <f aca="false">IF(I2851="","",IF(H2851="İptal",0,IF(H2851="İade",-G2851,E2851-I2851-F2851-G2851)))</f>
        <v/>
      </c>
    </row>
    <row r="2852" customFormat="false" ht="15" hidden="false" customHeight="false" outlineLevel="0" collapsed="false">
      <c r="A2852" s="12"/>
      <c r="B2852" s="13"/>
      <c r="C2852" s="14"/>
      <c r="D2852" s="13"/>
      <c r="E2852" s="15"/>
      <c r="F2852" s="15"/>
      <c r="G2852" s="15"/>
      <c r="H2852" s="14"/>
      <c r="I2852" s="16" t="str">
        <f aca="false">IF(OR(A2852="",C2852=""),"",IF(OR(H2852="İade",H2852="İptal"),0,E2852*IFERROR(INDEX(Kanallar!$B$5:$B$19,MATCH(C2852,Kanallar!$A$5:$A$19,0)),0)))</f>
        <v/>
      </c>
      <c r="J2852" s="16" t="str">
        <f aca="false">IF(I2852="","",IF(H2852="İptal",0,IF(H2852="İade",-G2852,E2852-I2852-F2852-G2852)))</f>
        <v/>
      </c>
    </row>
    <row r="2853" customFormat="false" ht="15" hidden="false" customHeight="false" outlineLevel="0" collapsed="false">
      <c r="A2853" s="12"/>
      <c r="B2853" s="13"/>
      <c r="C2853" s="14"/>
      <c r="D2853" s="13"/>
      <c r="E2853" s="15"/>
      <c r="F2853" s="15"/>
      <c r="G2853" s="15"/>
      <c r="H2853" s="14"/>
      <c r="I2853" s="16" t="str">
        <f aca="false">IF(OR(A2853="",C2853=""),"",IF(OR(H2853="İade",H2853="İptal"),0,E2853*IFERROR(INDEX(Kanallar!$B$5:$B$19,MATCH(C2853,Kanallar!$A$5:$A$19,0)),0)))</f>
        <v/>
      </c>
      <c r="J2853" s="16" t="str">
        <f aca="false">IF(I2853="","",IF(H2853="İptal",0,IF(H2853="İade",-G2853,E2853-I2853-F2853-G2853)))</f>
        <v/>
      </c>
    </row>
    <row r="2854" customFormat="false" ht="15" hidden="false" customHeight="false" outlineLevel="0" collapsed="false">
      <c r="A2854" s="12"/>
      <c r="B2854" s="13"/>
      <c r="C2854" s="14"/>
      <c r="D2854" s="13"/>
      <c r="E2854" s="15"/>
      <c r="F2854" s="15"/>
      <c r="G2854" s="15"/>
      <c r="H2854" s="14"/>
      <c r="I2854" s="16" t="str">
        <f aca="false">IF(OR(A2854="",C2854=""),"",IF(OR(H2854="İade",H2854="İptal"),0,E2854*IFERROR(INDEX(Kanallar!$B$5:$B$19,MATCH(C2854,Kanallar!$A$5:$A$19,0)),0)))</f>
        <v/>
      </c>
      <c r="J2854" s="16" t="str">
        <f aca="false">IF(I2854="","",IF(H2854="İptal",0,IF(H2854="İade",-G2854,E2854-I2854-F2854-G2854)))</f>
        <v/>
      </c>
    </row>
    <row r="2855" customFormat="false" ht="15" hidden="false" customHeight="false" outlineLevel="0" collapsed="false">
      <c r="A2855" s="12"/>
      <c r="B2855" s="13"/>
      <c r="C2855" s="14"/>
      <c r="D2855" s="13"/>
      <c r="E2855" s="15"/>
      <c r="F2855" s="15"/>
      <c r="G2855" s="15"/>
      <c r="H2855" s="14"/>
      <c r="I2855" s="16" t="str">
        <f aca="false">IF(OR(A2855="",C2855=""),"",IF(OR(H2855="İade",H2855="İptal"),0,E2855*IFERROR(INDEX(Kanallar!$B$5:$B$19,MATCH(C2855,Kanallar!$A$5:$A$19,0)),0)))</f>
        <v/>
      </c>
      <c r="J2855" s="16" t="str">
        <f aca="false">IF(I2855="","",IF(H2855="İptal",0,IF(H2855="İade",-G2855,E2855-I2855-F2855-G2855)))</f>
        <v/>
      </c>
    </row>
    <row r="2856" customFormat="false" ht="15" hidden="false" customHeight="false" outlineLevel="0" collapsed="false">
      <c r="A2856" s="12"/>
      <c r="B2856" s="13"/>
      <c r="C2856" s="14"/>
      <c r="D2856" s="13"/>
      <c r="E2856" s="15"/>
      <c r="F2856" s="15"/>
      <c r="G2856" s="15"/>
      <c r="H2856" s="14"/>
      <c r="I2856" s="16" t="str">
        <f aca="false">IF(OR(A2856="",C2856=""),"",IF(OR(H2856="İade",H2856="İptal"),0,E2856*IFERROR(INDEX(Kanallar!$B$5:$B$19,MATCH(C2856,Kanallar!$A$5:$A$19,0)),0)))</f>
        <v/>
      </c>
      <c r="J2856" s="16" t="str">
        <f aca="false">IF(I2856="","",IF(H2856="İptal",0,IF(H2856="İade",-G2856,E2856-I2856-F2856-G2856)))</f>
        <v/>
      </c>
    </row>
    <row r="2857" customFormat="false" ht="15" hidden="false" customHeight="false" outlineLevel="0" collapsed="false">
      <c r="A2857" s="12"/>
      <c r="B2857" s="13"/>
      <c r="C2857" s="14"/>
      <c r="D2857" s="13"/>
      <c r="E2857" s="15"/>
      <c r="F2857" s="15"/>
      <c r="G2857" s="15"/>
      <c r="H2857" s="14"/>
      <c r="I2857" s="16" t="str">
        <f aca="false">IF(OR(A2857="",C2857=""),"",IF(OR(H2857="İade",H2857="İptal"),0,E2857*IFERROR(INDEX(Kanallar!$B$5:$B$19,MATCH(C2857,Kanallar!$A$5:$A$19,0)),0)))</f>
        <v/>
      </c>
      <c r="J2857" s="16" t="str">
        <f aca="false">IF(I2857="","",IF(H2857="İptal",0,IF(H2857="İade",-G2857,E2857-I2857-F2857-G2857)))</f>
        <v/>
      </c>
    </row>
    <row r="2858" customFormat="false" ht="15" hidden="false" customHeight="false" outlineLevel="0" collapsed="false">
      <c r="A2858" s="12"/>
      <c r="B2858" s="13"/>
      <c r="C2858" s="14"/>
      <c r="D2858" s="13"/>
      <c r="E2858" s="15"/>
      <c r="F2858" s="15"/>
      <c r="G2858" s="15"/>
      <c r="H2858" s="14"/>
      <c r="I2858" s="16" t="str">
        <f aca="false">IF(OR(A2858="",C2858=""),"",IF(OR(H2858="İade",H2858="İptal"),0,E2858*IFERROR(INDEX(Kanallar!$B$5:$B$19,MATCH(C2858,Kanallar!$A$5:$A$19,0)),0)))</f>
        <v/>
      </c>
      <c r="J2858" s="16" t="str">
        <f aca="false">IF(I2858="","",IF(H2858="İptal",0,IF(H2858="İade",-G2858,E2858-I2858-F2858-G2858)))</f>
        <v/>
      </c>
    </row>
    <row r="2859" customFormat="false" ht="15" hidden="false" customHeight="false" outlineLevel="0" collapsed="false">
      <c r="A2859" s="12"/>
      <c r="B2859" s="13"/>
      <c r="C2859" s="14"/>
      <c r="D2859" s="13"/>
      <c r="E2859" s="15"/>
      <c r="F2859" s="15"/>
      <c r="G2859" s="15"/>
      <c r="H2859" s="14"/>
      <c r="I2859" s="16" t="str">
        <f aca="false">IF(OR(A2859="",C2859=""),"",IF(OR(H2859="İade",H2859="İptal"),0,E2859*IFERROR(INDEX(Kanallar!$B$5:$B$19,MATCH(C2859,Kanallar!$A$5:$A$19,0)),0)))</f>
        <v/>
      </c>
      <c r="J2859" s="16" t="str">
        <f aca="false">IF(I2859="","",IF(H2859="İptal",0,IF(H2859="İade",-G2859,E2859-I2859-F2859-G2859)))</f>
        <v/>
      </c>
    </row>
    <row r="2860" customFormat="false" ht="15" hidden="false" customHeight="false" outlineLevel="0" collapsed="false">
      <c r="A2860" s="12"/>
      <c r="B2860" s="13"/>
      <c r="C2860" s="14"/>
      <c r="D2860" s="13"/>
      <c r="E2860" s="15"/>
      <c r="F2860" s="15"/>
      <c r="G2860" s="15"/>
      <c r="H2860" s="14"/>
      <c r="I2860" s="16" t="str">
        <f aca="false">IF(OR(A2860="",C2860=""),"",IF(OR(H2860="İade",H2860="İptal"),0,E2860*IFERROR(INDEX(Kanallar!$B$5:$B$19,MATCH(C2860,Kanallar!$A$5:$A$19,0)),0)))</f>
        <v/>
      </c>
      <c r="J2860" s="16" t="str">
        <f aca="false">IF(I2860="","",IF(H2860="İptal",0,IF(H2860="İade",-G2860,E2860-I2860-F2860-G2860)))</f>
        <v/>
      </c>
    </row>
    <row r="2861" customFormat="false" ht="15" hidden="false" customHeight="false" outlineLevel="0" collapsed="false">
      <c r="A2861" s="12"/>
      <c r="B2861" s="13"/>
      <c r="C2861" s="14"/>
      <c r="D2861" s="13"/>
      <c r="E2861" s="15"/>
      <c r="F2861" s="15"/>
      <c r="G2861" s="15"/>
      <c r="H2861" s="14"/>
      <c r="I2861" s="16" t="str">
        <f aca="false">IF(OR(A2861="",C2861=""),"",IF(OR(H2861="İade",H2861="İptal"),0,E2861*IFERROR(INDEX(Kanallar!$B$5:$B$19,MATCH(C2861,Kanallar!$A$5:$A$19,0)),0)))</f>
        <v/>
      </c>
      <c r="J2861" s="16" t="str">
        <f aca="false">IF(I2861="","",IF(H2861="İptal",0,IF(H2861="İade",-G2861,E2861-I2861-F2861-G2861)))</f>
        <v/>
      </c>
    </row>
    <row r="2862" customFormat="false" ht="15" hidden="false" customHeight="false" outlineLevel="0" collapsed="false">
      <c r="A2862" s="12"/>
      <c r="B2862" s="13"/>
      <c r="C2862" s="14"/>
      <c r="D2862" s="13"/>
      <c r="E2862" s="15"/>
      <c r="F2862" s="15"/>
      <c r="G2862" s="15"/>
      <c r="H2862" s="14"/>
      <c r="I2862" s="16" t="str">
        <f aca="false">IF(OR(A2862="",C2862=""),"",IF(OR(H2862="İade",H2862="İptal"),0,E2862*IFERROR(INDEX(Kanallar!$B$5:$B$19,MATCH(C2862,Kanallar!$A$5:$A$19,0)),0)))</f>
        <v/>
      </c>
      <c r="J2862" s="16" t="str">
        <f aca="false">IF(I2862="","",IF(H2862="İptal",0,IF(H2862="İade",-G2862,E2862-I2862-F2862-G2862)))</f>
        <v/>
      </c>
    </row>
    <row r="2863" customFormat="false" ht="15" hidden="false" customHeight="false" outlineLevel="0" collapsed="false">
      <c r="A2863" s="12"/>
      <c r="B2863" s="13"/>
      <c r="C2863" s="14"/>
      <c r="D2863" s="13"/>
      <c r="E2863" s="15"/>
      <c r="F2863" s="15"/>
      <c r="G2863" s="15"/>
      <c r="H2863" s="14"/>
      <c r="I2863" s="16" t="str">
        <f aca="false">IF(OR(A2863="",C2863=""),"",IF(OR(H2863="İade",H2863="İptal"),0,E2863*IFERROR(INDEX(Kanallar!$B$5:$B$19,MATCH(C2863,Kanallar!$A$5:$A$19,0)),0)))</f>
        <v/>
      </c>
      <c r="J2863" s="16" t="str">
        <f aca="false">IF(I2863="","",IF(H2863="İptal",0,IF(H2863="İade",-G2863,E2863-I2863-F2863-G2863)))</f>
        <v/>
      </c>
    </row>
    <row r="2864" customFormat="false" ht="15" hidden="false" customHeight="false" outlineLevel="0" collapsed="false">
      <c r="A2864" s="12"/>
      <c r="B2864" s="13"/>
      <c r="C2864" s="14"/>
      <c r="D2864" s="13"/>
      <c r="E2864" s="15"/>
      <c r="F2864" s="15"/>
      <c r="G2864" s="15"/>
      <c r="H2864" s="14"/>
      <c r="I2864" s="16" t="str">
        <f aca="false">IF(OR(A2864="",C2864=""),"",IF(OR(H2864="İade",H2864="İptal"),0,E2864*IFERROR(INDEX(Kanallar!$B$5:$B$19,MATCH(C2864,Kanallar!$A$5:$A$19,0)),0)))</f>
        <v/>
      </c>
      <c r="J2864" s="16" t="str">
        <f aca="false">IF(I2864="","",IF(H2864="İptal",0,IF(H2864="İade",-G2864,E2864-I2864-F2864-G2864)))</f>
        <v/>
      </c>
    </row>
    <row r="2865" customFormat="false" ht="15" hidden="false" customHeight="false" outlineLevel="0" collapsed="false">
      <c r="A2865" s="12"/>
      <c r="B2865" s="13"/>
      <c r="C2865" s="14"/>
      <c r="D2865" s="13"/>
      <c r="E2865" s="15"/>
      <c r="F2865" s="15"/>
      <c r="G2865" s="15"/>
      <c r="H2865" s="14"/>
      <c r="I2865" s="16" t="str">
        <f aca="false">IF(OR(A2865="",C2865=""),"",IF(OR(H2865="İade",H2865="İptal"),0,E2865*IFERROR(INDEX(Kanallar!$B$5:$B$19,MATCH(C2865,Kanallar!$A$5:$A$19,0)),0)))</f>
        <v/>
      </c>
      <c r="J2865" s="16" t="str">
        <f aca="false">IF(I2865="","",IF(H2865="İptal",0,IF(H2865="İade",-G2865,E2865-I2865-F2865-G2865)))</f>
        <v/>
      </c>
    </row>
    <row r="2866" customFormat="false" ht="15" hidden="false" customHeight="false" outlineLevel="0" collapsed="false">
      <c r="A2866" s="12"/>
      <c r="B2866" s="13"/>
      <c r="C2866" s="14"/>
      <c r="D2866" s="13"/>
      <c r="E2866" s="15"/>
      <c r="F2866" s="15"/>
      <c r="G2866" s="15"/>
      <c r="H2866" s="14"/>
      <c r="I2866" s="16" t="str">
        <f aca="false">IF(OR(A2866="",C2866=""),"",IF(OR(H2866="İade",H2866="İptal"),0,E2866*IFERROR(INDEX(Kanallar!$B$5:$B$19,MATCH(C2866,Kanallar!$A$5:$A$19,0)),0)))</f>
        <v/>
      </c>
      <c r="J2866" s="16" t="str">
        <f aca="false">IF(I2866="","",IF(H2866="İptal",0,IF(H2866="İade",-G2866,E2866-I2866-F2866-G2866)))</f>
        <v/>
      </c>
    </row>
    <row r="2867" customFormat="false" ht="15" hidden="false" customHeight="false" outlineLevel="0" collapsed="false">
      <c r="A2867" s="12"/>
      <c r="B2867" s="13"/>
      <c r="C2867" s="14"/>
      <c r="D2867" s="13"/>
      <c r="E2867" s="15"/>
      <c r="F2867" s="15"/>
      <c r="G2867" s="15"/>
      <c r="H2867" s="14"/>
      <c r="I2867" s="16" t="str">
        <f aca="false">IF(OR(A2867="",C2867=""),"",IF(OR(H2867="İade",H2867="İptal"),0,E2867*IFERROR(INDEX(Kanallar!$B$5:$B$19,MATCH(C2867,Kanallar!$A$5:$A$19,0)),0)))</f>
        <v/>
      </c>
      <c r="J2867" s="16" t="str">
        <f aca="false">IF(I2867="","",IF(H2867="İptal",0,IF(H2867="İade",-G2867,E2867-I2867-F2867-G2867)))</f>
        <v/>
      </c>
    </row>
    <row r="2868" customFormat="false" ht="15" hidden="false" customHeight="false" outlineLevel="0" collapsed="false">
      <c r="A2868" s="12"/>
      <c r="B2868" s="13"/>
      <c r="C2868" s="14"/>
      <c r="D2868" s="13"/>
      <c r="E2868" s="15"/>
      <c r="F2868" s="15"/>
      <c r="G2868" s="15"/>
      <c r="H2868" s="14"/>
      <c r="I2868" s="16" t="str">
        <f aca="false">IF(OR(A2868="",C2868=""),"",IF(OR(H2868="İade",H2868="İptal"),0,E2868*IFERROR(INDEX(Kanallar!$B$5:$B$19,MATCH(C2868,Kanallar!$A$5:$A$19,0)),0)))</f>
        <v/>
      </c>
      <c r="J2868" s="16" t="str">
        <f aca="false">IF(I2868="","",IF(H2868="İptal",0,IF(H2868="İade",-G2868,E2868-I2868-F2868-G2868)))</f>
        <v/>
      </c>
    </row>
    <row r="2869" customFormat="false" ht="15" hidden="false" customHeight="false" outlineLevel="0" collapsed="false">
      <c r="A2869" s="12"/>
      <c r="B2869" s="13"/>
      <c r="C2869" s="14"/>
      <c r="D2869" s="13"/>
      <c r="E2869" s="15"/>
      <c r="F2869" s="15"/>
      <c r="G2869" s="15"/>
      <c r="H2869" s="14"/>
      <c r="I2869" s="16" t="str">
        <f aca="false">IF(OR(A2869="",C2869=""),"",IF(OR(H2869="İade",H2869="İptal"),0,E2869*IFERROR(INDEX(Kanallar!$B$5:$B$19,MATCH(C2869,Kanallar!$A$5:$A$19,0)),0)))</f>
        <v/>
      </c>
      <c r="J2869" s="16" t="str">
        <f aca="false">IF(I2869="","",IF(H2869="İptal",0,IF(H2869="İade",-G2869,E2869-I2869-F2869-G2869)))</f>
        <v/>
      </c>
    </row>
    <row r="2870" customFormat="false" ht="15" hidden="false" customHeight="false" outlineLevel="0" collapsed="false">
      <c r="A2870" s="12"/>
      <c r="B2870" s="13"/>
      <c r="C2870" s="14"/>
      <c r="D2870" s="13"/>
      <c r="E2870" s="15"/>
      <c r="F2870" s="15"/>
      <c r="G2870" s="15"/>
      <c r="H2870" s="14"/>
      <c r="I2870" s="16" t="str">
        <f aca="false">IF(OR(A2870="",C2870=""),"",IF(OR(H2870="İade",H2870="İptal"),0,E2870*IFERROR(INDEX(Kanallar!$B$5:$B$19,MATCH(C2870,Kanallar!$A$5:$A$19,0)),0)))</f>
        <v/>
      </c>
      <c r="J2870" s="16" t="str">
        <f aca="false">IF(I2870="","",IF(H2870="İptal",0,IF(H2870="İade",-G2870,E2870-I2870-F2870-G2870)))</f>
        <v/>
      </c>
    </row>
    <row r="2871" customFormat="false" ht="15" hidden="false" customHeight="false" outlineLevel="0" collapsed="false">
      <c r="A2871" s="12"/>
      <c r="B2871" s="13"/>
      <c r="C2871" s="14"/>
      <c r="D2871" s="13"/>
      <c r="E2871" s="15"/>
      <c r="F2871" s="15"/>
      <c r="G2871" s="15"/>
      <c r="H2871" s="14"/>
      <c r="I2871" s="16" t="str">
        <f aca="false">IF(OR(A2871="",C2871=""),"",IF(OR(H2871="İade",H2871="İptal"),0,E2871*IFERROR(INDEX(Kanallar!$B$5:$B$19,MATCH(C2871,Kanallar!$A$5:$A$19,0)),0)))</f>
        <v/>
      </c>
      <c r="J2871" s="16" t="str">
        <f aca="false">IF(I2871="","",IF(H2871="İptal",0,IF(H2871="İade",-G2871,E2871-I2871-F2871-G2871)))</f>
        <v/>
      </c>
    </row>
    <row r="2872" customFormat="false" ht="15" hidden="false" customHeight="false" outlineLevel="0" collapsed="false">
      <c r="A2872" s="12"/>
      <c r="B2872" s="13"/>
      <c r="C2872" s="14"/>
      <c r="D2872" s="13"/>
      <c r="E2872" s="15"/>
      <c r="F2872" s="15"/>
      <c r="G2872" s="15"/>
      <c r="H2872" s="14"/>
      <c r="I2872" s="16" t="str">
        <f aca="false">IF(OR(A2872="",C2872=""),"",IF(OR(H2872="İade",H2872="İptal"),0,E2872*IFERROR(INDEX(Kanallar!$B$5:$B$19,MATCH(C2872,Kanallar!$A$5:$A$19,0)),0)))</f>
        <v/>
      </c>
      <c r="J2872" s="16" t="str">
        <f aca="false">IF(I2872="","",IF(H2872="İptal",0,IF(H2872="İade",-G2872,E2872-I2872-F2872-G2872)))</f>
        <v/>
      </c>
    </row>
    <row r="2873" customFormat="false" ht="15" hidden="false" customHeight="false" outlineLevel="0" collapsed="false">
      <c r="A2873" s="12"/>
      <c r="B2873" s="13"/>
      <c r="C2873" s="14"/>
      <c r="D2873" s="13"/>
      <c r="E2873" s="15"/>
      <c r="F2873" s="15"/>
      <c r="G2873" s="15"/>
      <c r="H2873" s="14"/>
      <c r="I2873" s="16" t="str">
        <f aca="false">IF(OR(A2873="",C2873=""),"",IF(OR(H2873="İade",H2873="İptal"),0,E2873*IFERROR(INDEX(Kanallar!$B$5:$B$19,MATCH(C2873,Kanallar!$A$5:$A$19,0)),0)))</f>
        <v/>
      </c>
      <c r="J2873" s="16" t="str">
        <f aca="false">IF(I2873="","",IF(H2873="İptal",0,IF(H2873="İade",-G2873,E2873-I2873-F2873-G2873)))</f>
        <v/>
      </c>
    </row>
    <row r="2874" customFormat="false" ht="15" hidden="false" customHeight="false" outlineLevel="0" collapsed="false">
      <c r="A2874" s="12"/>
      <c r="B2874" s="13"/>
      <c r="C2874" s="14"/>
      <c r="D2874" s="13"/>
      <c r="E2874" s="15"/>
      <c r="F2874" s="15"/>
      <c r="G2874" s="15"/>
      <c r="H2874" s="14"/>
      <c r="I2874" s="16" t="str">
        <f aca="false">IF(OR(A2874="",C2874=""),"",IF(OR(H2874="İade",H2874="İptal"),0,E2874*IFERROR(INDEX(Kanallar!$B$5:$B$19,MATCH(C2874,Kanallar!$A$5:$A$19,0)),0)))</f>
        <v/>
      </c>
      <c r="J2874" s="16" t="str">
        <f aca="false">IF(I2874="","",IF(H2874="İptal",0,IF(H2874="İade",-G2874,E2874-I2874-F2874-G2874)))</f>
        <v/>
      </c>
    </row>
    <row r="2875" customFormat="false" ht="15" hidden="false" customHeight="false" outlineLevel="0" collapsed="false">
      <c r="A2875" s="12"/>
      <c r="B2875" s="13"/>
      <c r="C2875" s="14"/>
      <c r="D2875" s="13"/>
      <c r="E2875" s="15"/>
      <c r="F2875" s="15"/>
      <c r="G2875" s="15"/>
      <c r="H2875" s="14"/>
      <c r="I2875" s="16" t="str">
        <f aca="false">IF(OR(A2875="",C2875=""),"",IF(OR(H2875="İade",H2875="İptal"),0,E2875*IFERROR(INDEX(Kanallar!$B$5:$B$19,MATCH(C2875,Kanallar!$A$5:$A$19,0)),0)))</f>
        <v/>
      </c>
      <c r="J2875" s="16" t="str">
        <f aca="false">IF(I2875="","",IF(H2875="İptal",0,IF(H2875="İade",-G2875,E2875-I2875-F2875-G2875)))</f>
        <v/>
      </c>
    </row>
    <row r="2876" customFormat="false" ht="15" hidden="false" customHeight="false" outlineLevel="0" collapsed="false">
      <c r="A2876" s="12"/>
      <c r="B2876" s="13"/>
      <c r="C2876" s="14"/>
      <c r="D2876" s="13"/>
      <c r="E2876" s="15"/>
      <c r="F2876" s="15"/>
      <c r="G2876" s="15"/>
      <c r="H2876" s="14"/>
      <c r="I2876" s="16" t="str">
        <f aca="false">IF(OR(A2876="",C2876=""),"",IF(OR(H2876="İade",H2876="İptal"),0,E2876*IFERROR(INDEX(Kanallar!$B$5:$B$19,MATCH(C2876,Kanallar!$A$5:$A$19,0)),0)))</f>
        <v/>
      </c>
      <c r="J2876" s="16" t="str">
        <f aca="false">IF(I2876="","",IF(H2876="İptal",0,IF(H2876="İade",-G2876,E2876-I2876-F2876-G2876)))</f>
        <v/>
      </c>
    </row>
    <row r="2877" customFormat="false" ht="15" hidden="false" customHeight="false" outlineLevel="0" collapsed="false">
      <c r="A2877" s="12"/>
      <c r="B2877" s="13"/>
      <c r="C2877" s="14"/>
      <c r="D2877" s="13"/>
      <c r="E2877" s="15"/>
      <c r="F2877" s="15"/>
      <c r="G2877" s="15"/>
      <c r="H2877" s="14"/>
      <c r="I2877" s="16" t="str">
        <f aca="false">IF(OR(A2877="",C2877=""),"",IF(OR(H2877="İade",H2877="İptal"),0,E2877*IFERROR(INDEX(Kanallar!$B$5:$B$19,MATCH(C2877,Kanallar!$A$5:$A$19,0)),0)))</f>
        <v/>
      </c>
      <c r="J2877" s="16" t="str">
        <f aca="false">IF(I2877="","",IF(H2877="İptal",0,IF(H2877="İade",-G2877,E2877-I2877-F2877-G2877)))</f>
        <v/>
      </c>
    </row>
    <row r="2878" customFormat="false" ht="15" hidden="false" customHeight="false" outlineLevel="0" collapsed="false">
      <c r="A2878" s="12"/>
      <c r="B2878" s="13"/>
      <c r="C2878" s="14"/>
      <c r="D2878" s="13"/>
      <c r="E2878" s="15"/>
      <c r="F2878" s="15"/>
      <c r="G2878" s="15"/>
      <c r="H2878" s="14"/>
      <c r="I2878" s="16" t="str">
        <f aca="false">IF(OR(A2878="",C2878=""),"",IF(OR(H2878="İade",H2878="İptal"),0,E2878*IFERROR(INDEX(Kanallar!$B$5:$B$19,MATCH(C2878,Kanallar!$A$5:$A$19,0)),0)))</f>
        <v/>
      </c>
      <c r="J2878" s="16" t="str">
        <f aca="false">IF(I2878="","",IF(H2878="İptal",0,IF(H2878="İade",-G2878,E2878-I2878-F2878-G2878)))</f>
        <v/>
      </c>
    </row>
    <row r="2879" customFormat="false" ht="15" hidden="false" customHeight="false" outlineLevel="0" collapsed="false">
      <c r="A2879" s="12"/>
      <c r="B2879" s="13"/>
      <c r="C2879" s="14"/>
      <c r="D2879" s="13"/>
      <c r="E2879" s="15"/>
      <c r="F2879" s="15"/>
      <c r="G2879" s="15"/>
      <c r="H2879" s="14"/>
      <c r="I2879" s="16" t="str">
        <f aca="false">IF(OR(A2879="",C2879=""),"",IF(OR(H2879="İade",H2879="İptal"),0,E2879*IFERROR(INDEX(Kanallar!$B$5:$B$19,MATCH(C2879,Kanallar!$A$5:$A$19,0)),0)))</f>
        <v/>
      </c>
      <c r="J2879" s="16" t="str">
        <f aca="false">IF(I2879="","",IF(H2879="İptal",0,IF(H2879="İade",-G2879,E2879-I2879-F2879-G2879)))</f>
        <v/>
      </c>
    </row>
    <row r="2880" customFormat="false" ht="15" hidden="false" customHeight="false" outlineLevel="0" collapsed="false">
      <c r="A2880" s="12"/>
      <c r="B2880" s="13"/>
      <c r="C2880" s="14"/>
      <c r="D2880" s="13"/>
      <c r="E2880" s="15"/>
      <c r="F2880" s="15"/>
      <c r="G2880" s="15"/>
      <c r="H2880" s="14"/>
      <c r="I2880" s="16" t="str">
        <f aca="false">IF(OR(A2880="",C2880=""),"",IF(OR(H2880="İade",H2880="İptal"),0,E2880*IFERROR(INDEX(Kanallar!$B$5:$B$19,MATCH(C2880,Kanallar!$A$5:$A$19,0)),0)))</f>
        <v/>
      </c>
      <c r="J2880" s="16" t="str">
        <f aca="false">IF(I2880="","",IF(H2880="İptal",0,IF(H2880="İade",-G2880,E2880-I2880-F2880-G2880)))</f>
        <v/>
      </c>
    </row>
    <row r="2881" customFormat="false" ht="15" hidden="false" customHeight="false" outlineLevel="0" collapsed="false">
      <c r="A2881" s="12"/>
      <c r="B2881" s="13"/>
      <c r="C2881" s="14"/>
      <c r="D2881" s="13"/>
      <c r="E2881" s="15"/>
      <c r="F2881" s="15"/>
      <c r="G2881" s="15"/>
      <c r="H2881" s="14"/>
      <c r="I2881" s="16" t="str">
        <f aca="false">IF(OR(A2881="",C2881=""),"",IF(OR(H2881="İade",H2881="İptal"),0,E2881*IFERROR(INDEX(Kanallar!$B$5:$B$19,MATCH(C2881,Kanallar!$A$5:$A$19,0)),0)))</f>
        <v/>
      </c>
      <c r="J2881" s="16" t="str">
        <f aca="false">IF(I2881="","",IF(H2881="İptal",0,IF(H2881="İade",-G2881,E2881-I2881-F2881-G2881)))</f>
        <v/>
      </c>
    </row>
    <row r="2882" customFormat="false" ht="15" hidden="false" customHeight="false" outlineLevel="0" collapsed="false">
      <c r="A2882" s="12"/>
      <c r="B2882" s="13"/>
      <c r="C2882" s="14"/>
      <c r="D2882" s="13"/>
      <c r="E2882" s="15"/>
      <c r="F2882" s="15"/>
      <c r="G2882" s="15"/>
      <c r="H2882" s="14"/>
      <c r="I2882" s="16" t="str">
        <f aca="false">IF(OR(A2882="",C2882=""),"",IF(OR(H2882="İade",H2882="İptal"),0,E2882*IFERROR(INDEX(Kanallar!$B$5:$B$19,MATCH(C2882,Kanallar!$A$5:$A$19,0)),0)))</f>
        <v/>
      </c>
      <c r="J2882" s="16" t="str">
        <f aca="false">IF(I2882="","",IF(H2882="İptal",0,IF(H2882="İade",-G2882,E2882-I2882-F2882-G2882)))</f>
        <v/>
      </c>
    </row>
    <row r="2883" customFormat="false" ht="15" hidden="false" customHeight="false" outlineLevel="0" collapsed="false">
      <c r="A2883" s="12"/>
      <c r="B2883" s="13"/>
      <c r="C2883" s="14"/>
      <c r="D2883" s="13"/>
      <c r="E2883" s="15"/>
      <c r="F2883" s="15"/>
      <c r="G2883" s="15"/>
      <c r="H2883" s="14"/>
      <c r="I2883" s="16" t="str">
        <f aca="false">IF(OR(A2883="",C2883=""),"",IF(OR(H2883="İade",H2883="İptal"),0,E2883*IFERROR(INDEX(Kanallar!$B$5:$B$19,MATCH(C2883,Kanallar!$A$5:$A$19,0)),0)))</f>
        <v/>
      </c>
      <c r="J2883" s="16" t="str">
        <f aca="false">IF(I2883="","",IF(H2883="İptal",0,IF(H2883="İade",-G2883,E2883-I2883-F2883-G2883)))</f>
        <v/>
      </c>
    </row>
    <row r="2884" customFormat="false" ht="15" hidden="false" customHeight="false" outlineLevel="0" collapsed="false">
      <c r="A2884" s="12"/>
      <c r="B2884" s="13"/>
      <c r="C2884" s="14"/>
      <c r="D2884" s="13"/>
      <c r="E2884" s="15"/>
      <c r="F2884" s="15"/>
      <c r="G2884" s="15"/>
      <c r="H2884" s="14"/>
      <c r="I2884" s="16" t="str">
        <f aca="false">IF(OR(A2884="",C2884=""),"",IF(OR(H2884="İade",H2884="İptal"),0,E2884*IFERROR(INDEX(Kanallar!$B$5:$B$19,MATCH(C2884,Kanallar!$A$5:$A$19,0)),0)))</f>
        <v/>
      </c>
      <c r="J2884" s="16" t="str">
        <f aca="false">IF(I2884="","",IF(H2884="İptal",0,IF(H2884="İade",-G2884,E2884-I2884-F2884-G2884)))</f>
        <v/>
      </c>
    </row>
    <row r="2885" customFormat="false" ht="15" hidden="false" customHeight="false" outlineLevel="0" collapsed="false">
      <c r="A2885" s="12"/>
      <c r="B2885" s="13"/>
      <c r="C2885" s="14"/>
      <c r="D2885" s="13"/>
      <c r="E2885" s="15"/>
      <c r="F2885" s="15"/>
      <c r="G2885" s="15"/>
      <c r="H2885" s="14"/>
      <c r="I2885" s="16" t="str">
        <f aca="false">IF(OR(A2885="",C2885=""),"",IF(OR(H2885="İade",H2885="İptal"),0,E2885*IFERROR(INDEX(Kanallar!$B$5:$B$19,MATCH(C2885,Kanallar!$A$5:$A$19,0)),0)))</f>
        <v/>
      </c>
      <c r="J2885" s="16" t="str">
        <f aca="false">IF(I2885="","",IF(H2885="İptal",0,IF(H2885="İade",-G2885,E2885-I2885-F2885-G2885)))</f>
        <v/>
      </c>
    </row>
    <row r="2886" customFormat="false" ht="15" hidden="false" customHeight="false" outlineLevel="0" collapsed="false">
      <c r="A2886" s="12"/>
      <c r="B2886" s="13"/>
      <c r="C2886" s="14"/>
      <c r="D2886" s="13"/>
      <c r="E2886" s="15"/>
      <c r="F2886" s="15"/>
      <c r="G2886" s="15"/>
      <c r="H2886" s="14"/>
      <c r="I2886" s="16" t="str">
        <f aca="false">IF(OR(A2886="",C2886=""),"",IF(OR(H2886="İade",H2886="İptal"),0,E2886*IFERROR(INDEX(Kanallar!$B$5:$B$19,MATCH(C2886,Kanallar!$A$5:$A$19,0)),0)))</f>
        <v/>
      </c>
      <c r="J2886" s="16" t="str">
        <f aca="false">IF(I2886="","",IF(H2886="İptal",0,IF(H2886="İade",-G2886,E2886-I2886-F2886-G2886)))</f>
        <v/>
      </c>
    </row>
    <row r="2887" customFormat="false" ht="15" hidden="false" customHeight="false" outlineLevel="0" collapsed="false">
      <c r="A2887" s="12"/>
      <c r="B2887" s="13"/>
      <c r="C2887" s="14"/>
      <c r="D2887" s="13"/>
      <c r="E2887" s="15"/>
      <c r="F2887" s="15"/>
      <c r="G2887" s="15"/>
      <c r="H2887" s="14"/>
      <c r="I2887" s="16" t="str">
        <f aca="false">IF(OR(A2887="",C2887=""),"",IF(OR(H2887="İade",H2887="İptal"),0,E2887*IFERROR(INDEX(Kanallar!$B$5:$B$19,MATCH(C2887,Kanallar!$A$5:$A$19,0)),0)))</f>
        <v/>
      </c>
      <c r="J2887" s="16" t="str">
        <f aca="false">IF(I2887="","",IF(H2887="İptal",0,IF(H2887="İade",-G2887,E2887-I2887-F2887-G2887)))</f>
        <v/>
      </c>
    </row>
    <row r="2888" customFormat="false" ht="15" hidden="false" customHeight="false" outlineLevel="0" collapsed="false">
      <c r="A2888" s="12"/>
      <c r="B2888" s="13"/>
      <c r="C2888" s="14"/>
      <c r="D2888" s="13"/>
      <c r="E2888" s="15"/>
      <c r="F2888" s="15"/>
      <c r="G2888" s="15"/>
      <c r="H2888" s="14"/>
      <c r="I2888" s="16" t="str">
        <f aca="false">IF(OR(A2888="",C2888=""),"",IF(OR(H2888="İade",H2888="İptal"),0,E2888*IFERROR(INDEX(Kanallar!$B$5:$B$19,MATCH(C2888,Kanallar!$A$5:$A$19,0)),0)))</f>
        <v/>
      </c>
      <c r="J2888" s="16" t="str">
        <f aca="false">IF(I2888="","",IF(H2888="İptal",0,IF(H2888="İade",-G2888,E2888-I2888-F2888-G2888)))</f>
        <v/>
      </c>
    </row>
    <row r="2889" customFormat="false" ht="15" hidden="false" customHeight="false" outlineLevel="0" collapsed="false">
      <c r="A2889" s="12"/>
      <c r="B2889" s="13"/>
      <c r="C2889" s="14"/>
      <c r="D2889" s="13"/>
      <c r="E2889" s="15"/>
      <c r="F2889" s="15"/>
      <c r="G2889" s="15"/>
      <c r="H2889" s="14"/>
      <c r="I2889" s="16" t="str">
        <f aca="false">IF(OR(A2889="",C2889=""),"",IF(OR(H2889="İade",H2889="İptal"),0,E2889*IFERROR(INDEX(Kanallar!$B$5:$B$19,MATCH(C2889,Kanallar!$A$5:$A$19,0)),0)))</f>
        <v/>
      </c>
      <c r="J2889" s="16" t="str">
        <f aca="false">IF(I2889="","",IF(H2889="İptal",0,IF(H2889="İade",-G2889,E2889-I2889-F2889-G2889)))</f>
        <v/>
      </c>
    </row>
    <row r="2890" customFormat="false" ht="15" hidden="false" customHeight="false" outlineLevel="0" collapsed="false">
      <c r="A2890" s="12"/>
      <c r="B2890" s="13"/>
      <c r="C2890" s="14"/>
      <c r="D2890" s="13"/>
      <c r="E2890" s="15"/>
      <c r="F2890" s="15"/>
      <c r="G2890" s="15"/>
      <c r="H2890" s="14"/>
      <c r="I2890" s="16" t="str">
        <f aca="false">IF(OR(A2890="",C2890=""),"",IF(OR(H2890="İade",H2890="İptal"),0,E2890*IFERROR(INDEX(Kanallar!$B$5:$B$19,MATCH(C2890,Kanallar!$A$5:$A$19,0)),0)))</f>
        <v/>
      </c>
      <c r="J2890" s="16" t="str">
        <f aca="false">IF(I2890="","",IF(H2890="İptal",0,IF(H2890="İade",-G2890,E2890-I2890-F2890-G2890)))</f>
        <v/>
      </c>
    </row>
    <row r="2891" customFormat="false" ht="15" hidden="false" customHeight="false" outlineLevel="0" collapsed="false">
      <c r="A2891" s="12"/>
      <c r="B2891" s="13"/>
      <c r="C2891" s="14"/>
      <c r="D2891" s="13"/>
      <c r="E2891" s="15"/>
      <c r="F2891" s="15"/>
      <c r="G2891" s="15"/>
      <c r="H2891" s="14"/>
      <c r="I2891" s="16" t="str">
        <f aca="false">IF(OR(A2891="",C2891=""),"",IF(OR(H2891="İade",H2891="İptal"),0,E2891*IFERROR(INDEX(Kanallar!$B$5:$B$19,MATCH(C2891,Kanallar!$A$5:$A$19,0)),0)))</f>
        <v/>
      </c>
      <c r="J2891" s="16" t="str">
        <f aca="false">IF(I2891="","",IF(H2891="İptal",0,IF(H2891="İade",-G2891,E2891-I2891-F2891-G2891)))</f>
        <v/>
      </c>
    </row>
    <row r="2892" customFormat="false" ht="15" hidden="false" customHeight="false" outlineLevel="0" collapsed="false">
      <c r="A2892" s="12"/>
      <c r="B2892" s="13"/>
      <c r="C2892" s="14"/>
      <c r="D2892" s="13"/>
      <c r="E2892" s="15"/>
      <c r="F2892" s="15"/>
      <c r="G2892" s="15"/>
      <c r="H2892" s="14"/>
      <c r="I2892" s="16" t="str">
        <f aca="false">IF(OR(A2892="",C2892=""),"",IF(OR(H2892="İade",H2892="İptal"),0,E2892*IFERROR(INDEX(Kanallar!$B$5:$B$19,MATCH(C2892,Kanallar!$A$5:$A$19,0)),0)))</f>
        <v/>
      </c>
      <c r="J2892" s="16" t="str">
        <f aca="false">IF(I2892="","",IF(H2892="İptal",0,IF(H2892="İade",-G2892,E2892-I2892-F2892-G2892)))</f>
        <v/>
      </c>
    </row>
    <row r="2893" customFormat="false" ht="15" hidden="false" customHeight="false" outlineLevel="0" collapsed="false">
      <c r="A2893" s="12"/>
      <c r="B2893" s="13"/>
      <c r="C2893" s="14"/>
      <c r="D2893" s="13"/>
      <c r="E2893" s="15"/>
      <c r="F2893" s="15"/>
      <c r="G2893" s="15"/>
      <c r="H2893" s="14"/>
      <c r="I2893" s="16" t="str">
        <f aca="false">IF(OR(A2893="",C2893=""),"",IF(OR(H2893="İade",H2893="İptal"),0,E2893*IFERROR(INDEX(Kanallar!$B$5:$B$19,MATCH(C2893,Kanallar!$A$5:$A$19,0)),0)))</f>
        <v/>
      </c>
      <c r="J2893" s="16" t="str">
        <f aca="false">IF(I2893="","",IF(H2893="İptal",0,IF(H2893="İade",-G2893,E2893-I2893-F2893-G2893)))</f>
        <v/>
      </c>
    </row>
    <row r="2894" customFormat="false" ht="15" hidden="false" customHeight="false" outlineLevel="0" collapsed="false">
      <c r="A2894" s="12"/>
      <c r="B2894" s="13"/>
      <c r="C2894" s="14"/>
      <c r="D2894" s="13"/>
      <c r="E2894" s="15"/>
      <c r="F2894" s="15"/>
      <c r="G2894" s="15"/>
      <c r="H2894" s="14"/>
      <c r="I2894" s="16" t="str">
        <f aca="false">IF(OR(A2894="",C2894=""),"",IF(OR(H2894="İade",H2894="İptal"),0,E2894*IFERROR(INDEX(Kanallar!$B$5:$B$19,MATCH(C2894,Kanallar!$A$5:$A$19,0)),0)))</f>
        <v/>
      </c>
      <c r="J2894" s="16" t="str">
        <f aca="false">IF(I2894="","",IF(H2894="İptal",0,IF(H2894="İade",-G2894,E2894-I2894-F2894-G2894)))</f>
        <v/>
      </c>
    </row>
    <row r="2895" customFormat="false" ht="15" hidden="false" customHeight="false" outlineLevel="0" collapsed="false">
      <c r="A2895" s="12"/>
      <c r="B2895" s="13"/>
      <c r="C2895" s="14"/>
      <c r="D2895" s="13"/>
      <c r="E2895" s="15"/>
      <c r="F2895" s="15"/>
      <c r="G2895" s="15"/>
      <c r="H2895" s="14"/>
      <c r="I2895" s="16" t="str">
        <f aca="false">IF(OR(A2895="",C2895=""),"",IF(OR(H2895="İade",H2895="İptal"),0,E2895*IFERROR(INDEX(Kanallar!$B$5:$B$19,MATCH(C2895,Kanallar!$A$5:$A$19,0)),0)))</f>
        <v/>
      </c>
      <c r="J2895" s="16" t="str">
        <f aca="false">IF(I2895="","",IF(H2895="İptal",0,IF(H2895="İade",-G2895,E2895-I2895-F2895-G2895)))</f>
        <v/>
      </c>
    </row>
    <row r="2896" customFormat="false" ht="15" hidden="false" customHeight="false" outlineLevel="0" collapsed="false">
      <c r="A2896" s="12"/>
      <c r="B2896" s="13"/>
      <c r="C2896" s="14"/>
      <c r="D2896" s="13"/>
      <c r="E2896" s="15"/>
      <c r="F2896" s="15"/>
      <c r="G2896" s="15"/>
      <c r="H2896" s="14"/>
      <c r="I2896" s="16" t="str">
        <f aca="false">IF(OR(A2896="",C2896=""),"",IF(OR(H2896="İade",H2896="İptal"),0,E2896*IFERROR(INDEX(Kanallar!$B$5:$B$19,MATCH(C2896,Kanallar!$A$5:$A$19,0)),0)))</f>
        <v/>
      </c>
      <c r="J2896" s="16" t="str">
        <f aca="false">IF(I2896="","",IF(H2896="İptal",0,IF(H2896="İade",-G2896,E2896-I2896-F2896-G2896)))</f>
        <v/>
      </c>
    </row>
    <row r="2897" customFormat="false" ht="15" hidden="false" customHeight="false" outlineLevel="0" collapsed="false">
      <c r="A2897" s="12"/>
      <c r="B2897" s="13"/>
      <c r="C2897" s="14"/>
      <c r="D2897" s="13"/>
      <c r="E2897" s="15"/>
      <c r="F2897" s="15"/>
      <c r="G2897" s="15"/>
      <c r="H2897" s="14"/>
      <c r="I2897" s="16" t="str">
        <f aca="false">IF(OR(A2897="",C2897=""),"",IF(OR(H2897="İade",H2897="İptal"),0,E2897*IFERROR(INDEX(Kanallar!$B$5:$B$19,MATCH(C2897,Kanallar!$A$5:$A$19,0)),0)))</f>
        <v/>
      </c>
      <c r="J2897" s="16" t="str">
        <f aca="false">IF(I2897="","",IF(H2897="İptal",0,IF(H2897="İade",-G2897,E2897-I2897-F2897-G2897)))</f>
        <v/>
      </c>
    </row>
    <row r="2898" customFormat="false" ht="15" hidden="false" customHeight="false" outlineLevel="0" collapsed="false">
      <c r="A2898" s="12"/>
      <c r="B2898" s="13"/>
      <c r="C2898" s="14"/>
      <c r="D2898" s="13"/>
      <c r="E2898" s="15"/>
      <c r="F2898" s="15"/>
      <c r="G2898" s="15"/>
      <c r="H2898" s="14"/>
      <c r="I2898" s="16" t="str">
        <f aca="false">IF(OR(A2898="",C2898=""),"",IF(OR(H2898="İade",H2898="İptal"),0,E2898*IFERROR(INDEX(Kanallar!$B$5:$B$19,MATCH(C2898,Kanallar!$A$5:$A$19,0)),0)))</f>
        <v/>
      </c>
      <c r="J2898" s="16" t="str">
        <f aca="false">IF(I2898="","",IF(H2898="İptal",0,IF(H2898="İade",-G2898,E2898-I2898-F2898-G2898)))</f>
        <v/>
      </c>
    </row>
    <row r="2899" customFormat="false" ht="15" hidden="false" customHeight="false" outlineLevel="0" collapsed="false">
      <c r="A2899" s="12"/>
      <c r="B2899" s="13"/>
      <c r="C2899" s="14"/>
      <c r="D2899" s="13"/>
      <c r="E2899" s="15"/>
      <c r="F2899" s="15"/>
      <c r="G2899" s="15"/>
      <c r="H2899" s="14"/>
      <c r="I2899" s="16" t="str">
        <f aca="false">IF(OR(A2899="",C2899=""),"",IF(OR(H2899="İade",H2899="İptal"),0,E2899*IFERROR(INDEX(Kanallar!$B$5:$B$19,MATCH(C2899,Kanallar!$A$5:$A$19,0)),0)))</f>
        <v/>
      </c>
      <c r="J2899" s="16" t="str">
        <f aca="false">IF(I2899="","",IF(H2899="İptal",0,IF(H2899="İade",-G2899,E2899-I2899-F2899-G2899)))</f>
        <v/>
      </c>
    </row>
    <row r="2900" customFormat="false" ht="15" hidden="false" customHeight="false" outlineLevel="0" collapsed="false">
      <c r="A2900" s="12"/>
      <c r="B2900" s="13"/>
      <c r="C2900" s="14"/>
      <c r="D2900" s="13"/>
      <c r="E2900" s="15"/>
      <c r="F2900" s="15"/>
      <c r="G2900" s="15"/>
      <c r="H2900" s="14"/>
      <c r="I2900" s="16" t="str">
        <f aca="false">IF(OR(A2900="",C2900=""),"",IF(OR(H2900="İade",H2900="İptal"),0,E2900*IFERROR(INDEX(Kanallar!$B$5:$B$19,MATCH(C2900,Kanallar!$A$5:$A$19,0)),0)))</f>
        <v/>
      </c>
      <c r="J2900" s="16" t="str">
        <f aca="false">IF(I2900="","",IF(H2900="İptal",0,IF(H2900="İade",-G2900,E2900-I2900-F2900-G2900)))</f>
        <v/>
      </c>
    </row>
    <row r="2901" customFormat="false" ht="15" hidden="false" customHeight="false" outlineLevel="0" collapsed="false">
      <c r="A2901" s="12"/>
      <c r="B2901" s="13"/>
      <c r="C2901" s="14"/>
      <c r="D2901" s="13"/>
      <c r="E2901" s="15"/>
      <c r="F2901" s="15"/>
      <c r="G2901" s="15"/>
      <c r="H2901" s="14"/>
      <c r="I2901" s="16" t="str">
        <f aca="false">IF(OR(A2901="",C2901=""),"",IF(OR(H2901="İade",H2901="İptal"),0,E2901*IFERROR(INDEX(Kanallar!$B$5:$B$19,MATCH(C2901,Kanallar!$A$5:$A$19,0)),0)))</f>
        <v/>
      </c>
      <c r="J2901" s="16" t="str">
        <f aca="false">IF(I2901="","",IF(H2901="İptal",0,IF(H2901="İade",-G2901,E2901-I2901-F2901-G2901)))</f>
        <v/>
      </c>
    </row>
    <row r="2902" customFormat="false" ht="15" hidden="false" customHeight="false" outlineLevel="0" collapsed="false">
      <c r="A2902" s="12"/>
      <c r="B2902" s="13"/>
      <c r="C2902" s="14"/>
      <c r="D2902" s="13"/>
      <c r="E2902" s="15"/>
      <c r="F2902" s="15"/>
      <c r="G2902" s="15"/>
      <c r="H2902" s="14"/>
      <c r="I2902" s="16" t="str">
        <f aca="false">IF(OR(A2902="",C2902=""),"",IF(OR(H2902="İade",H2902="İptal"),0,E2902*IFERROR(INDEX(Kanallar!$B$5:$B$19,MATCH(C2902,Kanallar!$A$5:$A$19,0)),0)))</f>
        <v/>
      </c>
      <c r="J2902" s="16" t="str">
        <f aca="false">IF(I2902="","",IF(H2902="İptal",0,IF(H2902="İade",-G2902,E2902-I2902-F2902-G2902)))</f>
        <v/>
      </c>
    </row>
    <row r="2903" customFormat="false" ht="15" hidden="false" customHeight="false" outlineLevel="0" collapsed="false">
      <c r="A2903" s="12"/>
      <c r="B2903" s="13"/>
      <c r="C2903" s="14"/>
      <c r="D2903" s="13"/>
      <c r="E2903" s="15"/>
      <c r="F2903" s="15"/>
      <c r="G2903" s="15"/>
      <c r="H2903" s="14"/>
      <c r="I2903" s="16" t="str">
        <f aca="false">IF(OR(A2903="",C2903=""),"",IF(OR(H2903="İade",H2903="İptal"),0,E2903*IFERROR(INDEX(Kanallar!$B$5:$B$19,MATCH(C2903,Kanallar!$A$5:$A$19,0)),0)))</f>
        <v/>
      </c>
      <c r="J2903" s="16" t="str">
        <f aca="false">IF(I2903="","",IF(H2903="İptal",0,IF(H2903="İade",-G2903,E2903-I2903-F2903-G2903)))</f>
        <v/>
      </c>
    </row>
    <row r="2904" customFormat="false" ht="15" hidden="false" customHeight="false" outlineLevel="0" collapsed="false">
      <c r="A2904" s="12"/>
      <c r="B2904" s="13"/>
      <c r="C2904" s="14"/>
      <c r="D2904" s="13"/>
      <c r="E2904" s="15"/>
      <c r="F2904" s="15"/>
      <c r="G2904" s="15"/>
      <c r="H2904" s="14"/>
      <c r="I2904" s="16" t="str">
        <f aca="false">IF(OR(A2904="",C2904=""),"",IF(OR(H2904="İade",H2904="İptal"),0,E2904*IFERROR(INDEX(Kanallar!$B$5:$B$19,MATCH(C2904,Kanallar!$A$5:$A$19,0)),0)))</f>
        <v/>
      </c>
      <c r="J2904" s="16" t="str">
        <f aca="false">IF(I2904="","",IF(H2904="İptal",0,IF(H2904="İade",-G2904,E2904-I2904-F2904-G2904)))</f>
        <v/>
      </c>
    </row>
    <row r="2905" customFormat="false" ht="15" hidden="false" customHeight="false" outlineLevel="0" collapsed="false">
      <c r="A2905" s="12"/>
      <c r="B2905" s="13"/>
      <c r="C2905" s="14"/>
      <c r="D2905" s="13"/>
      <c r="E2905" s="15"/>
      <c r="F2905" s="15"/>
      <c r="G2905" s="15"/>
      <c r="H2905" s="14"/>
      <c r="I2905" s="16" t="str">
        <f aca="false">IF(OR(A2905="",C2905=""),"",IF(OR(H2905="İade",H2905="İptal"),0,E2905*IFERROR(INDEX(Kanallar!$B$5:$B$19,MATCH(C2905,Kanallar!$A$5:$A$19,0)),0)))</f>
        <v/>
      </c>
      <c r="J2905" s="16" t="str">
        <f aca="false">IF(I2905="","",IF(H2905="İptal",0,IF(H2905="İade",-G2905,E2905-I2905-F2905-G2905)))</f>
        <v/>
      </c>
    </row>
    <row r="2906" customFormat="false" ht="15" hidden="false" customHeight="false" outlineLevel="0" collapsed="false">
      <c r="A2906" s="12"/>
      <c r="B2906" s="13"/>
      <c r="C2906" s="14"/>
      <c r="D2906" s="13"/>
      <c r="E2906" s="15"/>
      <c r="F2906" s="15"/>
      <c r="G2906" s="15"/>
      <c r="H2906" s="14"/>
      <c r="I2906" s="16" t="str">
        <f aca="false">IF(OR(A2906="",C2906=""),"",IF(OR(H2906="İade",H2906="İptal"),0,E2906*IFERROR(INDEX(Kanallar!$B$5:$B$19,MATCH(C2906,Kanallar!$A$5:$A$19,0)),0)))</f>
        <v/>
      </c>
      <c r="J2906" s="16" t="str">
        <f aca="false">IF(I2906="","",IF(H2906="İptal",0,IF(H2906="İade",-G2906,E2906-I2906-F2906-G2906)))</f>
        <v/>
      </c>
    </row>
    <row r="2907" customFormat="false" ht="15" hidden="false" customHeight="false" outlineLevel="0" collapsed="false">
      <c r="A2907" s="12"/>
      <c r="B2907" s="13"/>
      <c r="C2907" s="14"/>
      <c r="D2907" s="13"/>
      <c r="E2907" s="15"/>
      <c r="F2907" s="15"/>
      <c r="G2907" s="15"/>
      <c r="H2907" s="14"/>
      <c r="I2907" s="16" t="str">
        <f aca="false">IF(OR(A2907="",C2907=""),"",IF(OR(H2907="İade",H2907="İptal"),0,E2907*IFERROR(INDEX(Kanallar!$B$5:$B$19,MATCH(C2907,Kanallar!$A$5:$A$19,0)),0)))</f>
        <v/>
      </c>
      <c r="J2907" s="16" t="str">
        <f aca="false">IF(I2907="","",IF(H2907="İptal",0,IF(H2907="İade",-G2907,E2907-I2907-F2907-G2907)))</f>
        <v/>
      </c>
    </row>
    <row r="2908" customFormat="false" ht="15" hidden="false" customHeight="false" outlineLevel="0" collapsed="false">
      <c r="A2908" s="12"/>
      <c r="B2908" s="13"/>
      <c r="C2908" s="14"/>
      <c r="D2908" s="13"/>
      <c r="E2908" s="15"/>
      <c r="F2908" s="15"/>
      <c r="G2908" s="15"/>
      <c r="H2908" s="14"/>
      <c r="I2908" s="16" t="str">
        <f aca="false">IF(OR(A2908="",C2908=""),"",IF(OR(H2908="İade",H2908="İptal"),0,E2908*IFERROR(INDEX(Kanallar!$B$5:$B$19,MATCH(C2908,Kanallar!$A$5:$A$19,0)),0)))</f>
        <v/>
      </c>
      <c r="J2908" s="16" t="str">
        <f aca="false">IF(I2908="","",IF(H2908="İptal",0,IF(H2908="İade",-G2908,E2908-I2908-F2908-G2908)))</f>
        <v/>
      </c>
    </row>
    <row r="2909" customFormat="false" ht="15" hidden="false" customHeight="false" outlineLevel="0" collapsed="false">
      <c r="A2909" s="12"/>
      <c r="B2909" s="13"/>
      <c r="C2909" s="14"/>
      <c r="D2909" s="13"/>
      <c r="E2909" s="15"/>
      <c r="F2909" s="15"/>
      <c r="G2909" s="15"/>
      <c r="H2909" s="14"/>
      <c r="I2909" s="16" t="str">
        <f aca="false">IF(OR(A2909="",C2909=""),"",IF(OR(H2909="İade",H2909="İptal"),0,E2909*IFERROR(INDEX(Kanallar!$B$5:$B$19,MATCH(C2909,Kanallar!$A$5:$A$19,0)),0)))</f>
        <v/>
      </c>
      <c r="J2909" s="16" t="str">
        <f aca="false">IF(I2909="","",IF(H2909="İptal",0,IF(H2909="İade",-G2909,E2909-I2909-F2909-G2909)))</f>
        <v/>
      </c>
    </row>
    <row r="2910" customFormat="false" ht="15" hidden="false" customHeight="false" outlineLevel="0" collapsed="false">
      <c r="A2910" s="12"/>
      <c r="B2910" s="13"/>
      <c r="C2910" s="14"/>
      <c r="D2910" s="13"/>
      <c r="E2910" s="15"/>
      <c r="F2910" s="15"/>
      <c r="G2910" s="15"/>
      <c r="H2910" s="14"/>
      <c r="I2910" s="16" t="str">
        <f aca="false">IF(OR(A2910="",C2910=""),"",IF(OR(H2910="İade",H2910="İptal"),0,E2910*IFERROR(INDEX(Kanallar!$B$5:$B$19,MATCH(C2910,Kanallar!$A$5:$A$19,0)),0)))</f>
        <v/>
      </c>
      <c r="J2910" s="16" t="str">
        <f aca="false">IF(I2910="","",IF(H2910="İptal",0,IF(H2910="İade",-G2910,E2910-I2910-F2910-G2910)))</f>
        <v/>
      </c>
    </row>
    <row r="2911" customFormat="false" ht="15" hidden="false" customHeight="false" outlineLevel="0" collapsed="false">
      <c r="A2911" s="12"/>
      <c r="B2911" s="13"/>
      <c r="C2911" s="14"/>
      <c r="D2911" s="13"/>
      <c r="E2911" s="15"/>
      <c r="F2911" s="15"/>
      <c r="G2911" s="15"/>
      <c r="H2911" s="14"/>
      <c r="I2911" s="16" t="str">
        <f aca="false">IF(OR(A2911="",C2911=""),"",IF(OR(H2911="İade",H2911="İptal"),0,E2911*IFERROR(INDEX(Kanallar!$B$5:$B$19,MATCH(C2911,Kanallar!$A$5:$A$19,0)),0)))</f>
        <v/>
      </c>
      <c r="J2911" s="16" t="str">
        <f aca="false">IF(I2911="","",IF(H2911="İptal",0,IF(H2911="İade",-G2911,E2911-I2911-F2911-G2911)))</f>
        <v/>
      </c>
    </row>
    <row r="2912" customFormat="false" ht="15" hidden="false" customHeight="false" outlineLevel="0" collapsed="false">
      <c r="A2912" s="12"/>
      <c r="B2912" s="13"/>
      <c r="C2912" s="14"/>
      <c r="D2912" s="13"/>
      <c r="E2912" s="15"/>
      <c r="F2912" s="15"/>
      <c r="G2912" s="15"/>
      <c r="H2912" s="14"/>
      <c r="I2912" s="16" t="str">
        <f aca="false">IF(OR(A2912="",C2912=""),"",IF(OR(H2912="İade",H2912="İptal"),0,E2912*IFERROR(INDEX(Kanallar!$B$5:$B$19,MATCH(C2912,Kanallar!$A$5:$A$19,0)),0)))</f>
        <v/>
      </c>
      <c r="J2912" s="16" t="str">
        <f aca="false">IF(I2912="","",IF(H2912="İptal",0,IF(H2912="İade",-G2912,E2912-I2912-F2912-G2912)))</f>
        <v/>
      </c>
    </row>
    <row r="2913" customFormat="false" ht="15" hidden="false" customHeight="false" outlineLevel="0" collapsed="false">
      <c r="A2913" s="12"/>
      <c r="B2913" s="13"/>
      <c r="C2913" s="14"/>
      <c r="D2913" s="13"/>
      <c r="E2913" s="15"/>
      <c r="F2913" s="15"/>
      <c r="G2913" s="15"/>
      <c r="H2913" s="14"/>
      <c r="I2913" s="16" t="str">
        <f aca="false">IF(OR(A2913="",C2913=""),"",IF(OR(H2913="İade",H2913="İptal"),0,E2913*IFERROR(INDEX(Kanallar!$B$5:$B$19,MATCH(C2913,Kanallar!$A$5:$A$19,0)),0)))</f>
        <v/>
      </c>
      <c r="J2913" s="16" t="str">
        <f aca="false">IF(I2913="","",IF(H2913="İptal",0,IF(H2913="İade",-G2913,E2913-I2913-F2913-G2913)))</f>
        <v/>
      </c>
    </row>
    <row r="2914" customFormat="false" ht="15" hidden="false" customHeight="false" outlineLevel="0" collapsed="false">
      <c r="A2914" s="12"/>
      <c r="B2914" s="13"/>
      <c r="C2914" s="14"/>
      <c r="D2914" s="13"/>
      <c r="E2914" s="15"/>
      <c r="F2914" s="15"/>
      <c r="G2914" s="15"/>
      <c r="H2914" s="14"/>
      <c r="I2914" s="16" t="str">
        <f aca="false">IF(OR(A2914="",C2914=""),"",IF(OR(H2914="İade",H2914="İptal"),0,E2914*IFERROR(INDEX(Kanallar!$B$5:$B$19,MATCH(C2914,Kanallar!$A$5:$A$19,0)),0)))</f>
        <v/>
      </c>
      <c r="J2914" s="16" t="str">
        <f aca="false">IF(I2914="","",IF(H2914="İptal",0,IF(H2914="İade",-G2914,E2914-I2914-F2914-G2914)))</f>
        <v/>
      </c>
    </row>
    <row r="2915" customFormat="false" ht="15" hidden="false" customHeight="false" outlineLevel="0" collapsed="false">
      <c r="A2915" s="12"/>
      <c r="B2915" s="13"/>
      <c r="C2915" s="14"/>
      <c r="D2915" s="13"/>
      <c r="E2915" s="15"/>
      <c r="F2915" s="15"/>
      <c r="G2915" s="15"/>
      <c r="H2915" s="14"/>
      <c r="I2915" s="16" t="str">
        <f aca="false">IF(OR(A2915="",C2915=""),"",IF(OR(H2915="İade",H2915="İptal"),0,E2915*IFERROR(INDEX(Kanallar!$B$5:$B$19,MATCH(C2915,Kanallar!$A$5:$A$19,0)),0)))</f>
        <v/>
      </c>
      <c r="J2915" s="16" t="str">
        <f aca="false">IF(I2915="","",IF(H2915="İptal",0,IF(H2915="İade",-G2915,E2915-I2915-F2915-G2915)))</f>
        <v/>
      </c>
    </row>
    <row r="2916" customFormat="false" ht="15" hidden="false" customHeight="false" outlineLevel="0" collapsed="false">
      <c r="A2916" s="12"/>
      <c r="B2916" s="13"/>
      <c r="C2916" s="14"/>
      <c r="D2916" s="13"/>
      <c r="E2916" s="15"/>
      <c r="F2916" s="15"/>
      <c r="G2916" s="15"/>
      <c r="H2916" s="14"/>
      <c r="I2916" s="16" t="str">
        <f aca="false">IF(OR(A2916="",C2916=""),"",IF(OR(H2916="İade",H2916="İptal"),0,E2916*IFERROR(INDEX(Kanallar!$B$5:$B$19,MATCH(C2916,Kanallar!$A$5:$A$19,0)),0)))</f>
        <v/>
      </c>
      <c r="J2916" s="16" t="str">
        <f aca="false">IF(I2916="","",IF(H2916="İptal",0,IF(H2916="İade",-G2916,E2916-I2916-F2916-G2916)))</f>
        <v/>
      </c>
    </row>
    <row r="2917" customFormat="false" ht="15" hidden="false" customHeight="false" outlineLevel="0" collapsed="false">
      <c r="A2917" s="12"/>
      <c r="B2917" s="13"/>
      <c r="C2917" s="14"/>
      <c r="D2917" s="13"/>
      <c r="E2917" s="15"/>
      <c r="F2917" s="15"/>
      <c r="G2917" s="15"/>
      <c r="H2917" s="14"/>
      <c r="I2917" s="16" t="str">
        <f aca="false">IF(OR(A2917="",C2917=""),"",IF(OR(H2917="İade",H2917="İptal"),0,E2917*IFERROR(INDEX(Kanallar!$B$5:$B$19,MATCH(C2917,Kanallar!$A$5:$A$19,0)),0)))</f>
        <v/>
      </c>
      <c r="J2917" s="16" t="str">
        <f aca="false">IF(I2917="","",IF(H2917="İptal",0,IF(H2917="İade",-G2917,E2917-I2917-F2917-G2917)))</f>
        <v/>
      </c>
    </row>
    <row r="2918" customFormat="false" ht="15" hidden="false" customHeight="false" outlineLevel="0" collapsed="false">
      <c r="A2918" s="12"/>
      <c r="B2918" s="13"/>
      <c r="C2918" s="14"/>
      <c r="D2918" s="13"/>
      <c r="E2918" s="15"/>
      <c r="F2918" s="15"/>
      <c r="G2918" s="15"/>
      <c r="H2918" s="14"/>
      <c r="I2918" s="16" t="str">
        <f aca="false">IF(OR(A2918="",C2918=""),"",IF(OR(H2918="İade",H2918="İptal"),0,E2918*IFERROR(INDEX(Kanallar!$B$5:$B$19,MATCH(C2918,Kanallar!$A$5:$A$19,0)),0)))</f>
        <v/>
      </c>
      <c r="J2918" s="16" t="str">
        <f aca="false">IF(I2918="","",IF(H2918="İptal",0,IF(H2918="İade",-G2918,E2918-I2918-F2918-G2918)))</f>
        <v/>
      </c>
    </row>
    <row r="2919" customFormat="false" ht="15" hidden="false" customHeight="false" outlineLevel="0" collapsed="false">
      <c r="A2919" s="12"/>
      <c r="B2919" s="13"/>
      <c r="C2919" s="14"/>
      <c r="D2919" s="13"/>
      <c r="E2919" s="15"/>
      <c r="F2919" s="15"/>
      <c r="G2919" s="15"/>
      <c r="H2919" s="14"/>
      <c r="I2919" s="16" t="str">
        <f aca="false">IF(OR(A2919="",C2919=""),"",IF(OR(H2919="İade",H2919="İptal"),0,E2919*IFERROR(INDEX(Kanallar!$B$5:$B$19,MATCH(C2919,Kanallar!$A$5:$A$19,0)),0)))</f>
        <v/>
      </c>
      <c r="J2919" s="16" t="str">
        <f aca="false">IF(I2919="","",IF(H2919="İptal",0,IF(H2919="İade",-G2919,E2919-I2919-F2919-G2919)))</f>
        <v/>
      </c>
    </row>
    <row r="2920" customFormat="false" ht="15" hidden="false" customHeight="false" outlineLevel="0" collapsed="false">
      <c r="A2920" s="12"/>
      <c r="B2920" s="13"/>
      <c r="C2920" s="14"/>
      <c r="D2920" s="13"/>
      <c r="E2920" s="15"/>
      <c r="F2920" s="15"/>
      <c r="G2920" s="15"/>
      <c r="H2920" s="14"/>
      <c r="I2920" s="16" t="str">
        <f aca="false">IF(OR(A2920="",C2920=""),"",IF(OR(H2920="İade",H2920="İptal"),0,E2920*IFERROR(INDEX(Kanallar!$B$5:$B$19,MATCH(C2920,Kanallar!$A$5:$A$19,0)),0)))</f>
        <v/>
      </c>
      <c r="J2920" s="16" t="str">
        <f aca="false">IF(I2920="","",IF(H2920="İptal",0,IF(H2920="İade",-G2920,E2920-I2920-F2920-G2920)))</f>
        <v/>
      </c>
    </row>
    <row r="2921" customFormat="false" ht="15" hidden="false" customHeight="false" outlineLevel="0" collapsed="false">
      <c r="A2921" s="12"/>
      <c r="B2921" s="13"/>
      <c r="C2921" s="14"/>
      <c r="D2921" s="13"/>
      <c r="E2921" s="15"/>
      <c r="F2921" s="15"/>
      <c r="G2921" s="15"/>
      <c r="H2921" s="14"/>
      <c r="I2921" s="16" t="str">
        <f aca="false">IF(OR(A2921="",C2921=""),"",IF(OR(H2921="İade",H2921="İptal"),0,E2921*IFERROR(INDEX(Kanallar!$B$5:$B$19,MATCH(C2921,Kanallar!$A$5:$A$19,0)),0)))</f>
        <v/>
      </c>
      <c r="J2921" s="16" t="str">
        <f aca="false">IF(I2921="","",IF(H2921="İptal",0,IF(H2921="İade",-G2921,E2921-I2921-F2921-G2921)))</f>
        <v/>
      </c>
    </row>
    <row r="2922" customFormat="false" ht="15" hidden="false" customHeight="false" outlineLevel="0" collapsed="false">
      <c r="A2922" s="12"/>
      <c r="B2922" s="13"/>
      <c r="C2922" s="14"/>
      <c r="D2922" s="13"/>
      <c r="E2922" s="15"/>
      <c r="F2922" s="15"/>
      <c r="G2922" s="15"/>
      <c r="H2922" s="14"/>
      <c r="I2922" s="16" t="str">
        <f aca="false">IF(OR(A2922="",C2922=""),"",IF(OR(H2922="İade",H2922="İptal"),0,E2922*IFERROR(INDEX(Kanallar!$B$5:$B$19,MATCH(C2922,Kanallar!$A$5:$A$19,0)),0)))</f>
        <v/>
      </c>
      <c r="J2922" s="16" t="str">
        <f aca="false">IF(I2922="","",IF(H2922="İptal",0,IF(H2922="İade",-G2922,E2922-I2922-F2922-G2922)))</f>
        <v/>
      </c>
    </row>
    <row r="2923" customFormat="false" ht="15" hidden="false" customHeight="false" outlineLevel="0" collapsed="false">
      <c r="A2923" s="12"/>
      <c r="B2923" s="13"/>
      <c r="C2923" s="14"/>
      <c r="D2923" s="13"/>
      <c r="E2923" s="15"/>
      <c r="F2923" s="15"/>
      <c r="G2923" s="15"/>
      <c r="H2923" s="14"/>
      <c r="I2923" s="16" t="str">
        <f aca="false">IF(OR(A2923="",C2923=""),"",IF(OR(H2923="İade",H2923="İptal"),0,E2923*IFERROR(INDEX(Kanallar!$B$5:$B$19,MATCH(C2923,Kanallar!$A$5:$A$19,0)),0)))</f>
        <v/>
      </c>
      <c r="J2923" s="16" t="str">
        <f aca="false">IF(I2923="","",IF(H2923="İptal",0,IF(H2923="İade",-G2923,E2923-I2923-F2923-G2923)))</f>
        <v/>
      </c>
    </row>
    <row r="2924" customFormat="false" ht="15" hidden="false" customHeight="false" outlineLevel="0" collapsed="false">
      <c r="A2924" s="12"/>
      <c r="B2924" s="13"/>
      <c r="C2924" s="14"/>
      <c r="D2924" s="13"/>
      <c r="E2924" s="15"/>
      <c r="F2924" s="15"/>
      <c r="G2924" s="15"/>
      <c r="H2924" s="14"/>
      <c r="I2924" s="16" t="str">
        <f aca="false">IF(OR(A2924="",C2924=""),"",IF(OR(H2924="İade",H2924="İptal"),0,E2924*IFERROR(INDEX(Kanallar!$B$5:$B$19,MATCH(C2924,Kanallar!$A$5:$A$19,0)),0)))</f>
        <v/>
      </c>
      <c r="J2924" s="16" t="str">
        <f aca="false">IF(I2924="","",IF(H2924="İptal",0,IF(H2924="İade",-G2924,E2924-I2924-F2924-G2924)))</f>
        <v/>
      </c>
    </row>
    <row r="2925" customFormat="false" ht="15" hidden="false" customHeight="false" outlineLevel="0" collapsed="false">
      <c r="A2925" s="12"/>
      <c r="B2925" s="13"/>
      <c r="C2925" s="14"/>
      <c r="D2925" s="13"/>
      <c r="E2925" s="15"/>
      <c r="F2925" s="15"/>
      <c r="G2925" s="15"/>
      <c r="H2925" s="14"/>
      <c r="I2925" s="16" t="str">
        <f aca="false">IF(OR(A2925="",C2925=""),"",IF(OR(H2925="İade",H2925="İptal"),0,E2925*IFERROR(INDEX(Kanallar!$B$5:$B$19,MATCH(C2925,Kanallar!$A$5:$A$19,0)),0)))</f>
        <v/>
      </c>
      <c r="J2925" s="16" t="str">
        <f aca="false">IF(I2925="","",IF(H2925="İptal",0,IF(H2925="İade",-G2925,E2925-I2925-F2925-G2925)))</f>
        <v/>
      </c>
    </row>
    <row r="2926" customFormat="false" ht="15" hidden="false" customHeight="false" outlineLevel="0" collapsed="false">
      <c r="A2926" s="12"/>
      <c r="B2926" s="13"/>
      <c r="C2926" s="14"/>
      <c r="D2926" s="13"/>
      <c r="E2926" s="15"/>
      <c r="F2926" s="15"/>
      <c r="G2926" s="15"/>
      <c r="H2926" s="14"/>
      <c r="I2926" s="16" t="str">
        <f aca="false">IF(OR(A2926="",C2926=""),"",IF(OR(H2926="İade",H2926="İptal"),0,E2926*IFERROR(INDEX(Kanallar!$B$5:$B$19,MATCH(C2926,Kanallar!$A$5:$A$19,0)),0)))</f>
        <v/>
      </c>
      <c r="J2926" s="16" t="str">
        <f aca="false">IF(I2926="","",IF(H2926="İptal",0,IF(H2926="İade",-G2926,E2926-I2926-F2926-G2926)))</f>
        <v/>
      </c>
    </row>
    <row r="2927" customFormat="false" ht="15" hidden="false" customHeight="false" outlineLevel="0" collapsed="false">
      <c r="A2927" s="12"/>
      <c r="B2927" s="13"/>
      <c r="C2927" s="14"/>
      <c r="D2927" s="13"/>
      <c r="E2927" s="15"/>
      <c r="F2927" s="15"/>
      <c r="G2927" s="15"/>
      <c r="H2927" s="14"/>
      <c r="I2927" s="16" t="str">
        <f aca="false">IF(OR(A2927="",C2927=""),"",IF(OR(H2927="İade",H2927="İptal"),0,E2927*IFERROR(INDEX(Kanallar!$B$5:$B$19,MATCH(C2927,Kanallar!$A$5:$A$19,0)),0)))</f>
        <v/>
      </c>
      <c r="J2927" s="16" t="str">
        <f aca="false">IF(I2927="","",IF(H2927="İptal",0,IF(H2927="İade",-G2927,E2927-I2927-F2927-G2927)))</f>
        <v/>
      </c>
    </row>
    <row r="2928" customFormat="false" ht="15" hidden="false" customHeight="false" outlineLevel="0" collapsed="false">
      <c r="A2928" s="12"/>
      <c r="B2928" s="13"/>
      <c r="C2928" s="14"/>
      <c r="D2928" s="13"/>
      <c r="E2928" s="15"/>
      <c r="F2928" s="15"/>
      <c r="G2928" s="15"/>
      <c r="H2928" s="14"/>
      <c r="I2928" s="16" t="str">
        <f aca="false">IF(OR(A2928="",C2928=""),"",IF(OR(H2928="İade",H2928="İptal"),0,E2928*IFERROR(INDEX(Kanallar!$B$5:$B$19,MATCH(C2928,Kanallar!$A$5:$A$19,0)),0)))</f>
        <v/>
      </c>
      <c r="J2928" s="16" t="str">
        <f aca="false">IF(I2928="","",IF(H2928="İptal",0,IF(H2928="İade",-G2928,E2928-I2928-F2928-G2928)))</f>
        <v/>
      </c>
    </row>
    <row r="2929" customFormat="false" ht="15" hidden="false" customHeight="false" outlineLevel="0" collapsed="false">
      <c r="A2929" s="12"/>
      <c r="B2929" s="13"/>
      <c r="C2929" s="14"/>
      <c r="D2929" s="13"/>
      <c r="E2929" s="15"/>
      <c r="F2929" s="15"/>
      <c r="G2929" s="15"/>
      <c r="H2929" s="14"/>
      <c r="I2929" s="16" t="str">
        <f aca="false">IF(OR(A2929="",C2929=""),"",IF(OR(H2929="İade",H2929="İptal"),0,E2929*IFERROR(INDEX(Kanallar!$B$5:$B$19,MATCH(C2929,Kanallar!$A$5:$A$19,0)),0)))</f>
        <v/>
      </c>
      <c r="J2929" s="16" t="str">
        <f aca="false">IF(I2929="","",IF(H2929="İptal",0,IF(H2929="İade",-G2929,E2929-I2929-F2929-G2929)))</f>
        <v/>
      </c>
    </row>
    <row r="2930" customFormat="false" ht="15" hidden="false" customHeight="false" outlineLevel="0" collapsed="false">
      <c r="A2930" s="12"/>
      <c r="B2930" s="13"/>
      <c r="C2930" s="14"/>
      <c r="D2930" s="13"/>
      <c r="E2930" s="15"/>
      <c r="F2930" s="15"/>
      <c r="G2930" s="15"/>
      <c r="H2930" s="14"/>
      <c r="I2930" s="16" t="str">
        <f aca="false">IF(OR(A2930="",C2930=""),"",IF(OR(H2930="İade",H2930="İptal"),0,E2930*IFERROR(INDEX(Kanallar!$B$5:$B$19,MATCH(C2930,Kanallar!$A$5:$A$19,0)),0)))</f>
        <v/>
      </c>
      <c r="J2930" s="16" t="str">
        <f aca="false">IF(I2930="","",IF(H2930="İptal",0,IF(H2930="İade",-G2930,E2930-I2930-F2930-G2930)))</f>
        <v/>
      </c>
    </row>
    <row r="2931" customFormat="false" ht="15" hidden="false" customHeight="false" outlineLevel="0" collapsed="false">
      <c r="A2931" s="12"/>
      <c r="B2931" s="13"/>
      <c r="C2931" s="14"/>
      <c r="D2931" s="13"/>
      <c r="E2931" s="15"/>
      <c r="F2931" s="15"/>
      <c r="G2931" s="15"/>
      <c r="H2931" s="14"/>
      <c r="I2931" s="16" t="str">
        <f aca="false">IF(OR(A2931="",C2931=""),"",IF(OR(H2931="İade",H2931="İptal"),0,E2931*IFERROR(INDEX(Kanallar!$B$5:$B$19,MATCH(C2931,Kanallar!$A$5:$A$19,0)),0)))</f>
        <v/>
      </c>
      <c r="J2931" s="16" t="str">
        <f aca="false">IF(I2931="","",IF(H2931="İptal",0,IF(H2931="İade",-G2931,E2931-I2931-F2931-G2931)))</f>
        <v/>
      </c>
    </row>
    <row r="2932" customFormat="false" ht="15" hidden="false" customHeight="false" outlineLevel="0" collapsed="false">
      <c r="A2932" s="12"/>
      <c r="B2932" s="13"/>
      <c r="C2932" s="14"/>
      <c r="D2932" s="13"/>
      <c r="E2932" s="15"/>
      <c r="F2932" s="15"/>
      <c r="G2932" s="15"/>
      <c r="H2932" s="14"/>
      <c r="I2932" s="16" t="str">
        <f aca="false">IF(OR(A2932="",C2932=""),"",IF(OR(H2932="İade",H2932="İptal"),0,E2932*IFERROR(INDEX(Kanallar!$B$5:$B$19,MATCH(C2932,Kanallar!$A$5:$A$19,0)),0)))</f>
        <v/>
      </c>
      <c r="J2932" s="16" t="str">
        <f aca="false">IF(I2932="","",IF(H2932="İptal",0,IF(H2932="İade",-G2932,E2932-I2932-F2932-G2932)))</f>
        <v/>
      </c>
    </row>
    <row r="2933" customFormat="false" ht="15" hidden="false" customHeight="false" outlineLevel="0" collapsed="false">
      <c r="A2933" s="12"/>
      <c r="B2933" s="13"/>
      <c r="C2933" s="14"/>
      <c r="D2933" s="13"/>
      <c r="E2933" s="15"/>
      <c r="F2933" s="15"/>
      <c r="G2933" s="15"/>
      <c r="H2933" s="14"/>
      <c r="I2933" s="16" t="str">
        <f aca="false">IF(OR(A2933="",C2933=""),"",IF(OR(H2933="İade",H2933="İptal"),0,E2933*IFERROR(INDEX(Kanallar!$B$5:$B$19,MATCH(C2933,Kanallar!$A$5:$A$19,0)),0)))</f>
        <v/>
      </c>
      <c r="J2933" s="16" t="str">
        <f aca="false">IF(I2933="","",IF(H2933="İptal",0,IF(H2933="İade",-G2933,E2933-I2933-F2933-G2933)))</f>
        <v/>
      </c>
    </row>
    <row r="2934" customFormat="false" ht="15" hidden="false" customHeight="false" outlineLevel="0" collapsed="false">
      <c r="A2934" s="12"/>
      <c r="B2934" s="13"/>
      <c r="C2934" s="14"/>
      <c r="D2934" s="13"/>
      <c r="E2934" s="15"/>
      <c r="F2934" s="15"/>
      <c r="G2934" s="15"/>
      <c r="H2934" s="14"/>
      <c r="I2934" s="16" t="str">
        <f aca="false">IF(OR(A2934="",C2934=""),"",IF(OR(H2934="İade",H2934="İptal"),0,E2934*IFERROR(INDEX(Kanallar!$B$5:$B$19,MATCH(C2934,Kanallar!$A$5:$A$19,0)),0)))</f>
        <v/>
      </c>
      <c r="J2934" s="16" t="str">
        <f aca="false">IF(I2934="","",IF(H2934="İptal",0,IF(H2934="İade",-G2934,E2934-I2934-F2934-G2934)))</f>
        <v/>
      </c>
    </row>
    <row r="2935" customFormat="false" ht="15" hidden="false" customHeight="false" outlineLevel="0" collapsed="false">
      <c r="A2935" s="12"/>
      <c r="B2935" s="13"/>
      <c r="C2935" s="14"/>
      <c r="D2935" s="13"/>
      <c r="E2935" s="15"/>
      <c r="F2935" s="15"/>
      <c r="G2935" s="15"/>
      <c r="H2935" s="14"/>
      <c r="I2935" s="16" t="str">
        <f aca="false">IF(OR(A2935="",C2935=""),"",IF(OR(H2935="İade",H2935="İptal"),0,E2935*IFERROR(INDEX(Kanallar!$B$5:$B$19,MATCH(C2935,Kanallar!$A$5:$A$19,0)),0)))</f>
        <v/>
      </c>
      <c r="J2935" s="16" t="str">
        <f aca="false">IF(I2935="","",IF(H2935="İptal",0,IF(H2935="İade",-G2935,E2935-I2935-F2935-G2935)))</f>
        <v/>
      </c>
    </row>
    <row r="2936" customFormat="false" ht="15" hidden="false" customHeight="false" outlineLevel="0" collapsed="false">
      <c r="A2936" s="12"/>
      <c r="B2936" s="13"/>
      <c r="C2936" s="14"/>
      <c r="D2936" s="13"/>
      <c r="E2936" s="15"/>
      <c r="F2936" s="15"/>
      <c r="G2936" s="15"/>
      <c r="H2936" s="14"/>
      <c r="I2936" s="16" t="str">
        <f aca="false">IF(OR(A2936="",C2936=""),"",IF(OR(H2936="İade",H2936="İptal"),0,E2936*IFERROR(INDEX(Kanallar!$B$5:$B$19,MATCH(C2936,Kanallar!$A$5:$A$19,0)),0)))</f>
        <v/>
      </c>
      <c r="J2936" s="16" t="str">
        <f aca="false">IF(I2936="","",IF(H2936="İptal",0,IF(H2936="İade",-G2936,E2936-I2936-F2936-G2936)))</f>
        <v/>
      </c>
    </row>
    <row r="2937" customFormat="false" ht="15" hidden="false" customHeight="false" outlineLevel="0" collapsed="false">
      <c r="A2937" s="12"/>
      <c r="B2937" s="13"/>
      <c r="C2937" s="14"/>
      <c r="D2937" s="13"/>
      <c r="E2937" s="15"/>
      <c r="F2937" s="15"/>
      <c r="G2937" s="15"/>
      <c r="H2937" s="14"/>
      <c r="I2937" s="16" t="str">
        <f aca="false">IF(OR(A2937="",C2937=""),"",IF(OR(H2937="İade",H2937="İptal"),0,E2937*IFERROR(INDEX(Kanallar!$B$5:$B$19,MATCH(C2937,Kanallar!$A$5:$A$19,0)),0)))</f>
        <v/>
      </c>
      <c r="J2937" s="16" t="str">
        <f aca="false">IF(I2937="","",IF(H2937="İptal",0,IF(H2937="İade",-G2937,E2937-I2937-F2937-G2937)))</f>
        <v/>
      </c>
    </row>
    <row r="2938" customFormat="false" ht="15" hidden="false" customHeight="false" outlineLevel="0" collapsed="false">
      <c r="A2938" s="12"/>
      <c r="B2938" s="13"/>
      <c r="C2938" s="14"/>
      <c r="D2938" s="13"/>
      <c r="E2938" s="15"/>
      <c r="F2938" s="15"/>
      <c r="G2938" s="15"/>
      <c r="H2938" s="14"/>
      <c r="I2938" s="16" t="str">
        <f aca="false">IF(OR(A2938="",C2938=""),"",IF(OR(H2938="İade",H2938="İptal"),0,E2938*IFERROR(INDEX(Kanallar!$B$5:$B$19,MATCH(C2938,Kanallar!$A$5:$A$19,0)),0)))</f>
        <v/>
      </c>
      <c r="J2938" s="16" t="str">
        <f aca="false">IF(I2938="","",IF(H2938="İptal",0,IF(H2938="İade",-G2938,E2938-I2938-F2938-G2938)))</f>
        <v/>
      </c>
    </row>
    <row r="2939" customFormat="false" ht="15" hidden="false" customHeight="false" outlineLevel="0" collapsed="false">
      <c r="A2939" s="12"/>
      <c r="B2939" s="13"/>
      <c r="C2939" s="14"/>
      <c r="D2939" s="13"/>
      <c r="E2939" s="15"/>
      <c r="F2939" s="15"/>
      <c r="G2939" s="15"/>
      <c r="H2939" s="14"/>
      <c r="I2939" s="16" t="str">
        <f aca="false">IF(OR(A2939="",C2939=""),"",IF(OR(H2939="İade",H2939="İptal"),0,E2939*IFERROR(INDEX(Kanallar!$B$5:$B$19,MATCH(C2939,Kanallar!$A$5:$A$19,0)),0)))</f>
        <v/>
      </c>
      <c r="J2939" s="16" t="str">
        <f aca="false">IF(I2939="","",IF(H2939="İptal",0,IF(H2939="İade",-G2939,E2939-I2939-F2939-G2939)))</f>
        <v/>
      </c>
    </row>
    <row r="2940" customFormat="false" ht="15" hidden="false" customHeight="false" outlineLevel="0" collapsed="false">
      <c r="A2940" s="12"/>
      <c r="B2940" s="13"/>
      <c r="C2940" s="14"/>
      <c r="D2940" s="13"/>
      <c r="E2940" s="15"/>
      <c r="F2940" s="15"/>
      <c r="G2940" s="15"/>
      <c r="H2940" s="14"/>
      <c r="I2940" s="16" t="str">
        <f aca="false">IF(OR(A2940="",C2940=""),"",IF(OR(H2940="İade",H2940="İptal"),0,E2940*IFERROR(INDEX(Kanallar!$B$5:$B$19,MATCH(C2940,Kanallar!$A$5:$A$19,0)),0)))</f>
        <v/>
      </c>
      <c r="J2940" s="16" t="str">
        <f aca="false">IF(I2940="","",IF(H2940="İptal",0,IF(H2940="İade",-G2940,E2940-I2940-F2940-G2940)))</f>
        <v/>
      </c>
    </row>
    <row r="2941" customFormat="false" ht="15" hidden="false" customHeight="false" outlineLevel="0" collapsed="false">
      <c r="A2941" s="12"/>
      <c r="B2941" s="13"/>
      <c r="C2941" s="14"/>
      <c r="D2941" s="13"/>
      <c r="E2941" s="15"/>
      <c r="F2941" s="15"/>
      <c r="G2941" s="15"/>
      <c r="H2941" s="14"/>
      <c r="I2941" s="16" t="str">
        <f aca="false">IF(OR(A2941="",C2941=""),"",IF(OR(H2941="İade",H2941="İptal"),0,E2941*IFERROR(INDEX(Kanallar!$B$5:$B$19,MATCH(C2941,Kanallar!$A$5:$A$19,0)),0)))</f>
        <v/>
      </c>
      <c r="J2941" s="16" t="str">
        <f aca="false">IF(I2941="","",IF(H2941="İptal",0,IF(H2941="İade",-G2941,E2941-I2941-F2941-G2941)))</f>
        <v/>
      </c>
    </row>
    <row r="2942" customFormat="false" ht="15" hidden="false" customHeight="false" outlineLevel="0" collapsed="false">
      <c r="A2942" s="12"/>
      <c r="B2942" s="13"/>
      <c r="C2942" s="14"/>
      <c r="D2942" s="13"/>
      <c r="E2942" s="15"/>
      <c r="F2942" s="15"/>
      <c r="G2942" s="15"/>
      <c r="H2942" s="14"/>
      <c r="I2942" s="16" t="str">
        <f aca="false">IF(OR(A2942="",C2942=""),"",IF(OR(H2942="İade",H2942="İptal"),0,E2942*IFERROR(INDEX(Kanallar!$B$5:$B$19,MATCH(C2942,Kanallar!$A$5:$A$19,0)),0)))</f>
        <v/>
      </c>
      <c r="J2942" s="16" t="str">
        <f aca="false">IF(I2942="","",IF(H2942="İptal",0,IF(H2942="İade",-G2942,E2942-I2942-F2942-G2942)))</f>
        <v/>
      </c>
    </row>
    <row r="2943" customFormat="false" ht="15" hidden="false" customHeight="false" outlineLevel="0" collapsed="false">
      <c r="A2943" s="12"/>
      <c r="B2943" s="13"/>
      <c r="C2943" s="14"/>
      <c r="D2943" s="13"/>
      <c r="E2943" s="15"/>
      <c r="F2943" s="15"/>
      <c r="G2943" s="15"/>
      <c r="H2943" s="14"/>
      <c r="I2943" s="16" t="str">
        <f aca="false">IF(OR(A2943="",C2943=""),"",IF(OR(H2943="İade",H2943="İptal"),0,E2943*IFERROR(INDEX(Kanallar!$B$5:$B$19,MATCH(C2943,Kanallar!$A$5:$A$19,0)),0)))</f>
        <v/>
      </c>
      <c r="J2943" s="16" t="str">
        <f aca="false">IF(I2943="","",IF(H2943="İptal",0,IF(H2943="İade",-G2943,E2943-I2943-F2943-G2943)))</f>
        <v/>
      </c>
    </row>
    <row r="2944" customFormat="false" ht="15" hidden="false" customHeight="false" outlineLevel="0" collapsed="false">
      <c r="A2944" s="12"/>
      <c r="B2944" s="13"/>
      <c r="C2944" s="14"/>
      <c r="D2944" s="13"/>
      <c r="E2944" s="15"/>
      <c r="F2944" s="15"/>
      <c r="G2944" s="15"/>
      <c r="H2944" s="14"/>
      <c r="I2944" s="16" t="str">
        <f aca="false">IF(OR(A2944="",C2944=""),"",IF(OR(H2944="İade",H2944="İptal"),0,E2944*IFERROR(INDEX(Kanallar!$B$5:$B$19,MATCH(C2944,Kanallar!$A$5:$A$19,0)),0)))</f>
        <v/>
      </c>
      <c r="J2944" s="16" t="str">
        <f aca="false">IF(I2944="","",IF(H2944="İptal",0,IF(H2944="İade",-G2944,E2944-I2944-F2944-G2944)))</f>
        <v/>
      </c>
    </row>
    <row r="2945" customFormat="false" ht="15" hidden="false" customHeight="false" outlineLevel="0" collapsed="false">
      <c r="A2945" s="12"/>
      <c r="B2945" s="13"/>
      <c r="C2945" s="14"/>
      <c r="D2945" s="13"/>
      <c r="E2945" s="15"/>
      <c r="F2945" s="15"/>
      <c r="G2945" s="15"/>
      <c r="H2945" s="14"/>
      <c r="I2945" s="16" t="str">
        <f aca="false">IF(OR(A2945="",C2945=""),"",IF(OR(H2945="İade",H2945="İptal"),0,E2945*IFERROR(INDEX(Kanallar!$B$5:$B$19,MATCH(C2945,Kanallar!$A$5:$A$19,0)),0)))</f>
        <v/>
      </c>
      <c r="J2945" s="16" t="str">
        <f aca="false">IF(I2945="","",IF(H2945="İptal",0,IF(H2945="İade",-G2945,E2945-I2945-F2945-G2945)))</f>
        <v/>
      </c>
    </row>
    <row r="2946" customFormat="false" ht="15" hidden="false" customHeight="false" outlineLevel="0" collapsed="false">
      <c r="A2946" s="12"/>
      <c r="B2946" s="13"/>
      <c r="C2946" s="14"/>
      <c r="D2946" s="13"/>
      <c r="E2946" s="15"/>
      <c r="F2946" s="15"/>
      <c r="G2946" s="15"/>
      <c r="H2946" s="14"/>
      <c r="I2946" s="16" t="str">
        <f aca="false">IF(OR(A2946="",C2946=""),"",IF(OR(H2946="İade",H2946="İptal"),0,E2946*IFERROR(INDEX(Kanallar!$B$5:$B$19,MATCH(C2946,Kanallar!$A$5:$A$19,0)),0)))</f>
        <v/>
      </c>
      <c r="J2946" s="16" t="str">
        <f aca="false">IF(I2946="","",IF(H2946="İptal",0,IF(H2946="İade",-G2946,E2946-I2946-F2946-G2946)))</f>
        <v/>
      </c>
    </row>
    <row r="2947" customFormat="false" ht="15" hidden="false" customHeight="false" outlineLevel="0" collapsed="false">
      <c r="A2947" s="12"/>
      <c r="B2947" s="13"/>
      <c r="C2947" s="14"/>
      <c r="D2947" s="13"/>
      <c r="E2947" s="15"/>
      <c r="F2947" s="15"/>
      <c r="G2947" s="15"/>
      <c r="H2947" s="14"/>
      <c r="I2947" s="16" t="str">
        <f aca="false">IF(OR(A2947="",C2947=""),"",IF(OR(H2947="İade",H2947="İptal"),0,E2947*IFERROR(INDEX(Kanallar!$B$5:$B$19,MATCH(C2947,Kanallar!$A$5:$A$19,0)),0)))</f>
        <v/>
      </c>
      <c r="J2947" s="16" t="str">
        <f aca="false">IF(I2947="","",IF(H2947="İptal",0,IF(H2947="İade",-G2947,E2947-I2947-F2947-G2947)))</f>
        <v/>
      </c>
    </row>
    <row r="2948" customFormat="false" ht="15" hidden="false" customHeight="false" outlineLevel="0" collapsed="false">
      <c r="A2948" s="12"/>
      <c r="B2948" s="13"/>
      <c r="C2948" s="14"/>
      <c r="D2948" s="13"/>
      <c r="E2948" s="15"/>
      <c r="F2948" s="15"/>
      <c r="G2948" s="15"/>
      <c r="H2948" s="14"/>
      <c r="I2948" s="16" t="str">
        <f aca="false">IF(OR(A2948="",C2948=""),"",IF(OR(H2948="İade",H2948="İptal"),0,E2948*IFERROR(INDEX(Kanallar!$B$5:$B$19,MATCH(C2948,Kanallar!$A$5:$A$19,0)),0)))</f>
        <v/>
      </c>
      <c r="J2948" s="16" t="str">
        <f aca="false">IF(I2948="","",IF(H2948="İptal",0,IF(H2948="İade",-G2948,E2948-I2948-F2948-G2948)))</f>
        <v/>
      </c>
    </row>
    <row r="2949" customFormat="false" ht="15" hidden="false" customHeight="false" outlineLevel="0" collapsed="false">
      <c r="A2949" s="12"/>
      <c r="B2949" s="13"/>
      <c r="C2949" s="14"/>
      <c r="D2949" s="13"/>
      <c r="E2949" s="15"/>
      <c r="F2949" s="15"/>
      <c r="G2949" s="15"/>
      <c r="H2949" s="14"/>
      <c r="I2949" s="16" t="str">
        <f aca="false">IF(OR(A2949="",C2949=""),"",IF(OR(H2949="İade",H2949="İptal"),0,E2949*IFERROR(INDEX(Kanallar!$B$5:$B$19,MATCH(C2949,Kanallar!$A$5:$A$19,0)),0)))</f>
        <v/>
      </c>
      <c r="J2949" s="16" t="str">
        <f aca="false">IF(I2949="","",IF(H2949="İptal",0,IF(H2949="İade",-G2949,E2949-I2949-F2949-G2949)))</f>
        <v/>
      </c>
    </row>
    <row r="2950" customFormat="false" ht="15" hidden="false" customHeight="false" outlineLevel="0" collapsed="false">
      <c r="A2950" s="12"/>
      <c r="B2950" s="13"/>
      <c r="C2950" s="14"/>
      <c r="D2950" s="13"/>
      <c r="E2950" s="15"/>
      <c r="F2950" s="15"/>
      <c r="G2950" s="15"/>
      <c r="H2950" s="14"/>
      <c r="I2950" s="16" t="str">
        <f aca="false">IF(OR(A2950="",C2950=""),"",IF(OR(H2950="İade",H2950="İptal"),0,E2950*IFERROR(INDEX(Kanallar!$B$5:$B$19,MATCH(C2950,Kanallar!$A$5:$A$19,0)),0)))</f>
        <v/>
      </c>
      <c r="J2950" s="16" t="str">
        <f aca="false">IF(I2950="","",IF(H2950="İptal",0,IF(H2950="İade",-G2950,E2950-I2950-F2950-G2950)))</f>
        <v/>
      </c>
    </row>
    <row r="2951" customFormat="false" ht="15" hidden="false" customHeight="false" outlineLevel="0" collapsed="false">
      <c r="A2951" s="12"/>
      <c r="B2951" s="13"/>
      <c r="C2951" s="14"/>
      <c r="D2951" s="13"/>
      <c r="E2951" s="15"/>
      <c r="F2951" s="15"/>
      <c r="G2951" s="15"/>
      <c r="H2951" s="14"/>
      <c r="I2951" s="16" t="str">
        <f aca="false">IF(OR(A2951="",C2951=""),"",IF(OR(H2951="İade",H2951="İptal"),0,E2951*IFERROR(INDEX(Kanallar!$B$5:$B$19,MATCH(C2951,Kanallar!$A$5:$A$19,0)),0)))</f>
        <v/>
      </c>
      <c r="J2951" s="16" t="str">
        <f aca="false">IF(I2951="","",IF(H2951="İptal",0,IF(H2951="İade",-G2951,E2951-I2951-F2951-G2951)))</f>
        <v/>
      </c>
    </row>
    <row r="2952" customFormat="false" ht="15" hidden="false" customHeight="false" outlineLevel="0" collapsed="false">
      <c r="A2952" s="12"/>
      <c r="B2952" s="13"/>
      <c r="C2952" s="14"/>
      <c r="D2952" s="13"/>
      <c r="E2952" s="15"/>
      <c r="F2952" s="15"/>
      <c r="G2952" s="15"/>
      <c r="H2952" s="14"/>
      <c r="I2952" s="16" t="str">
        <f aca="false">IF(OR(A2952="",C2952=""),"",IF(OR(H2952="İade",H2952="İptal"),0,E2952*IFERROR(INDEX(Kanallar!$B$5:$B$19,MATCH(C2952,Kanallar!$A$5:$A$19,0)),0)))</f>
        <v/>
      </c>
      <c r="J2952" s="16" t="str">
        <f aca="false">IF(I2952="","",IF(H2952="İptal",0,IF(H2952="İade",-G2952,E2952-I2952-F2952-G2952)))</f>
        <v/>
      </c>
    </row>
    <row r="2953" customFormat="false" ht="15" hidden="false" customHeight="false" outlineLevel="0" collapsed="false">
      <c r="A2953" s="12"/>
      <c r="B2953" s="13"/>
      <c r="C2953" s="14"/>
      <c r="D2953" s="13"/>
      <c r="E2953" s="15"/>
      <c r="F2953" s="15"/>
      <c r="G2953" s="15"/>
      <c r="H2953" s="14"/>
      <c r="I2953" s="16" t="str">
        <f aca="false">IF(OR(A2953="",C2953=""),"",IF(OR(H2953="İade",H2953="İptal"),0,E2953*IFERROR(INDEX(Kanallar!$B$5:$B$19,MATCH(C2953,Kanallar!$A$5:$A$19,0)),0)))</f>
        <v/>
      </c>
      <c r="J2953" s="16" t="str">
        <f aca="false">IF(I2953="","",IF(H2953="İptal",0,IF(H2953="İade",-G2953,E2953-I2953-F2953-G2953)))</f>
        <v/>
      </c>
    </row>
    <row r="2954" customFormat="false" ht="15" hidden="false" customHeight="false" outlineLevel="0" collapsed="false">
      <c r="A2954" s="12"/>
      <c r="B2954" s="13"/>
      <c r="C2954" s="14"/>
      <c r="D2954" s="13"/>
      <c r="E2954" s="15"/>
      <c r="F2954" s="15"/>
      <c r="G2954" s="15"/>
      <c r="H2954" s="14"/>
      <c r="I2954" s="16" t="str">
        <f aca="false">IF(OR(A2954="",C2954=""),"",IF(OR(H2954="İade",H2954="İptal"),0,E2954*IFERROR(INDEX(Kanallar!$B$5:$B$19,MATCH(C2954,Kanallar!$A$5:$A$19,0)),0)))</f>
        <v/>
      </c>
      <c r="J2954" s="16" t="str">
        <f aca="false">IF(I2954="","",IF(H2954="İptal",0,IF(H2954="İade",-G2954,E2954-I2954-F2954-G2954)))</f>
        <v/>
      </c>
    </row>
    <row r="2955" customFormat="false" ht="15" hidden="false" customHeight="false" outlineLevel="0" collapsed="false">
      <c r="A2955" s="12"/>
      <c r="B2955" s="13"/>
      <c r="C2955" s="14"/>
      <c r="D2955" s="13"/>
      <c r="E2955" s="15"/>
      <c r="F2955" s="15"/>
      <c r="G2955" s="15"/>
      <c r="H2955" s="14"/>
      <c r="I2955" s="16" t="str">
        <f aca="false">IF(OR(A2955="",C2955=""),"",IF(OR(H2955="İade",H2955="İptal"),0,E2955*IFERROR(INDEX(Kanallar!$B$5:$B$19,MATCH(C2955,Kanallar!$A$5:$A$19,0)),0)))</f>
        <v/>
      </c>
      <c r="J2955" s="16" t="str">
        <f aca="false">IF(I2955="","",IF(H2955="İptal",0,IF(H2955="İade",-G2955,E2955-I2955-F2955-G2955)))</f>
        <v/>
      </c>
    </row>
    <row r="2956" customFormat="false" ht="15" hidden="false" customHeight="false" outlineLevel="0" collapsed="false">
      <c r="A2956" s="12"/>
      <c r="B2956" s="13"/>
      <c r="C2956" s="14"/>
      <c r="D2956" s="13"/>
      <c r="E2956" s="15"/>
      <c r="F2956" s="15"/>
      <c r="G2956" s="15"/>
      <c r="H2956" s="14"/>
      <c r="I2956" s="16" t="str">
        <f aca="false">IF(OR(A2956="",C2956=""),"",IF(OR(H2956="İade",H2956="İptal"),0,E2956*IFERROR(INDEX(Kanallar!$B$5:$B$19,MATCH(C2956,Kanallar!$A$5:$A$19,0)),0)))</f>
        <v/>
      </c>
      <c r="J2956" s="16" t="str">
        <f aca="false">IF(I2956="","",IF(H2956="İptal",0,IF(H2956="İade",-G2956,E2956-I2956-F2956-G2956)))</f>
        <v/>
      </c>
    </row>
    <row r="2957" customFormat="false" ht="15" hidden="false" customHeight="false" outlineLevel="0" collapsed="false">
      <c r="A2957" s="12"/>
      <c r="B2957" s="13"/>
      <c r="C2957" s="14"/>
      <c r="D2957" s="13"/>
      <c r="E2957" s="15"/>
      <c r="F2957" s="15"/>
      <c r="G2957" s="15"/>
      <c r="H2957" s="14"/>
      <c r="I2957" s="16" t="str">
        <f aca="false">IF(OR(A2957="",C2957=""),"",IF(OR(H2957="İade",H2957="İptal"),0,E2957*IFERROR(INDEX(Kanallar!$B$5:$B$19,MATCH(C2957,Kanallar!$A$5:$A$19,0)),0)))</f>
        <v/>
      </c>
      <c r="J2957" s="16" t="str">
        <f aca="false">IF(I2957="","",IF(H2957="İptal",0,IF(H2957="İade",-G2957,E2957-I2957-F2957-G2957)))</f>
        <v/>
      </c>
    </row>
    <row r="2958" customFormat="false" ht="15" hidden="false" customHeight="false" outlineLevel="0" collapsed="false">
      <c r="A2958" s="12"/>
      <c r="B2958" s="13"/>
      <c r="C2958" s="14"/>
      <c r="D2958" s="13"/>
      <c r="E2958" s="15"/>
      <c r="F2958" s="15"/>
      <c r="G2958" s="15"/>
      <c r="H2958" s="14"/>
      <c r="I2958" s="16" t="str">
        <f aca="false">IF(OR(A2958="",C2958=""),"",IF(OR(H2958="İade",H2958="İptal"),0,E2958*IFERROR(INDEX(Kanallar!$B$5:$B$19,MATCH(C2958,Kanallar!$A$5:$A$19,0)),0)))</f>
        <v/>
      </c>
      <c r="J2958" s="16" t="str">
        <f aca="false">IF(I2958="","",IF(H2958="İptal",0,IF(H2958="İade",-G2958,E2958-I2958-F2958-G2958)))</f>
        <v/>
      </c>
    </row>
    <row r="2959" customFormat="false" ht="15" hidden="false" customHeight="false" outlineLevel="0" collapsed="false">
      <c r="A2959" s="12"/>
      <c r="B2959" s="13"/>
      <c r="C2959" s="14"/>
      <c r="D2959" s="13"/>
      <c r="E2959" s="15"/>
      <c r="F2959" s="15"/>
      <c r="G2959" s="15"/>
      <c r="H2959" s="14"/>
      <c r="I2959" s="16" t="str">
        <f aca="false">IF(OR(A2959="",C2959=""),"",IF(OR(H2959="İade",H2959="İptal"),0,E2959*IFERROR(INDEX(Kanallar!$B$5:$B$19,MATCH(C2959,Kanallar!$A$5:$A$19,0)),0)))</f>
        <v/>
      </c>
      <c r="J2959" s="16" t="str">
        <f aca="false">IF(I2959="","",IF(H2959="İptal",0,IF(H2959="İade",-G2959,E2959-I2959-F2959-G2959)))</f>
        <v/>
      </c>
    </row>
    <row r="2960" customFormat="false" ht="15" hidden="false" customHeight="false" outlineLevel="0" collapsed="false">
      <c r="A2960" s="12"/>
      <c r="B2960" s="13"/>
      <c r="C2960" s="14"/>
      <c r="D2960" s="13"/>
      <c r="E2960" s="15"/>
      <c r="F2960" s="15"/>
      <c r="G2960" s="15"/>
      <c r="H2960" s="14"/>
      <c r="I2960" s="16" t="str">
        <f aca="false">IF(OR(A2960="",C2960=""),"",IF(OR(H2960="İade",H2960="İptal"),0,E2960*IFERROR(INDEX(Kanallar!$B$5:$B$19,MATCH(C2960,Kanallar!$A$5:$A$19,0)),0)))</f>
        <v/>
      </c>
      <c r="J2960" s="16" t="str">
        <f aca="false">IF(I2960="","",IF(H2960="İptal",0,IF(H2960="İade",-G2960,E2960-I2960-F2960-G2960)))</f>
        <v/>
      </c>
    </row>
    <row r="2961" customFormat="false" ht="15" hidden="false" customHeight="false" outlineLevel="0" collapsed="false">
      <c r="A2961" s="12"/>
      <c r="B2961" s="13"/>
      <c r="C2961" s="14"/>
      <c r="D2961" s="13"/>
      <c r="E2961" s="15"/>
      <c r="F2961" s="15"/>
      <c r="G2961" s="15"/>
      <c r="H2961" s="14"/>
      <c r="I2961" s="16" t="str">
        <f aca="false">IF(OR(A2961="",C2961=""),"",IF(OR(H2961="İade",H2961="İptal"),0,E2961*IFERROR(INDEX(Kanallar!$B$5:$B$19,MATCH(C2961,Kanallar!$A$5:$A$19,0)),0)))</f>
        <v/>
      </c>
      <c r="J2961" s="16" t="str">
        <f aca="false">IF(I2961="","",IF(H2961="İptal",0,IF(H2961="İade",-G2961,E2961-I2961-F2961-G2961)))</f>
        <v/>
      </c>
    </row>
    <row r="2962" customFormat="false" ht="15" hidden="false" customHeight="false" outlineLevel="0" collapsed="false">
      <c r="A2962" s="12"/>
      <c r="B2962" s="13"/>
      <c r="C2962" s="14"/>
      <c r="D2962" s="13"/>
      <c r="E2962" s="15"/>
      <c r="F2962" s="15"/>
      <c r="G2962" s="15"/>
      <c r="H2962" s="14"/>
      <c r="I2962" s="16" t="str">
        <f aca="false">IF(OR(A2962="",C2962=""),"",IF(OR(H2962="İade",H2962="İptal"),0,E2962*IFERROR(INDEX(Kanallar!$B$5:$B$19,MATCH(C2962,Kanallar!$A$5:$A$19,0)),0)))</f>
        <v/>
      </c>
      <c r="J2962" s="16" t="str">
        <f aca="false">IF(I2962="","",IF(H2962="İptal",0,IF(H2962="İade",-G2962,E2962-I2962-F2962-G2962)))</f>
        <v/>
      </c>
    </row>
    <row r="2963" customFormat="false" ht="15" hidden="false" customHeight="false" outlineLevel="0" collapsed="false">
      <c r="A2963" s="12"/>
      <c r="B2963" s="13"/>
      <c r="C2963" s="14"/>
      <c r="D2963" s="13"/>
      <c r="E2963" s="15"/>
      <c r="F2963" s="15"/>
      <c r="G2963" s="15"/>
      <c r="H2963" s="14"/>
      <c r="I2963" s="16" t="str">
        <f aca="false">IF(OR(A2963="",C2963=""),"",IF(OR(H2963="İade",H2963="İptal"),0,E2963*IFERROR(INDEX(Kanallar!$B$5:$B$19,MATCH(C2963,Kanallar!$A$5:$A$19,0)),0)))</f>
        <v/>
      </c>
      <c r="J2963" s="16" t="str">
        <f aca="false">IF(I2963="","",IF(H2963="İptal",0,IF(H2963="İade",-G2963,E2963-I2963-F2963-G2963)))</f>
        <v/>
      </c>
    </row>
    <row r="2964" customFormat="false" ht="15" hidden="false" customHeight="false" outlineLevel="0" collapsed="false">
      <c r="A2964" s="12"/>
      <c r="B2964" s="13"/>
      <c r="C2964" s="14"/>
      <c r="D2964" s="13"/>
      <c r="E2964" s="15"/>
      <c r="F2964" s="15"/>
      <c r="G2964" s="15"/>
      <c r="H2964" s="14"/>
      <c r="I2964" s="16" t="str">
        <f aca="false">IF(OR(A2964="",C2964=""),"",IF(OR(H2964="İade",H2964="İptal"),0,E2964*IFERROR(INDEX(Kanallar!$B$5:$B$19,MATCH(C2964,Kanallar!$A$5:$A$19,0)),0)))</f>
        <v/>
      </c>
      <c r="J2964" s="16" t="str">
        <f aca="false">IF(I2964="","",IF(H2964="İptal",0,IF(H2964="İade",-G2964,E2964-I2964-F2964-G2964)))</f>
        <v/>
      </c>
    </row>
    <row r="2965" customFormat="false" ht="15" hidden="false" customHeight="false" outlineLevel="0" collapsed="false">
      <c r="A2965" s="12"/>
      <c r="B2965" s="13"/>
      <c r="C2965" s="14"/>
      <c r="D2965" s="13"/>
      <c r="E2965" s="15"/>
      <c r="F2965" s="15"/>
      <c r="G2965" s="15"/>
      <c r="H2965" s="14"/>
      <c r="I2965" s="16" t="str">
        <f aca="false">IF(OR(A2965="",C2965=""),"",IF(OR(H2965="İade",H2965="İptal"),0,E2965*IFERROR(INDEX(Kanallar!$B$5:$B$19,MATCH(C2965,Kanallar!$A$5:$A$19,0)),0)))</f>
        <v/>
      </c>
      <c r="J2965" s="16" t="str">
        <f aca="false">IF(I2965="","",IF(H2965="İptal",0,IF(H2965="İade",-G2965,E2965-I2965-F2965-G2965)))</f>
        <v/>
      </c>
    </row>
    <row r="2966" customFormat="false" ht="15" hidden="false" customHeight="false" outlineLevel="0" collapsed="false">
      <c r="A2966" s="12"/>
      <c r="B2966" s="13"/>
      <c r="C2966" s="14"/>
      <c r="D2966" s="13"/>
      <c r="E2966" s="15"/>
      <c r="F2966" s="15"/>
      <c r="G2966" s="15"/>
      <c r="H2966" s="14"/>
      <c r="I2966" s="16" t="str">
        <f aca="false">IF(OR(A2966="",C2966=""),"",IF(OR(H2966="İade",H2966="İptal"),0,E2966*IFERROR(INDEX(Kanallar!$B$5:$B$19,MATCH(C2966,Kanallar!$A$5:$A$19,0)),0)))</f>
        <v/>
      </c>
      <c r="J2966" s="16" t="str">
        <f aca="false">IF(I2966="","",IF(H2966="İptal",0,IF(H2966="İade",-G2966,E2966-I2966-F2966-G2966)))</f>
        <v/>
      </c>
    </row>
    <row r="2967" customFormat="false" ht="15" hidden="false" customHeight="false" outlineLevel="0" collapsed="false">
      <c r="A2967" s="12"/>
      <c r="B2967" s="13"/>
      <c r="C2967" s="14"/>
      <c r="D2967" s="13"/>
      <c r="E2967" s="15"/>
      <c r="F2967" s="15"/>
      <c r="G2967" s="15"/>
      <c r="H2967" s="14"/>
      <c r="I2967" s="16" t="str">
        <f aca="false">IF(OR(A2967="",C2967=""),"",IF(OR(H2967="İade",H2967="İptal"),0,E2967*IFERROR(INDEX(Kanallar!$B$5:$B$19,MATCH(C2967,Kanallar!$A$5:$A$19,0)),0)))</f>
        <v/>
      </c>
      <c r="J2967" s="16" t="str">
        <f aca="false">IF(I2967="","",IF(H2967="İptal",0,IF(H2967="İade",-G2967,E2967-I2967-F2967-G2967)))</f>
        <v/>
      </c>
    </row>
    <row r="2968" customFormat="false" ht="15" hidden="false" customHeight="false" outlineLevel="0" collapsed="false">
      <c r="A2968" s="12"/>
      <c r="B2968" s="13"/>
      <c r="C2968" s="14"/>
      <c r="D2968" s="13"/>
      <c r="E2968" s="15"/>
      <c r="F2968" s="15"/>
      <c r="G2968" s="15"/>
      <c r="H2968" s="14"/>
      <c r="I2968" s="16" t="str">
        <f aca="false">IF(OR(A2968="",C2968=""),"",IF(OR(H2968="İade",H2968="İptal"),0,E2968*IFERROR(INDEX(Kanallar!$B$5:$B$19,MATCH(C2968,Kanallar!$A$5:$A$19,0)),0)))</f>
        <v/>
      </c>
      <c r="J2968" s="16" t="str">
        <f aca="false">IF(I2968="","",IF(H2968="İptal",0,IF(H2968="İade",-G2968,E2968-I2968-F2968-G2968)))</f>
        <v/>
      </c>
    </row>
    <row r="2969" customFormat="false" ht="15" hidden="false" customHeight="false" outlineLevel="0" collapsed="false">
      <c r="A2969" s="12"/>
      <c r="B2969" s="13"/>
      <c r="C2969" s="14"/>
      <c r="D2969" s="13"/>
      <c r="E2969" s="15"/>
      <c r="F2969" s="15"/>
      <c r="G2969" s="15"/>
      <c r="H2969" s="14"/>
      <c r="I2969" s="16" t="str">
        <f aca="false">IF(OR(A2969="",C2969=""),"",IF(OR(H2969="İade",H2969="İptal"),0,E2969*IFERROR(INDEX(Kanallar!$B$5:$B$19,MATCH(C2969,Kanallar!$A$5:$A$19,0)),0)))</f>
        <v/>
      </c>
      <c r="J2969" s="16" t="str">
        <f aca="false">IF(I2969="","",IF(H2969="İptal",0,IF(H2969="İade",-G2969,E2969-I2969-F2969-G2969)))</f>
        <v/>
      </c>
    </row>
    <row r="2970" customFormat="false" ht="15" hidden="false" customHeight="false" outlineLevel="0" collapsed="false">
      <c r="A2970" s="12"/>
      <c r="B2970" s="13"/>
      <c r="C2970" s="14"/>
      <c r="D2970" s="13"/>
      <c r="E2970" s="15"/>
      <c r="F2970" s="15"/>
      <c r="G2970" s="15"/>
      <c r="H2970" s="14"/>
      <c r="I2970" s="16" t="str">
        <f aca="false">IF(OR(A2970="",C2970=""),"",IF(OR(H2970="İade",H2970="İptal"),0,E2970*IFERROR(INDEX(Kanallar!$B$5:$B$19,MATCH(C2970,Kanallar!$A$5:$A$19,0)),0)))</f>
        <v/>
      </c>
      <c r="J2970" s="16" t="str">
        <f aca="false">IF(I2970="","",IF(H2970="İptal",0,IF(H2970="İade",-G2970,E2970-I2970-F2970-G2970)))</f>
        <v/>
      </c>
    </row>
    <row r="2971" customFormat="false" ht="15" hidden="false" customHeight="false" outlineLevel="0" collapsed="false">
      <c r="A2971" s="12"/>
      <c r="B2971" s="13"/>
      <c r="C2971" s="14"/>
      <c r="D2971" s="13"/>
      <c r="E2971" s="15"/>
      <c r="F2971" s="15"/>
      <c r="G2971" s="15"/>
      <c r="H2971" s="14"/>
      <c r="I2971" s="16" t="str">
        <f aca="false">IF(OR(A2971="",C2971=""),"",IF(OR(H2971="İade",H2971="İptal"),0,E2971*IFERROR(INDEX(Kanallar!$B$5:$B$19,MATCH(C2971,Kanallar!$A$5:$A$19,0)),0)))</f>
        <v/>
      </c>
      <c r="J2971" s="16" t="str">
        <f aca="false">IF(I2971="","",IF(H2971="İptal",0,IF(H2971="İade",-G2971,E2971-I2971-F2971-G2971)))</f>
        <v/>
      </c>
    </row>
    <row r="2972" customFormat="false" ht="15" hidden="false" customHeight="false" outlineLevel="0" collapsed="false">
      <c r="A2972" s="12"/>
      <c r="B2972" s="13"/>
      <c r="C2972" s="14"/>
      <c r="D2972" s="13"/>
      <c r="E2972" s="15"/>
      <c r="F2972" s="15"/>
      <c r="G2972" s="15"/>
      <c r="H2972" s="14"/>
      <c r="I2972" s="16" t="str">
        <f aca="false">IF(OR(A2972="",C2972=""),"",IF(OR(H2972="İade",H2972="İptal"),0,E2972*IFERROR(INDEX(Kanallar!$B$5:$B$19,MATCH(C2972,Kanallar!$A$5:$A$19,0)),0)))</f>
        <v/>
      </c>
      <c r="J2972" s="16" t="str">
        <f aca="false">IF(I2972="","",IF(H2972="İptal",0,IF(H2972="İade",-G2972,E2972-I2972-F2972-G2972)))</f>
        <v/>
      </c>
    </row>
    <row r="2973" customFormat="false" ht="15" hidden="false" customHeight="false" outlineLevel="0" collapsed="false">
      <c r="A2973" s="12"/>
      <c r="B2973" s="13"/>
      <c r="C2973" s="14"/>
      <c r="D2973" s="13"/>
      <c r="E2973" s="15"/>
      <c r="F2973" s="15"/>
      <c r="G2973" s="15"/>
      <c r="H2973" s="14"/>
      <c r="I2973" s="16" t="str">
        <f aca="false">IF(OR(A2973="",C2973=""),"",IF(OR(H2973="İade",H2973="İptal"),0,E2973*IFERROR(INDEX(Kanallar!$B$5:$B$19,MATCH(C2973,Kanallar!$A$5:$A$19,0)),0)))</f>
        <v/>
      </c>
      <c r="J2973" s="16" t="str">
        <f aca="false">IF(I2973="","",IF(H2973="İptal",0,IF(H2973="İade",-G2973,E2973-I2973-F2973-G2973)))</f>
        <v/>
      </c>
    </row>
    <row r="2974" customFormat="false" ht="15" hidden="false" customHeight="false" outlineLevel="0" collapsed="false">
      <c r="A2974" s="12"/>
      <c r="B2974" s="13"/>
      <c r="C2974" s="14"/>
      <c r="D2974" s="13"/>
      <c r="E2974" s="15"/>
      <c r="F2974" s="15"/>
      <c r="G2974" s="15"/>
      <c r="H2974" s="14"/>
      <c r="I2974" s="16" t="str">
        <f aca="false">IF(OR(A2974="",C2974=""),"",IF(OR(H2974="İade",H2974="İptal"),0,E2974*IFERROR(INDEX(Kanallar!$B$5:$B$19,MATCH(C2974,Kanallar!$A$5:$A$19,0)),0)))</f>
        <v/>
      </c>
      <c r="J2974" s="16" t="str">
        <f aca="false">IF(I2974="","",IF(H2974="İptal",0,IF(H2974="İade",-G2974,E2974-I2974-F2974-G2974)))</f>
        <v/>
      </c>
    </row>
    <row r="2975" customFormat="false" ht="15" hidden="false" customHeight="false" outlineLevel="0" collapsed="false">
      <c r="A2975" s="12"/>
      <c r="B2975" s="13"/>
      <c r="C2975" s="14"/>
      <c r="D2975" s="13"/>
      <c r="E2975" s="15"/>
      <c r="F2975" s="15"/>
      <c r="G2975" s="15"/>
      <c r="H2975" s="14"/>
      <c r="I2975" s="16" t="str">
        <f aca="false">IF(OR(A2975="",C2975=""),"",IF(OR(H2975="İade",H2975="İptal"),0,E2975*IFERROR(INDEX(Kanallar!$B$5:$B$19,MATCH(C2975,Kanallar!$A$5:$A$19,0)),0)))</f>
        <v/>
      </c>
      <c r="J2975" s="16" t="str">
        <f aca="false">IF(I2975="","",IF(H2975="İptal",0,IF(H2975="İade",-G2975,E2975-I2975-F2975-G2975)))</f>
        <v/>
      </c>
    </row>
    <row r="2976" customFormat="false" ht="15" hidden="false" customHeight="false" outlineLevel="0" collapsed="false">
      <c r="A2976" s="12"/>
      <c r="B2976" s="13"/>
      <c r="C2976" s="14"/>
      <c r="D2976" s="13"/>
      <c r="E2976" s="15"/>
      <c r="F2976" s="15"/>
      <c r="G2976" s="15"/>
      <c r="H2976" s="14"/>
      <c r="I2976" s="16" t="str">
        <f aca="false">IF(OR(A2976="",C2976=""),"",IF(OR(H2976="İade",H2976="İptal"),0,E2976*IFERROR(INDEX(Kanallar!$B$5:$B$19,MATCH(C2976,Kanallar!$A$5:$A$19,0)),0)))</f>
        <v/>
      </c>
      <c r="J2976" s="16" t="str">
        <f aca="false">IF(I2976="","",IF(H2976="İptal",0,IF(H2976="İade",-G2976,E2976-I2976-F2976-G2976)))</f>
        <v/>
      </c>
    </row>
    <row r="2977" customFormat="false" ht="15" hidden="false" customHeight="false" outlineLevel="0" collapsed="false">
      <c r="A2977" s="12"/>
      <c r="B2977" s="13"/>
      <c r="C2977" s="14"/>
      <c r="D2977" s="13"/>
      <c r="E2977" s="15"/>
      <c r="F2977" s="15"/>
      <c r="G2977" s="15"/>
      <c r="H2977" s="14"/>
      <c r="I2977" s="16" t="str">
        <f aca="false">IF(OR(A2977="",C2977=""),"",IF(OR(H2977="İade",H2977="İptal"),0,E2977*IFERROR(INDEX(Kanallar!$B$5:$B$19,MATCH(C2977,Kanallar!$A$5:$A$19,0)),0)))</f>
        <v/>
      </c>
      <c r="J2977" s="16" t="str">
        <f aca="false">IF(I2977="","",IF(H2977="İptal",0,IF(H2977="İade",-G2977,E2977-I2977-F2977-G2977)))</f>
        <v/>
      </c>
    </row>
    <row r="2978" customFormat="false" ht="15" hidden="false" customHeight="false" outlineLevel="0" collapsed="false">
      <c r="A2978" s="12"/>
      <c r="B2978" s="13"/>
      <c r="C2978" s="14"/>
      <c r="D2978" s="13"/>
      <c r="E2978" s="15"/>
      <c r="F2978" s="15"/>
      <c r="G2978" s="15"/>
      <c r="H2978" s="14"/>
      <c r="I2978" s="16" t="str">
        <f aca="false">IF(OR(A2978="",C2978=""),"",IF(OR(H2978="İade",H2978="İptal"),0,E2978*IFERROR(INDEX(Kanallar!$B$5:$B$19,MATCH(C2978,Kanallar!$A$5:$A$19,0)),0)))</f>
        <v/>
      </c>
      <c r="J2978" s="16" t="str">
        <f aca="false">IF(I2978="","",IF(H2978="İptal",0,IF(H2978="İade",-G2978,E2978-I2978-F2978-G2978)))</f>
        <v/>
      </c>
    </row>
    <row r="2979" customFormat="false" ht="15" hidden="false" customHeight="false" outlineLevel="0" collapsed="false">
      <c r="A2979" s="12"/>
      <c r="B2979" s="13"/>
      <c r="C2979" s="14"/>
      <c r="D2979" s="13"/>
      <c r="E2979" s="15"/>
      <c r="F2979" s="15"/>
      <c r="G2979" s="15"/>
      <c r="H2979" s="14"/>
      <c r="I2979" s="16" t="str">
        <f aca="false">IF(OR(A2979="",C2979=""),"",IF(OR(H2979="İade",H2979="İptal"),0,E2979*IFERROR(INDEX(Kanallar!$B$5:$B$19,MATCH(C2979,Kanallar!$A$5:$A$19,0)),0)))</f>
        <v/>
      </c>
      <c r="J2979" s="16" t="str">
        <f aca="false">IF(I2979="","",IF(H2979="İptal",0,IF(H2979="İade",-G2979,E2979-I2979-F2979-G2979)))</f>
        <v/>
      </c>
    </row>
    <row r="2980" customFormat="false" ht="15" hidden="false" customHeight="false" outlineLevel="0" collapsed="false">
      <c r="A2980" s="12"/>
      <c r="B2980" s="13"/>
      <c r="C2980" s="14"/>
      <c r="D2980" s="13"/>
      <c r="E2980" s="15"/>
      <c r="F2980" s="15"/>
      <c r="G2980" s="15"/>
      <c r="H2980" s="14"/>
      <c r="I2980" s="16" t="str">
        <f aca="false">IF(OR(A2980="",C2980=""),"",IF(OR(H2980="İade",H2980="İptal"),0,E2980*IFERROR(INDEX(Kanallar!$B$5:$B$19,MATCH(C2980,Kanallar!$A$5:$A$19,0)),0)))</f>
        <v/>
      </c>
      <c r="J2980" s="16" t="str">
        <f aca="false">IF(I2980="","",IF(H2980="İptal",0,IF(H2980="İade",-G2980,E2980-I2980-F2980-G2980)))</f>
        <v/>
      </c>
    </row>
    <row r="2981" customFormat="false" ht="15" hidden="false" customHeight="false" outlineLevel="0" collapsed="false">
      <c r="A2981" s="12"/>
      <c r="B2981" s="13"/>
      <c r="C2981" s="14"/>
      <c r="D2981" s="13"/>
      <c r="E2981" s="15"/>
      <c r="F2981" s="15"/>
      <c r="G2981" s="15"/>
      <c r="H2981" s="14"/>
      <c r="I2981" s="16" t="str">
        <f aca="false">IF(OR(A2981="",C2981=""),"",IF(OR(H2981="İade",H2981="İptal"),0,E2981*IFERROR(INDEX(Kanallar!$B$5:$B$19,MATCH(C2981,Kanallar!$A$5:$A$19,0)),0)))</f>
        <v/>
      </c>
      <c r="J2981" s="16" t="str">
        <f aca="false">IF(I2981="","",IF(H2981="İptal",0,IF(H2981="İade",-G2981,E2981-I2981-F2981-G2981)))</f>
        <v/>
      </c>
    </row>
    <row r="2982" customFormat="false" ht="15" hidden="false" customHeight="false" outlineLevel="0" collapsed="false">
      <c r="A2982" s="12"/>
      <c r="B2982" s="13"/>
      <c r="C2982" s="14"/>
      <c r="D2982" s="13"/>
      <c r="E2982" s="15"/>
      <c r="F2982" s="15"/>
      <c r="G2982" s="15"/>
      <c r="H2982" s="14"/>
      <c r="I2982" s="16" t="str">
        <f aca="false">IF(OR(A2982="",C2982=""),"",IF(OR(H2982="İade",H2982="İptal"),0,E2982*IFERROR(INDEX(Kanallar!$B$5:$B$19,MATCH(C2982,Kanallar!$A$5:$A$19,0)),0)))</f>
        <v/>
      </c>
      <c r="J2982" s="16" t="str">
        <f aca="false">IF(I2982="","",IF(H2982="İptal",0,IF(H2982="İade",-G2982,E2982-I2982-F2982-G2982)))</f>
        <v/>
      </c>
    </row>
    <row r="2983" customFormat="false" ht="15" hidden="false" customHeight="false" outlineLevel="0" collapsed="false">
      <c r="A2983" s="12"/>
      <c r="B2983" s="13"/>
      <c r="C2983" s="14"/>
      <c r="D2983" s="13"/>
      <c r="E2983" s="15"/>
      <c r="F2983" s="15"/>
      <c r="G2983" s="15"/>
      <c r="H2983" s="14"/>
      <c r="I2983" s="16" t="str">
        <f aca="false">IF(OR(A2983="",C2983=""),"",IF(OR(H2983="İade",H2983="İptal"),0,E2983*IFERROR(INDEX(Kanallar!$B$5:$B$19,MATCH(C2983,Kanallar!$A$5:$A$19,0)),0)))</f>
        <v/>
      </c>
      <c r="J2983" s="16" t="str">
        <f aca="false">IF(I2983="","",IF(H2983="İptal",0,IF(H2983="İade",-G2983,E2983-I2983-F2983-G2983)))</f>
        <v/>
      </c>
    </row>
    <row r="2984" customFormat="false" ht="15" hidden="false" customHeight="false" outlineLevel="0" collapsed="false">
      <c r="A2984" s="12"/>
      <c r="B2984" s="13"/>
      <c r="C2984" s="14"/>
      <c r="D2984" s="13"/>
      <c r="E2984" s="15"/>
      <c r="F2984" s="15"/>
      <c r="G2984" s="15"/>
      <c r="H2984" s="14"/>
      <c r="I2984" s="16" t="str">
        <f aca="false">IF(OR(A2984="",C2984=""),"",IF(OR(H2984="İade",H2984="İptal"),0,E2984*IFERROR(INDEX(Kanallar!$B$5:$B$19,MATCH(C2984,Kanallar!$A$5:$A$19,0)),0)))</f>
        <v/>
      </c>
      <c r="J2984" s="16" t="str">
        <f aca="false">IF(I2984="","",IF(H2984="İptal",0,IF(H2984="İade",-G2984,E2984-I2984-F2984-G2984)))</f>
        <v/>
      </c>
    </row>
    <row r="2985" customFormat="false" ht="15" hidden="false" customHeight="false" outlineLevel="0" collapsed="false">
      <c r="A2985" s="12"/>
      <c r="B2985" s="13"/>
      <c r="C2985" s="14"/>
      <c r="D2985" s="13"/>
      <c r="E2985" s="15"/>
      <c r="F2985" s="15"/>
      <c r="G2985" s="15"/>
      <c r="H2985" s="14"/>
      <c r="I2985" s="16" t="str">
        <f aca="false">IF(OR(A2985="",C2985=""),"",IF(OR(H2985="İade",H2985="İptal"),0,E2985*IFERROR(INDEX(Kanallar!$B$5:$B$19,MATCH(C2985,Kanallar!$A$5:$A$19,0)),0)))</f>
        <v/>
      </c>
      <c r="J2985" s="16" t="str">
        <f aca="false">IF(I2985="","",IF(H2985="İptal",0,IF(H2985="İade",-G2985,E2985-I2985-F2985-G2985)))</f>
        <v/>
      </c>
    </row>
    <row r="2986" customFormat="false" ht="15" hidden="false" customHeight="false" outlineLevel="0" collapsed="false">
      <c r="A2986" s="12"/>
      <c r="B2986" s="13"/>
      <c r="C2986" s="14"/>
      <c r="D2986" s="13"/>
      <c r="E2986" s="15"/>
      <c r="F2986" s="15"/>
      <c r="G2986" s="15"/>
      <c r="H2986" s="14"/>
      <c r="I2986" s="16" t="str">
        <f aca="false">IF(OR(A2986="",C2986=""),"",IF(OR(H2986="İade",H2986="İptal"),0,E2986*IFERROR(INDEX(Kanallar!$B$5:$B$19,MATCH(C2986,Kanallar!$A$5:$A$19,0)),0)))</f>
        <v/>
      </c>
      <c r="J2986" s="16" t="str">
        <f aca="false">IF(I2986="","",IF(H2986="İptal",0,IF(H2986="İade",-G2986,E2986-I2986-F2986-G2986)))</f>
        <v/>
      </c>
    </row>
    <row r="2987" customFormat="false" ht="15" hidden="false" customHeight="false" outlineLevel="0" collapsed="false">
      <c r="A2987" s="12"/>
      <c r="B2987" s="13"/>
      <c r="C2987" s="14"/>
      <c r="D2987" s="13"/>
      <c r="E2987" s="15"/>
      <c r="F2987" s="15"/>
      <c r="G2987" s="15"/>
      <c r="H2987" s="14"/>
      <c r="I2987" s="16" t="str">
        <f aca="false">IF(OR(A2987="",C2987=""),"",IF(OR(H2987="İade",H2987="İptal"),0,E2987*IFERROR(INDEX(Kanallar!$B$5:$B$19,MATCH(C2987,Kanallar!$A$5:$A$19,0)),0)))</f>
        <v/>
      </c>
      <c r="J2987" s="16" t="str">
        <f aca="false">IF(I2987="","",IF(H2987="İptal",0,IF(H2987="İade",-G2987,E2987-I2987-F2987-G2987)))</f>
        <v/>
      </c>
    </row>
    <row r="2988" customFormat="false" ht="15" hidden="false" customHeight="false" outlineLevel="0" collapsed="false">
      <c r="A2988" s="12"/>
      <c r="B2988" s="13"/>
      <c r="C2988" s="14"/>
      <c r="D2988" s="13"/>
      <c r="E2988" s="15"/>
      <c r="F2988" s="15"/>
      <c r="G2988" s="15"/>
      <c r="H2988" s="14"/>
      <c r="I2988" s="16" t="str">
        <f aca="false">IF(OR(A2988="",C2988=""),"",IF(OR(H2988="İade",H2988="İptal"),0,E2988*IFERROR(INDEX(Kanallar!$B$5:$B$19,MATCH(C2988,Kanallar!$A$5:$A$19,0)),0)))</f>
        <v/>
      </c>
      <c r="J2988" s="16" t="str">
        <f aca="false">IF(I2988="","",IF(H2988="İptal",0,IF(H2988="İade",-G2988,E2988-I2988-F2988-G2988)))</f>
        <v/>
      </c>
    </row>
    <row r="2989" customFormat="false" ht="15" hidden="false" customHeight="false" outlineLevel="0" collapsed="false">
      <c r="A2989" s="12"/>
      <c r="B2989" s="13"/>
      <c r="C2989" s="14"/>
      <c r="D2989" s="13"/>
      <c r="E2989" s="15"/>
      <c r="F2989" s="15"/>
      <c r="G2989" s="15"/>
      <c r="H2989" s="14"/>
      <c r="I2989" s="16" t="str">
        <f aca="false">IF(OR(A2989="",C2989=""),"",IF(OR(H2989="İade",H2989="İptal"),0,E2989*IFERROR(INDEX(Kanallar!$B$5:$B$19,MATCH(C2989,Kanallar!$A$5:$A$19,0)),0)))</f>
        <v/>
      </c>
      <c r="J2989" s="16" t="str">
        <f aca="false">IF(I2989="","",IF(H2989="İptal",0,IF(H2989="İade",-G2989,E2989-I2989-F2989-G2989)))</f>
        <v/>
      </c>
    </row>
    <row r="2990" customFormat="false" ht="15" hidden="false" customHeight="false" outlineLevel="0" collapsed="false">
      <c r="A2990" s="12"/>
      <c r="B2990" s="13"/>
      <c r="C2990" s="14"/>
      <c r="D2990" s="13"/>
      <c r="E2990" s="15"/>
      <c r="F2990" s="15"/>
      <c r="G2990" s="15"/>
      <c r="H2990" s="14"/>
      <c r="I2990" s="16" t="str">
        <f aca="false">IF(OR(A2990="",C2990=""),"",IF(OR(H2990="İade",H2990="İptal"),0,E2990*IFERROR(INDEX(Kanallar!$B$5:$B$19,MATCH(C2990,Kanallar!$A$5:$A$19,0)),0)))</f>
        <v/>
      </c>
      <c r="J2990" s="16" t="str">
        <f aca="false">IF(I2990="","",IF(H2990="İptal",0,IF(H2990="İade",-G2990,E2990-I2990-F2990-G2990)))</f>
        <v/>
      </c>
    </row>
    <row r="2991" customFormat="false" ht="15" hidden="false" customHeight="false" outlineLevel="0" collapsed="false">
      <c r="A2991" s="12"/>
      <c r="B2991" s="13"/>
      <c r="C2991" s="14"/>
      <c r="D2991" s="13"/>
      <c r="E2991" s="15"/>
      <c r="F2991" s="15"/>
      <c r="G2991" s="15"/>
      <c r="H2991" s="14"/>
      <c r="I2991" s="16" t="str">
        <f aca="false">IF(OR(A2991="",C2991=""),"",IF(OR(H2991="İade",H2991="İptal"),0,E2991*IFERROR(INDEX(Kanallar!$B$5:$B$19,MATCH(C2991,Kanallar!$A$5:$A$19,0)),0)))</f>
        <v/>
      </c>
      <c r="J2991" s="16" t="str">
        <f aca="false">IF(I2991="","",IF(H2991="İptal",0,IF(H2991="İade",-G2991,E2991-I2991-F2991-G2991)))</f>
        <v/>
      </c>
    </row>
    <row r="2992" customFormat="false" ht="15" hidden="false" customHeight="false" outlineLevel="0" collapsed="false">
      <c r="A2992" s="12"/>
      <c r="B2992" s="13"/>
      <c r="C2992" s="14"/>
      <c r="D2992" s="13"/>
      <c r="E2992" s="15"/>
      <c r="F2992" s="15"/>
      <c r="G2992" s="15"/>
      <c r="H2992" s="14"/>
      <c r="I2992" s="16" t="str">
        <f aca="false">IF(OR(A2992="",C2992=""),"",IF(OR(H2992="İade",H2992="İptal"),0,E2992*IFERROR(INDEX(Kanallar!$B$5:$B$19,MATCH(C2992,Kanallar!$A$5:$A$19,0)),0)))</f>
        <v/>
      </c>
      <c r="J2992" s="16" t="str">
        <f aca="false">IF(I2992="","",IF(H2992="İptal",0,IF(H2992="İade",-G2992,E2992-I2992-F2992-G2992)))</f>
        <v/>
      </c>
    </row>
    <row r="2993" customFormat="false" ht="15" hidden="false" customHeight="false" outlineLevel="0" collapsed="false">
      <c r="A2993" s="12"/>
      <c r="B2993" s="13"/>
      <c r="C2993" s="14"/>
      <c r="D2993" s="13"/>
      <c r="E2993" s="15"/>
      <c r="F2993" s="15"/>
      <c r="G2993" s="15"/>
      <c r="H2993" s="14"/>
      <c r="I2993" s="16" t="str">
        <f aca="false">IF(OR(A2993="",C2993=""),"",IF(OR(H2993="İade",H2993="İptal"),0,E2993*IFERROR(INDEX(Kanallar!$B$5:$B$19,MATCH(C2993,Kanallar!$A$5:$A$19,0)),0)))</f>
        <v/>
      </c>
      <c r="J2993" s="16" t="str">
        <f aca="false">IF(I2993="","",IF(H2993="İptal",0,IF(H2993="İade",-G2993,E2993-I2993-F2993-G2993)))</f>
        <v/>
      </c>
    </row>
    <row r="2994" customFormat="false" ht="15" hidden="false" customHeight="false" outlineLevel="0" collapsed="false">
      <c r="A2994" s="12"/>
      <c r="B2994" s="13"/>
      <c r="C2994" s="14"/>
      <c r="D2994" s="13"/>
      <c r="E2994" s="15"/>
      <c r="F2994" s="15"/>
      <c r="G2994" s="15"/>
      <c r="H2994" s="14"/>
      <c r="I2994" s="16" t="str">
        <f aca="false">IF(OR(A2994="",C2994=""),"",IF(OR(H2994="İade",H2994="İptal"),0,E2994*IFERROR(INDEX(Kanallar!$B$5:$B$19,MATCH(C2994,Kanallar!$A$5:$A$19,0)),0)))</f>
        <v/>
      </c>
      <c r="J2994" s="16" t="str">
        <f aca="false">IF(I2994="","",IF(H2994="İptal",0,IF(H2994="İade",-G2994,E2994-I2994-F2994-G2994)))</f>
        <v/>
      </c>
    </row>
    <row r="2995" customFormat="false" ht="15" hidden="false" customHeight="false" outlineLevel="0" collapsed="false">
      <c r="A2995" s="12"/>
      <c r="B2995" s="13"/>
      <c r="C2995" s="14"/>
      <c r="D2995" s="13"/>
      <c r="E2995" s="15"/>
      <c r="F2995" s="15"/>
      <c r="G2995" s="15"/>
      <c r="H2995" s="14"/>
      <c r="I2995" s="16" t="str">
        <f aca="false">IF(OR(A2995="",C2995=""),"",IF(OR(H2995="İade",H2995="İptal"),0,E2995*IFERROR(INDEX(Kanallar!$B$5:$B$19,MATCH(C2995,Kanallar!$A$5:$A$19,0)),0)))</f>
        <v/>
      </c>
      <c r="J2995" s="16" t="str">
        <f aca="false">IF(I2995="","",IF(H2995="İptal",0,IF(H2995="İade",-G2995,E2995-I2995-F2995-G2995)))</f>
        <v/>
      </c>
    </row>
    <row r="2996" customFormat="false" ht="15" hidden="false" customHeight="false" outlineLevel="0" collapsed="false">
      <c r="A2996" s="12"/>
      <c r="B2996" s="13"/>
      <c r="C2996" s="14"/>
      <c r="D2996" s="13"/>
      <c r="E2996" s="15"/>
      <c r="F2996" s="15"/>
      <c r="G2996" s="15"/>
      <c r="H2996" s="14"/>
      <c r="I2996" s="16" t="str">
        <f aca="false">IF(OR(A2996="",C2996=""),"",IF(OR(H2996="İade",H2996="İptal"),0,E2996*IFERROR(INDEX(Kanallar!$B$5:$B$19,MATCH(C2996,Kanallar!$A$5:$A$19,0)),0)))</f>
        <v/>
      </c>
      <c r="J2996" s="16" t="str">
        <f aca="false">IF(I2996="","",IF(H2996="İptal",0,IF(H2996="İade",-G2996,E2996-I2996-F2996-G2996)))</f>
        <v/>
      </c>
    </row>
    <row r="2997" customFormat="false" ht="15" hidden="false" customHeight="false" outlineLevel="0" collapsed="false">
      <c r="A2997" s="12"/>
      <c r="B2997" s="13"/>
      <c r="C2997" s="14"/>
      <c r="D2997" s="13"/>
      <c r="E2997" s="15"/>
      <c r="F2997" s="15"/>
      <c r="G2997" s="15"/>
      <c r="H2997" s="14"/>
      <c r="I2997" s="16" t="str">
        <f aca="false">IF(OR(A2997="",C2997=""),"",IF(OR(H2997="İade",H2997="İptal"),0,E2997*IFERROR(INDEX(Kanallar!$B$5:$B$19,MATCH(C2997,Kanallar!$A$5:$A$19,0)),0)))</f>
        <v/>
      </c>
      <c r="J2997" s="16" t="str">
        <f aca="false">IF(I2997="","",IF(H2997="İptal",0,IF(H2997="İade",-G2997,E2997-I2997-F2997-G2997)))</f>
        <v/>
      </c>
    </row>
    <row r="2998" customFormat="false" ht="15" hidden="false" customHeight="false" outlineLevel="0" collapsed="false">
      <c r="A2998" s="12"/>
      <c r="B2998" s="13"/>
      <c r="C2998" s="14"/>
      <c r="D2998" s="13"/>
      <c r="E2998" s="15"/>
      <c r="F2998" s="15"/>
      <c r="G2998" s="15"/>
      <c r="H2998" s="14"/>
      <c r="I2998" s="16" t="str">
        <f aca="false">IF(OR(A2998="",C2998=""),"",IF(OR(H2998="İade",H2998="İptal"),0,E2998*IFERROR(INDEX(Kanallar!$B$5:$B$19,MATCH(C2998,Kanallar!$A$5:$A$19,0)),0)))</f>
        <v/>
      </c>
      <c r="J2998" s="16" t="str">
        <f aca="false">IF(I2998="","",IF(H2998="İptal",0,IF(H2998="İade",-G2998,E2998-I2998-F2998-G2998)))</f>
        <v/>
      </c>
    </row>
    <row r="2999" customFormat="false" ht="15" hidden="false" customHeight="false" outlineLevel="0" collapsed="false">
      <c r="A2999" s="12"/>
      <c r="B2999" s="13"/>
      <c r="C2999" s="14"/>
      <c r="D2999" s="13"/>
      <c r="E2999" s="15"/>
      <c r="F2999" s="15"/>
      <c r="G2999" s="15"/>
      <c r="H2999" s="14"/>
      <c r="I2999" s="16" t="str">
        <f aca="false">IF(OR(A2999="",C2999=""),"",IF(OR(H2999="İade",H2999="İptal"),0,E2999*IFERROR(INDEX(Kanallar!$B$5:$B$19,MATCH(C2999,Kanallar!$A$5:$A$19,0)),0)))</f>
        <v/>
      </c>
      <c r="J2999" s="16" t="str">
        <f aca="false">IF(I2999="","",IF(H2999="İptal",0,IF(H2999="İade",-G2999,E2999-I2999-F2999-G2999)))</f>
        <v/>
      </c>
    </row>
    <row r="3000" customFormat="false" ht="15" hidden="false" customHeight="false" outlineLevel="0" collapsed="false">
      <c r="A3000" s="12"/>
      <c r="B3000" s="13"/>
      <c r="C3000" s="14"/>
      <c r="D3000" s="13"/>
      <c r="E3000" s="15"/>
      <c r="F3000" s="15"/>
      <c r="G3000" s="15"/>
      <c r="H3000" s="14"/>
      <c r="I3000" s="16" t="str">
        <f aca="false">IF(OR(A3000="",C3000=""),"",IF(OR(H3000="İade",H3000="İptal"),0,E3000*IFERROR(INDEX(Kanallar!$B$5:$B$19,MATCH(C3000,Kanallar!$A$5:$A$19,0)),0)))</f>
        <v/>
      </c>
      <c r="J3000" s="16" t="str">
        <f aca="false">IF(I3000="","",IF(H3000="İptal",0,IF(H3000="İade",-G3000,E3000-I3000-F3000-G3000)))</f>
        <v/>
      </c>
    </row>
    <row r="3001" customFormat="false" ht="15" hidden="false" customHeight="false" outlineLevel="0" collapsed="false">
      <c r="A3001" s="12"/>
      <c r="B3001" s="13"/>
      <c r="C3001" s="14"/>
      <c r="D3001" s="13"/>
      <c r="E3001" s="15"/>
      <c r="F3001" s="15"/>
      <c r="G3001" s="15"/>
      <c r="H3001" s="14"/>
      <c r="I3001" s="16" t="str">
        <f aca="false">IF(OR(A3001="",C3001=""),"",IF(OR(H3001="İade",H3001="İptal"),0,E3001*IFERROR(INDEX(Kanallar!$B$5:$B$19,MATCH(C3001,Kanallar!$A$5:$A$19,0)),0)))</f>
        <v/>
      </c>
      <c r="J3001" s="16" t="str">
        <f aca="false">IF(I3001="","",IF(H3001="İptal",0,IF(H3001="İade",-G3001,E3001-I3001-F3001-G3001)))</f>
        <v/>
      </c>
    </row>
    <row r="3002" customFormat="false" ht="15" hidden="false" customHeight="false" outlineLevel="0" collapsed="false">
      <c r="A3002" s="12"/>
      <c r="B3002" s="13"/>
      <c r="C3002" s="14"/>
      <c r="D3002" s="13"/>
      <c r="E3002" s="15"/>
      <c r="F3002" s="15"/>
      <c r="G3002" s="15"/>
      <c r="H3002" s="14"/>
      <c r="I3002" s="16" t="str">
        <f aca="false">IF(OR(A3002="",C3002=""),"",IF(OR(H3002="İade",H3002="İptal"),0,E3002*IFERROR(INDEX(Kanallar!$B$5:$B$19,MATCH(C3002,Kanallar!$A$5:$A$19,0)),0)))</f>
        <v/>
      </c>
      <c r="J3002" s="16" t="str">
        <f aca="false">IF(I3002="","",IF(H3002="İptal",0,IF(H3002="İade",-G3002,E3002-I3002-F3002-G3002)))</f>
        <v/>
      </c>
    </row>
    <row r="3003" customFormat="false" ht="15" hidden="false" customHeight="false" outlineLevel="0" collapsed="false">
      <c r="A3003" s="12"/>
      <c r="B3003" s="13"/>
      <c r="C3003" s="14"/>
      <c r="D3003" s="13"/>
      <c r="E3003" s="15"/>
      <c r="F3003" s="15"/>
      <c r="G3003" s="15"/>
      <c r="H3003" s="14"/>
      <c r="I3003" s="16" t="str">
        <f aca="false">IF(OR(A3003="",C3003=""),"",IF(OR(H3003="İade",H3003="İptal"),0,E3003*IFERROR(INDEX(Kanallar!$B$5:$B$19,MATCH(C3003,Kanallar!$A$5:$A$19,0)),0)))</f>
        <v/>
      </c>
      <c r="J3003" s="16" t="str">
        <f aca="false">IF(I3003="","",IF(H3003="İptal",0,IF(H3003="İade",-G3003,E3003-I3003-F3003-G3003)))</f>
        <v/>
      </c>
    </row>
    <row r="3004" customFormat="false" ht="15" hidden="false" customHeight="false" outlineLevel="0" collapsed="false">
      <c r="A3004" s="12"/>
      <c r="B3004" s="13"/>
      <c r="C3004" s="14"/>
      <c r="D3004" s="13"/>
      <c r="E3004" s="15"/>
      <c r="F3004" s="15"/>
      <c r="G3004" s="15"/>
      <c r="H3004" s="14"/>
      <c r="I3004" s="16" t="str">
        <f aca="false">IF(OR(A3004="",C3004=""),"",IF(OR(H3004="İade",H3004="İptal"),0,E3004*IFERROR(INDEX(Kanallar!$B$5:$B$19,MATCH(C3004,Kanallar!$A$5:$A$19,0)),0)))</f>
        <v/>
      </c>
      <c r="J3004" s="16" t="str">
        <f aca="false">IF(I3004="","",IF(H3004="İptal",0,IF(H3004="İade",-G3004,E3004-I3004-F3004-G3004)))</f>
        <v/>
      </c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3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C5:C3004" type="list">
      <formula1>Kanallar!$A$5:$A$19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E5:G30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H5:H3004" type="list">
      <formula1>"Hazırlanıyor,Kargoda,Teslim edildi,İade,İptal"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8" t="s">
        <v>51</v>
      </c>
    </row>
    <row r="2" customFormat="false" ht="15" hidden="false" customHeight="false" outlineLevel="0" collapsed="false">
      <c r="A2" s="9" t="s">
        <v>5</v>
      </c>
    </row>
    <row r="4" customFormat="false" ht="27.75" hidden="false" customHeight="true" outlineLevel="0" collapsed="false">
      <c r="A4" s="10" t="s">
        <v>26</v>
      </c>
      <c r="B4" s="10" t="s">
        <v>52</v>
      </c>
      <c r="C4" s="11" t="s">
        <v>53</v>
      </c>
      <c r="D4" s="11" t="s">
        <v>54</v>
      </c>
      <c r="E4" s="11" t="s">
        <v>33</v>
      </c>
      <c r="F4" s="11" t="s">
        <v>55</v>
      </c>
    </row>
    <row r="5" customFormat="false" ht="15" hidden="false" customHeight="false" outlineLevel="0" collapsed="false">
      <c r="A5" s="13" t="s">
        <v>35</v>
      </c>
      <c r="B5" s="17" t="n">
        <v>0.2</v>
      </c>
      <c r="C5" s="18" t="n">
        <f aca="false">IF(A5="","",COUNTIFS(Siparişler!$C$5:$C$3004,A5,Siparişler!$H$5:$H$3004,"&lt;&gt;İptal"))</f>
        <v>3</v>
      </c>
      <c r="D5" s="16" t="n">
        <f aca="false">IF(A5="","",SUMIFS(Siparişler!$E$5:$E$3004,Siparişler!$C$5:$C$3004,A5,Siparişler!$H$5:$H$3004,"&lt;&gt;İade",Siparişler!$H$5:$H$3004,"&lt;&gt;İptal"))</f>
        <v>1200</v>
      </c>
      <c r="E5" s="16" t="n">
        <f aca="false">IF(A5="","",SUMIFS(Siparişler!$J$5:$J$3004,Siparişler!$C$5:$C$3004,A5))</f>
        <v>90</v>
      </c>
      <c r="F5" s="19" t="n">
        <f aca="false">IF(OR(A5="",C5=0),"",COUNTIFS(Siparişler!$C$5:$C$3004,A5,Siparişler!$H$5:$H$3004,"İade")/C5)</f>
        <v>0.333333333333333</v>
      </c>
    </row>
    <row r="6" customFormat="false" ht="15" hidden="false" customHeight="false" outlineLevel="0" collapsed="false">
      <c r="A6" s="13" t="s">
        <v>39</v>
      </c>
      <c r="B6" s="17" t="n">
        <v>0.04</v>
      </c>
      <c r="C6" s="18" t="n">
        <f aca="false">IF(A6="","",COUNTIFS(Siparişler!$C$5:$C$3004,A6,Siparişler!$H$5:$H$3004,"&lt;&gt;İptal"))</f>
        <v>1</v>
      </c>
      <c r="D6" s="16" t="n">
        <f aca="false">IF(A6="","",SUMIFS(Siparişler!$E$5:$E$3004,Siparişler!$C$5:$C$3004,A6,Siparişler!$H$5:$H$3004,"&lt;&gt;İade",Siparişler!$H$5:$H$3004,"&lt;&gt;İptal"))</f>
        <v>900</v>
      </c>
      <c r="E6" s="16" t="n">
        <f aca="false">IF(A6="","",SUMIFS(Siparişler!$J$5:$J$3004,Siparişler!$C$5:$C$3004,A6))</f>
        <v>294</v>
      </c>
      <c r="F6" s="19" t="n">
        <f aca="false">IF(OR(A6="",C6=0),"",COUNTIFS(Siparişler!$C$5:$C$3004,A6,Siparişler!$H$5:$H$3004,"İade")/C6)</f>
        <v>0</v>
      </c>
    </row>
    <row r="7" customFormat="false" ht="15" hidden="false" customHeight="false" outlineLevel="0" collapsed="false">
      <c r="A7" s="13" t="s">
        <v>45</v>
      </c>
      <c r="B7" s="17" t="n">
        <v>0</v>
      </c>
      <c r="C7" s="18" t="n">
        <f aca="false">IF(A7="","",COUNTIFS(Siparişler!$C$5:$C$3004,A7,Siparişler!$H$5:$H$3004,"&lt;&gt;İptal"))</f>
        <v>1</v>
      </c>
      <c r="D7" s="16" t="n">
        <f aca="false">IF(A7="","",SUMIFS(Siparişler!$E$5:$E$3004,Siparişler!$C$5:$C$3004,A7,Siparişler!$H$5:$H$3004,"&lt;&gt;İade",Siparişler!$H$5:$H$3004,"&lt;&gt;İptal"))</f>
        <v>450</v>
      </c>
      <c r="E7" s="16" t="n">
        <f aca="false">IF(A7="","",SUMIFS(Siparişler!$J$5:$J$3004,Siparişler!$C$5:$C$3004,A7))</f>
        <v>190</v>
      </c>
      <c r="F7" s="19" t="n">
        <f aca="false">IF(OR(A7="",C7=0),"",COUNTIFS(Siparişler!$C$5:$C$3004,A7,Siparişler!$H$5:$H$3004,"İade")/C7)</f>
        <v>0</v>
      </c>
    </row>
    <row r="8" customFormat="false" ht="15" hidden="false" customHeight="false" outlineLevel="0" collapsed="false">
      <c r="A8" s="13"/>
      <c r="B8" s="17"/>
      <c r="C8" s="18" t="str">
        <f aca="false">IF(A8="","",COUNTIFS(Siparişler!$C$5:$C$3004,A8,Siparişler!$H$5:$H$3004,"&lt;&gt;İptal"))</f>
        <v/>
      </c>
      <c r="D8" s="16" t="str">
        <f aca="false">IF(A8="","",SUMIFS(Siparişler!$E$5:$E$3004,Siparişler!$C$5:$C$3004,A8,Siparişler!$H$5:$H$3004,"&lt;&gt;İade",Siparişler!$H$5:$H$3004,"&lt;&gt;İptal"))</f>
        <v/>
      </c>
      <c r="E8" s="16" t="str">
        <f aca="false">IF(A8="","",SUMIFS(Siparişler!$J$5:$J$3004,Siparişler!$C$5:$C$3004,A8))</f>
        <v/>
      </c>
      <c r="F8" s="19" t="str">
        <f aca="false">IF(OR(A8="",C8=0),"",COUNTIFS(Siparişler!$C$5:$C$3004,A8,Siparişler!$H$5:$H$3004,"İade")/C8)</f>
        <v/>
      </c>
    </row>
    <row r="9" customFormat="false" ht="15" hidden="false" customHeight="false" outlineLevel="0" collapsed="false">
      <c r="A9" s="13"/>
      <c r="B9" s="17"/>
      <c r="C9" s="18" t="str">
        <f aca="false">IF(A9="","",COUNTIFS(Siparişler!$C$5:$C$3004,A9,Siparişler!$H$5:$H$3004,"&lt;&gt;İptal"))</f>
        <v/>
      </c>
      <c r="D9" s="16" t="str">
        <f aca="false">IF(A9="","",SUMIFS(Siparişler!$E$5:$E$3004,Siparişler!$C$5:$C$3004,A9,Siparişler!$H$5:$H$3004,"&lt;&gt;İade",Siparişler!$H$5:$H$3004,"&lt;&gt;İptal"))</f>
        <v/>
      </c>
      <c r="E9" s="16" t="str">
        <f aca="false">IF(A9="","",SUMIFS(Siparişler!$J$5:$J$3004,Siparişler!$C$5:$C$3004,A9))</f>
        <v/>
      </c>
      <c r="F9" s="19" t="str">
        <f aca="false">IF(OR(A9="",C9=0),"",COUNTIFS(Siparişler!$C$5:$C$3004,A9,Siparişler!$H$5:$H$3004,"İade")/C9)</f>
        <v/>
      </c>
    </row>
    <row r="10" customFormat="false" ht="15" hidden="false" customHeight="false" outlineLevel="0" collapsed="false">
      <c r="A10" s="13"/>
      <c r="B10" s="17"/>
      <c r="C10" s="18" t="str">
        <f aca="false">IF(A10="","",COUNTIFS(Siparişler!$C$5:$C$3004,A10,Siparişler!$H$5:$H$3004,"&lt;&gt;İptal"))</f>
        <v/>
      </c>
      <c r="D10" s="16" t="str">
        <f aca="false">IF(A10="","",SUMIFS(Siparişler!$E$5:$E$3004,Siparişler!$C$5:$C$3004,A10,Siparişler!$H$5:$H$3004,"&lt;&gt;İade",Siparişler!$H$5:$H$3004,"&lt;&gt;İptal"))</f>
        <v/>
      </c>
      <c r="E10" s="16" t="str">
        <f aca="false">IF(A10="","",SUMIFS(Siparişler!$J$5:$J$3004,Siparişler!$C$5:$C$3004,A10))</f>
        <v/>
      </c>
      <c r="F10" s="19" t="str">
        <f aca="false">IF(OR(A10="",C10=0),"",COUNTIFS(Siparişler!$C$5:$C$3004,A10,Siparişler!$H$5:$H$3004,"İade")/C10)</f>
        <v/>
      </c>
    </row>
    <row r="11" customFormat="false" ht="15" hidden="false" customHeight="false" outlineLevel="0" collapsed="false">
      <c r="A11" s="13"/>
      <c r="B11" s="17"/>
      <c r="C11" s="18" t="str">
        <f aca="false">IF(A11="","",COUNTIFS(Siparişler!$C$5:$C$3004,A11,Siparişler!$H$5:$H$3004,"&lt;&gt;İptal"))</f>
        <v/>
      </c>
      <c r="D11" s="16" t="str">
        <f aca="false">IF(A11="","",SUMIFS(Siparişler!$E$5:$E$3004,Siparişler!$C$5:$C$3004,A11,Siparişler!$H$5:$H$3004,"&lt;&gt;İade",Siparişler!$H$5:$H$3004,"&lt;&gt;İptal"))</f>
        <v/>
      </c>
      <c r="E11" s="16" t="str">
        <f aca="false">IF(A11="","",SUMIFS(Siparişler!$J$5:$J$3004,Siparişler!$C$5:$C$3004,A11))</f>
        <v/>
      </c>
      <c r="F11" s="19" t="str">
        <f aca="false">IF(OR(A11="",C11=0),"",COUNTIFS(Siparişler!$C$5:$C$3004,A11,Siparişler!$H$5:$H$3004,"İade")/C11)</f>
        <v/>
      </c>
    </row>
    <row r="12" customFormat="false" ht="15" hidden="false" customHeight="false" outlineLevel="0" collapsed="false">
      <c r="A12" s="13"/>
      <c r="B12" s="17"/>
      <c r="C12" s="18" t="str">
        <f aca="false">IF(A12="","",COUNTIFS(Siparişler!$C$5:$C$3004,A12,Siparişler!$H$5:$H$3004,"&lt;&gt;İptal"))</f>
        <v/>
      </c>
      <c r="D12" s="16" t="str">
        <f aca="false">IF(A12="","",SUMIFS(Siparişler!$E$5:$E$3004,Siparişler!$C$5:$C$3004,A12,Siparişler!$H$5:$H$3004,"&lt;&gt;İade",Siparişler!$H$5:$H$3004,"&lt;&gt;İptal"))</f>
        <v/>
      </c>
      <c r="E12" s="16" t="str">
        <f aca="false">IF(A12="","",SUMIFS(Siparişler!$J$5:$J$3004,Siparişler!$C$5:$C$3004,A12))</f>
        <v/>
      </c>
      <c r="F12" s="19" t="str">
        <f aca="false">IF(OR(A12="",C12=0),"",COUNTIFS(Siparişler!$C$5:$C$3004,A12,Siparişler!$H$5:$H$3004,"İade")/C12)</f>
        <v/>
      </c>
    </row>
    <row r="13" customFormat="false" ht="15" hidden="false" customHeight="false" outlineLevel="0" collapsed="false">
      <c r="A13" s="13"/>
      <c r="B13" s="17"/>
      <c r="C13" s="18" t="str">
        <f aca="false">IF(A13="","",COUNTIFS(Siparişler!$C$5:$C$3004,A13,Siparişler!$H$5:$H$3004,"&lt;&gt;İptal"))</f>
        <v/>
      </c>
      <c r="D13" s="16" t="str">
        <f aca="false">IF(A13="","",SUMIFS(Siparişler!$E$5:$E$3004,Siparişler!$C$5:$C$3004,A13,Siparişler!$H$5:$H$3004,"&lt;&gt;İade",Siparişler!$H$5:$H$3004,"&lt;&gt;İptal"))</f>
        <v/>
      </c>
      <c r="E13" s="16" t="str">
        <f aca="false">IF(A13="","",SUMIFS(Siparişler!$J$5:$J$3004,Siparişler!$C$5:$C$3004,A13))</f>
        <v/>
      </c>
      <c r="F13" s="19" t="str">
        <f aca="false">IF(OR(A13="",C13=0),"",COUNTIFS(Siparişler!$C$5:$C$3004,A13,Siparişler!$H$5:$H$3004,"İade")/C13)</f>
        <v/>
      </c>
    </row>
    <row r="14" customFormat="false" ht="15" hidden="false" customHeight="false" outlineLevel="0" collapsed="false">
      <c r="A14" s="13"/>
      <c r="B14" s="17"/>
      <c r="C14" s="18" t="str">
        <f aca="false">IF(A14="","",COUNTIFS(Siparişler!$C$5:$C$3004,A14,Siparişler!$H$5:$H$3004,"&lt;&gt;İptal"))</f>
        <v/>
      </c>
      <c r="D14" s="16" t="str">
        <f aca="false">IF(A14="","",SUMIFS(Siparişler!$E$5:$E$3004,Siparişler!$C$5:$C$3004,A14,Siparişler!$H$5:$H$3004,"&lt;&gt;İade",Siparişler!$H$5:$H$3004,"&lt;&gt;İptal"))</f>
        <v/>
      </c>
      <c r="E14" s="16" t="str">
        <f aca="false">IF(A14="","",SUMIFS(Siparişler!$J$5:$J$3004,Siparişler!$C$5:$C$3004,A14))</f>
        <v/>
      </c>
      <c r="F14" s="19" t="str">
        <f aca="false">IF(OR(A14="",C14=0),"",COUNTIFS(Siparişler!$C$5:$C$3004,A14,Siparişler!$H$5:$H$3004,"İade")/C14)</f>
        <v/>
      </c>
    </row>
    <row r="15" customFormat="false" ht="15" hidden="false" customHeight="false" outlineLevel="0" collapsed="false">
      <c r="A15" s="13"/>
      <c r="B15" s="17"/>
      <c r="C15" s="18" t="str">
        <f aca="false">IF(A15="","",COUNTIFS(Siparişler!$C$5:$C$3004,A15,Siparişler!$H$5:$H$3004,"&lt;&gt;İptal"))</f>
        <v/>
      </c>
      <c r="D15" s="16" t="str">
        <f aca="false">IF(A15="","",SUMIFS(Siparişler!$E$5:$E$3004,Siparişler!$C$5:$C$3004,A15,Siparişler!$H$5:$H$3004,"&lt;&gt;İade",Siparişler!$H$5:$H$3004,"&lt;&gt;İptal"))</f>
        <v/>
      </c>
      <c r="E15" s="16" t="str">
        <f aca="false">IF(A15="","",SUMIFS(Siparişler!$J$5:$J$3004,Siparişler!$C$5:$C$3004,A15))</f>
        <v/>
      </c>
      <c r="F15" s="19" t="str">
        <f aca="false">IF(OR(A15="",C15=0),"",COUNTIFS(Siparişler!$C$5:$C$3004,A15,Siparişler!$H$5:$H$3004,"İade")/C15)</f>
        <v/>
      </c>
    </row>
    <row r="16" customFormat="false" ht="15" hidden="false" customHeight="false" outlineLevel="0" collapsed="false">
      <c r="A16" s="13"/>
      <c r="B16" s="17"/>
      <c r="C16" s="18" t="str">
        <f aca="false">IF(A16="","",COUNTIFS(Siparişler!$C$5:$C$3004,A16,Siparişler!$H$5:$H$3004,"&lt;&gt;İptal"))</f>
        <v/>
      </c>
      <c r="D16" s="16" t="str">
        <f aca="false">IF(A16="","",SUMIFS(Siparişler!$E$5:$E$3004,Siparişler!$C$5:$C$3004,A16,Siparişler!$H$5:$H$3004,"&lt;&gt;İade",Siparişler!$H$5:$H$3004,"&lt;&gt;İptal"))</f>
        <v/>
      </c>
      <c r="E16" s="16" t="str">
        <f aca="false">IF(A16="","",SUMIFS(Siparişler!$J$5:$J$3004,Siparişler!$C$5:$C$3004,A16))</f>
        <v/>
      </c>
      <c r="F16" s="19" t="str">
        <f aca="false">IF(OR(A16="",C16=0),"",COUNTIFS(Siparişler!$C$5:$C$3004,A16,Siparişler!$H$5:$H$3004,"İade")/C16)</f>
        <v/>
      </c>
    </row>
    <row r="17" customFormat="false" ht="15" hidden="false" customHeight="false" outlineLevel="0" collapsed="false">
      <c r="A17" s="13"/>
      <c r="B17" s="17"/>
      <c r="C17" s="18" t="str">
        <f aca="false">IF(A17="","",COUNTIFS(Siparişler!$C$5:$C$3004,A17,Siparişler!$H$5:$H$3004,"&lt;&gt;İptal"))</f>
        <v/>
      </c>
      <c r="D17" s="16" t="str">
        <f aca="false">IF(A17="","",SUMIFS(Siparişler!$E$5:$E$3004,Siparişler!$C$5:$C$3004,A17,Siparişler!$H$5:$H$3004,"&lt;&gt;İade",Siparişler!$H$5:$H$3004,"&lt;&gt;İptal"))</f>
        <v/>
      </c>
      <c r="E17" s="16" t="str">
        <f aca="false">IF(A17="","",SUMIFS(Siparişler!$J$5:$J$3004,Siparişler!$C$5:$C$3004,A17))</f>
        <v/>
      </c>
      <c r="F17" s="19" t="str">
        <f aca="false">IF(OR(A17="",C17=0),"",COUNTIFS(Siparişler!$C$5:$C$3004,A17,Siparişler!$H$5:$H$3004,"İade")/C17)</f>
        <v/>
      </c>
    </row>
    <row r="18" customFormat="false" ht="15" hidden="false" customHeight="false" outlineLevel="0" collapsed="false">
      <c r="A18" s="13"/>
      <c r="B18" s="17"/>
      <c r="C18" s="18" t="str">
        <f aca="false">IF(A18="","",COUNTIFS(Siparişler!$C$5:$C$3004,A18,Siparişler!$H$5:$H$3004,"&lt;&gt;İptal"))</f>
        <v/>
      </c>
      <c r="D18" s="16" t="str">
        <f aca="false">IF(A18="","",SUMIFS(Siparişler!$E$5:$E$3004,Siparişler!$C$5:$C$3004,A18,Siparişler!$H$5:$H$3004,"&lt;&gt;İade",Siparişler!$H$5:$H$3004,"&lt;&gt;İptal"))</f>
        <v/>
      </c>
      <c r="E18" s="16" t="str">
        <f aca="false">IF(A18="","",SUMIFS(Siparişler!$J$5:$J$3004,Siparişler!$C$5:$C$3004,A18))</f>
        <v/>
      </c>
      <c r="F18" s="19" t="str">
        <f aca="false">IF(OR(A18="",C18=0),"",COUNTIFS(Siparişler!$C$5:$C$3004,A18,Siparişler!$H$5:$H$3004,"İade")/C18)</f>
        <v/>
      </c>
    </row>
    <row r="19" customFormat="false" ht="15" hidden="false" customHeight="false" outlineLevel="0" collapsed="false">
      <c r="A19" s="13"/>
      <c r="B19" s="17"/>
      <c r="C19" s="18" t="str">
        <f aca="false">IF(A19="","",COUNTIFS(Siparişler!$C$5:$C$3004,A19,Siparişler!$H$5:$H$3004,"&lt;&gt;İptal"))</f>
        <v/>
      </c>
      <c r="D19" s="16" t="str">
        <f aca="false">IF(A19="","",SUMIFS(Siparişler!$E$5:$E$3004,Siparişler!$C$5:$C$3004,A19,Siparişler!$H$5:$H$3004,"&lt;&gt;İade",Siparişler!$H$5:$H$3004,"&lt;&gt;İptal"))</f>
        <v/>
      </c>
      <c r="E19" s="16" t="str">
        <f aca="false">IF(A19="","",SUMIFS(Siparişler!$J$5:$J$3004,Siparişler!$C$5:$C$3004,A19))</f>
        <v/>
      </c>
      <c r="F19" s="19" t="str">
        <f aca="false">IF(OR(A19="",C19=0),"",COUNTIFS(Siparişler!$C$5:$C$3004,A19,Siparişler!$H$5:$H$3004,"İade")/C19)</f>
        <v/>
      </c>
    </row>
  </sheetData>
  <dataValidations count="2">
    <dataValidation allowBlank="true" error="0 ile 1 arasında bir oran gir (örnek: yüzde 20 için 0,2)." errorStyle="stop" errorTitle="Kontrol" operator="between" showDropDown="false" showErrorMessage="true" showInputMessage="false" sqref="B5:B19" type="decimal">
      <formula1>0</formula1>
      <formula2>1</formula2>
    </dataValidation>
    <dataValidation allowBlank="true" error="Bu ad zaten var. Her ad bir kez girilebilir." errorStyle="stop" errorTitle="Kontrol" operator="between" showDropDown="false" showErrorMessage="true" showInputMessage="false" sqref="A5:A19" type="custom">
      <formula1>COUNTIF($A$5:$A$19,A5)=1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56</v>
      </c>
    </row>
    <row r="2" customFormat="false" ht="15" hidden="false" customHeight="false" outlineLevel="0" collapsed="false">
      <c r="A2" s="9" t="s">
        <v>57</v>
      </c>
    </row>
    <row r="3" customFormat="false" ht="15" hidden="false" customHeight="false" outlineLevel="0" collapsed="false">
      <c r="B3" s="20" t="s">
        <v>58</v>
      </c>
      <c r="C3" s="21" t="n">
        <v>2026</v>
      </c>
    </row>
    <row r="5" customFormat="false" ht="30" hidden="false" customHeight="true" outlineLevel="0" collapsed="false">
      <c r="B5" s="22" t="s">
        <v>59</v>
      </c>
      <c r="C5" s="22" t="s">
        <v>60</v>
      </c>
      <c r="D5" s="22" t="s">
        <v>61</v>
      </c>
      <c r="E5" s="22" t="s">
        <v>62</v>
      </c>
      <c r="F5" s="22" t="s">
        <v>55</v>
      </c>
    </row>
    <row r="6" customFormat="false" ht="27.75" hidden="false" customHeight="true" outlineLevel="0" collapsed="false">
      <c r="B6" s="23" t="n">
        <f aca="false">D23</f>
        <v>2550</v>
      </c>
      <c r="C6" s="23" t="n">
        <f aca="false">E23</f>
        <v>574</v>
      </c>
      <c r="D6" s="24" t="n">
        <f aca="false">IF(D23=0,0,E23/D23)</f>
        <v>0.225098039215686</v>
      </c>
      <c r="E6" s="25" t="n">
        <f aca="false">COUNTIF(Siparişler!$H$5:$H$3004,"Hazırlanıyor")</f>
        <v>1</v>
      </c>
      <c r="F6" s="24" t="n">
        <f aca="false">IF(COUNTIFS(Siparişler!$H$5:$H$3004,"&lt;&gt;İptal",Siparişler!$H$5:$H$3004,"&lt;&gt;")=0,0,COUNTIF(Siparişler!$H$5:$H$3004,"İade")/COUNTIFS(Siparişler!$H$5:$H$3004,"&lt;&gt;İptal",Siparişler!$H$5:$H$3004,"&lt;&gt;"))</f>
        <v>0.2</v>
      </c>
    </row>
    <row r="9" customFormat="false" ht="15" hidden="false" customHeight="false" outlineLevel="0" collapsed="false">
      <c r="B9" s="26" t="s">
        <v>63</v>
      </c>
    </row>
    <row r="10" customFormat="false" ht="21.75" hidden="false" customHeight="true" outlineLevel="0" collapsed="false">
      <c r="B10" s="10" t="s">
        <v>64</v>
      </c>
      <c r="C10" s="10" t="s">
        <v>53</v>
      </c>
      <c r="D10" s="10" t="s">
        <v>54</v>
      </c>
      <c r="E10" s="10" t="s">
        <v>33</v>
      </c>
    </row>
    <row r="11" customFormat="false" ht="15" hidden="false" customHeight="false" outlineLevel="0" collapsed="false">
      <c r="B11" s="27" t="s">
        <v>65</v>
      </c>
      <c r="C11" s="28" t="n">
        <f aca="false">COUNTIFS(Siparişler!$A$5:$A$3004,"&gt;="&amp;DATE($C$3,1,1),Siparişler!$A$5:$A$3004,"&lt;"&amp;DATE($C$3,2,1),Siparişler!$H$5:$H$3004,"&lt;&gt;İptal",Siparişler!$H$5:$H$3004,"&lt;&gt;")</f>
        <v>0</v>
      </c>
      <c r="D11" s="16" t="n">
        <f aca="false">SUMIFS(Siparişler!$E$5:$E$3004,Siparişler!$A$5:$A$3004,"&gt;="&amp;DATE($C$3,1,1),Siparişler!$A$5:$A$3004,"&lt;"&amp;DATE($C$3,2,1),Siparişler!$H$5:$H$3004,"&lt;&gt;İade",Siparişler!$H$5:$H$3004,"&lt;&gt;İptal")</f>
        <v>0</v>
      </c>
      <c r="E11" s="16" t="n">
        <f aca="false">SUMIFS(Siparişler!$J$5:$J$3004,Siparişler!$A$5:$A$3004,"&gt;="&amp;DATE($C$3,1,1),Siparişler!$A$5:$A$3004,"&lt;"&amp;DATE($C$3,2,1))</f>
        <v>0</v>
      </c>
    </row>
    <row r="12" customFormat="false" ht="15" hidden="false" customHeight="false" outlineLevel="0" collapsed="false">
      <c r="B12" s="29" t="s">
        <v>66</v>
      </c>
      <c r="C12" s="30" t="n">
        <f aca="false">COUNTIFS(Siparişler!$A$5:$A$3004,"&gt;="&amp;DATE($C$3,2,1),Siparişler!$A$5:$A$3004,"&lt;"&amp;DATE($C$3,3,1),Siparişler!$H$5:$H$3004,"&lt;&gt;İptal",Siparişler!$H$5:$H$3004,"&lt;&gt;")</f>
        <v>0</v>
      </c>
      <c r="D12" s="31" t="n">
        <f aca="false">SUMIFS(Siparişler!$E$5:$E$3004,Siparişler!$A$5:$A$3004,"&gt;="&amp;DATE($C$3,2,1),Siparişler!$A$5:$A$3004,"&lt;"&amp;DATE($C$3,3,1),Siparişler!$H$5:$H$3004,"&lt;&gt;İade",Siparişler!$H$5:$H$3004,"&lt;&gt;İptal")</f>
        <v>0</v>
      </c>
      <c r="E12" s="31" t="n">
        <f aca="false">SUMIFS(Siparişler!$J$5:$J$3004,Siparişler!$A$5:$A$3004,"&gt;="&amp;DATE($C$3,2,1),Siparişler!$A$5:$A$3004,"&lt;"&amp;DATE($C$3,3,1))</f>
        <v>0</v>
      </c>
    </row>
    <row r="13" customFormat="false" ht="15" hidden="false" customHeight="false" outlineLevel="0" collapsed="false">
      <c r="B13" s="27" t="s">
        <v>67</v>
      </c>
      <c r="C13" s="28" t="n">
        <f aca="false">COUNTIFS(Siparişler!$A$5:$A$3004,"&gt;="&amp;DATE($C$3,3,1),Siparişler!$A$5:$A$3004,"&lt;"&amp;DATE($C$3,4,1),Siparişler!$H$5:$H$3004,"&lt;&gt;İptal",Siparişler!$H$5:$H$3004,"&lt;&gt;")</f>
        <v>0</v>
      </c>
      <c r="D13" s="16" t="n">
        <f aca="false">SUMIFS(Siparişler!$E$5:$E$3004,Siparişler!$A$5:$A$3004,"&gt;="&amp;DATE($C$3,3,1),Siparişler!$A$5:$A$3004,"&lt;"&amp;DATE($C$3,4,1),Siparişler!$H$5:$H$3004,"&lt;&gt;İade",Siparişler!$H$5:$H$3004,"&lt;&gt;İptal")</f>
        <v>0</v>
      </c>
      <c r="E13" s="16" t="n">
        <f aca="false">SUMIFS(Siparişler!$J$5:$J$3004,Siparişler!$A$5:$A$3004,"&gt;="&amp;DATE($C$3,3,1),Siparişler!$A$5:$A$3004,"&lt;"&amp;DATE($C$3,4,1))</f>
        <v>0</v>
      </c>
    </row>
    <row r="14" customFormat="false" ht="15" hidden="false" customHeight="false" outlineLevel="0" collapsed="false">
      <c r="B14" s="29" t="s">
        <v>68</v>
      </c>
      <c r="C14" s="30" t="n">
        <f aca="false">COUNTIFS(Siparişler!$A$5:$A$3004,"&gt;="&amp;DATE($C$3,4,1),Siparişler!$A$5:$A$3004,"&lt;"&amp;DATE($C$3,5,1),Siparişler!$H$5:$H$3004,"&lt;&gt;İptal",Siparişler!$H$5:$H$3004,"&lt;&gt;")</f>
        <v>0</v>
      </c>
      <c r="D14" s="31" t="n">
        <f aca="false">SUMIFS(Siparişler!$E$5:$E$3004,Siparişler!$A$5:$A$3004,"&gt;="&amp;DATE($C$3,4,1),Siparişler!$A$5:$A$3004,"&lt;"&amp;DATE($C$3,5,1),Siparişler!$H$5:$H$3004,"&lt;&gt;İade",Siparişler!$H$5:$H$3004,"&lt;&gt;İptal")</f>
        <v>0</v>
      </c>
      <c r="E14" s="31" t="n">
        <f aca="false">SUMIFS(Siparişler!$J$5:$J$3004,Siparişler!$A$5:$A$3004,"&gt;="&amp;DATE($C$3,4,1),Siparişler!$A$5:$A$3004,"&lt;"&amp;DATE($C$3,5,1))</f>
        <v>0</v>
      </c>
    </row>
    <row r="15" customFormat="false" ht="15" hidden="false" customHeight="false" outlineLevel="0" collapsed="false">
      <c r="B15" s="27" t="s">
        <v>69</v>
      </c>
      <c r="C15" s="28" t="n">
        <f aca="false">COUNTIFS(Siparişler!$A$5:$A$3004,"&gt;="&amp;DATE($C$3,5,1),Siparişler!$A$5:$A$3004,"&lt;"&amp;DATE($C$3,6,1),Siparişler!$H$5:$H$3004,"&lt;&gt;İptal",Siparişler!$H$5:$H$3004,"&lt;&gt;")</f>
        <v>0</v>
      </c>
      <c r="D15" s="16" t="n">
        <f aca="false">SUMIFS(Siparişler!$E$5:$E$3004,Siparişler!$A$5:$A$3004,"&gt;="&amp;DATE($C$3,5,1),Siparişler!$A$5:$A$3004,"&lt;"&amp;DATE($C$3,6,1),Siparişler!$H$5:$H$3004,"&lt;&gt;İade",Siparişler!$H$5:$H$3004,"&lt;&gt;İptal")</f>
        <v>0</v>
      </c>
      <c r="E15" s="16" t="n">
        <f aca="false">SUMIFS(Siparişler!$J$5:$J$3004,Siparişler!$A$5:$A$3004,"&gt;="&amp;DATE($C$3,5,1),Siparişler!$A$5:$A$3004,"&lt;"&amp;DATE($C$3,6,1))</f>
        <v>0</v>
      </c>
    </row>
    <row r="16" customFormat="false" ht="15" hidden="false" customHeight="false" outlineLevel="0" collapsed="false">
      <c r="B16" s="29" t="s">
        <v>70</v>
      </c>
      <c r="C16" s="30" t="n">
        <f aca="false">COUNTIFS(Siparişler!$A$5:$A$3004,"&gt;="&amp;DATE($C$3,6,1),Siparişler!$A$5:$A$3004,"&lt;"&amp;DATE($C$3,7,1),Siparişler!$H$5:$H$3004,"&lt;&gt;İptal",Siparişler!$H$5:$H$3004,"&lt;&gt;")</f>
        <v>0</v>
      </c>
      <c r="D16" s="31" t="n">
        <f aca="false">SUMIFS(Siparişler!$E$5:$E$3004,Siparişler!$A$5:$A$3004,"&gt;="&amp;DATE($C$3,6,1),Siparişler!$A$5:$A$3004,"&lt;"&amp;DATE($C$3,7,1),Siparişler!$H$5:$H$3004,"&lt;&gt;İade",Siparişler!$H$5:$H$3004,"&lt;&gt;İptal")</f>
        <v>0</v>
      </c>
      <c r="E16" s="31" t="n">
        <f aca="false">SUMIFS(Siparişler!$J$5:$J$3004,Siparişler!$A$5:$A$3004,"&gt;="&amp;DATE($C$3,6,1),Siparişler!$A$5:$A$3004,"&lt;"&amp;DATE($C$3,7,1))</f>
        <v>0</v>
      </c>
    </row>
    <row r="17" customFormat="false" ht="15" hidden="false" customHeight="false" outlineLevel="0" collapsed="false">
      <c r="B17" s="27" t="s">
        <v>71</v>
      </c>
      <c r="C17" s="28" t="n">
        <f aca="false">COUNTIFS(Siparişler!$A$5:$A$3004,"&gt;="&amp;DATE($C$3,7,1),Siparişler!$A$5:$A$3004,"&lt;"&amp;DATE($C$3,8,1),Siparişler!$H$5:$H$3004,"&lt;&gt;İptal",Siparişler!$H$5:$H$3004,"&lt;&gt;")</f>
        <v>0</v>
      </c>
      <c r="D17" s="16" t="n">
        <f aca="false">SUMIFS(Siparişler!$E$5:$E$3004,Siparişler!$A$5:$A$3004,"&gt;="&amp;DATE($C$3,7,1),Siparişler!$A$5:$A$3004,"&lt;"&amp;DATE($C$3,8,1),Siparişler!$H$5:$H$3004,"&lt;&gt;İade",Siparişler!$H$5:$H$3004,"&lt;&gt;İptal")</f>
        <v>0</v>
      </c>
      <c r="E17" s="16" t="n">
        <f aca="false">SUMIFS(Siparişler!$J$5:$J$3004,Siparişler!$A$5:$A$3004,"&gt;="&amp;DATE($C$3,7,1),Siparişler!$A$5:$A$3004,"&lt;"&amp;DATE($C$3,8,1))</f>
        <v>0</v>
      </c>
    </row>
    <row r="18" customFormat="false" ht="15" hidden="false" customHeight="false" outlineLevel="0" collapsed="false">
      <c r="B18" s="29" t="s">
        <v>72</v>
      </c>
      <c r="C18" s="30" t="n">
        <f aca="false">COUNTIFS(Siparişler!$A$5:$A$3004,"&gt;="&amp;DATE($C$3,8,1),Siparişler!$A$5:$A$3004,"&lt;"&amp;DATE($C$3,9,1),Siparişler!$H$5:$H$3004,"&lt;&gt;İptal",Siparişler!$H$5:$H$3004,"&lt;&gt;")</f>
        <v>0</v>
      </c>
      <c r="D18" s="31" t="n">
        <f aca="false">SUMIFS(Siparişler!$E$5:$E$3004,Siparişler!$A$5:$A$3004,"&gt;="&amp;DATE($C$3,8,1),Siparişler!$A$5:$A$3004,"&lt;"&amp;DATE($C$3,9,1),Siparişler!$H$5:$H$3004,"&lt;&gt;İade",Siparişler!$H$5:$H$3004,"&lt;&gt;İptal")</f>
        <v>0</v>
      </c>
      <c r="E18" s="31" t="n">
        <f aca="false">SUMIFS(Siparişler!$J$5:$J$3004,Siparişler!$A$5:$A$3004,"&gt;="&amp;DATE($C$3,8,1),Siparişler!$A$5:$A$3004,"&lt;"&amp;DATE($C$3,9,1))</f>
        <v>0</v>
      </c>
    </row>
    <row r="19" customFormat="false" ht="15" hidden="false" customHeight="false" outlineLevel="0" collapsed="false">
      <c r="B19" s="27" t="s">
        <v>73</v>
      </c>
      <c r="C19" s="28" t="n">
        <f aca="false">COUNTIFS(Siparişler!$A$5:$A$3004,"&gt;="&amp;DATE($C$3,9,1),Siparişler!$A$5:$A$3004,"&lt;"&amp;DATE($C$3,10,1),Siparişler!$H$5:$H$3004,"&lt;&gt;İptal",Siparişler!$H$5:$H$3004,"&lt;&gt;")</f>
        <v>1</v>
      </c>
      <c r="D19" s="16" t="n">
        <f aca="false">SUMIFS(Siparişler!$E$5:$E$3004,Siparişler!$A$5:$A$3004,"&gt;="&amp;DATE($C$3,9,1),Siparişler!$A$5:$A$3004,"&lt;"&amp;DATE($C$3,10,1),Siparişler!$H$5:$H$3004,"&lt;&gt;İade",Siparişler!$H$5:$H$3004,"&lt;&gt;İptal")</f>
        <v>600</v>
      </c>
      <c r="E19" s="16" t="n">
        <f aca="false">SUMIFS(Siparişler!$J$5:$J$3004,Siparişler!$A$5:$A$3004,"&gt;="&amp;DATE($C$3,9,1),Siparişler!$A$5:$A$3004,"&lt;"&amp;DATE($C$3,10,1))</f>
        <v>80</v>
      </c>
    </row>
    <row r="20" customFormat="false" ht="15" hidden="false" customHeight="false" outlineLevel="0" collapsed="false">
      <c r="B20" s="29" t="s">
        <v>74</v>
      </c>
      <c r="C20" s="30" t="n">
        <f aca="false">COUNTIFS(Siparişler!$A$5:$A$3004,"&gt;="&amp;DATE($C$3,10,1),Siparişler!$A$5:$A$3004,"&lt;"&amp;DATE($C$3,11,1),Siparişler!$H$5:$H$3004,"&lt;&gt;İptal",Siparişler!$H$5:$H$3004,"&lt;&gt;")</f>
        <v>4</v>
      </c>
      <c r="D20" s="31" t="n">
        <f aca="false">SUMIFS(Siparişler!$E$5:$E$3004,Siparişler!$A$5:$A$3004,"&gt;="&amp;DATE($C$3,10,1),Siparişler!$A$5:$A$3004,"&lt;"&amp;DATE($C$3,11,1),Siparişler!$H$5:$H$3004,"&lt;&gt;İade",Siparişler!$H$5:$H$3004,"&lt;&gt;İptal")</f>
        <v>1950</v>
      </c>
      <c r="E20" s="31" t="n">
        <f aca="false">SUMIFS(Siparişler!$J$5:$J$3004,Siparişler!$A$5:$A$3004,"&gt;="&amp;DATE($C$3,10,1),Siparişler!$A$5:$A$3004,"&lt;"&amp;DATE($C$3,11,1))</f>
        <v>494</v>
      </c>
    </row>
    <row r="21" customFormat="false" ht="15" hidden="false" customHeight="false" outlineLevel="0" collapsed="false">
      <c r="B21" s="27" t="s">
        <v>75</v>
      </c>
      <c r="C21" s="28" t="n">
        <f aca="false">COUNTIFS(Siparişler!$A$5:$A$3004,"&gt;="&amp;DATE($C$3,11,1),Siparişler!$A$5:$A$3004,"&lt;"&amp;DATE($C$3,12,1),Siparişler!$H$5:$H$3004,"&lt;&gt;İptal",Siparişler!$H$5:$H$3004,"&lt;&gt;")</f>
        <v>0</v>
      </c>
      <c r="D21" s="16" t="n">
        <f aca="false">SUMIFS(Siparişler!$E$5:$E$3004,Siparişler!$A$5:$A$3004,"&gt;="&amp;DATE($C$3,11,1),Siparişler!$A$5:$A$3004,"&lt;"&amp;DATE($C$3,12,1),Siparişler!$H$5:$H$3004,"&lt;&gt;İade",Siparişler!$H$5:$H$3004,"&lt;&gt;İptal")</f>
        <v>0</v>
      </c>
      <c r="E21" s="16" t="n">
        <f aca="false">SUMIFS(Siparişler!$J$5:$J$3004,Siparişler!$A$5:$A$3004,"&gt;="&amp;DATE($C$3,11,1),Siparişler!$A$5:$A$3004,"&lt;"&amp;DATE($C$3,12,1))</f>
        <v>0</v>
      </c>
    </row>
    <row r="22" customFormat="false" ht="15" hidden="false" customHeight="false" outlineLevel="0" collapsed="false">
      <c r="B22" s="29" t="s">
        <v>76</v>
      </c>
      <c r="C22" s="30" t="n">
        <f aca="false">COUNTIFS(Siparişler!$A$5:$A$3004,"&gt;="&amp;DATE($C$3,12,1),Siparişler!$A$5:$A$3004,"&lt;"&amp;DATE($C$3,13,1),Siparişler!$H$5:$H$3004,"&lt;&gt;İptal",Siparişler!$H$5:$H$3004,"&lt;&gt;")</f>
        <v>0</v>
      </c>
      <c r="D22" s="31" t="n">
        <f aca="false">SUMIFS(Siparişler!$E$5:$E$3004,Siparişler!$A$5:$A$3004,"&gt;="&amp;DATE($C$3,12,1),Siparişler!$A$5:$A$3004,"&lt;"&amp;DATE($C$3,13,1),Siparişler!$H$5:$H$3004,"&lt;&gt;İade",Siparişler!$H$5:$H$3004,"&lt;&gt;İptal")</f>
        <v>0</v>
      </c>
      <c r="E22" s="31" t="n">
        <f aca="false">SUMIFS(Siparişler!$J$5:$J$3004,Siparişler!$A$5:$A$3004,"&gt;="&amp;DATE($C$3,12,1),Siparişler!$A$5:$A$3004,"&lt;"&amp;DATE($C$3,13,1))</f>
        <v>0</v>
      </c>
    </row>
    <row r="23" customFormat="false" ht="15" hidden="false" customHeight="false" outlineLevel="0" collapsed="false">
      <c r="B23" s="32" t="s">
        <v>77</v>
      </c>
      <c r="C23" s="33" t="n">
        <f aca="false">SUM(C11:C22)</f>
        <v>5</v>
      </c>
      <c r="D23" s="34" t="n">
        <f aca="false">SUM(D11:D22)</f>
        <v>2550</v>
      </c>
      <c r="E23" s="34" t="n">
        <f aca="false">SUM(E11:E22)</f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78</v>
      </c>
    </row>
    <row r="2" customFormat="false" ht="30" hidden="false" customHeight="true" outlineLevel="0" collapsed="false">
      <c r="B2" s="35" t="s">
        <v>79</v>
      </c>
      <c r="C2" s="35"/>
    </row>
    <row r="3" customFormat="false" ht="31.5" hidden="false" customHeight="true" outlineLevel="0" collapsed="false">
      <c r="B3" s="36" t="s">
        <v>80</v>
      </c>
      <c r="C3" s="36"/>
    </row>
    <row r="5" customFormat="false" ht="15" hidden="false" customHeight="false" outlineLevel="0" collapsed="false">
      <c r="B5" s="37" t="s">
        <v>81</v>
      </c>
      <c r="C5" s="37" t="s">
        <v>82</v>
      </c>
    </row>
    <row r="6" customFormat="false" ht="31.5" hidden="false" customHeight="true" outlineLevel="0" collapsed="false">
      <c r="B6" s="38" t="s">
        <v>83</v>
      </c>
      <c r="C6" s="39" t="s">
        <v>84</v>
      </c>
    </row>
    <row r="7" customFormat="false" ht="31.5" hidden="false" customHeight="true" outlineLevel="0" collapsed="false">
      <c r="B7" s="40" t="s">
        <v>85</v>
      </c>
      <c r="C7" s="41" t="s">
        <v>86</v>
      </c>
    </row>
    <row r="8" customFormat="false" ht="31.5" hidden="false" customHeight="true" outlineLevel="0" collapsed="false">
      <c r="B8" s="38" t="s">
        <v>87</v>
      </c>
      <c r="C8" s="39" t="s">
        <v>88</v>
      </c>
    </row>
    <row r="9" customFormat="false" ht="31.5" hidden="false" customHeight="true" outlineLevel="0" collapsed="false">
      <c r="B9" s="40" t="s">
        <v>89</v>
      </c>
      <c r="C9" s="41" t="s">
        <v>90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