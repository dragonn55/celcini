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itaplar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<sst xmlns="http://schemas.openxmlformats.org/spreadsheetml/2006/main" count="105" uniqueCount="91">
  <si>
    <t xml:space="preserve">EXCEL KLİNİĞİ</t>
  </si>
  <si>
    <t xml:space="preserve">OKUMA  |  Kitap okuma takibi</t>
  </si>
  <si>
    <t xml:space="preserve">Bu yıl kaç kitap, kaç sayfa okudun, hedefin neresindesin, en sevdiklerin hangileri.</t>
  </si>
  <si>
    <t xml:space="preserve">NASIL KULLANILIR</t>
  </si>
  <si>
    <t xml:space="preserve">1. Kitaplar</t>
  </si>
  <si>
    <t xml:space="preserve">Kitabı, sayfa sayısını, başlama ve bitiş tarihini, bitince puanını yaz.</t>
  </si>
  <si>
    <t xml:space="preserve">2. Özet</t>
  </si>
  <si>
    <t xml:space="preserve">Yıllık hedefini gir; aylık biten kitap ve sayfa, tür dağılımı ve en sevdiklerin.</t>
  </si>
  <si>
    <t xml:space="preserve">BİLMEN GEREKENLER</t>
  </si>
  <si>
    <t xml:space="preserve">Durum</t>
  </si>
  <si>
    <t xml:space="preserve">Bitiş tarihi varsa Bitti, yalnız başlama tarihi varsa Okunuyor, ikisi de yoksa Sırada yazar.</t>
  </si>
  <si>
    <t xml:space="preserve">Yıl</t>
  </si>
  <si>
    <t xml:space="preserve">Kitap, bittiği yıla ve aya sayılır.</t>
  </si>
  <si>
    <t xml:space="preserve">Kapasite</t>
  </si>
  <si>
    <t xml:space="preserve">Kitaplar: 500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</si>
  <si>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</si>
  <si>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</si>
  <si>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</si>
  <si>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</si>
  <si>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</si>
  <si>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Kitaplar</t>
  </si>
  <si>
    <t xml:space="preserve">Okuduğun, okumakta olduğun ve sıradaki kitapları yaz.</t>
  </si>
  <si>
    <t xml:space="preserve">Kitap</t>
  </si>
  <si>
    <t xml:space="preserve">Yazar</t>
  </si>
  <si>
    <t xml:space="preserve">Tür</t>
  </si>
  <si>
    <t xml:space="preserve">Sayfa</t>
  </si>
  <si>
    <t xml:space="preserve">Başlama</t>
  </si>
  <si>
    <t xml:space="preserve">Bitiş</t>
  </si>
  <si>
    <t xml:space="preserve">Puan (1-5)</t>
  </si>
  <si>
    <t xml:space="preserve">Gün</t>
  </si>
  <si>
    <t xml:space="preserve">Günde sayfa</t>
  </si>
  <si>
    <t xml:space="preserve">y</t>
  </si>
  <si>
    <t xml:space="preserve">Örnek Roman 1</t>
  </si>
  <si>
    <t xml:space="preserve">Yazar Alfa</t>
  </si>
  <si>
    <t xml:space="preserve">Roman</t>
  </si>
  <si>
    <t xml:space="preserve">Örnek Tarih Kitabı</t>
  </si>
  <si>
    <t xml:space="preserve">Yazar Beta</t>
  </si>
  <si>
    <t xml:space="preserve">Tarih</t>
  </si>
  <si>
    <t xml:space="preserve">Örnek Bilim Kitabı</t>
  </si>
  <si>
    <t xml:space="preserve">Yazar Gama</t>
  </si>
  <si>
    <t xml:space="preserve">Bilim</t>
  </si>
  <si>
    <t xml:space="preserve">Örnek Roman 2</t>
  </si>
  <si>
    <t xml:space="preserve">Örnek Öykü Kitabı</t>
  </si>
  <si>
    <t xml:space="preserve">Yazar Delta</t>
  </si>
  <si>
    <t xml:space="preserve">Öykü</t>
  </si>
  <si>
    <t xml:space="preserve">Özet</t>
  </si>
  <si>
    <t xml:space="preserve">Yılı ve yıllık kitap hedefini yaz.</t>
  </si>
  <si>
    <t xml:space="preserve">Yıllık hedef (kitap)</t>
  </si>
  <si>
    <t xml:space="preserve">Biten kitap</t>
  </si>
  <si>
    <t xml:space="preserve">Hedefe göre</t>
  </si>
  <si>
    <t xml:space="preserve">Okunan sayfa</t>
  </si>
  <si>
    <t xml:space="preserve">Ortalama puan</t>
  </si>
  <si>
    <t xml:space="preserve">Okunan</t>
  </si>
  <si>
    <t xml:space="preserve">Sırada</t>
  </si>
  <si>
    <t xml:space="preserve">Aylık tablo</t>
  </si>
  <si>
    <t xml:space="preserve">Türe göre (seçili yıl)</t>
  </si>
  <si>
    <t xml:space="preserve">En yüksek puanlı 5 kitap</t>
  </si>
  <si>
    <t xml:space="preserve">Ay</t>
  </si>
  <si>
    <t xml:space="preserve">Puan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</si>
  <si>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</si>
  <si>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</si>
  <si>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</si>
  <si>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</si>
  <si>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</si>
  <si>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</si>
  <si>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</si>
  <si>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</si>
  <si>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</si>
  <si>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</si>
  <si>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</si>
  <si>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</si>
  <si>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</si>
  <si>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Listeler</t>
  </si>
  <si>
    <t xml:space="preserve">Açılır listelerde çıkan seçenekler. Sarı hücrelere kendi seçeneklerini yaz.</t>
  </si>
  <si>
    <t xml:space="preserve">Kişisel gelişim</t>
  </si>
  <si>
    <t xml:space="preserve">İş ve ekonomi</t>
  </si>
  <si>
    <t xml:space="preserve">Biyografi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</si>
  <si>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</si>
  <si>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</si>
  <si>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</si>
  <si>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Paylaşılacak kişisel bilgi yok. Yapay zekanın verdiği rakamları dosyadaki özet sayfasıyla karşılaştır.</t>
  </si>
  <si>
    <t xml:space="preserve">Ne için</t>
  </si>
  <si>
    <t xml:space="preserve">Komut (kopyala, yapıştır)</t>
  </si>
  <si>
    <t xml:space="preserve">Sıradaki kitap</t>
  </si>
  <si>
    <t xml:space="preserve">[Kitaplar sayfası] Puanlarıma bakarak sevdiğim türleri çıkar ve sıradaki kitaplarımdan hangisiyle devam etmemi önerirsin?</t>
  </si>
  <si>
    <t xml:space="preserve">Okuma hızı</t>
  </si>
  <si>
    <t xml:space="preserve">[Kitaplar sayfası] Günde ortalama kaç sayfa okuyorum? Yıl hedefime yetişmek için günde kaç sayfa gerekir?</t>
  </si>
  <si>
    <t xml:space="preserve">Yıl özeti</t>
  </si>
  <si>
    <t xml:space="preserve">[Özet sayfası] Okuma yılımı beş cümleyle özetle.</t>
  </si>
  <si>
    <t xml:space="preserve">Not çıkarma</t>
  </si>
  <si>
    <t xml:space="preserve">[kitap adı] kitabından aklımda kalanları yazacağım; bunları üç ana fikre topla.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</si>
</sst>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[RED]\-#,##0;\-"/>
    <numFmt numFmtId="166" formatCode="dd\.mm\.yyyy"/>
    <numFmt numFmtId="167" formatCode="0.0"/>
    <numFmt numFmtId="168" formatCode="General"/>
    <numFmt numFmtId="169" formatCode="0"/>
    <numFmt numFmtId="170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10" customFormat="false" ht="19.5" hidden="false" customHeight="true" outlineLevel="0" collapsed="false">
      <c r="B10" s="4" t="s">
        <v>8</v>
      </c>
      <c r="C10" s="4"/>
    </row>
    <row r="11" customFormat="false" ht="18" hidden="false" customHeight="true" outlineLevel="0" collapsed="false">
      <c r="B11" s="5" t="s">
        <v>9</v>
      </c>
      <c r="C11" s="6" t="s">
        <v>10</v>
      </c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5" customFormat="false" ht="19.5" hidden="false" customHeight="true" outlineLevel="0" collapsed="false">
      <c r="B15" s="4" t="s">
        <v>15</v>
      </c>
      <c r="C15" s="4"/>
    </row>
    <row r="16" customFormat="false" ht="18" hidden="false" customHeight="true" outlineLevel="0" collapsed="false">
      <c r="B16" s="7" t="s">
        <v>16</v>
      </c>
      <c r="C16" s="6" t="s">
        <v>17</v>
      </c>
    </row>
    <row r="17" customFormat="false" ht="18" hidden="false" customHeight="true" outlineLevel="0" collapsed="false">
      <c r="B17" s="5" t="s">
        <v>18</v>
      </c>
      <c r="C17" s="6" t="s">
        <v>19</v>
      </c>
    </row>
  </sheetData>
  <mergeCells count="6">
    <mergeCell ref="B2:C2"/>
    <mergeCell ref="B3:C3"/>
    <mergeCell ref="B4:C4"/>
    <mergeCell ref="B6:C6"/>
    <mergeCell ref="B10:C10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10" min="4" style="0" width="14"/>
    <col collapsed="false" customWidth="true" hidden="true" outlineLevel="0" max="11" min="11" style="0" width="14"/>
  </cols>
  <sheetData>
    <row r="1" customFormat="false" ht="19.7" hidden="false" customHeight="false" outlineLevel="0" collapsed="false">
      <c r="A1" s="8" t="s">
        <v>20</v>
      </c>
    </row>
    <row r="2" customFormat="false" ht="15" hidden="false" customHeight="false" outlineLevel="0" collapsed="false">
      <c r="A2" s="9" t="s">
        <v>21</v>
      </c>
    </row>
    <row r="4" customFormat="false" ht="27.75" hidden="false" customHeight="true" outlineLevel="0" collapsed="false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1" t="s">
        <v>9</v>
      </c>
      <c r="I4" s="11" t="s">
        <v>29</v>
      </c>
      <c r="J4" s="11" t="s">
        <v>30</v>
      </c>
      <c r="K4" s="11" t="s">
        <v>31</v>
      </c>
    </row>
    <row r="5" customFormat="false" ht="15" hidden="false" customHeight="false" outlineLevel="0" collapsed="false">
      <c r="A5" s="12" t="s">
        <v>32</v>
      </c>
      <c r="B5" s="12" t="s">
        <v>33</v>
      </c>
      <c r="C5" s="13" t="s">
        <v>34</v>
      </c>
      <c r="D5" s="14" t="n">
        <v>320</v>
      </c>
      <c r="E5" s="15" t="n">
        <v>46235</v>
      </c>
      <c r="F5" s="15" t="n">
        <v>46250</v>
      </c>
      <c r="G5" s="14" t="n">
        <v>5</v>
      </c>
      <c r="H5" s="16" t="str">
        <f aca="false">IF(A5="","",IF(F5&lt;&gt;"","Bitti",IF(E5&lt;&gt;"","Okunuyor","Sırada")))</f>
        <v>Bitti</v>
      </c>
      <c r="I5" s="17" t="n">
        <f aca="false">IF(OR(E5="",F5=""),"",F5-E5+1)</f>
        <v>16</v>
      </c>
      <c r="J5" s="18" t="n">
        <f aca="false">IF(OR(I5="",D5=""),"",D5/I5)</f>
        <v>20</v>
      </c>
      <c r="K5" s="19" t="n">
        <f aca="false">IF(AND(A5&lt;&gt;"",G5&lt;&gt;""),G5+ROW()/1000000,"")</f>
        <v>5.000005</v>
      </c>
    </row>
    <row r="6" customFormat="false" ht="15" hidden="false" customHeight="false" outlineLevel="0" collapsed="false">
      <c r="A6" s="12" t="s">
        <v>35</v>
      </c>
      <c r="B6" s="12" t="s">
        <v>36</v>
      </c>
      <c r="C6" s="13" t="s">
        <v>37</v>
      </c>
      <c r="D6" s="14" t="n">
        <v>450</v>
      </c>
      <c r="E6" s="15" t="n">
        <v>46254</v>
      </c>
      <c r="F6" s="15" t="n">
        <v>46283</v>
      </c>
      <c r="G6" s="14" t="n">
        <v>4</v>
      </c>
      <c r="H6" s="16" t="str">
        <f aca="false">IF(A6="","",IF(F6&lt;&gt;"","Bitti",IF(E6&lt;&gt;"","Okunuyor","Sırada")))</f>
        <v>Bitti</v>
      </c>
      <c r="I6" s="17" t="n">
        <f aca="false">IF(OR(E6="",F6=""),"",F6-E6+1)</f>
        <v>30</v>
      </c>
      <c r="J6" s="18" t="n">
        <f aca="false">IF(OR(I6="",D6=""),"",D6/I6)</f>
        <v>15</v>
      </c>
      <c r="K6" s="19" t="n">
        <f aca="false">IF(AND(A6&lt;&gt;"",G6&lt;&gt;""),G6+ROW()/1000000,"")</f>
        <v>4.000006</v>
      </c>
    </row>
    <row r="7" customFormat="false" ht="15" hidden="false" customHeight="false" outlineLevel="0" collapsed="false">
      <c r="A7" s="12" t="s">
        <v>38</v>
      </c>
      <c r="B7" s="12" t="s">
        <v>39</v>
      </c>
      <c r="C7" s="13" t="s">
        <v>40</v>
      </c>
      <c r="D7" s="14" t="n">
        <v>280</v>
      </c>
      <c r="E7" s="15" t="n">
        <v>46285</v>
      </c>
      <c r="F7" s="15" t="n">
        <v>46298</v>
      </c>
      <c r="G7" s="14" t="n">
        <v>3</v>
      </c>
      <c r="H7" s="16" t="str">
        <f aca="false">IF(A7="","",IF(F7&lt;&gt;"","Bitti",IF(E7&lt;&gt;"","Okunuyor","Sırada")))</f>
        <v>Bitti</v>
      </c>
      <c r="I7" s="17" t="n">
        <f aca="false">IF(OR(E7="",F7=""),"",F7-E7+1)</f>
        <v>14</v>
      </c>
      <c r="J7" s="18" t="n">
        <f aca="false">IF(OR(I7="",D7=""),"",D7/I7)</f>
        <v>20</v>
      </c>
      <c r="K7" s="19" t="n">
        <f aca="false">IF(AND(A7&lt;&gt;"",G7&lt;&gt;""),G7+ROW()/1000000,"")</f>
        <v>3.000007</v>
      </c>
    </row>
    <row r="8" customFormat="false" ht="15" hidden="false" customHeight="false" outlineLevel="0" collapsed="false">
      <c r="A8" s="12" t="s">
        <v>41</v>
      </c>
      <c r="B8" s="12" t="s">
        <v>33</v>
      </c>
      <c r="C8" s="13" t="s">
        <v>34</v>
      </c>
      <c r="D8" s="14" t="n">
        <v>400</v>
      </c>
      <c r="E8" s="15" t="n">
        <v>46299</v>
      </c>
      <c r="F8" s="15"/>
      <c r="G8" s="14"/>
      <c r="H8" s="16" t="str">
        <f aca="false">IF(A8="","",IF(F8&lt;&gt;"","Bitti",IF(E8&lt;&gt;"","Okunuyor","Sırada")))</f>
        <v>Okunuyor</v>
      </c>
      <c r="I8" s="17" t="str">
        <f aca="false">IF(OR(E8="",F8=""),"",F8-E8+1)</f>
        <v/>
      </c>
      <c r="J8" s="18" t="str">
        <f aca="false">IF(OR(I8="",D8=""),"",D8/I8)</f>
        <v/>
      </c>
      <c r="K8" s="19" t="str">
        <f aca="false">IF(AND(A8&lt;&gt;"",G8&lt;&gt;""),G8+ROW()/1000000,"")</f>
        <v/>
      </c>
    </row>
    <row r="9" customFormat="false" ht="15" hidden="false" customHeight="false" outlineLevel="0" collapsed="false">
      <c r="A9" s="12" t="s">
        <v>42</v>
      </c>
      <c r="B9" s="12" t="s">
        <v>43</v>
      </c>
      <c r="C9" s="13" t="s">
        <v>44</v>
      </c>
      <c r="D9" s="14" t="n">
        <v>180</v>
      </c>
      <c r="E9" s="15"/>
      <c r="F9" s="15"/>
      <c r="G9" s="14"/>
      <c r="H9" s="16" t="str">
        <f aca="false">IF(A9="","",IF(F9&lt;&gt;"","Bitti",IF(E9&lt;&gt;"","Okunuyor","Sırada")))</f>
        <v>Sırada</v>
      </c>
      <c r="I9" s="17" t="str">
        <f aca="false">IF(OR(E9="",F9=""),"",F9-E9+1)</f>
        <v/>
      </c>
      <c r="J9" s="18" t="str">
        <f aca="false">IF(OR(I9="",D9=""),"",D9/I9)</f>
        <v/>
      </c>
      <c r="K9" s="19" t="str">
        <f aca="false">IF(AND(A9&lt;&gt;"",G9&lt;&gt;""),G9+ROW()/1000000,"")</f>
        <v/>
      </c>
    </row>
    <row r="10" customFormat="false" ht="15" hidden="false" customHeight="false" outlineLevel="0" collapsed="false">
      <c r="A10" s="12"/>
      <c r="B10" s="12"/>
      <c r="C10" s="13"/>
      <c r="D10" s="14"/>
      <c r="E10" s="15"/>
      <c r="F10" s="15"/>
      <c r="G10" s="14"/>
      <c r="H10" s="16" t="str">
        <f aca="false">IF(A10="","",IF(F10&lt;&gt;"","Bitti",IF(E10&lt;&gt;"","Okunuyor","Sırada")))</f>
        <v/>
      </c>
      <c r="I10" s="17" t="str">
        <f aca="false">IF(OR(E10="",F10=""),"",F10-E10+1)</f>
        <v/>
      </c>
      <c r="J10" s="18" t="str">
        <f aca="false">IF(OR(I10="",D10=""),"",D10/I10)</f>
        <v/>
      </c>
      <c r="K10" s="19" t="str">
        <f aca="false">IF(AND(A10&lt;&gt;"",G10&lt;&gt;""),G10+ROW()/1000000,"")</f>
        <v/>
      </c>
    </row>
    <row r="11" customFormat="false" ht="15" hidden="false" customHeight="false" outlineLevel="0" collapsed="false">
      <c r="A11" s="12"/>
      <c r="B11" s="12"/>
      <c r="C11" s="13"/>
      <c r="D11" s="14"/>
      <c r="E11" s="15"/>
      <c r="F11" s="15"/>
      <c r="G11" s="14"/>
      <c r="H11" s="16" t="str">
        <f aca="false">IF(A11="","",IF(F11&lt;&gt;"","Bitti",IF(E11&lt;&gt;"","Okunuyor","Sırada")))</f>
        <v/>
      </c>
      <c r="I11" s="17" t="str">
        <f aca="false">IF(OR(E11="",F11=""),"",F11-E11+1)</f>
        <v/>
      </c>
      <c r="J11" s="18" t="str">
        <f aca="false">IF(OR(I11="",D11=""),"",D11/I11)</f>
        <v/>
      </c>
      <c r="K11" s="19" t="str">
        <f aca="false">IF(AND(A11&lt;&gt;"",G11&lt;&gt;""),G11+ROW()/1000000,"")</f>
        <v/>
      </c>
    </row>
    <row r="12" customFormat="false" ht="15" hidden="false" customHeight="false" outlineLevel="0" collapsed="false">
      <c r="A12" s="12"/>
      <c r="B12" s="12"/>
      <c r="C12" s="13"/>
      <c r="D12" s="14"/>
      <c r="E12" s="15"/>
      <c r="F12" s="15"/>
      <c r="G12" s="14"/>
      <c r="H12" s="16" t="str">
        <f aca="false">IF(A12="","",IF(F12&lt;&gt;"","Bitti",IF(E12&lt;&gt;"","Okunuyor","Sırada")))</f>
        <v/>
      </c>
      <c r="I12" s="17" t="str">
        <f aca="false">IF(OR(E12="",F12=""),"",F12-E12+1)</f>
        <v/>
      </c>
      <c r="J12" s="18" t="str">
        <f aca="false">IF(OR(I12="",D12=""),"",D12/I12)</f>
        <v/>
      </c>
      <c r="K12" s="19" t="str">
        <f aca="false">IF(AND(A12&lt;&gt;"",G12&lt;&gt;""),G12+ROW()/1000000,"")</f>
        <v/>
      </c>
    </row>
    <row r="13" customFormat="false" ht="15" hidden="false" customHeight="false" outlineLevel="0" collapsed="false">
      <c r="A13" s="12"/>
      <c r="B13" s="12"/>
      <c r="C13" s="13"/>
      <c r="D13" s="14"/>
      <c r="E13" s="15"/>
      <c r="F13" s="15"/>
      <c r="G13" s="14"/>
      <c r="H13" s="16" t="str">
        <f aca="false">IF(A13="","",IF(F13&lt;&gt;"","Bitti",IF(E13&lt;&gt;"","Okunuyor","Sırada")))</f>
        <v/>
      </c>
      <c r="I13" s="17" t="str">
        <f aca="false">IF(OR(E13="",F13=""),"",F13-E13+1)</f>
        <v/>
      </c>
      <c r="J13" s="18" t="str">
        <f aca="false">IF(OR(I13="",D13=""),"",D13/I13)</f>
        <v/>
      </c>
      <c r="K13" s="19" t="str">
        <f aca="false">IF(AND(A13&lt;&gt;"",G13&lt;&gt;""),G13+ROW()/1000000,"")</f>
        <v/>
      </c>
    </row>
    <row r="14" customFormat="false" ht="15" hidden="false" customHeight="false" outlineLevel="0" collapsed="false">
      <c r="A14" s="12"/>
      <c r="B14" s="12"/>
      <c r="C14" s="13"/>
      <c r="D14" s="14"/>
      <c r="E14" s="15"/>
      <c r="F14" s="15"/>
      <c r="G14" s="14"/>
      <c r="H14" s="16" t="str">
        <f aca="false">IF(A14="","",IF(F14&lt;&gt;"","Bitti",IF(E14&lt;&gt;"","Okunuyor","Sırada")))</f>
        <v/>
      </c>
      <c r="I14" s="17" t="str">
        <f aca="false">IF(OR(E14="",F14=""),"",F14-E14+1)</f>
        <v/>
      </c>
      <c r="J14" s="18" t="str">
        <f aca="false">IF(OR(I14="",D14=""),"",D14/I14)</f>
        <v/>
      </c>
      <c r="K14" s="19" t="str">
        <f aca="false">IF(AND(A14&lt;&gt;"",G14&lt;&gt;""),G14+ROW()/1000000,"")</f>
        <v/>
      </c>
    </row>
    <row r="15" customFormat="false" ht="15" hidden="false" customHeight="false" outlineLevel="0" collapsed="false">
      <c r="A15" s="12"/>
      <c r="B15" s="12"/>
      <c r="C15" s="13"/>
      <c r="D15" s="14"/>
      <c r="E15" s="15"/>
      <c r="F15" s="15"/>
      <c r="G15" s="14"/>
      <c r="H15" s="16" t="str">
        <f aca="false">IF(A15="","",IF(F15&lt;&gt;"","Bitti",IF(E15&lt;&gt;"","Okunuyor","Sırada")))</f>
        <v/>
      </c>
      <c r="I15" s="17" t="str">
        <f aca="false">IF(OR(E15="",F15=""),"",F15-E15+1)</f>
        <v/>
      </c>
      <c r="J15" s="18" t="str">
        <f aca="false">IF(OR(I15="",D15=""),"",D15/I15)</f>
        <v/>
      </c>
      <c r="K15" s="19" t="str">
        <f aca="false">IF(AND(A15&lt;&gt;"",G15&lt;&gt;""),G15+ROW()/1000000,"")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5"/>
      <c r="F16" s="15"/>
      <c r="G16" s="14"/>
      <c r="H16" s="16" t="str">
        <f aca="false">IF(A16="","",IF(F16&lt;&gt;"","Bitti",IF(E16&lt;&gt;"","Okunuyor","Sırada")))</f>
        <v/>
      </c>
      <c r="I16" s="17" t="str">
        <f aca="false">IF(OR(E16="",F16=""),"",F16-E16+1)</f>
        <v/>
      </c>
      <c r="J16" s="18" t="str">
        <f aca="false">IF(OR(I16="",D16=""),"",D16/I16)</f>
        <v/>
      </c>
      <c r="K16" s="19" t="str">
        <f aca="false">IF(AND(A16&lt;&gt;"",G16&lt;&gt;""),G16+ROW()/1000000,"")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5"/>
      <c r="F17" s="15"/>
      <c r="G17" s="14"/>
      <c r="H17" s="16" t="str">
        <f aca="false">IF(A17="","",IF(F17&lt;&gt;"","Bitti",IF(E17&lt;&gt;"","Okunuyor","Sırada")))</f>
        <v/>
      </c>
      <c r="I17" s="17" t="str">
        <f aca="false">IF(OR(E17="",F17=""),"",F17-E17+1)</f>
        <v/>
      </c>
      <c r="J17" s="18" t="str">
        <f aca="false">IF(OR(I17="",D17=""),"",D17/I17)</f>
        <v/>
      </c>
      <c r="K17" s="19" t="str">
        <f aca="false">IF(AND(A17&lt;&gt;"",G17&lt;&gt;""),G17+ROW()/1000000,"")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5"/>
      <c r="F18" s="15"/>
      <c r="G18" s="14"/>
      <c r="H18" s="16" t="str">
        <f aca="false">IF(A18="","",IF(F18&lt;&gt;"","Bitti",IF(E18&lt;&gt;"","Okunuyor","Sırada")))</f>
        <v/>
      </c>
      <c r="I18" s="17" t="str">
        <f aca="false">IF(OR(E18="",F18=""),"",F18-E18+1)</f>
        <v/>
      </c>
      <c r="J18" s="18" t="str">
        <f aca="false">IF(OR(I18="",D18=""),"",D18/I18)</f>
        <v/>
      </c>
      <c r="K18" s="19" t="str">
        <f aca="false">IF(AND(A18&lt;&gt;"",G18&lt;&gt;""),G18+ROW()/1000000,"")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5"/>
      <c r="F19" s="15"/>
      <c r="G19" s="14"/>
      <c r="H19" s="16" t="str">
        <f aca="false">IF(A19="","",IF(F19&lt;&gt;"","Bitti",IF(E19&lt;&gt;"","Okunuyor","Sırada")))</f>
        <v/>
      </c>
      <c r="I19" s="17" t="str">
        <f aca="false">IF(OR(E19="",F19=""),"",F19-E19+1)</f>
        <v/>
      </c>
      <c r="J19" s="18" t="str">
        <f aca="false">IF(OR(I19="",D19=""),"",D19/I19)</f>
        <v/>
      </c>
      <c r="K19" s="19" t="str">
        <f aca="false">IF(AND(A19&lt;&gt;"",G19&lt;&gt;""),G19+ROW()/1000000,"")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5"/>
      <c r="F20" s="15"/>
      <c r="G20" s="14"/>
      <c r="H20" s="16" t="str">
        <f aca="false">IF(A20="","",IF(F20&lt;&gt;"","Bitti",IF(E20&lt;&gt;"","Okunuyor","Sırada")))</f>
        <v/>
      </c>
      <c r="I20" s="17" t="str">
        <f aca="false">IF(OR(E20="",F20=""),"",F20-E20+1)</f>
        <v/>
      </c>
      <c r="J20" s="18" t="str">
        <f aca="false">IF(OR(I20="",D20=""),"",D20/I20)</f>
        <v/>
      </c>
      <c r="K20" s="19" t="str">
        <f aca="false">IF(AND(A20&lt;&gt;"",G20&lt;&gt;""),G20+ROW()/1000000,"")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5"/>
      <c r="F21" s="15"/>
      <c r="G21" s="14"/>
      <c r="H21" s="16" t="str">
        <f aca="false">IF(A21="","",IF(F21&lt;&gt;"","Bitti",IF(E21&lt;&gt;"","Okunuyor","Sırada")))</f>
        <v/>
      </c>
      <c r="I21" s="17" t="str">
        <f aca="false">IF(OR(E21="",F21=""),"",F21-E21+1)</f>
        <v/>
      </c>
      <c r="J21" s="18" t="str">
        <f aca="false">IF(OR(I21="",D21=""),"",D21/I21)</f>
        <v/>
      </c>
      <c r="K21" s="19" t="str">
        <f aca="false">IF(AND(A21&lt;&gt;"",G21&lt;&gt;""),G21+ROW()/1000000,"")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5"/>
      <c r="F22" s="15"/>
      <c r="G22" s="14"/>
      <c r="H22" s="16" t="str">
        <f aca="false">IF(A22="","",IF(F22&lt;&gt;"","Bitti",IF(E22&lt;&gt;"","Okunuyor","Sırada")))</f>
        <v/>
      </c>
      <c r="I22" s="17" t="str">
        <f aca="false">IF(OR(E22="",F22=""),"",F22-E22+1)</f>
        <v/>
      </c>
      <c r="J22" s="18" t="str">
        <f aca="false">IF(OR(I22="",D22=""),"",D22/I22)</f>
        <v/>
      </c>
      <c r="K22" s="19" t="str">
        <f aca="false">IF(AND(A22&lt;&gt;"",G22&lt;&gt;""),G22+ROW()/1000000,"")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5"/>
      <c r="F23" s="15"/>
      <c r="G23" s="14"/>
      <c r="H23" s="16" t="str">
        <f aca="false">IF(A23="","",IF(F23&lt;&gt;"","Bitti",IF(E23&lt;&gt;"","Okunuyor","Sırada")))</f>
        <v/>
      </c>
      <c r="I23" s="17" t="str">
        <f aca="false">IF(OR(E23="",F23=""),"",F23-E23+1)</f>
        <v/>
      </c>
      <c r="J23" s="18" t="str">
        <f aca="false">IF(OR(I23="",D23=""),"",D23/I23)</f>
        <v/>
      </c>
      <c r="K23" s="19" t="str">
        <f aca="false">IF(AND(A23&lt;&gt;"",G23&lt;&gt;""),G23+ROW()/1000000,"")</f>
        <v/>
      </c>
    </row>
    <row r="24" customFormat="false" ht="15" hidden="false" customHeight="false" outlineLevel="0" collapsed="false">
      <c r="A24" s="12"/>
      <c r="B24" s="12"/>
      <c r="C24" s="13"/>
      <c r="D24" s="14"/>
      <c r="E24" s="15"/>
      <c r="F24" s="15"/>
      <c r="G24" s="14"/>
      <c r="H24" s="16" t="str">
        <f aca="false">IF(A24="","",IF(F24&lt;&gt;"","Bitti",IF(E24&lt;&gt;"","Okunuyor","Sırada")))</f>
        <v/>
      </c>
      <c r="I24" s="17" t="str">
        <f aca="false">IF(OR(E24="",F24=""),"",F24-E24+1)</f>
        <v/>
      </c>
      <c r="J24" s="18" t="str">
        <f aca="false">IF(OR(I24="",D24=""),"",D24/I24)</f>
        <v/>
      </c>
      <c r="K24" s="19" t="str">
        <f aca="false">IF(AND(A24&lt;&gt;"",G24&lt;&gt;""),G24+ROW()/1000000,"")</f>
        <v/>
      </c>
    </row>
    <row r="25" customFormat="false" ht="15" hidden="false" customHeight="false" outlineLevel="0" collapsed="false">
      <c r="A25" s="12"/>
      <c r="B25" s="12"/>
      <c r="C25" s="13"/>
      <c r="D25" s="14"/>
      <c r="E25" s="15"/>
      <c r="F25" s="15"/>
      <c r="G25" s="14"/>
      <c r="H25" s="16" t="str">
        <f aca="false">IF(A25="","",IF(F25&lt;&gt;"","Bitti",IF(E25&lt;&gt;"","Okunuyor","Sırada")))</f>
        <v/>
      </c>
      <c r="I25" s="17" t="str">
        <f aca="false">IF(OR(E25="",F25=""),"",F25-E25+1)</f>
        <v/>
      </c>
      <c r="J25" s="18" t="str">
        <f aca="false">IF(OR(I25="",D25=""),"",D25/I25)</f>
        <v/>
      </c>
      <c r="K25" s="19" t="str">
        <f aca="false">IF(AND(A25&lt;&gt;"",G25&lt;&gt;""),G25+ROW()/1000000,"")</f>
        <v/>
      </c>
    </row>
    <row r="26" customFormat="false" ht="15" hidden="false" customHeight="false" outlineLevel="0" collapsed="false">
      <c r="A26" s="12"/>
      <c r="B26" s="12"/>
      <c r="C26" s="13"/>
      <c r="D26" s="14"/>
      <c r="E26" s="15"/>
      <c r="F26" s="15"/>
      <c r="G26" s="14"/>
      <c r="H26" s="16" t="str">
        <f aca="false">IF(A26="","",IF(F26&lt;&gt;"","Bitti",IF(E26&lt;&gt;"","Okunuyor","Sırada")))</f>
        <v/>
      </c>
      <c r="I26" s="17" t="str">
        <f aca="false">IF(OR(E26="",F26=""),"",F26-E26+1)</f>
        <v/>
      </c>
      <c r="J26" s="18" t="str">
        <f aca="false">IF(OR(I26="",D26=""),"",D26/I26)</f>
        <v/>
      </c>
      <c r="K26" s="19" t="str">
        <f aca="false">IF(AND(A26&lt;&gt;"",G26&lt;&gt;""),G26+ROW()/1000000,"")</f>
        <v/>
      </c>
    </row>
    <row r="27" customFormat="false" ht="15" hidden="false" customHeight="false" outlineLevel="0" collapsed="false">
      <c r="A27" s="12"/>
      <c r="B27" s="12"/>
      <c r="C27" s="13"/>
      <c r="D27" s="14"/>
      <c r="E27" s="15"/>
      <c r="F27" s="15"/>
      <c r="G27" s="14"/>
      <c r="H27" s="16" t="str">
        <f aca="false">IF(A27="","",IF(F27&lt;&gt;"","Bitti",IF(E27&lt;&gt;"","Okunuyor","Sırada")))</f>
        <v/>
      </c>
      <c r="I27" s="17" t="str">
        <f aca="false">IF(OR(E27="",F27=""),"",F27-E27+1)</f>
        <v/>
      </c>
      <c r="J27" s="18" t="str">
        <f aca="false">IF(OR(I27="",D27=""),"",D27/I27)</f>
        <v/>
      </c>
      <c r="K27" s="19" t="str">
        <f aca="false">IF(AND(A27&lt;&gt;"",G27&lt;&gt;""),G27+ROW()/1000000,"")</f>
        <v/>
      </c>
    </row>
    <row r="28" customFormat="false" ht="15" hidden="false" customHeight="false" outlineLevel="0" collapsed="false">
      <c r="A28" s="12"/>
      <c r="B28" s="12"/>
      <c r="C28" s="13"/>
      <c r="D28" s="14"/>
      <c r="E28" s="15"/>
      <c r="F28" s="15"/>
      <c r="G28" s="14"/>
      <c r="H28" s="16" t="str">
        <f aca="false">IF(A28="","",IF(F28&lt;&gt;"","Bitti",IF(E28&lt;&gt;"","Okunuyor","Sırada")))</f>
        <v/>
      </c>
      <c r="I28" s="17" t="str">
        <f aca="false">IF(OR(E28="",F28=""),"",F28-E28+1)</f>
        <v/>
      </c>
      <c r="J28" s="18" t="str">
        <f aca="false">IF(OR(I28="",D28=""),"",D28/I28)</f>
        <v/>
      </c>
      <c r="K28" s="19" t="str">
        <f aca="false">IF(AND(A28&lt;&gt;"",G28&lt;&gt;""),G28+ROW()/1000000,"")</f>
        <v/>
      </c>
    </row>
    <row r="29" customFormat="false" ht="15" hidden="false" customHeight="false" outlineLevel="0" collapsed="false">
      <c r="A29" s="12"/>
      <c r="B29" s="12"/>
      <c r="C29" s="13"/>
      <c r="D29" s="14"/>
      <c r="E29" s="15"/>
      <c r="F29" s="15"/>
      <c r="G29" s="14"/>
      <c r="H29" s="16" t="str">
        <f aca="false">IF(A29="","",IF(F29&lt;&gt;"","Bitti",IF(E29&lt;&gt;"","Okunuyor","Sırada")))</f>
        <v/>
      </c>
      <c r="I29" s="17" t="str">
        <f aca="false">IF(OR(E29="",F29=""),"",F29-E29+1)</f>
        <v/>
      </c>
      <c r="J29" s="18" t="str">
        <f aca="false">IF(OR(I29="",D29=""),"",D29/I29)</f>
        <v/>
      </c>
      <c r="K29" s="19" t="str">
        <f aca="false">IF(AND(A29&lt;&gt;"",G29&lt;&gt;""),G29+ROW()/1000000,"")</f>
        <v/>
      </c>
    </row>
    <row r="30" customFormat="false" ht="15" hidden="false" customHeight="false" outlineLevel="0" collapsed="false">
      <c r="A30" s="12"/>
      <c r="B30" s="12"/>
      <c r="C30" s="13"/>
      <c r="D30" s="14"/>
      <c r="E30" s="15"/>
      <c r="F30" s="15"/>
      <c r="G30" s="14"/>
      <c r="H30" s="16" t="str">
        <f aca="false">IF(A30="","",IF(F30&lt;&gt;"","Bitti",IF(E30&lt;&gt;"","Okunuyor","Sırada")))</f>
        <v/>
      </c>
      <c r="I30" s="17" t="str">
        <f aca="false">IF(OR(E30="",F30=""),"",F30-E30+1)</f>
        <v/>
      </c>
      <c r="J30" s="18" t="str">
        <f aca="false">IF(OR(I30="",D30=""),"",D30/I30)</f>
        <v/>
      </c>
      <c r="K30" s="19" t="str">
        <f aca="false">IF(AND(A30&lt;&gt;"",G30&lt;&gt;""),G30+ROW()/1000000,"")</f>
        <v/>
      </c>
    </row>
    <row r="31" customFormat="false" ht="15" hidden="false" customHeight="false" outlineLevel="0" collapsed="false">
      <c r="A31" s="12"/>
      <c r="B31" s="12"/>
      <c r="C31" s="13"/>
      <c r="D31" s="14"/>
      <c r="E31" s="15"/>
      <c r="F31" s="15"/>
      <c r="G31" s="14"/>
      <c r="H31" s="16" t="str">
        <f aca="false">IF(A31="","",IF(F31&lt;&gt;"","Bitti",IF(E31&lt;&gt;"","Okunuyor","Sırada")))</f>
        <v/>
      </c>
      <c r="I31" s="17" t="str">
        <f aca="false">IF(OR(E31="",F31=""),"",F31-E31+1)</f>
        <v/>
      </c>
      <c r="J31" s="18" t="str">
        <f aca="false">IF(OR(I31="",D31=""),"",D31/I31)</f>
        <v/>
      </c>
      <c r="K31" s="19" t="str">
        <f aca="false">IF(AND(A31&lt;&gt;"",G31&lt;&gt;""),G31+ROW()/1000000,"")</f>
        <v/>
      </c>
    </row>
    <row r="32" customFormat="false" ht="15" hidden="false" customHeight="false" outlineLevel="0" collapsed="false">
      <c r="A32" s="12"/>
      <c r="B32" s="12"/>
      <c r="C32" s="13"/>
      <c r="D32" s="14"/>
      <c r="E32" s="15"/>
      <c r="F32" s="15"/>
      <c r="G32" s="14"/>
      <c r="H32" s="16" t="str">
        <f aca="false">IF(A32="","",IF(F32&lt;&gt;"","Bitti",IF(E32&lt;&gt;"","Okunuyor","Sırada")))</f>
        <v/>
      </c>
      <c r="I32" s="17" t="str">
        <f aca="false">IF(OR(E32="",F32=""),"",F32-E32+1)</f>
        <v/>
      </c>
      <c r="J32" s="18" t="str">
        <f aca="false">IF(OR(I32="",D32=""),"",D32/I32)</f>
        <v/>
      </c>
      <c r="K32" s="19" t="str">
        <f aca="false">IF(AND(A32&lt;&gt;"",G32&lt;&gt;""),G32+ROW()/1000000,"")</f>
        <v/>
      </c>
    </row>
    <row r="33" customFormat="false" ht="15" hidden="false" customHeight="false" outlineLevel="0" collapsed="false">
      <c r="A33" s="12"/>
      <c r="B33" s="12"/>
      <c r="C33" s="13"/>
      <c r="D33" s="14"/>
      <c r="E33" s="15"/>
      <c r="F33" s="15"/>
      <c r="G33" s="14"/>
      <c r="H33" s="16" t="str">
        <f aca="false">IF(A33="","",IF(F33&lt;&gt;"","Bitti",IF(E33&lt;&gt;"","Okunuyor","Sırada")))</f>
        <v/>
      </c>
      <c r="I33" s="17" t="str">
        <f aca="false">IF(OR(E33="",F33=""),"",F33-E33+1)</f>
        <v/>
      </c>
      <c r="J33" s="18" t="str">
        <f aca="false">IF(OR(I33="",D33=""),"",D33/I33)</f>
        <v/>
      </c>
      <c r="K33" s="19" t="str">
        <f aca="false">IF(AND(A33&lt;&gt;"",G33&lt;&gt;""),G33+ROW()/1000000,"")</f>
        <v/>
      </c>
    </row>
    <row r="34" customFormat="false" ht="15" hidden="false" customHeight="false" outlineLevel="0" collapsed="false">
      <c r="A34" s="12"/>
      <c r="B34" s="12"/>
      <c r="C34" s="13"/>
      <c r="D34" s="14"/>
      <c r="E34" s="15"/>
      <c r="F34" s="15"/>
      <c r="G34" s="14"/>
      <c r="H34" s="16" t="str">
        <f aca="false">IF(A34="","",IF(F34&lt;&gt;"","Bitti",IF(E34&lt;&gt;"","Okunuyor","Sırada")))</f>
        <v/>
      </c>
      <c r="I34" s="17" t="str">
        <f aca="false">IF(OR(E34="",F34=""),"",F34-E34+1)</f>
        <v/>
      </c>
      <c r="J34" s="18" t="str">
        <f aca="false">IF(OR(I34="",D34=""),"",D34/I34)</f>
        <v/>
      </c>
      <c r="K34" s="19" t="str">
        <f aca="false">IF(AND(A34&lt;&gt;"",G34&lt;&gt;""),G34+ROW()/1000000,"")</f>
        <v/>
      </c>
    </row>
    <row r="35" customFormat="false" ht="15" hidden="false" customHeight="false" outlineLevel="0" collapsed="false">
      <c r="A35" s="12"/>
      <c r="B35" s="12"/>
      <c r="C35" s="13"/>
      <c r="D35" s="14"/>
      <c r="E35" s="15"/>
      <c r="F35" s="15"/>
      <c r="G35" s="14"/>
      <c r="H35" s="16" t="str">
        <f aca="false">IF(A35="","",IF(F35&lt;&gt;"","Bitti",IF(E35&lt;&gt;"","Okunuyor","Sırada")))</f>
        <v/>
      </c>
      <c r="I35" s="17" t="str">
        <f aca="false">IF(OR(E35="",F35=""),"",F35-E35+1)</f>
        <v/>
      </c>
      <c r="J35" s="18" t="str">
        <f aca="false">IF(OR(I35="",D35=""),"",D35/I35)</f>
        <v/>
      </c>
      <c r="K35" s="19" t="str">
        <f aca="false">IF(AND(A35&lt;&gt;"",G35&lt;&gt;""),G35+ROW()/1000000,"")</f>
        <v/>
      </c>
    </row>
    <row r="36" customFormat="false" ht="15" hidden="false" customHeight="false" outlineLevel="0" collapsed="false">
      <c r="A36" s="12"/>
      <c r="B36" s="12"/>
      <c r="C36" s="13"/>
      <c r="D36" s="14"/>
      <c r="E36" s="15"/>
      <c r="F36" s="15"/>
      <c r="G36" s="14"/>
      <c r="H36" s="16" t="str">
        <f aca="false">IF(A36="","",IF(F36&lt;&gt;"","Bitti",IF(E36&lt;&gt;"","Okunuyor","Sırada")))</f>
        <v/>
      </c>
      <c r="I36" s="17" t="str">
        <f aca="false">IF(OR(E36="",F36=""),"",F36-E36+1)</f>
        <v/>
      </c>
      <c r="J36" s="18" t="str">
        <f aca="false">IF(OR(I36="",D36=""),"",D36/I36)</f>
        <v/>
      </c>
      <c r="K36" s="19" t="str">
        <f aca="false">IF(AND(A36&lt;&gt;"",G36&lt;&gt;""),G36+ROW()/1000000,"")</f>
        <v/>
      </c>
    </row>
    <row r="37" customFormat="false" ht="15" hidden="false" customHeight="false" outlineLevel="0" collapsed="false">
      <c r="A37" s="12"/>
      <c r="B37" s="12"/>
      <c r="C37" s="13"/>
      <c r="D37" s="14"/>
      <c r="E37" s="15"/>
      <c r="F37" s="15"/>
      <c r="G37" s="14"/>
      <c r="H37" s="16" t="str">
        <f aca="false">IF(A37="","",IF(F37&lt;&gt;"","Bitti",IF(E37&lt;&gt;"","Okunuyor","Sırada")))</f>
        <v/>
      </c>
      <c r="I37" s="17" t="str">
        <f aca="false">IF(OR(E37="",F37=""),"",F37-E37+1)</f>
        <v/>
      </c>
      <c r="J37" s="18" t="str">
        <f aca="false">IF(OR(I37="",D37=""),"",D37/I37)</f>
        <v/>
      </c>
      <c r="K37" s="19" t="str">
        <f aca="false">IF(AND(A37&lt;&gt;"",G37&lt;&gt;""),G37+ROW()/1000000,"")</f>
        <v/>
      </c>
    </row>
    <row r="38" customFormat="false" ht="15" hidden="false" customHeight="false" outlineLevel="0" collapsed="false">
      <c r="A38" s="12"/>
      <c r="B38" s="12"/>
      <c r="C38" s="13"/>
      <c r="D38" s="14"/>
      <c r="E38" s="15"/>
      <c r="F38" s="15"/>
      <c r="G38" s="14"/>
      <c r="H38" s="16" t="str">
        <f aca="false">IF(A38="","",IF(F38&lt;&gt;"","Bitti",IF(E38&lt;&gt;"","Okunuyor","Sırada")))</f>
        <v/>
      </c>
      <c r="I38" s="17" t="str">
        <f aca="false">IF(OR(E38="",F38=""),"",F38-E38+1)</f>
        <v/>
      </c>
      <c r="J38" s="18" t="str">
        <f aca="false">IF(OR(I38="",D38=""),"",D38/I38)</f>
        <v/>
      </c>
      <c r="K38" s="19" t="str">
        <f aca="false">IF(AND(A38&lt;&gt;"",G38&lt;&gt;""),G38+ROW()/1000000,"")</f>
        <v/>
      </c>
    </row>
    <row r="39" customFormat="false" ht="15" hidden="false" customHeight="false" outlineLevel="0" collapsed="false">
      <c r="A39" s="12"/>
      <c r="B39" s="12"/>
      <c r="C39" s="13"/>
      <c r="D39" s="14"/>
      <c r="E39" s="15"/>
      <c r="F39" s="15"/>
      <c r="G39" s="14"/>
      <c r="H39" s="16" t="str">
        <f aca="false">IF(A39="","",IF(F39&lt;&gt;"","Bitti",IF(E39&lt;&gt;"","Okunuyor","Sırada")))</f>
        <v/>
      </c>
      <c r="I39" s="17" t="str">
        <f aca="false">IF(OR(E39="",F39=""),"",F39-E39+1)</f>
        <v/>
      </c>
      <c r="J39" s="18" t="str">
        <f aca="false">IF(OR(I39="",D39=""),"",D39/I39)</f>
        <v/>
      </c>
      <c r="K39" s="19" t="str">
        <f aca="false">IF(AND(A39&lt;&gt;"",G39&lt;&gt;""),G39+ROW()/1000000,"")</f>
        <v/>
      </c>
    </row>
    <row r="40" customFormat="false" ht="15" hidden="false" customHeight="false" outlineLevel="0" collapsed="false">
      <c r="A40" s="12"/>
      <c r="B40" s="12"/>
      <c r="C40" s="13"/>
      <c r="D40" s="14"/>
      <c r="E40" s="15"/>
      <c r="F40" s="15"/>
      <c r="G40" s="14"/>
      <c r="H40" s="16" t="str">
        <f aca="false">IF(A40="","",IF(F40&lt;&gt;"","Bitti",IF(E40&lt;&gt;"","Okunuyor","Sırada")))</f>
        <v/>
      </c>
      <c r="I40" s="17" t="str">
        <f aca="false">IF(OR(E40="",F40=""),"",F40-E40+1)</f>
        <v/>
      </c>
      <c r="J40" s="18" t="str">
        <f aca="false">IF(OR(I40="",D40=""),"",D40/I40)</f>
        <v/>
      </c>
      <c r="K40" s="19" t="str">
        <f aca="false">IF(AND(A40&lt;&gt;"",G40&lt;&gt;""),G40+ROW()/1000000,"")</f>
        <v/>
      </c>
    </row>
    <row r="41" customFormat="false" ht="15" hidden="false" customHeight="false" outlineLevel="0" collapsed="false">
      <c r="A41" s="12"/>
      <c r="B41" s="12"/>
      <c r="C41" s="13"/>
      <c r="D41" s="14"/>
      <c r="E41" s="15"/>
      <c r="F41" s="15"/>
      <c r="G41" s="14"/>
      <c r="H41" s="16" t="str">
        <f aca="false">IF(A41="","",IF(F41&lt;&gt;"","Bitti",IF(E41&lt;&gt;"","Okunuyor","Sırada")))</f>
        <v/>
      </c>
      <c r="I41" s="17" t="str">
        <f aca="false">IF(OR(E41="",F41=""),"",F41-E41+1)</f>
        <v/>
      </c>
      <c r="J41" s="18" t="str">
        <f aca="false">IF(OR(I41="",D41=""),"",D41/I41)</f>
        <v/>
      </c>
      <c r="K41" s="19" t="str">
        <f aca="false">IF(AND(A41&lt;&gt;"",G41&lt;&gt;""),G41+ROW()/1000000,"")</f>
        <v/>
      </c>
    </row>
    <row r="42" customFormat="false" ht="15" hidden="false" customHeight="false" outlineLevel="0" collapsed="false">
      <c r="A42" s="12"/>
      <c r="B42" s="12"/>
      <c r="C42" s="13"/>
      <c r="D42" s="14"/>
      <c r="E42" s="15"/>
      <c r="F42" s="15"/>
      <c r="G42" s="14"/>
      <c r="H42" s="16" t="str">
        <f aca="false">IF(A42="","",IF(F42&lt;&gt;"","Bitti",IF(E42&lt;&gt;"","Okunuyor","Sırada")))</f>
        <v/>
      </c>
      <c r="I42" s="17" t="str">
        <f aca="false">IF(OR(E42="",F42=""),"",F42-E42+1)</f>
        <v/>
      </c>
      <c r="J42" s="18" t="str">
        <f aca="false">IF(OR(I42="",D42=""),"",D42/I42)</f>
        <v/>
      </c>
      <c r="K42" s="19" t="str">
        <f aca="false">IF(AND(A42&lt;&gt;"",G42&lt;&gt;""),G42+ROW()/1000000,"")</f>
        <v/>
      </c>
    </row>
    <row r="43" customFormat="false" ht="15" hidden="false" customHeight="false" outlineLevel="0" collapsed="false">
      <c r="A43" s="12"/>
      <c r="B43" s="12"/>
      <c r="C43" s="13"/>
      <c r="D43" s="14"/>
      <c r="E43" s="15"/>
      <c r="F43" s="15"/>
      <c r="G43" s="14"/>
      <c r="H43" s="16" t="str">
        <f aca="false">IF(A43="","",IF(F43&lt;&gt;"","Bitti",IF(E43&lt;&gt;"","Okunuyor","Sırada")))</f>
        <v/>
      </c>
      <c r="I43" s="17" t="str">
        <f aca="false">IF(OR(E43="",F43=""),"",F43-E43+1)</f>
        <v/>
      </c>
      <c r="J43" s="18" t="str">
        <f aca="false">IF(OR(I43="",D43=""),"",D43/I43)</f>
        <v/>
      </c>
      <c r="K43" s="19" t="str">
        <f aca="false">IF(AND(A43&lt;&gt;"",G43&lt;&gt;""),G43+ROW()/1000000,"")</f>
        <v/>
      </c>
    </row>
    <row r="44" customFormat="false" ht="15" hidden="false" customHeight="false" outlineLevel="0" collapsed="false">
      <c r="A44" s="12"/>
      <c r="B44" s="12"/>
      <c r="C44" s="13"/>
      <c r="D44" s="14"/>
      <c r="E44" s="15"/>
      <c r="F44" s="15"/>
      <c r="G44" s="14"/>
      <c r="H44" s="16" t="str">
        <f aca="false">IF(A44="","",IF(F44&lt;&gt;"","Bitti",IF(E44&lt;&gt;"","Okunuyor","Sırada")))</f>
        <v/>
      </c>
      <c r="I44" s="17" t="str">
        <f aca="false">IF(OR(E44="",F44=""),"",F44-E44+1)</f>
        <v/>
      </c>
      <c r="J44" s="18" t="str">
        <f aca="false">IF(OR(I44="",D44=""),"",D44/I44)</f>
        <v/>
      </c>
      <c r="K44" s="19" t="str">
        <f aca="false">IF(AND(A44&lt;&gt;"",G44&lt;&gt;""),G44+ROW()/1000000,"")</f>
        <v/>
      </c>
    </row>
    <row r="45" customFormat="false" ht="15" hidden="false" customHeight="false" outlineLevel="0" collapsed="false">
      <c r="A45" s="12"/>
      <c r="B45" s="12"/>
      <c r="C45" s="13"/>
      <c r="D45" s="14"/>
      <c r="E45" s="15"/>
      <c r="F45" s="15"/>
      <c r="G45" s="14"/>
      <c r="H45" s="16" t="str">
        <f aca="false">IF(A45="","",IF(F45&lt;&gt;"","Bitti",IF(E45&lt;&gt;"","Okunuyor","Sırada")))</f>
        <v/>
      </c>
      <c r="I45" s="17" t="str">
        <f aca="false">IF(OR(E45="",F45=""),"",F45-E45+1)</f>
        <v/>
      </c>
      <c r="J45" s="18" t="str">
        <f aca="false">IF(OR(I45="",D45=""),"",D45/I45)</f>
        <v/>
      </c>
      <c r="K45" s="19" t="str">
        <f aca="false">IF(AND(A45&lt;&gt;"",G45&lt;&gt;""),G45+ROW()/1000000,"")</f>
        <v/>
      </c>
    </row>
    <row r="46" customFormat="false" ht="15" hidden="false" customHeight="false" outlineLevel="0" collapsed="false">
      <c r="A46" s="12"/>
      <c r="B46" s="12"/>
      <c r="C46" s="13"/>
      <c r="D46" s="14"/>
      <c r="E46" s="15"/>
      <c r="F46" s="15"/>
      <c r="G46" s="14"/>
      <c r="H46" s="16" t="str">
        <f aca="false">IF(A46="","",IF(F46&lt;&gt;"","Bitti",IF(E46&lt;&gt;"","Okunuyor","Sırada")))</f>
        <v/>
      </c>
      <c r="I46" s="17" t="str">
        <f aca="false">IF(OR(E46="",F46=""),"",F46-E46+1)</f>
        <v/>
      </c>
      <c r="J46" s="18" t="str">
        <f aca="false">IF(OR(I46="",D46=""),"",D46/I46)</f>
        <v/>
      </c>
      <c r="K46" s="19" t="str">
        <f aca="false">IF(AND(A46&lt;&gt;"",G46&lt;&gt;""),G46+ROW()/1000000,"")</f>
        <v/>
      </c>
    </row>
    <row r="47" customFormat="false" ht="15" hidden="false" customHeight="false" outlineLevel="0" collapsed="false">
      <c r="A47" s="12"/>
      <c r="B47" s="12"/>
      <c r="C47" s="13"/>
      <c r="D47" s="14"/>
      <c r="E47" s="15"/>
      <c r="F47" s="15"/>
      <c r="G47" s="14"/>
      <c r="H47" s="16" t="str">
        <f aca="false">IF(A47="","",IF(F47&lt;&gt;"","Bitti",IF(E47&lt;&gt;"","Okunuyor","Sırada")))</f>
        <v/>
      </c>
      <c r="I47" s="17" t="str">
        <f aca="false">IF(OR(E47="",F47=""),"",F47-E47+1)</f>
        <v/>
      </c>
      <c r="J47" s="18" t="str">
        <f aca="false">IF(OR(I47="",D47=""),"",D47/I47)</f>
        <v/>
      </c>
      <c r="K47" s="19" t="str">
        <f aca="false">IF(AND(A47&lt;&gt;"",G47&lt;&gt;""),G47+ROW()/1000000,"")</f>
        <v/>
      </c>
    </row>
    <row r="48" customFormat="false" ht="15" hidden="false" customHeight="false" outlineLevel="0" collapsed="false">
      <c r="A48" s="12"/>
      <c r="B48" s="12"/>
      <c r="C48" s="13"/>
      <c r="D48" s="14"/>
      <c r="E48" s="15"/>
      <c r="F48" s="15"/>
      <c r="G48" s="14"/>
      <c r="H48" s="16" t="str">
        <f aca="false">IF(A48="","",IF(F48&lt;&gt;"","Bitti",IF(E48&lt;&gt;"","Okunuyor","Sırada")))</f>
        <v/>
      </c>
      <c r="I48" s="17" t="str">
        <f aca="false">IF(OR(E48="",F48=""),"",F48-E48+1)</f>
        <v/>
      </c>
      <c r="J48" s="18" t="str">
        <f aca="false">IF(OR(I48="",D48=""),"",D48/I48)</f>
        <v/>
      </c>
      <c r="K48" s="19" t="str">
        <f aca="false">IF(AND(A48&lt;&gt;"",G48&lt;&gt;""),G48+ROW()/1000000,"")</f>
        <v/>
      </c>
    </row>
    <row r="49" customFormat="false" ht="15" hidden="false" customHeight="false" outlineLevel="0" collapsed="false">
      <c r="A49" s="12"/>
      <c r="B49" s="12"/>
      <c r="C49" s="13"/>
      <c r="D49" s="14"/>
      <c r="E49" s="15"/>
      <c r="F49" s="15"/>
      <c r="G49" s="14"/>
      <c r="H49" s="16" t="str">
        <f aca="false">IF(A49="","",IF(F49&lt;&gt;"","Bitti",IF(E49&lt;&gt;"","Okunuyor","Sırada")))</f>
        <v/>
      </c>
      <c r="I49" s="17" t="str">
        <f aca="false">IF(OR(E49="",F49=""),"",F49-E49+1)</f>
        <v/>
      </c>
      <c r="J49" s="18" t="str">
        <f aca="false">IF(OR(I49="",D49=""),"",D49/I49)</f>
        <v/>
      </c>
      <c r="K49" s="19" t="str">
        <f aca="false">IF(AND(A49&lt;&gt;"",G49&lt;&gt;""),G49+ROW()/1000000,"")</f>
        <v/>
      </c>
    </row>
    <row r="50" customFormat="false" ht="15" hidden="false" customHeight="false" outlineLevel="0" collapsed="false">
      <c r="A50" s="12"/>
      <c r="B50" s="12"/>
      <c r="C50" s="13"/>
      <c r="D50" s="14"/>
      <c r="E50" s="15"/>
      <c r="F50" s="15"/>
      <c r="G50" s="14"/>
      <c r="H50" s="16" t="str">
        <f aca="false">IF(A50="","",IF(F50&lt;&gt;"","Bitti",IF(E50&lt;&gt;"","Okunuyor","Sırada")))</f>
        <v/>
      </c>
      <c r="I50" s="17" t="str">
        <f aca="false">IF(OR(E50="",F50=""),"",F50-E50+1)</f>
        <v/>
      </c>
      <c r="J50" s="18" t="str">
        <f aca="false">IF(OR(I50="",D50=""),"",D50/I50)</f>
        <v/>
      </c>
      <c r="K50" s="19" t="str">
        <f aca="false">IF(AND(A50&lt;&gt;"",G50&lt;&gt;""),G50+ROW()/1000000,"")</f>
        <v/>
      </c>
    </row>
    <row r="51" customFormat="false" ht="15" hidden="false" customHeight="false" outlineLevel="0" collapsed="false">
      <c r="A51" s="12"/>
      <c r="B51" s="12"/>
      <c r="C51" s="13"/>
      <c r="D51" s="14"/>
      <c r="E51" s="15"/>
      <c r="F51" s="15"/>
      <c r="G51" s="14"/>
      <c r="H51" s="16" t="str">
        <f aca="false">IF(A51="","",IF(F51&lt;&gt;"","Bitti",IF(E51&lt;&gt;"","Okunuyor","Sırada")))</f>
        <v/>
      </c>
      <c r="I51" s="17" t="str">
        <f aca="false">IF(OR(E51="",F51=""),"",F51-E51+1)</f>
        <v/>
      </c>
      <c r="J51" s="18" t="str">
        <f aca="false">IF(OR(I51="",D51=""),"",D51/I51)</f>
        <v/>
      </c>
      <c r="K51" s="19" t="str">
        <f aca="false">IF(AND(A51&lt;&gt;"",G51&lt;&gt;""),G51+ROW()/1000000,"")</f>
        <v/>
      </c>
    </row>
    <row r="52" customFormat="false" ht="15" hidden="false" customHeight="false" outlineLevel="0" collapsed="false">
      <c r="A52" s="12"/>
      <c r="B52" s="12"/>
      <c r="C52" s="13"/>
      <c r="D52" s="14"/>
      <c r="E52" s="15"/>
      <c r="F52" s="15"/>
      <c r="G52" s="14"/>
      <c r="H52" s="16" t="str">
        <f aca="false">IF(A52="","",IF(F52&lt;&gt;"","Bitti",IF(E52&lt;&gt;"","Okunuyor","Sırada")))</f>
        <v/>
      </c>
      <c r="I52" s="17" t="str">
        <f aca="false">IF(OR(E52="",F52=""),"",F52-E52+1)</f>
        <v/>
      </c>
      <c r="J52" s="18" t="str">
        <f aca="false">IF(OR(I52="",D52=""),"",D52/I52)</f>
        <v/>
      </c>
      <c r="K52" s="19" t="str">
        <f aca="false">IF(AND(A52&lt;&gt;"",G52&lt;&gt;""),G52+ROW()/1000000,"")</f>
        <v/>
      </c>
    </row>
    <row r="53" customFormat="false" ht="15" hidden="false" customHeight="false" outlineLevel="0" collapsed="false">
      <c r="A53" s="12"/>
      <c r="B53" s="12"/>
      <c r="C53" s="13"/>
      <c r="D53" s="14"/>
      <c r="E53" s="15"/>
      <c r="F53" s="15"/>
      <c r="G53" s="14"/>
      <c r="H53" s="16" t="str">
        <f aca="false">IF(A53="","",IF(F53&lt;&gt;"","Bitti",IF(E53&lt;&gt;"","Okunuyor","Sırada")))</f>
        <v/>
      </c>
      <c r="I53" s="17" t="str">
        <f aca="false">IF(OR(E53="",F53=""),"",F53-E53+1)</f>
        <v/>
      </c>
      <c r="J53" s="18" t="str">
        <f aca="false">IF(OR(I53="",D53=""),"",D53/I53)</f>
        <v/>
      </c>
      <c r="K53" s="19" t="str">
        <f aca="false">IF(AND(A53&lt;&gt;"",G53&lt;&gt;""),G53+ROW()/1000000,"")</f>
        <v/>
      </c>
    </row>
    <row r="54" customFormat="false" ht="15" hidden="false" customHeight="false" outlineLevel="0" collapsed="false">
      <c r="A54" s="12"/>
      <c r="B54" s="12"/>
      <c r="C54" s="13"/>
      <c r="D54" s="14"/>
      <c r="E54" s="15"/>
      <c r="F54" s="15"/>
      <c r="G54" s="14"/>
      <c r="H54" s="16" t="str">
        <f aca="false">IF(A54="","",IF(F54&lt;&gt;"","Bitti",IF(E54&lt;&gt;"","Okunuyor","Sırada")))</f>
        <v/>
      </c>
      <c r="I54" s="17" t="str">
        <f aca="false">IF(OR(E54="",F54=""),"",F54-E54+1)</f>
        <v/>
      </c>
      <c r="J54" s="18" t="str">
        <f aca="false">IF(OR(I54="",D54=""),"",D54/I54)</f>
        <v/>
      </c>
      <c r="K54" s="19" t="str">
        <f aca="false">IF(AND(A54&lt;&gt;"",G54&lt;&gt;""),G54+ROW()/1000000,"")</f>
        <v/>
      </c>
    </row>
    <row r="55" customFormat="false" ht="15" hidden="false" customHeight="false" outlineLevel="0" collapsed="false">
      <c r="A55" s="12"/>
      <c r="B55" s="12"/>
      <c r="C55" s="13"/>
      <c r="D55" s="14"/>
      <c r="E55" s="15"/>
      <c r="F55" s="15"/>
      <c r="G55" s="14"/>
      <c r="H55" s="16" t="str">
        <f aca="false">IF(A55="","",IF(F55&lt;&gt;"","Bitti",IF(E55&lt;&gt;"","Okunuyor","Sırada")))</f>
        <v/>
      </c>
      <c r="I55" s="17" t="str">
        <f aca="false">IF(OR(E55="",F55=""),"",F55-E55+1)</f>
        <v/>
      </c>
      <c r="J55" s="18" t="str">
        <f aca="false">IF(OR(I55="",D55=""),"",D55/I55)</f>
        <v/>
      </c>
      <c r="K55" s="19" t="str">
        <f aca="false">IF(AND(A55&lt;&gt;"",G55&lt;&gt;""),G55+ROW()/1000000,"")</f>
        <v/>
      </c>
    </row>
    <row r="56" customFormat="false" ht="15" hidden="false" customHeight="false" outlineLevel="0" collapsed="false">
      <c r="A56" s="12"/>
      <c r="B56" s="12"/>
      <c r="C56" s="13"/>
      <c r="D56" s="14"/>
      <c r="E56" s="15"/>
      <c r="F56" s="15"/>
      <c r="G56" s="14"/>
      <c r="H56" s="16" t="str">
        <f aca="false">IF(A56="","",IF(F56&lt;&gt;"","Bitti",IF(E56&lt;&gt;"","Okunuyor","Sırada")))</f>
        <v/>
      </c>
      <c r="I56" s="17" t="str">
        <f aca="false">IF(OR(E56="",F56=""),"",F56-E56+1)</f>
        <v/>
      </c>
      <c r="J56" s="18" t="str">
        <f aca="false">IF(OR(I56="",D56=""),"",D56/I56)</f>
        <v/>
      </c>
      <c r="K56" s="19" t="str">
        <f aca="false">IF(AND(A56&lt;&gt;"",G56&lt;&gt;""),G56+ROW()/1000000,"")</f>
        <v/>
      </c>
    </row>
    <row r="57" customFormat="false" ht="15" hidden="false" customHeight="false" outlineLevel="0" collapsed="false">
      <c r="A57" s="12"/>
      <c r="B57" s="12"/>
      <c r="C57" s="13"/>
      <c r="D57" s="14"/>
      <c r="E57" s="15"/>
      <c r="F57" s="15"/>
      <c r="G57" s="14"/>
      <c r="H57" s="16" t="str">
        <f aca="false">IF(A57="","",IF(F57&lt;&gt;"","Bitti",IF(E57&lt;&gt;"","Okunuyor","Sırada")))</f>
        <v/>
      </c>
      <c r="I57" s="17" t="str">
        <f aca="false">IF(OR(E57="",F57=""),"",F57-E57+1)</f>
        <v/>
      </c>
      <c r="J57" s="18" t="str">
        <f aca="false">IF(OR(I57="",D57=""),"",D57/I57)</f>
        <v/>
      </c>
      <c r="K57" s="19" t="str">
        <f aca="false">IF(AND(A57&lt;&gt;"",G57&lt;&gt;""),G57+ROW()/1000000,"")</f>
        <v/>
      </c>
    </row>
    <row r="58" customFormat="false" ht="15" hidden="false" customHeight="false" outlineLevel="0" collapsed="false">
      <c r="A58" s="12"/>
      <c r="B58" s="12"/>
      <c r="C58" s="13"/>
      <c r="D58" s="14"/>
      <c r="E58" s="15"/>
      <c r="F58" s="15"/>
      <c r="G58" s="14"/>
      <c r="H58" s="16" t="str">
        <f aca="false">IF(A58="","",IF(F58&lt;&gt;"","Bitti",IF(E58&lt;&gt;"","Okunuyor","Sırada")))</f>
        <v/>
      </c>
      <c r="I58" s="17" t="str">
        <f aca="false">IF(OR(E58="",F58=""),"",F58-E58+1)</f>
        <v/>
      </c>
      <c r="J58" s="18" t="str">
        <f aca="false">IF(OR(I58="",D58=""),"",D58/I58)</f>
        <v/>
      </c>
      <c r="K58" s="19" t="str">
        <f aca="false">IF(AND(A58&lt;&gt;"",G58&lt;&gt;""),G58+ROW()/1000000,"")</f>
        <v/>
      </c>
    </row>
    <row r="59" customFormat="false" ht="15" hidden="false" customHeight="false" outlineLevel="0" collapsed="false">
      <c r="A59" s="12"/>
      <c r="B59" s="12"/>
      <c r="C59" s="13"/>
      <c r="D59" s="14"/>
      <c r="E59" s="15"/>
      <c r="F59" s="15"/>
      <c r="G59" s="14"/>
      <c r="H59" s="16" t="str">
        <f aca="false">IF(A59="","",IF(F59&lt;&gt;"","Bitti",IF(E59&lt;&gt;"","Okunuyor","Sırada")))</f>
        <v/>
      </c>
      <c r="I59" s="17" t="str">
        <f aca="false">IF(OR(E59="",F59=""),"",F59-E59+1)</f>
        <v/>
      </c>
      <c r="J59" s="18" t="str">
        <f aca="false">IF(OR(I59="",D59=""),"",D59/I59)</f>
        <v/>
      </c>
      <c r="K59" s="19" t="str">
        <f aca="false">IF(AND(A59&lt;&gt;"",G59&lt;&gt;""),G59+ROW()/1000000,"")</f>
        <v/>
      </c>
    </row>
    <row r="60" customFormat="false" ht="15" hidden="false" customHeight="false" outlineLevel="0" collapsed="false">
      <c r="A60" s="12"/>
      <c r="B60" s="12"/>
      <c r="C60" s="13"/>
      <c r="D60" s="14"/>
      <c r="E60" s="15"/>
      <c r="F60" s="15"/>
      <c r="G60" s="14"/>
      <c r="H60" s="16" t="str">
        <f aca="false">IF(A60="","",IF(F60&lt;&gt;"","Bitti",IF(E60&lt;&gt;"","Okunuyor","Sırada")))</f>
        <v/>
      </c>
      <c r="I60" s="17" t="str">
        <f aca="false">IF(OR(E60="",F60=""),"",F60-E60+1)</f>
        <v/>
      </c>
      <c r="J60" s="18" t="str">
        <f aca="false">IF(OR(I60="",D60=""),"",D60/I60)</f>
        <v/>
      </c>
      <c r="K60" s="19" t="str">
        <f aca="false">IF(AND(A60&lt;&gt;"",G60&lt;&gt;""),G60+ROW()/1000000,"")</f>
        <v/>
      </c>
    </row>
    <row r="61" customFormat="false" ht="15" hidden="false" customHeight="false" outlineLevel="0" collapsed="false">
      <c r="A61" s="12"/>
      <c r="B61" s="12"/>
      <c r="C61" s="13"/>
      <c r="D61" s="14"/>
      <c r="E61" s="15"/>
      <c r="F61" s="15"/>
      <c r="G61" s="14"/>
      <c r="H61" s="16" t="str">
        <f aca="false">IF(A61="","",IF(F61&lt;&gt;"","Bitti",IF(E61&lt;&gt;"","Okunuyor","Sırada")))</f>
        <v/>
      </c>
      <c r="I61" s="17" t="str">
        <f aca="false">IF(OR(E61="",F61=""),"",F61-E61+1)</f>
        <v/>
      </c>
      <c r="J61" s="18" t="str">
        <f aca="false">IF(OR(I61="",D61=""),"",D61/I61)</f>
        <v/>
      </c>
      <c r="K61" s="19" t="str">
        <f aca="false">IF(AND(A61&lt;&gt;"",G61&lt;&gt;""),G61+ROW()/1000000,"")</f>
        <v/>
      </c>
    </row>
    <row r="62" customFormat="false" ht="15" hidden="false" customHeight="false" outlineLevel="0" collapsed="false">
      <c r="A62" s="12"/>
      <c r="B62" s="12"/>
      <c r="C62" s="13"/>
      <c r="D62" s="14"/>
      <c r="E62" s="15"/>
      <c r="F62" s="15"/>
      <c r="G62" s="14"/>
      <c r="H62" s="16" t="str">
        <f aca="false">IF(A62="","",IF(F62&lt;&gt;"","Bitti",IF(E62&lt;&gt;"","Okunuyor","Sırada")))</f>
        <v/>
      </c>
      <c r="I62" s="17" t="str">
        <f aca="false">IF(OR(E62="",F62=""),"",F62-E62+1)</f>
        <v/>
      </c>
      <c r="J62" s="18" t="str">
        <f aca="false">IF(OR(I62="",D62=""),"",D62/I62)</f>
        <v/>
      </c>
      <c r="K62" s="19" t="str">
        <f aca="false">IF(AND(A62&lt;&gt;"",G62&lt;&gt;""),G62+ROW()/1000000,"")</f>
        <v/>
      </c>
    </row>
    <row r="63" customFormat="false" ht="15" hidden="false" customHeight="false" outlineLevel="0" collapsed="false">
      <c r="A63" s="12"/>
      <c r="B63" s="12"/>
      <c r="C63" s="13"/>
      <c r="D63" s="14"/>
      <c r="E63" s="15"/>
      <c r="F63" s="15"/>
      <c r="G63" s="14"/>
      <c r="H63" s="16" t="str">
        <f aca="false">IF(A63="","",IF(F63&lt;&gt;"","Bitti",IF(E63&lt;&gt;"","Okunuyor","Sırada")))</f>
        <v/>
      </c>
      <c r="I63" s="17" t="str">
        <f aca="false">IF(OR(E63="",F63=""),"",F63-E63+1)</f>
        <v/>
      </c>
      <c r="J63" s="18" t="str">
        <f aca="false">IF(OR(I63="",D63=""),"",D63/I63)</f>
        <v/>
      </c>
      <c r="K63" s="19" t="str">
        <f aca="false">IF(AND(A63&lt;&gt;"",G63&lt;&gt;""),G63+ROW()/1000000,"")</f>
        <v/>
      </c>
    </row>
    <row r="64" customFormat="false" ht="15" hidden="false" customHeight="false" outlineLevel="0" collapsed="false">
      <c r="A64" s="12"/>
      <c r="B64" s="12"/>
      <c r="C64" s="13"/>
      <c r="D64" s="14"/>
      <c r="E64" s="15"/>
      <c r="F64" s="15"/>
      <c r="G64" s="14"/>
      <c r="H64" s="16" t="str">
        <f aca="false">IF(A64="","",IF(F64&lt;&gt;"","Bitti",IF(E64&lt;&gt;"","Okunuyor","Sırada")))</f>
        <v/>
      </c>
      <c r="I64" s="17" t="str">
        <f aca="false">IF(OR(E64="",F64=""),"",F64-E64+1)</f>
        <v/>
      </c>
      <c r="J64" s="18" t="str">
        <f aca="false">IF(OR(I64="",D64=""),"",D64/I64)</f>
        <v/>
      </c>
      <c r="K64" s="19" t="str">
        <f aca="false">IF(AND(A64&lt;&gt;"",G64&lt;&gt;""),G64+ROW()/1000000,"")</f>
        <v/>
      </c>
    </row>
    <row r="65" customFormat="false" ht="15" hidden="false" customHeight="false" outlineLevel="0" collapsed="false">
      <c r="A65" s="12"/>
      <c r="B65" s="12"/>
      <c r="C65" s="13"/>
      <c r="D65" s="14"/>
      <c r="E65" s="15"/>
      <c r="F65" s="15"/>
      <c r="G65" s="14"/>
      <c r="H65" s="16" t="str">
        <f aca="false">IF(A65="","",IF(F65&lt;&gt;"","Bitti",IF(E65&lt;&gt;"","Okunuyor","Sırada")))</f>
        <v/>
      </c>
      <c r="I65" s="17" t="str">
        <f aca="false">IF(OR(E65="",F65=""),"",F65-E65+1)</f>
        <v/>
      </c>
      <c r="J65" s="18" t="str">
        <f aca="false">IF(OR(I65="",D65=""),"",D65/I65)</f>
        <v/>
      </c>
      <c r="K65" s="19" t="str">
        <f aca="false">IF(AND(A65&lt;&gt;"",G65&lt;&gt;""),G65+ROW()/1000000,"")</f>
        <v/>
      </c>
    </row>
    <row r="66" customFormat="false" ht="15" hidden="false" customHeight="false" outlineLevel="0" collapsed="false">
      <c r="A66" s="12"/>
      <c r="B66" s="12"/>
      <c r="C66" s="13"/>
      <c r="D66" s="14"/>
      <c r="E66" s="15"/>
      <c r="F66" s="15"/>
      <c r="G66" s="14"/>
      <c r="H66" s="16" t="str">
        <f aca="false">IF(A66="","",IF(F66&lt;&gt;"","Bitti",IF(E66&lt;&gt;"","Okunuyor","Sırada")))</f>
        <v/>
      </c>
      <c r="I66" s="17" t="str">
        <f aca="false">IF(OR(E66="",F66=""),"",F66-E66+1)</f>
        <v/>
      </c>
      <c r="J66" s="18" t="str">
        <f aca="false">IF(OR(I66="",D66=""),"",D66/I66)</f>
        <v/>
      </c>
      <c r="K66" s="19" t="str">
        <f aca="false">IF(AND(A66&lt;&gt;"",G66&lt;&gt;""),G66+ROW()/1000000,"")</f>
        <v/>
      </c>
    </row>
    <row r="67" customFormat="false" ht="15" hidden="false" customHeight="false" outlineLevel="0" collapsed="false">
      <c r="A67" s="12"/>
      <c r="B67" s="12"/>
      <c r="C67" s="13"/>
      <c r="D67" s="14"/>
      <c r="E67" s="15"/>
      <c r="F67" s="15"/>
      <c r="G67" s="14"/>
      <c r="H67" s="16" t="str">
        <f aca="false">IF(A67="","",IF(F67&lt;&gt;"","Bitti",IF(E67&lt;&gt;"","Okunuyor","Sırada")))</f>
        <v/>
      </c>
      <c r="I67" s="17" t="str">
        <f aca="false">IF(OR(E67="",F67=""),"",F67-E67+1)</f>
        <v/>
      </c>
      <c r="J67" s="18" t="str">
        <f aca="false">IF(OR(I67="",D67=""),"",D67/I67)</f>
        <v/>
      </c>
      <c r="K67" s="19" t="str">
        <f aca="false">IF(AND(A67&lt;&gt;"",G67&lt;&gt;""),G67+ROW()/1000000,"")</f>
        <v/>
      </c>
    </row>
    <row r="68" customFormat="false" ht="15" hidden="false" customHeight="false" outlineLevel="0" collapsed="false">
      <c r="A68" s="12"/>
      <c r="B68" s="12"/>
      <c r="C68" s="13"/>
      <c r="D68" s="14"/>
      <c r="E68" s="15"/>
      <c r="F68" s="15"/>
      <c r="G68" s="14"/>
      <c r="H68" s="16" t="str">
        <f aca="false">IF(A68="","",IF(F68&lt;&gt;"","Bitti",IF(E68&lt;&gt;"","Okunuyor","Sırada")))</f>
        <v/>
      </c>
      <c r="I68" s="17" t="str">
        <f aca="false">IF(OR(E68="",F68=""),"",F68-E68+1)</f>
        <v/>
      </c>
      <c r="J68" s="18" t="str">
        <f aca="false">IF(OR(I68="",D68=""),"",D68/I68)</f>
        <v/>
      </c>
      <c r="K68" s="19" t="str">
        <f aca="false">IF(AND(A68&lt;&gt;"",G68&lt;&gt;""),G68+ROW()/1000000,"")</f>
        <v/>
      </c>
    </row>
    <row r="69" customFormat="false" ht="15" hidden="false" customHeight="false" outlineLevel="0" collapsed="false">
      <c r="A69" s="12"/>
      <c r="B69" s="12"/>
      <c r="C69" s="13"/>
      <c r="D69" s="14"/>
      <c r="E69" s="15"/>
      <c r="F69" s="15"/>
      <c r="G69" s="14"/>
      <c r="H69" s="16" t="str">
        <f aca="false">IF(A69="","",IF(F69&lt;&gt;"","Bitti",IF(E69&lt;&gt;"","Okunuyor","Sırada")))</f>
        <v/>
      </c>
      <c r="I69" s="17" t="str">
        <f aca="false">IF(OR(E69="",F69=""),"",F69-E69+1)</f>
        <v/>
      </c>
      <c r="J69" s="18" t="str">
        <f aca="false">IF(OR(I69="",D69=""),"",D69/I69)</f>
        <v/>
      </c>
      <c r="K69" s="19" t="str">
        <f aca="false">IF(AND(A69&lt;&gt;"",G69&lt;&gt;""),G69+ROW()/1000000,"")</f>
        <v/>
      </c>
    </row>
    <row r="70" customFormat="false" ht="15" hidden="false" customHeight="false" outlineLevel="0" collapsed="false">
      <c r="A70" s="12"/>
      <c r="B70" s="12"/>
      <c r="C70" s="13"/>
      <c r="D70" s="14"/>
      <c r="E70" s="15"/>
      <c r="F70" s="15"/>
      <c r="G70" s="14"/>
      <c r="H70" s="16" t="str">
        <f aca="false">IF(A70="","",IF(F70&lt;&gt;"","Bitti",IF(E70&lt;&gt;"","Okunuyor","Sırada")))</f>
        <v/>
      </c>
      <c r="I70" s="17" t="str">
        <f aca="false">IF(OR(E70="",F70=""),"",F70-E70+1)</f>
        <v/>
      </c>
      <c r="J70" s="18" t="str">
        <f aca="false">IF(OR(I70="",D70=""),"",D70/I70)</f>
        <v/>
      </c>
      <c r="K70" s="19" t="str">
        <f aca="false">IF(AND(A70&lt;&gt;"",G70&lt;&gt;""),G70+ROW()/1000000,"")</f>
        <v/>
      </c>
    </row>
    <row r="71" customFormat="false" ht="15" hidden="false" customHeight="false" outlineLevel="0" collapsed="false">
      <c r="A71" s="12"/>
      <c r="B71" s="12"/>
      <c r="C71" s="13"/>
      <c r="D71" s="14"/>
      <c r="E71" s="15"/>
      <c r="F71" s="15"/>
      <c r="G71" s="14"/>
      <c r="H71" s="16" t="str">
        <f aca="false">IF(A71="","",IF(F71&lt;&gt;"","Bitti",IF(E71&lt;&gt;"","Okunuyor","Sırada")))</f>
        <v/>
      </c>
      <c r="I71" s="17" t="str">
        <f aca="false">IF(OR(E71="",F71=""),"",F71-E71+1)</f>
        <v/>
      </c>
      <c r="J71" s="18" t="str">
        <f aca="false">IF(OR(I71="",D71=""),"",D71/I71)</f>
        <v/>
      </c>
      <c r="K71" s="19" t="str">
        <f aca="false">IF(AND(A71&lt;&gt;"",G71&lt;&gt;""),G71+ROW()/1000000,"")</f>
        <v/>
      </c>
    </row>
    <row r="72" customFormat="false" ht="15" hidden="false" customHeight="false" outlineLevel="0" collapsed="false">
      <c r="A72" s="12"/>
      <c r="B72" s="12"/>
      <c r="C72" s="13"/>
      <c r="D72" s="14"/>
      <c r="E72" s="15"/>
      <c r="F72" s="15"/>
      <c r="G72" s="14"/>
      <c r="H72" s="16" t="str">
        <f aca="false">IF(A72="","",IF(F72&lt;&gt;"","Bitti",IF(E72&lt;&gt;"","Okunuyor","Sırada")))</f>
        <v/>
      </c>
      <c r="I72" s="17" t="str">
        <f aca="false">IF(OR(E72="",F72=""),"",F72-E72+1)</f>
        <v/>
      </c>
      <c r="J72" s="18" t="str">
        <f aca="false">IF(OR(I72="",D72=""),"",D72/I72)</f>
        <v/>
      </c>
      <c r="K72" s="19" t="str">
        <f aca="false">IF(AND(A72&lt;&gt;"",G72&lt;&gt;""),G72+ROW()/1000000,"")</f>
        <v/>
      </c>
    </row>
    <row r="73" customFormat="false" ht="15" hidden="false" customHeight="false" outlineLevel="0" collapsed="false">
      <c r="A73" s="12"/>
      <c r="B73" s="12"/>
      <c r="C73" s="13"/>
      <c r="D73" s="14"/>
      <c r="E73" s="15"/>
      <c r="F73" s="15"/>
      <c r="G73" s="14"/>
      <c r="H73" s="16" t="str">
        <f aca="false">IF(A73="","",IF(F73&lt;&gt;"","Bitti",IF(E73&lt;&gt;"","Okunuyor","Sırada")))</f>
        <v/>
      </c>
      <c r="I73" s="17" t="str">
        <f aca="false">IF(OR(E73="",F73=""),"",F73-E73+1)</f>
        <v/>
      </c>
      <c r="J73" s="18" t="str">
        <f aca="false">IF(OR(I73="",D73=""),"",D73/I73)</f>
        <v/>
      </c>
      <c r="K73" s="19" t="str">
        <f aca="false">IF(AND(A73&lt;&gt;"",G73&lt;&gt;""),G73+ROW()/1000000,"")</f>
        <v/>
      </c>
    </row>
    <row r="74" customFormat="false" ht="15" hidden="false" customHeight="false" outlineLevel="0" collapsed="false">
      <c r="A74" s="12"/>
      <c r="B74" s="12"/>
      <c r="C74" s="13"/>
      <c r="D74" s="14"/>
      <c r="E74" s="15"/>
      <c r="F74" s="15"/>
      <c r="G74" s="14"/>
      <c r="H74" s="16" t="str">
        <f aca="false">IF(A74="","",IF(F74&lt;&gt;"","Bitti",IF(E74&lt;&gt;"","Okunuyor","Sırada")))</f>
        <v/>
      </c>
      <c r="I74" s="17" t="str">
        <f aca="false">IF(OR(E74="",F74=""),"",F74-E74+1)</f>
        <v/>
      </c>
      <c r="J74" s="18" t="str">
        <f aca="false">IF(OR(I74="",D74=""),"",D74/I74)</f>
        <v/>
      </c>
      <c r="K74" s="19" t="str">
        <f aca="false">IF(AND(A74&lt;&gt;"",G74&lt;&gt;""),G74+ROW()/1000000,"")</f>
        <v/>
      </c>
    </row>
    <row r="75" customFormat="false" ht="15" hidden="false" customHeight="false" outlineLevel="0" collapsed="false">
      <c r="A75" s="12"/>
      <c r="B75" s="12"/>
      <c r="C75" s="13"/>
      <c r="D75" s="14"/>
      <c r="E75" s="15"/>
      <c r="F75" s="15"/>
      <c r="G75" s="14"/>
      <c r="H75" s="16" t="str">
        <f aca="false">IF(A75="","",IF(F75&lt;&gt;"","Bitti",IF(E75&lt;&gt;"","Okunuyor","Sırada")))</f>
        <v/>
      </c>
      <c r="I75" s="17" t="str">
        <f aca="false">IF(OR(E75="",F75=""),"",F75-E75+1)</f>
        <v/>
      </c>
      <c r="J75" s="18" t="str">
        <f aca="false">IF(OR(I75="",D75=""),"",D75/I75)</f>
        <v/>
      </c>
      <c r="K75" s="19" t="str">
        <f aca="false">IF(AND(A75&lt;&gt;"",G75&lt;&gt;""),G75+ROW()/1000000,"")</f>
        <v/>
      </c>
    </row>
    <row r="76" customFormat="false" ht="15" hidden="false" customHeight="false" outlineLevel="0" collapsed="false">
      <c r="A76" s="12"/>
      <c r="B76" s="12"/>
      <c r="C76" s="13"/>
      <c r="D76" s="14"/>
      <c r="E76" s="15"/>
      <c r="F76" s="15"/>
      <c r="G76" s="14"/>
      <c r="H76" s="16" t="str">
        <f aca="false">IF(A76="","",IF(F76&lt;&gt;"","Bitti",IF(E76&lt;&gt;"","Okunuyor","Sırada")))</f>
        <v/>
      </c>
      <c r="I76" s="17" t="str">
        <f aca="false">IF(OR(E76="",F76=""),"",F76-E76+1)</f>
        <v/>
      </c>
      <c r="J76" s="18" t="str">
        <f aca="false">IF(OR(I76="",D76=""),"",D76/I76)</f>
        <v/>
      </c>
      <c r="K76" s="19" t="str">
        <f aca="false">IF(AND(A76&lt;&gt;"",G76&lt;&gt;""),G76+ROW()/1000000,"")</f>
        <v/>
      </c>
    </row>
    <row r="77" customFormat="false" ht="15" hidden="false" customHeight="false" outlineLevel="0" collapsed="false">
      <c r="A77" s="12"/>
      <c r="B77" s="12"/>
      <c r="C77" s="13"/>
      <c r="D77" s="14"/>
      <c r="E77" s="15"/>
      <c r="F77" s="15"/>
      <c r="G77" s="14"/>
      <c r="H77" s="16" t="str">
        <f aca="false">IF(A77="","",IF(F77&lt;&gt;"","Bitti",IF(E77&lt;&gt;"","Okunuyor","Sırada")))</f>
        <v/>
      </c>
      <c r="I77" s="17" t="str">
        <f aca="false">IF(OR(E77="",F77=""),"",F77-E77+1)</f>
        <v/>
      </c>
      <c r="J77" s="18" t="str">
        <f aca="false">IF(OR(I77="",D77=""),"",D77/I77)</f>
        <v/>
      </c>
      <c r="K77" s="19" t="str">
        <f aca="false">IF(AND(A77&lt;&gt;"",G77&lt;&gt;""),G77+ROW()/1000000,"")</f>
        <v/>
      </c>
    </row>
    <row r="78" customFormat="false" ht="15" hidden="false" customHeight="false" outlineLevel="0" collapsed="false">
      <c r="A78" s="12"/>
      <c r="B78" s="12"/>
      <c r="C78" s="13"/>
      <c r="D78" s="14"/>
      <c r="E78" s="15"/>
      <c r="F78" s="15"/>
      <c r="G78" s="14"/>
      <c r="H78" s="16" t="str">
        <f aca="false">IF(A78="","",IF(F78&lt;&gt;"","Bitti",IF(E78&lt;&gt;"","Okunuyor","Sırada")))</f>
        <v/>
      </c>
      <c r="I78" s="17" t="str">
        <f aca="false">IF(OR(E78="",F78=""),"",F78-E78+1)</f>
        <v/>
      </c>
      <c r="J78" s="18" t="str">
        <f aca="false">IF(OR(I78="",D78=""),"",D78/I78)</f>
        <v/>
      </c>
      <c r="K78" s="19" t="str">
        <f aca="false">IF(AND(A78&lt;&gt;"",G78&lt;&gt;""),G78+ROW()/1000000,"")</f>
        <v/>
      </c>
    </row>
    <row r="79" customFormat="false" ht="15" hidden="false" customHeight="false" outlineLevel="0" collapsed="false">
      <c r="A79" s="12"/>
      <c r="B79" s="12"/>
      <c r="C79" s="13"/>
      <c r="D79" s="14"/>
      <c r="E79" s="15"/>
      <c r="F79" s="15"/>
      <c r="G79" s="14"/>
      <c r="H79" s="16" t="str">
        <f aca="false">IF(A79="","",IF(F79&lt;&gt;"","Bitti",IF(E79&lt;&gt;"","Okunuyor","Sırada")))</f>
        <v/>
      </c>
      <c r="I79" s="17" t="str">
        <f aca="false">IF(OR(E79="",F79=""),"",F79-E79+1)</f>
        <v/>
      </c>
      <c r="J79" s="18" t="str">
        <f aca="false">IF(OR(I79="",D79=""),"",D79/I79)</f>
        <v/>
      </c>
      <c r="K79" s="19" t="str">
        <f aca="false">IF(AND(A79&lt;&gt;"",G79&lt;&gt;""),G79+ROW()/1000000,"")</f>
        <v/>
      </c>
    </row>
    <row r="80" customFormat="false" ht="15" hidden="false" customHeight="false" outlineLevel="0" collapsed="false">
      <c r="A80" s="12"/>
      <c r="B80" s="12"/>
      <c r="C80" s="13"/>
      <c r="D80" s="14"/>
      <c r="E80" s="15"/>
      <c r="F80" s="15"/>
      <c r="G80" s="14"/>
      <c r="H80" s="16" t="str">
        <f aca="false">IF(A80="","",IF(F80&lt;&gt;"","Bitti",IF(E80&lt;&gt;"","Okunuyor","Sırada")))</f>
        <v/>
      </c>
      <c r="I80" s="17" t="str">
        <f aca="false">IF(OR(E80="",F80=""),"",F80-E80+1)</f>
        <v/>
      </c>
      <c r="J80" s="18" t="str">
        <f aca="false">IF(OR(I80="",D80=""),"",D80/I80)</f>
        <v/>
      </c>
      <c r="K80" s="19" t="str">
        <f aca="false">IF(AND(A80&lt;&gt;"",G80&lt;&gt;""),G80+ROW()/1000000,"")</f>
        <v/>
      </c>
    </row>
    <row r="81" customFormat="false" ht="15" hidden="false" customHeight="false" outlineLevel="0" collapsed="false">
      <c r="A81" s="12"/>
      <c r="B81" s="12"/>
      <c r="C81" s="13"/>
      <c r="D81" s="14"/>
      <c r="E81" s="15"/>
      <c r="F81" s="15"/>
      <c r="G81" s="14"/>
      <c r="H81" s="16" t="str">
        <f aca="false">IF(A81="","",IF(F81&lt;&gt;"","Bitti",IF(E81&lt;&gt;"","Okunuyor","Sırada")))</f>
        <v/>
      </c>
      <c r="I81" s="17" t="str">
        <f aca="false">IF(OR(E81="",F81=""),"",F81-E81+1)</f>
        <v/>
      </c>
      <c r="J81" s="18" t="str">
        <f aca="false">IF(OR(I81="",D81=""),"",D81/I81)</f>
        <v/>
      </c>
      <c r="K81" s="19" t="str">
        <f aca="false">IF(AND(A81&lt;&gt;"",G81&lt;&gt;""),G81+ROW()/1000000,"")</f>
        <v/>
      </c>
    </row>
    <row r="82" customFormat="false" ht="15" hidden="false" customHeight="false" outlineLevel="0" collapsed="false">
      <c r="A82" s="12"/>
      <c r="B82" s="12"/>
      <c r="C82" s="13"/>
      <c r="D82" s="14"/>
      <c r="E82" s="15"/>
      <c r="F82" s="15"/>
      <c r="G82" s="14"/>
      <c r="H82" s="16" t="str">
        <f aca="false">IF(A82="","",IF(F82&lt;&gt;"","Bitti",IF(E82&lt;&gt;"","Okunuyor","Sırada")))</f>
        <v/>
      </c>
      <c r="I82" s="17" t="str">
        <f aca="false">IF(OR(E82="",F82=""),"",F82-E82+1)</f>
        <v/>
      </c>
      <c r="J82" s="18" t="str">
        <f aca="false">IF(OR(I82="",D82=""),"",D82/I82)</f>
        <v/>
      </c>
      <c r="K82" s="19" t="str">
        <f aca="false">IF(AND(A82&lt;&gt;"",G82&lt;&gt;""),G82+ROW()/1000000,"")</f>
        <v/>
      </c>
    </row>
    <row r="83" customFormat="false" ht="15" hidden="false" customHeight="false" outlineLevel="0" collapsed="false">
      <c r="A83" s="12"/>
      <c r="B83" s="12"/>
      <c r="C83" s="13"/>
      <c r="D83" s="14"/>
      <c r="E83" s="15"/>
      <c r="F83" s="15"/>
      <c r="G83" s="14"/>
      <c r="H83" s="16" t="str">
        <f aca="false">IF(A83="","",IF(F83&lt;&gt;"","Bitti",IF(E83&lt;&gt;"","Okunuyor","Sırada")))</f>
        <v/>
      </c>
      <c r="I83" s="17" t="str">
        <f aca="false">IF(OR(E83="",F83=""),"",F83-E83+1)</f>
        <v/>
      </c>
      <c r="J83" s="18" t="str">
        <f aca="false">IF(OR(I83="",D83=""),"",D83/I83)</f>
        <v/>
      </c>
      <c r="K83" s="19" t="str">
        <f aca="false">IF(AND(A83&lt;&gt;"",G83&lt;&gt;""),G83+ROW()/1000000,"")</f>
        <v/>
      </c>
    </row>
    <row r="84" customFormat="false" ht="15" hidden="false" customHeight="false" outlineLevel="0" collapsed="false">
      <c r="A84" s="12"/>
      <c r="B84" s="12"/>
      <c r="C84" s="13"/>
      <c r="D84" s="14"/>
      <c r="E84" s="15"/>
      <c r="F84" s="15"/>
      <c r="G84" s="14"/>
      <c r="H84" s="16" t="str">
        <f aca="false">IF(A84="","",IF(F84&lt;&gt;"","Bitti",IF(E84&lt;&gt;"","Okunuyor","Sırada")))</f>
        <v/>
      </c>
      <c r="I84" s="17" t="str">
        <f aca="false">IF(OR(E84="",F84=""),"",F84-E84+1)</f>
        <v/>
      </c>
      <c r="J84" s="18" t="str">
        <f aca="false">IF(OR(I84="",D84=""),"",D84/I84)</f>
        <v/>
      </c>
      <c r="K84" s="19" t="str">
        <f aca="false">IF(AND(A84&lt;&gt;"",G84&lt;&gt;""),G84+ROW()/1000000,"")</f>
        <v/>
      </c>
    </row>
    <row r="85" customFormat="false" ht="15" hidden="false" customHeight="false" outlineLevel="0" collapsed="false">
      <c r="A85" s="12"/>
      <c r="B85" s="12"/>
      <c r="C85" s="13"/>
      <c r="D85" s="14"/>
      <c r="E85" s="15"/>
      <c r="F85" s="15"/>
      <c r="G85" s="14"/>
      <c r="H85" s="16" t="str">
        <f aca="false">IF(A85="","",IF(F85&lt;&gt;"","Bitti",IF(E85&lt;&gt;"","Okunuyor","Sırada")))</f>
        <v/>
      </c>
      <c r="I85" s="17" t="str">
        <f aca="false">IF(OR(E85="",F85=""),"",F85-E85+1)</f>
        <v/>
      </c>
      <c r="J85" s="18" t="str">
        <f aca="false">IF(OR(I85="",D85=""),"",D85/I85)</f>
        <v/>
      </c>
      <c r="K85" s="19" t="str">
        <f aca="false">IF(AND(A85&lt;&gt;"",G85&lt;&gt;""),G85+ROW()/1000000,"")</f>
        <v/>
      </c>
    </row>
    <row r="86" customFormat="false" ht="15" hidden="false" customHeight="false" outlineLevel="0" collapsed="false">
      <c r="A86" s="12"/>
      <c r="B86" s="12"/>
      <c r="C86" s="13"/>
      <c r="D86" s="14"/>
      <c r="E86" s="15"/>
      <c r="F86" s="15"/>
      <c r="G86" s="14"/>
      <c r="H86" s="16" t="str">
        <f aca="false">IF(A86="","",IF(F86&lt;&gt;"","Bitti",IF(E86&lt;&gt;"","Okunuyor","Sırada")))</f>
        <v/>
      </c>
      <c r="I86" s="17" t="str">
        <f aca="false">IF(OR(E86="",F86=""),"",F86-E86+1)</f>
        <v/>
      </c>
      <c r="J86" s="18" t="str">
        <f aca="false">IF(OR(I86="",D86=""),"",D86/I86)</f>
        <v/>
      </c>
      <c r="K86" s="19" t="str">
        <f aca="false">IF(AND(A86&lt;&gt;"",G86&lt;&gt;""),G86+ROW()/1000000,"")</f>
        <v/>
      </c>
    </row>
    <row r="87" customFormat="false" ht="15" hidden="false" customHeight="false" outlineLevel="0" collapsed="false">
      <c r="A87" s="12"/>
      <c r="B87" s="12"/>
      <c r="C87" s="13"/>
      <c r="D87" s="14"/>
      <c r="E87" s="15"/>
      <c r="F87" s="15"/>
      <c r="G87" s="14"/>
      <c r="H87" s="16" t="str">
        <f aca="false">IF(A87="","",IF(F87&lt;&gt;"","Bitti",IF(E87&lt;&gt;"","Okunuyor","Sırada")))</f>
        <v/>
      </c>
      <c r="I87" s="17" t="str">
        <f aca="false">IF(OR(E87="",F87=""),"",F87-E87+1)</f>
        <v/>
      </c>
      <c r="J87" s="18" t="str">
        <f aca="false">IF(OR(I87="",D87=""),"",D87/I87)</f>
        <v/>
      </c>
      <c r="K87" s="19" t="str">
        <f aca="false">IF(AND(A87&lt;&gt;"",G87&lt;&gt;""),G87+ROW()/1000000,"")</f>
        <v/>
      </c>
    </row>
    <row r="88" customFormat="false" ht="15" hidden="false" customHeight="false" outlineLevel="0" collapsed="false">
      <c r="A88" s="12"/>
      <c r="B88" s="12"/>
      <c r="C88" s="13"/>
      <c r="D88" s="14"/>
      <c r="E88" s="15"/>
      <c r="F88" s="15"/>
      <c r="G88" s="14"/>
      <c r="H88" s="16" t="str">
        <f aca="false">IF(A88="","",IF(F88&lt;&gt;"","Bitti",IF(E88&lt;&gt;"","Okunuyor","Sırada")))</f>
        <v/>
      </c>
      <c r="I88" s="17" t="str">
        <f aca="false">IF(OR(E88="",F88=""),"",F88-E88+1)</f>
        <v/>
      </c>
      <c r="J88" s="18" t="str">
        <f aca="false">IF(OR(I88="",D88=""),"",D88/I88)</f>
        <v/>
      </c>
      <c r="K88" s="19" t="str">
        <f aca="false">IF(AND(A88&lt;&gt;"",G88&lt;&gt;""),G88+ROW()/1000000,"")</f>
        <v/>
      </c>
    </row>
    <row r="89" customFormat="false" ht="15" hidden="false" customHeight="false" outlineLevel="0" collapsed="false">
      <c r="A89" s="12"/>
      <c r="B89" s="12"/>
      <c r="C89" s="13"/>
      <c r="D89" s="14"/>
      <c r="E89" s="15"/>
      <c r="F89" s="15"/>
      <c r="G89" s="14"/>
      <c r="H89" s="16" t="str">
        <f aca="false">IF(A89="","",IF(F89&lt;&gt;"","Bitti",IF(E89&lt;&gt;"","Okunuyor","Sırada")))</f>
        <v/>
      </c>
      <c r="I89" s="17" t="str">
        <f aca="false">IF(OR(E89="",F89=""),"",F89-E89+1)</f>
        <v/>
      </c>
      <c r="J89" s="18" t="str">
        <f aca="false">IF(OR(I89="",D89=""),"",D89/I89)</f>
        <v/>
      </c>
      <c r="K89" s="19" t="str">
        <f aca="false">IF(AND(A89&lt;&gt;"",G89&lt;&gt;""),G89+ROW()/1000000,"")</f>
        <v/>
      </c>
    </row>
    <row r="90" customFormat="false" ht="15" hidden="false" customHeight="false" outlineLevel="0" collapsed="false">
      <c r="A90" s="12"/>
      <c r="B90" s="12"/>
      <c r="C90" s="13"/>
      <c r="D90" s="14"/>
      <c r="E90" s="15"/>
      <c r="F90" s="15"/>
      <c r="G90" s="14"/>
      <c r="H90" s="16" t="str">
        <f aca="false">IF(A90="","",IF(F90&lt;&gt;"","Bitti",IF(E90&lt;&gt;"","Okunuyor","Sırada")))</f>
        <v/>
      </c>
      <c r="I90" s="17" t="str">
        <f aca="false">IF(OR(E90="",F90=""),"",F90-E90+1)</f>
        <v/>
      </c>
      <c r="J90" s="18" t="str">
        <f aca="false">IF(OR(I90="",D90=""),"",D90/I90)</f>
        <v/>
      </c>
      <c r="K90" s="19" t="str">
        <f aca="false">IF(AND(A90&lt;&gt;"",G90&lt;&gt;""),G90+ROW()/1000000,"")</f>
        <v/>
      </c>
    </row>
    <row r="91" customFormat="false" ht="15" hidden="false" customHeight="false" outlineLevel="0" collapsed="false">
      <c r="A91" s="12"/>
      <c r="B91" s="12"/>
      <c r="C91" s="13"/>
      <c r="D91" s="14"/>
      <c r="E91" s="15"/>
      <c r="F91" s="15"/>
      <c r="G91" s="14"/>
      <c r="H91" s="16" t="str">
        <f aca="false">IF(A91="","",IF(F91&lt;&gt;"","Bitti",IF(E91&lt;&gt;"","Okunuyor","Sırada")))</f>
        <v/>
      </c>
      <c r="I91" s="17" t="str">
        <f aca="false">IF(OR(E91="",F91=""),"",F91-E91+1)</f>
        <v/>
      </c>
      <c r="J91" s="18" t="str">
        <f aca="false">IF(OR(I91="",D91=""),"",D91/I91)</f>
        <v/>
      </c>
      <c r="K91" s="19" t="str">
        <f aca="false">IF(AND(A91&lt;&gt;"",G91&lt;&gt;""),G91+ROW()/1000000,"")</f>
        <v/>
      </c>
    </row>
    <row r="92" customFormat="false" ht="15" hidden="false" customHeight="false" outlineLevel="0" collapsed="false">
      <c r="A92" s="12"/>
      <c r="B92" s="12"/>
      <c r="C92" s="13"/>
      <c r="D92" s="14"/>
      <c r="E92" s="15"/>
      <c r="F92" s="15"/>
      <c r="G92" s="14"/>
      <c r="H92" s="16" t="str">
        <f aca="false">IF(A92="","",IF(F92&lt;&gt;"","Bitti",IF(E92&lt;&gt;"","Okunuyor","Sırada")))</f>
        <v/>
      </c>
      <c r="I92" s="17" t="str">
        <f aca="false">IF(OR(E92="",F92=""),"",F92-E92+1)</f>
        <v/>
      </c>
      <c r="J92" s="18" t="str">
        <f aca="false">IF(OR(I92="",D92=""),"",D92/I92)</f>
        <v/>
      </c>
      <c r="K92" s="19" t="str">
        <f aca="false">IF(AND(A92&lt;&gt;"",G92&lt;&gt;""),G92+ROW()/1000000,"")</f>
        <v/>
      </c>
    </row>
    <row r="93" customFormat="false" ht="15" hidden="false" customHeight="false" outlineLevel="0" collapsed="false">
      <c r="A93" s="12"/>
      <c r="B93" s="12"/>
      <c r="C93" s="13"/>
      <c r="D93" s="14"/>
      <c r="E93" s="15"/>
      <c r="F93" s="15"/>
      <c r="G93" s="14"/>
      <c r="H93" s="16" t="str">
        <f aca="false">IF(A93="","",IF(F93&lt;&gt;"","Bitti",IF(E93&lt;&gt;"","Okunuyor","Sırada")))</f>
        <v/>
      </c>
      <c r="I93" s="17" t="str">
        <f aca="false">IF(OR(E93="",F93=""),"",F93-E93+1)</f>
        <v/>
      </c>
      <c r="J93" s="18" t="str">
        <f aca="false">IF(OR(I93="",D93=""),"",D93/I93)</f>
        <v/>
      </c>
      <c r="K93" s="19" t="str">
        <f aca="false">IF(AND(A93&lt;&gt;"",G93&lt;&gt;""),G93+ROW()/1000000,"")</f>
        <v/>
      </c>
    </row>
    <row r="94" customFormat="false" ht="15" hidden="false" customHeight="false" outlineLevel="0" collapsed="false">
      <c r="A94" s="12"/>
      <c r="B94" s="12"/>
      <c r="C94" s="13"/>
      <c r="D94" s="14"/>
      <c r="E94" s="15"/>
      <c r="F94" s="15"/>
      <c r="G94" s="14"/>
      <c r="H94" s="16" t="str">
        <f aca="false">IF(A94="","",IF(F94&lt;&gt;"","Bitti",IF(E94&lt;&gt;"","Okunuyor","Sırada")))</f>
        <v/>
      </c>
      <c r="I94" s="17" t="str">
        <f aca="false">IF(OR(E94="",F94=""),"",F94-E94+1)</f>
        <v/>
      </c>
      <c r="J94" s="18" t="str">
        <f aca="false">IF(OR(I94="",D94=""),"",D94/I94)</f>
        <v/>
      </c>
      <c r="K94" s="19" t="str">
        <f aca="false">IF(AND(A94&lt;&gt;"",G94&lt;&gt;""),G94+ROW()/1000000,"")</f>
        <v/>
      </c>
    </row>
    <row r="95" customFormat="false" ht="15" hidden="false" customHeight="false" outlineLevel="0" collapsed="false">
      <c r="A95" s="12"/>
      <c r="B95" s="12"/>
      <c r="C95" s="13"/>
      <c r="D95" s="14"/>
      <c r="E95" s="15"/>
      <c r="F95" s="15"/>
      <c r="G95" s="14"/>
      <c r="H95" s="16" t="str">
        <f aca="false">IF(A95="","",IF(F95&lt;&gt;"","Bitti",IF(E95&lt;&gt;"","Okunuyor","Sırada")))</f>
        <v/>
      </c>
      <c r="I95" s="17" t="str">
        <f aca="false">IF(OR(E95="",F95=""),"",F95-E95+1)</f>
        <v/>
      </c>
      <c r="J95" s="18" t="str">
        <f aca="false">IF(OR(I95="",D95=""),"",D95/I95)</f>
        <v/>
      </c>
      <c r="K95" s="19" t="str">
        <f aca="false">IF(AND(A95&lt;&gt;"",G95&lt;&gt;""),G95+ROW()/1000000,"")</f>
        <v/>
      </c>
    </row>
    <row r="96" customFormat="false" ht="15" hidden="false" customHeight="false" outlineLevel="0" collapsed="false">
      <c r="A96" s="12"/>
      <c r="B96" s="12"/>
      <c r="C96" s="13"/>
      <c r="D96" s="14"/>
      <c r="E96" s="15"/>
      <c r="F96" s="15"/>
      <c r="G96" s="14"/>
      <c r="H96" s="16" t="str">
        <f aca="false">IF(A96="","",IF(F96&lt;&gt;"","Bitti",IF(E96&lt;&gt;"","Okunuyor","Sırada")))</f>
        <v/>
      </c>
      <c r="I96" s="17" t="str">
        <f aca="false">IF(OR(E96="",F96=""),"",F96-E96+1)</f>
        <v/>
      </c>
      <c r="J96" s="18" t="str">
        <f aca="false">IF(OR(I96="",D96=""),"",D96/I96)</f>
        <v/>
      </c>
      <c r="K96" s="19" t="str">
        <f aca="false">IF(AND(A96&lt;&gt;"",G96&lt;&gt;""),G96+ROW()/1000000,"")</f>
        <v/>
      </c>
    </row>
    <row r="97" customFormat="false" ht="15" hidden="false" customHeight="false" outlineLevel="0" collapsed="false">
      <c r="A97" s="12"/>
      <c r="B97" s="12"/>
      <c r="C97" s="13"/>
      <c r="D97" s="14"/>
      <c r="E97" s="15"/>
      <c r="F97" s="15"/>
      <c r="G97" s="14"/>
      <c r="H97" s="16" t="str">
        <f aca="false">IF(A97="","",IF(F97&lt;&gt;"","Bitti",IF(E97&lt;&gt;"","Okunuyor","Sırada")))</f>
        <v/>
      </c>
      <c r="I97" s="17" t="str">
        <f aca="false">IF(OR(E97="",F97=""),"",F97-E97+1)</f>
        <v/>
      </c>
      <c r="J97" s="18" t="str">
        <f aca="false">IF(OR(I97="",D97=""),"",D97/I97)</f>
        <v/>
      </c>
      <c r="K97" s="19" t="str">
        <f aca="false">IF(AND(A97&lt;&gt;"",G97&lt;&gt;""),G97+ROW()/1000000,"")</f>
        <v/>
      </c>
    </row>
    <row r="98" customFormat="false" ht="15" hidden="false" customHeight="false" outlineLevel="0" collapsed="false">
      <c r="A98" s="12"/>
      <c r="B98" s="12"/>
      <c r="C98" s="13"/>
      <c r="D98" s="14"/>
      <c r="E98" s="15"/>
      <c r="F98" s="15"/>
      <c r="G98" s="14"/>
      <c r="H98" s="16" t="str">
        <f aca="false">IF(A98="","",IF(F98&lt;&gt;"","Bitti",IF(E98&lt;&gt;"","Okunuyor","Sırada")))</f>
        <v/>
      </c>
      <c r="I98" s="17" t="str">
        <f aca="false">IF(OR(E98="",F98=""),"",F98-E98+1)</f>
        <v/>
      </c>
      <c r="J98" s="18" t="str">
        <f aca="false">IF(OR(I98="",D98=""),"",D98/I98)</f>
        <v/>
      </c>
      <c r="K98" s="19" t="str">
        <f aca="false">IF(AND(A98&lt;&gt;"",G98&lt;&gt;""),G98+ROW()/1000000,"")</f>
        <v/>
      </c>
    </row>
    <row r="99" customFormat="false" ht="15" hidden="false" customHeight="false" outlineLevel="0" collapsed="false">
      <c r="A99" s="12"/>
      <c r="B99" s="12"/>
      <c r="C99" s="13"/>
      <c r="D99" s="14"/>
      <c r="E99" s="15"/>
      <c r="F99" s="15"/>
      <c r="G99" s="14"/>
      <c r="H99" s="16" t="str">
        <f aca="false">IF(A99="","",IF(F99&lt;&gt;"","Bitti",IF(E99&lt;&gt;"","Okunuyor","Sırada")))</f>
        <v/>
      </c>
      <c r="I99" s="17" t="str">
        <f aca="false">IF(OR(E99="",F99=""),"",F99-E99+1)</f>
        <v/>
      </c>
      <c r="J99" s="18" t="str">
        <f aca="false">IF(OR(I99="",D99=""),"",D99/I99)</f>
        <v/>
      </c>
      <c r="K99" s="19" t="str">
        <f aca="false">IF(AND(A99&lt;&gt;"",G99&lt;&gt;""),G99+ROW()/1000000,"")</f>
        <v/>
      </c>
    </row>
    <row r="100" customFormat="false" ht="15" hidden="false" customHeight="false" outlineLevel="0" collapsed="false">
      <c r="A100" s="12"/>
      <c r="B100" s="12"/>
      <c r="C100" s="13"/>
      <c r="D100" s="14"/>
      <c r="E100" s="15"/>
      <c r="F100" s="15"/>
      <c r="G100" s="14"/>
      <c r="H100" s="16" t="str">
        <f aca="false">IF(A100="","",IF(F100&lt;&gt;"","Bitti",IF(E100&lt;&gt;"","Okunuyor","Sırada")))</f>
        <v/>
      </c>
      <c r="I100" s="17" t="str">
        <f aca="false">IF(OR(E100="",F100=""),"",F100-E100+1)</f>
        <v/>
      </c>
      <c r="J100" s="18" t="str">
        <f aca="false">IF(OR(I100="",D100=""),"",D100/I100)</f>
        <v/>
      </c>
      <c r="K100" s="19" t="str">
        <f aca="false">IF(AND(A100&lt;&gt;"",G100&lt;&gt;""),G100+ROW()/1000000,"")</f>
        <v/>
      </c>
    </row>
    <row r="101" customFormat="false" ht="15" hidden="false" customHeight="false" outlineLevel="0" collapsed="false">
      <c r="A101" s="12"/>
      <c r="B101" s="12"/>
      <c r="C101" s="13"/>
      <c r="D101" s="14"/>
      <c r="E101" s="15"/>
      <c r="F101" s="15"/>
      <c r="G101" s="14"/>
      <c r="H101" s="16" t="str">
        <f aca="false">IF(A101="","",IF(F101&lt;&gt;"","Bitti",IF(E101&lt;&gt;"","Okunuyor","Sırada")))</f>
        <v/>
      </c>
      <c r="I101" s="17" t="str">
        <f aca="false">IF(OR(E101="",F101=""),"",F101-E101+1)</f>
        <v/>
      </c>
      <c r="J101" s="18" t="str">
        <f aca="false">IF(OR(I101="",D101=""),"",D101/I101)</f>
        <v/>
      </c>
      <c r="K101" s="19" t="str">
        <f aca="false">IF(AND(A101&lt;&gt;"",G101&lt;&gt;""),G101+ROW()/1000000,"")</f>
        <v/>
      </c>
    </row>
    <row r="102" customFormat="false" ht="15" hidden="false" customHeight="false" outlineLevel="0" collapsed="false">
      <c r="A102" s="12"/>
      <c r="B102" s="12"/>
      <c r="C102" s="13"/>
      <c r="D102" s="14"/>
      <c r="E102" s="15"/>
      <c r="F102" s="15"/>
      <c r="G102" s="14"/>
      <c r="H102" s="16" t="str">
        <f aca="false">IF(A102="","",IF(F102&lt;&gt;"","Bitti",IF(E102&lt;&gt;"","Okunuyor","Sırada")))</f>
        <v/>
      </c>
      <c r="I102" s="17" t="str">
        <f aca="false">IF(OR(E102="",F102=""),"",F102-E102+1)</f>
        <v/>
      </c>
      <c r="J102" s="18" t="str">
        <f aca="false">IF(OR(I102="",D102=""),"",D102/I102)</f>
        <v/>
      </c>
      <c r="K102" s="19" t="str">
        <f aca="false">IF(AND(A102&lt;&gt;"",G102&lt;&gt;""),G102+ROW()/1000000,"")</f>
        <v/>
      </c>
    </row>
    <row r="103" customFormat="false" ht="15" hidden="false" customHeight="false" outlineLevel="0" collapsed="false">
      <c r="A103" s="12"/>
      <c r="B103" s="12"/>
      <c r="C103" s="13"/>
      <c r="D103" s="14"/>
      <c r="E103" s="15"/>
      <c r="F103" s="15"/>
      <c r="G103" s="14"/>
      <c r="H103" s="16" t="str">
        <f aca="false">IF(A103="","",IF(F103&lt;&gt;"","Bitti",IF(E103&lt;&gt;"","Okunuyor","Sırada")))</f>
        <v/>
      </c>
      <c r="I103" s="17" t="str">
        <f aca="false">IF(OR(E103="",F103=""),"",F103-E103+1)</f>
        <v/>
      </c>
      <c r="J103" s="18" t="str">
        <f aca="false">IF(OR(I103="",D103=""),"",D103/I103)</f>
        <v/>
      </c>
      <c r="K103" s="19" t="str">
        <f aca="false">IF(AND(A103&lt;&gt;"",G103&lt;&gt;""),G103+ROW()/1000000,"")</f>
        <v/>
      </c>
    </row>
    <row r="104" customFormat="false" ht="15" hidden="false" customHeight="false" outlineLevel="0" collapsed="false">
      <c r="A104" s="12"/>
      <c r="B104" s="12"/>
      <c r="C104" s="13"/>
      <c r="D104" s="14"/>
      <c r="E104" s="15"/>
      <c r="F104" s="15"/>
      <c r="G104" s="14"/>
      <c r="H104" s="16" t="str">
        <f aca="false">IF(A104="","",IF(F104&lt;&gt;"","Bitti",IF(E104&lt;&gt;"","Okunuyor","Sırada")))</f>
        <v/>
      </c>
      <c r="I104" s="17" t="str">
        <f aca="false">IF(OR(E104="",F104=""),"",F104-E104+1)</f>
        <v/>
      </c>
      <c r="J104" s="18" t="str">
        <f aca="false">IF(OR(I104="",D104=""),"",D104/I104)</f>
        <v/>
      </c>
      <c r="K104" s="19" t="str">
        <f aca="false">IF(AND(A104&lt;&gt;"",G104&lt;&gt;""),G104+ROW()/1000000,"")</f>
        <v/>
      </c>
    </row>
    <row r="105" customFormat="false" ht="15" hidden="false" customHeight="false" outlineLevel="0" collapsed="false">
      <c r="A105" s="12"/>
      <c r="B105" s="12"/>
      <c r="C105" s="13"/>
      <c r="D105" s="14"/>
      <c r="E105" s="15"/>
      <c r="F105" s="15"/>
      <c r="G105" s="14"/>
      <c r="H105" s="16" t="str">
        <f aca="false">IF(A105="","",IF(F105&lt;&gt;"","Bitti",IF(E105&lt;&gt;"","Okunuyor","Sırada")))</f>
        <v/>
      </c>
      <c r="I105" s="17" t="str">
        <f aca="false">IF(OR(E105="",F105=""),"",F105-E105+1)</f>
        <v/>
      </c>
      <c r="J105" s="18" t="str">
        <f aca="false">IF(OR(I105="",D105=""),"",D105/I105)</f>
        <v/>
      </c>
      <c r="K105" s="19" t="str">
        <f aca="false">IF(AND(A105&lt;&gt;"",G105&lt;&gt;""),G105+ROW()/1000000,"")</f>
        <v/>
      </c>
    </row>
    <row r="106" customFormat="false" ht="15" hidden="false" customHeight="false" outlineLevel="0" collapsed="false">
      <c r="A106" s="12"/>
      <c r="B106" s="12"/>
      <c r="C106" s="13"/>
      <c r="D106" s="14"/>
      <c r="E106" s="15"/>
      <c r="F106" s="15"/>
      <c r="G106" s="14"/>
      <c r="H106" s="16" t="str">
        <f aca="false">IF(A106="","",IF(F106&lt;&gt;"","Bitti",IF(E106&lt;&gt;"","Okunuyor","Sırada")))</f>
        <v/>
      </c>
      <c r="I106" s="17" t="str">
        <f aca="false">IF(OR(E106="",F106=""),"",F106-E106+1)</f>
        <v/>
      </c>
      <c r="J106" s="18" t="str">
        <f aca="false">IF(OR(I106="",D106=""),"",D106/I106)</f>
        <v/>
      </c>
      <c r="K106" s="19" t="str">
        <f aca="false">IF(AND(A106&lt;&gt;"",G106&lt;&gt;""),G106+ROW()/1000000,"")</f>
        <v/>
      </c>
    </row>
    <row r="107" customFormat="false" ht="15" hidden="false" customHeight="false" outlineLevel="0" collapsed="false">
      <c r="A107" s="12"/>
      <c r="B107" s="12"/>
      <c r="C107" s="13"/>
      <c r="D107" s="14"/>
      <c r="E107" s="15"/>
      <c r="F107" s="15"/>
      <c r="G107" s="14"/>
      <c r="H107" s="16" t="str">
        <f aca="false">IF(A107="","",IF(F107&lt;&gt;"","Bitti",IF(E107&lt;&gt;"","Okunuyor","Sırada")))</f>
        <v/>
      </c>
      <c r="I107" s="17" t="str">
        <f aca="false">IF(OR(E107="",F107=""),"",F107-E107+1)</f>
        <v/>
      </c>
      <c r="J107" s="18" t="str">
        <f aca="false">IF(OR(I107="",D107=""),"",D107/I107)</f>
        <v/>
      </c>
      <c r="K107" s="19" t="str">
        <f aca="false">IF(AND(A107&lt;&gt;"",G107&lt;&gt;""),G107+ROW()/1000000,"")</f>
        <v/>
      </c>
    </row>
    <row r="108" customFormat="false" ht="15" hidden="false" customHeight="false" outlineLevel="0" collapsed="false">
      <c r="A108" s="12"/>
      <c r="B108" s="12"/>
      <c r="C108" s="13"/>
      <c r="D108" s="14"/>
      <c r="E108" s="15"/>
      <c r="F108" s="15"/>
      <c r="G108" s="14"/>
      <c r="H108" s="16" t="str">
        <f aca="false">IF(A108="","",IF(F108&lt;&gt;"","Bitti",IF(E108&lt;&gt;"","Okunuyor","Sırada")))</f>
        <v/>
      </c>
      <c r="I108" s="17" t="str">
        <f aca="false">IF(OR(E108="",F108=""),"",F108-E108+1)</f>
        <v/>
      </c>
      <c r="J108" s="18" t="str">
        <f aca="false">IF(OR(I108="",D108=""),"",D108/I108)</f>
        <v/>
      </c>
      <c r="K108" s="19" t="str">
        <f aca="false">IF(AND(A108&lt;&gt;"",G108&lt;&gt;""),G108+ROW()/1000000,"")</f>
        <v/>
      </c>
    </row>
    <row r="109" customFormat="false" ht="15" hidden="false" customHeight="false" outlineLevel="0" collapsed="false">
      <c r="A109" s="12"/>
      <c r="B109" s="12"/>
      <c r="C109" s="13"/>
      <c r="D109" s="14"/>
      <c r="E109" s="15"/>
      <c r="F109" s="15"/>
      <c r="G109" s="14"/>
      <c r="H109" s="16" t="str">
        <f aca="false">IF(A109="","",IF(F109&lt;&gt;"","Bitti",IF(E109&lt;&gt;"","Okunuyor","Sırada")))</f>
        <v/>
      </c>
      <c r="I109" s="17" t="str">
        <f aca="false">IF(OR(E109="",F109=""),"",F109-E109+1)</f>
        <v/>
      </c>
      <c r="J109" s="18" t="str">
        <f aca="false">IF(OR(I109="",D109=""),"",D109/I109)</f>
        <v/>
      </c>
      <c r="K109" s="19" t="str">
        <f aca="false">IF(AND(A109&lt;&gt;"",G109&lt;&gt;""),G109+ROW()/1000000,"")</f>
        <v/>
      </c>
    </row>
    <row r="110" customFormat="false" ht="15" hidden="false" customHeight="false" outlineLevel="0" collapsed="false">
      <c r="A110" s="12"/>
      <c r="B110" s="12"/>
      <c r="C110" s="13"/>
      <c r="D110" s="14"/>
      <c r="E110" s="15"/>
      <c r="F110" s="15"/>
      <c r="G110" s="14"/>
      <c r="H110" s="16" t="str">
        <f aca="false">IF(A110="","",IF(F110&lt;&gt;"","Bitti",IF(E110&lt;&gt;"","Okunuyor","Sırada")))</f>
        <v/>
      </c>
      <c r="I110" s="17" t="str">
        <f aca="false">IF(OR(E110="",F110=""),"",F110-E110+1)</f>
        <v/>
      </c>
      <c r="J110" s="18" t="str">
        <f aca="false">IF(OR(I110="",D110=""),"",D110/I110)</f>
        <v/>
      </c>
      <c r="K110" s="19" t="str">
        <f aca="false">IF(AND(A110&lt;&gt;"",G110&lt;&gt;""),G110+ROW()/1000000,"")</f>
        <v/>
      </c>
    </row>
    <row r="111" customFormat="false" ht="15" hidden="false" customHeight="false" outlineLevel="0" collapsed="false">
      <c r="A111" s="12"/>
      <c r="B111" s="12"/>
      <c r="C111" s="13"/>
      <c r="D111" s="14"/>
      <c r="E111" s="15"/>
      <c r="F111" s="15"/>
      <c r="G111" s="14"/>
      <c r="H111" s="16" t="str">
        <f aca="false">IF(A111="","",IF(F111&lt;&gt;"","Bitti",IF(E111&lt;&gt;"","Okunuyor","Sırada")))</f>
        <v/>
      </c>
      <c r="I111" s="17" t="str">
        <f aca="false">IF(OR(E111="",F111=""),"",F111-E111+1)</f>
        <v/>
      </c>
      <c r="J111" s="18" t="str">
        <f aca="false">IF(OR(I111="",D111=""),"",D111/I111)</f>
        <v/>
      </c>
      <c r="K111" s="19" t="str">
        <f aca="false">IF(AND(A111&lt;&gt;"",G111&lt;&gt;""),G111+ROW()/1000000,"")</f>
        <v/>
      </c>
    </row>
    <row r="112" customFormat="false" ht="15" hidden="false" customHeight="false" outlineLevel="0" collapsed="false">
      <c r="A112" s="12"/>
      <c r="B112" s="12"/>
      <c r="C112" s="13"/>
      <c r="D112" s="14"/>
      <c r="E112" s="15"/>
      <c r="F112" s="15"/>
      <c r="G112" s="14"/>
      <c r="H112" s="16" t="str">
        <f aca="false">IF(A112="","",IF(F112&lt;&gt;"","Bitti",IF(E112&lt;&gt;"","Okunuyor","Sırada")))</f>
        <v/>
      </c>
      <c r="I112" s="17" t="str">
        <f aca="false">IF(OR(E112="",F112=""),"",F112-E112+1)</f>
        <v/>
      </c>
      <c r="J112" s="18" t="str">
        <f aca="false">IF(OR(I112="",D112=""),"",D112/I112)</f>
        <v/>
      </c>
      <c r="K112" s="19" t="str">
        <f aca="false">IF(AND(A112&lt;&gt;"",G112&lt;&gt;""),G112+ROW()/1000000,"")</f>
        <v/>
      </c>
    </row>
    <row r="113" customFormat="false" ht="15" hidden="false" customHeight="false" outlineLevel="0" collapsed="false">
      <c r="A113" s="12"/>
      <c r="B113" s="12"/>
      <c r="C113" s="13"/>
      <c r="D113" s="14"/>
      <c r="E113" s="15"/>
      <c r="F113" s="15"/>
      <c r="G113" s="14"/>
      <c r="H113" s="16" t="str">
        <f aca="false">IF(A113="","",IF(F113&lt;&gt;"","Bitti",IF(E113&lt;&gt;"","Okunuyor","Sırada")))</f>
        <v/>
      </c>
      <c r="I113" s="17" t="str">
        <f aca="false">IF(OR(E113="",F113=""),"",F113-E113+1)</f>
        <v/>
      </c>
      <c r="J113" s="18" t="str">
        <f aca="false">IF(OR(I113="",D113=""),"",D113/I113)</f>
        <v/>
      </c>
      <c r="K113" s="19" t="str">
        <f aca="false">IF(AND(A113&lt;&gt;"",G113&lt;&gt;""),G113+ROW()/1000000,"")</f>
        <v/>
      </c>
    </row>
    <row r="114" customFormat="false" ht="15" hidden="false" customHeight="false" outlineLevel="0" collapsed="false">
      <c r="A114" s="12"/>
      <c r="B114" s="12"/>
      <c r="C114" s="13"/>
      <c r="D114" s="14"/>
      <c r="E114" s="15"/>
      <c r="F114" s="15"/>
      <c r="G114" s="14"/>
      <c r="H114" s="16" t="str">
        <f aca="false">IF(A114="","",IF(F114&lt;&gt;"","Bitti",IF(E114&lt;&gt;"","Okunuyor","Sırada")))</f>
        <v/>
      </c>
      <c r="I114" s="17" t="str">
        <f aca="false">IF(OR(E114="",F114=""),"",F114-E114+1)</f>
        <v/>
      </c>
      <c r="J114" s="18" t="str">
        <f aca="false">IF(OR(I114="",D114=""),"",D114/I114)</f>
        <v/>
      </c>
      <c r="K114" s="19" t="str">
        <f aca="false">IF(AND(A114&lt;&gt;"",G114&lt;&gt;""),G114+ROW()/1000000,"")</f>
        <v/>
      </c>
    </row>
    <row r="115" customFormat="false" ht="15" hidden="false" customHeight="false" outlineLevel="0" collapsed="false">
      <c r="A115" s="12"/>
      <c r="B115" s="12"/>
      <c r="C115" s="13"/>
      <c r="D115" s="14"/>
      <c r="E115" s="15"/>
      <c r="F115" s="15"/>
      <c r="G115" s="14"/>
      <c r="H115" s="16" t="str">
        <f aca="false">IF(A115="","",IF(F115&lt;&gt;"","Bitti",IF(E115&lt;&gt;"","Okunuyor","Sırada")))</f>
        <v/>
      </c>
      <c r="I115" s="17" t="str">
        <f aca="false">IF(OR(E115="",F115=""),"",F115-E115+1)</f>
        <v/>
      </c>
      <c r="J115" s="18" t="str">
        <f aca="false">IF(OR(I115="",D115=""),"",D115/I115)</f>
        <v/>
      </c>
      <c r="K115" s="19" t="str">
        <f aca="false">IF(AND(A115&lt;&gt;"",G115&lt;&gt;""),G115+ROW()/1000000,"")</f>
        <v/>
      </c>
    </row>
    <row r="116" customFormat="false" ht="15" hidden="false" customHeight="false" outlineLevel="0" collapsed="false">
      <c r="A116" s="12"/>
      <c r="B116" s="12"/>
      <c r="C116" s="13"/>
      <c r="D116" s="14"/>
      <c r="E116" s="15"/>
      <c r="F116" s="15"/>
      <c r="G116" s="14"/>
      <c r="H116" s="16" t="str">
        <f aca="false">IF(A116="","",IF(F116&lt;&gt;"","Bitti",IF(E116&lt;&gt;"","Okunuyor","Sırada")))</f>
        <v/>
      </c>
      <c r="I116" s="17" t="str">
        <f aca="false">IF(OR(E116="",F116=""),"",F116-E116+1)</f>
        <v/>
      </c>
      <c r="J116" s="18" t="str">
        <f aca="false">IF(OR(I116="",D116=""),"",D116/I116)</f>
        <v/>
      </c>
      <c r="K116" s="19" t="str">
        <f aca="false">IF(AND(A116&lt;&gt;"",G116&lt;&gt;""),G116+ROW()/1000000,"")</f>
        <v/>
      </c>
    </row>
    <row r="117" customFormat="false" ht="15" hidden="false" customHeight="false" outlineLevel="0" collapsed="false">
      <c r="A117" s="12"/>
      <c r="B117" s="12"/>
      <c r="C117" s="13"/>
      <c r="D117" s="14"/>
      <c r="E117" s="15"/>
      <c r="F117" s="15"/>
      <c r="G117" s="14"/>
      <c r="H117" s="16" t="str">
        <f aca="false">IF(A117="","",IF(F117&lt;&gt;"","Bitti",IF(E117&lt;&gt;"","Okunuyor","Sırada")))</f>
        <v/>
      </c>
      <c r="I117" s="17" t="str">
        <f aca="false">IF(OR(E117="",F117=""),"",F117-E117+1)</f>
        <v/>
      </c>
      <c r="J117" s="18" t="str">
        <f aca="false">IF(OR(I117="",D117=""),"",D117/I117)</f>
        <v/>
      </c>
      <c r="K117" s="19" t="str">
        <f aca="false">IF(AND(A117&lt;&gt;"",G117&lt;&gt;""),G117+ROW()/1000000,"")</f>
        <v/>
      </c>
    </row>
    <row r="118" customFormat="false" ht="15" hidden="false" customHeight="false" outlineLevel="0" collapsed="false">
      <c r="A118" s="12"/>
      <c r="B118" s="12"/>
      <c r="C118" s="13"/>
      <c r="D118" s="14"/>
      <c r="E118" s="15"/>
      <c r="F118" s="15"/>
      <c r="G118" s="14"/>
      <c r="H118" s="16" t="str">
        <f aca="false">IF(A118="","",IF(F118&lt;&gt;"","Bitti",IF(E118&lt;&gt;"","Okunuyor","Sırada")))</f>
        <v/>
      </c>
      <c r="I118" s="17" t="str">
        <f aca="false">IF(OR(E118="",F118=""),"",F118-E118+1)</f>
        <v/>
      </c>
      <c r="J118" s="18" t="str">
        <f aca="false">IF(OR(I118="",D118=""),"",D118/I118)</f>
        <v/>
      </c>
      <c r="K118" s="19" t="str">
        <f aca="false">IF(AND(A118&lt;&gt;"",G118&lt;&gt;""),G118+ROW()/1000000,"")</f>
        <v/>
      </c>
    </row>
    <row r="119" customFormat="false" ht="15" hidden="false" customHeight="false" outlineLevel="0" collapsed="false">
      <c r="A119" s="12"/>
      <c r="B119" s="12"/>
      <c r="C119" s="13"/>
      <c r="D119" s="14"/>
      <c r="E119" s="15"/>
      <c r="F119" s="15"/>
      <c r="G119" s="14"/>
      <c r="H119" s="16" t="str">
        <f aca="false">IF(A119="","",IF(F119&lt;&gt;"","Bitti",IF(E119&lt;&gt;"","Okunuyor","Sırada")))</f>
        <v/>
      </c>
      <c r="I119" s="17" t="str">
        <f aca="false">IF(OR(E119="",F119=""),"",F119-E119+1)</f>
        <v/>
      </c>
      <c r="J119" s="18" t="str">
        <f aca="false">IF(OR(I119="",D119=""),"",D119/I119)</f>
        <v/>
      </c>
      <c r="K119" s="19" t="str">
        <f aca="false">IF(AND(A119&lt;&gt;"",G119&lt;&gt;""),G119+ROW()/1000000,"")</f>
        <v/>
      </c>
    </row>
    <row r="120" customFormat="false" ht="15" hidden="false" customHeight="false" outlineLevel="0" collapsed="false">
      <c r="A120" s="12"/>
      <c r="B120" s="12"/>
      <c r="C120" s="13"/>
      <c r="D120" s="14"/>
      <c r="E120" s="15"/>
      <c r="F120" s="15"/>
      <c r="G120" s="14"/>
      <c r="H120" s="16" t="str">
        <f aca="false">IF(A120="","",IF(F120&lt;&gt;"","Bitti",IF(E120&lt;&gt;"","Okunuyor","Sırada")))</f>
        <v/>
      </c>
      <c r="I120" s="17" t="str">
        <f aca="false">IF(OR(E120="",F120=""),"",F120-E120+1)</f>
        <v/>
      </c>
      <c r="J120" s="18" t="str">
        <f aca="false">IF(OR(I120="",D120=""),"",D120/I120)</f>
        <v/>
      </c>
      <c r="K120" s="19" t="str">
        <f aca="false">IF(AND(A120&lt;&gt;"",G120&lt;&gt;""),G120+ROW()/1000000,"")</f>
        <v/>
      </c>
    </row>
    <row r="121" customFormat="false" ht="15" hidden="false" customHeight="false" outlineLevel="0" collapsed="false">
      <c r="A121" s="12"/>
      <c r="B121" s="12"/>
      <c r="C121" s="13"/>
      <c r="D121" s="14"/>
      <c r="E121" s="15"/>
      <c r="F121" s="15"/>
      <c r="G121" s="14"/>
      <c r="H121" s="16" t="str">
        <f aca="false">IF(A121="","",IF(F121&lt;&gt;"","Bitti",IF(E121&lt;&gt;"","Okunuyor","Sırada")))</f>
        <v/>
      </c>
      <c r="I121" s="17" t="str">
        <f aca="false">IF(OR(E121="",F121=""),"",F121-E121+1)</f>
        <v/>
      </c>
      <c r="J121" s="18" t="str">
        <f aca="false">IF(OR(I121="",D121=""),"",D121/I121)</f>
        <v/>
      </c>
      <c r="K121" s="19" t="str">
        <f aca="false">IF(AND(A121&lt;&gt;"",G121&lt;&gt;""),G121+ROW()/1000000,"")</f>
        <v/>
      </c>
    </row>
    <row r="122" customFormat="false" ht="15" hidden="false" customHeight="false" outlineLevel="0" collapsed="false">
      <c r="A122" s="12"/>
      <c r="B122" s="12"/>
      <c r="C122" s="13"/>
      <c r="D122" s="14"/>
      <c r="E122" s="15"/>
      <c r="F122" s="15"/>
      <c r="G122" s="14"/>
      <c r="H122" s="16" t="str">
        <f aca="false">IF(A122="","",IF(F122&lt;&gt;"","Bitti",IF(E122&lt;&gt;"","Okunuyor","Sırada")))</f>
        <v/>
      </c>
      <c r="I122" s="17" t="str">
        <f aca="false">IF(OR(E122="",F122=""),"",F122-E122+1)</f>
        <v/>
      </c>
      <c r="J122" s="18" t="str">
        <f aca="false">IF(OR(I122="",D122=""),"",D122/I122)</f>
        <v/>
      </c>
      <c r="K122" s="19" t="str">
        <f aca="false">IF(AND(A122&lt;&gt;"",G122&lt;&gt;""),G122+ROW()/1000000,"")</f>
        <v/>
      </c>
    </row>
    <row r="123" customFormat="false" ht="15" hidden="false" customHeight="false" outlineLevel="0" collapsed="false">
      <c r="A123" s="12"/>
      <c r="B123" s="12"/>
      <c r="C123" s="13"/>
      <c r="D123" s="14"/>
      <c r="E123" s="15"/>
      <c r="F123" s="15"/>
      <c r="G123" s="14"/>
      <c r="H123" s="16" t="str">
        <f aca="false">IF(A123="","",IF(F123&lt;&gt;"","Bitti",IF(E123&lt;&gt;"","Okunuyor","Sırada")))</f>
        <v/>
      </c>
      <c r="I123" s="17" t="str">
        <f aca="false">IF(OR(E123="",F123=""),"",F123-E123+1)</f>
        <v/>
      </c>
      <c r="J123" s="18" t="str">
        <f aca="false">IF(OR(I123="",D123=""),"",D123/I123)</f>
        <v/>
      </c>
      <c r="K123" s="19" t="str">
        <f aca="false">IF(AND(A123&lt;&gt;"",G123&lt;&gt;""),G123+ROW()/1000000,"")</f>
        <v/>
      </c>
    </row>
    <row r="124" customFormat="false" ht="15" hidden="false" customHeight="false" outlineLevel="0" collapsed="false">
      <c r="A124" s="12"/>
      <c r="B124" s="12"/>
      <c r="C124" s="13"/>
      <c r="D124" s="14"/>
      <c r="E124" s="15"/>
      <c r="F124" s="15"/>
      <c r="G124" s="14"/>
      <c r="H124" s="16" t="str">
        <f aca="false">IF(A124="","",IF(F124&lt;&gt;"","Bitti",IF(E124&lt;&gt;"","Okunuyor","Sırada")))</f>
        <v/>
      </c>
      <c r="I124" s="17" t="str">
        <f aca="false">IF(OR(E124="",F124=""),"",F124-E124+1)</f>
        <v/>
      </c>
      <c r="J124" s="18" t="str">
        <f aca="false">IF(OR(I124="",D124=""),"",D124/I124)</f>
        <v/>
      </c>
      <c r="K124" s="19" t="str">
        <f aca="false">IF(AND(A124&lt;&gt;"",G124&lt;&gt;""),G124+ROW()/1000000,"")</f>
        <v/>
      </c>
    </row>
    <row r="125" customFormat="false" ht="15" hidden="false" customHeight="false" outlineLevel="0" collapsed="false">
      <c r="A125" s="12"/>
      <c r="B125" s="12"/>
      <c r="C125" s="13"/>
      <c r="D125" s="14"/>
      <c r="E125" s="15"/>
      <c r="F125" s="15"/>
      <c r="G125" s="14"/>
      <c r="H125" s="16" t="str">
        <f aca="false">IF(A125="","",IF(F125&lt;&gt;"","Bitti",IF(E125&lt;&gt;"","Okunuyor","Sırada")))</f>
        <v/>
      </c>
      <c r="I125" s="17" t="str">
        <f aca="false">IF(OR(E125="",F125=""),"",F125-E125+1)</f>
        <v/>
      </c>
      <c r="J125" s="18" t="str">
        <f aca="false">IF(OR(I125="",D125=""),"",D125/I125)</f>
        <v/>
      </c>
      <c r="K125" s="19" t="str">
        <f aca="false">IF(AND(A125&lt;&gt;"",G125&lt;&gt;""),G125+ROW()/1000000,"")</f>
        <v/>
      </c>
    </row>
    <row r="126" customFormat="false" ht="15" hidden="false" customHeight="false" outlineLevel="0" collapsed="false">
      <c r="A126" s="12"/>
      <c r="B126" s="12"/>
      <c r="C126" s="13"/>
      <c r="D126" s="14"/>
      <c r="E126" s="15"/>
      <c r="F126" s="15"/>
      <c r="G126" s="14"/>
      <c r="H126" s="16" t="str">
        <f aca="false">IF(A126="","",IF(F126&lt;&gt;"","Bitti",IF(E126&lt;&gt;"","Okunuyor","Sırada")))</f>
        <v/>
      </c>
      <c r="I126" s="17" t="str">
        <f aca="false">IF(OR(E126="",F126=""),"",F126-E126+1)</f>
        <v/>
      </c>
      <c r="J126" s="18" t="str">
        <f aca="false">IF(OR(I126="",D126=""),"",D126/I126)</f>
        <v/>
      </c>
      <c r="K126" s="19" t="str">
        <f aca="false">IF(AND(A126&lt;&gt;"",G126&lt;&gt;""),G126+ROW()/1000000,"")</f>
        <v/>
      </c>
    </row>
    <row r="127" customFormat="false" ht="15" hidden="false" customHeight="false" outlineLevel="0" collapsed="false">
      <c r="A127" s="12"/>
      <c r="B127" s="12"/>
      <c r="C127" s="13"/>
      <c r="D127" s="14"/>
      <c r="E127" s="15"/>
      <c r="F127" s="15"/>
      <c r="G127" s="14"/>
      <c r="H127" s="16" t="str">
        <f aca="false">IF(A127="","",IF(F127&lt;&gt;"","Bitti",IF(E127&lt;&gt;"","Okunuyor","Sırada")))</f>
        <v/>
      </c>
      <c r="I127" s="17" t="str">
        <f aca="false">IF(OR(E127="",F127=""),"",F127-E127+1)</f>
        <v/>
      </c>
      <c r="J127" s="18" t="str">
        <f aca="false">IF(OR(I127="",D127=""),"",D127/I127)</f>
        <v/>
      </c>
      <c r="K127" s="19" t="str">
        <f aca="false">IF(AND(A127&lt;&gt;"",G127&lt;&gt;""),G127+ROW()/1000000,"")</f>
        <v/>
      </c>
    </row>
    <row r="128" customFormat="false" ht="15" hidden="false" customHeight="false" outlineLevel="0" collapsed="false">
      <c r="A128" s="12"/>
      <c r="B128" s="12"/>
      <c r="C128" s="13"/>
      <c r="D128" s="14"/>
      <c r="E128" s="15"/>
      <c r="F128" s="15"/>
      <c r="G128" s="14"/>
      <c r="H128" s="16" t="str">
        <f aca="false">IF(A128="","",IF(F128&lt;&gt;"","Bitti",IF(E128&lt;&gt;"","Okunuyor","Sırada")))</f>
        <v/>
      </c>
      <c r="I128" s="17" t="str">
        <f aca="false">IF(OR(E128="",F128=""),"",F128-E128+1)</f>
        <v/>
      </c>
      <c r="J128" s="18" t="str">
        <f aca="false">IF(OR(I128="",D128=""),"",D128/I128)</f>
        <v/>
      </c>
      <c r="K128" s="19" t="str">
        <f aca="false">IF(AND(A128&lt;&gt;"",G128&lt;&gt;""),G128+ROW()/1000000,"")</f>
        <v/>
      </c>
    </row>
    <row r="129" customFormat="false" ht="15" hidden="false" customHeight="false" outlineLevel="0" collapsed="false">
      <c r="A129" s="12"/>
      <c r="B129" s="12"/>
      <c r="C129" s="13"/>
      <c r="D129" s="14"/>
      <c r="E129" s="15"/>
      <c r="F129" s="15"/>
      <c r="G129" s="14"/>
      <c r="H129" s="16" t="str">
        <f aca="false">IF(A129="","",IF(F129&lt;&gt;"","Bitti",IF(E129&lt;&gt;"","Okunuyor","Sırada")))</f>
        <v/>
      </c>
      <c r="I129" s="17" t="str">
        <f aca="false">IF(OR(E129="",F129=""),"",F129-E129+1)</f>
        <v/>
      </c>
      <c r="J129" s="18" t="str">
        <f aca="false">IF(OR(I129="",D129=""),"",D129/I129)</f>
        <v/>
      </c>
      <c r="K129" s="19" t="str">
        <f aca="false">IF(AND(A129&lt;&gt;"",G129&lt;&gt;""),G129+ROW()/1000000,"")</f>
        <v/>
      </c>
    </row>
    <row r="130" customFormat="false" ht="15" hidden="false" customHeight="false" outlineLevel="0" collapsed="false">
      <c r="A130" s="12"/>
      <c r="B130" s="12"/>
      <c r="C130" s="13"/>
      <c r="D130" s="14"/>
      <c r="E130" s="15"/>
      <c r="F130" s="15"/>
      <c r="G130" s="14"/>
      <c r="H130" s="16" t="str">
        <f aca="false">IF(A130="","",IF(F130&lt;&gt;"","Bitti",IF(E130&lt;&gt;"","Okunuyor","Sırada")))</f>
        <v/>
      </c>
      <c r="I130" s="17" t="str">
        <f aca="false">IF(OR(E130="",F130=""),"",F130-E130+1)</f>
        <v/>
      </c>
      <c r="J130" s="18" t="str">
        <f aca="false">IF(OR(I130="",D130=""),"",D130/I130)</f>
        <v/>
      </c>
      <c r="K130" s="19" t="str">
        <f aca="false">IF(AND(A130&lt;&gt;"",G130&lt;&gt;""),G130+ROW()/1000000,"")</f>
        <v/>
      </c>
    </row>
    <row r="131" customFormat="false" ht="15" hidden="false" customHeight="false" outlineLevel="0" collapsed="false">
      <c r="A131" s="12"/>
      <c r="B131" s="12"/>
      <c r="C131" s="13"/>
      <c r="D131" s="14"/>
      <c r="E131" s="15"/>
      <c r="F131" s="15"/>
      <c r="G131" s="14"/>
      <c r="H131" s="16" t="str">
        <f aca="false">IF(A131="","",IF(F131&lt;&gt;"","Bitti",IF(E131&lt;&gt;"","Okunuyor","Sırada")))</f>
        <v/>
      </c>
      <c r="I131" s="17" t="str">
        <f aca="false">IF(OR(E131="",F131=""),"",F131-E131+1)</f>
        <v/>
      </c>
      <c r="J131" s="18" t="str">
        <f aca="false">IF(OR(I131="",D131=""),"",D131/I131)</f>
        <v/>
      </c>
      <c r="K131" s="19" t="str">
        <f aca="false">IF(AND(A131&lt;&gt;"",G131&lt;&gt;""),G131+ROW()/1000000,"")</f>
        <v/>
      </c>
    </row>
    <row r="132" customFormat="false" ht="15" hidden="false" customHeight="false" outlineLevel="0" collapsed="false">
      <c r="A132" s="12"/>
      <c r="B132" s="12"/>
      <c r="C132" s="13"/>
      <c r="D132" s="14"/>
      <c r="E132" s="15"/>
      <c r="F132" s="15"/>
      <c r="G132" s="14"/>
      <c r="H132" s="16" t="str">
        <f aca="false">IF(A132="","",IF(F132&lt;&gt;"","Bitti",IF(E132&lt;&gt;"","Okunuyor","Sırada")))</f>
        <v/>
      </c>
      <c r="I132" s="17" t="str">
        <f aca="false">IF(OR(E132="",F132=""),"",F132-E132+1)</f>
        <v/>
      </c>
      <c r="J132" s="18" t="str">
        <f aca="false">IF(OR(I132="",D132=""),"",D132/I132)</f>
        <v/>
      </c>
      <c r="K132" s="19" t="str">
        <f aca="false">IF(AND(A132&lt;&gt;"",G132&lt;&gt;""),G132+ROW()/1000000,"")</f>
        <v/>
      </c>
    </row>
    <row r="133" customFormat="false" ht="15" hidden="false" customHeight="false" outlineLevel="0" collapsed="false">
      <c r="A133" s="12"/>
      <c r="B133" s="12"/>
      <c r="C133" s="13"/>
      <c r="D133" s="14"/>
      <c r="E133" s="15"/>
      <c r="F133" s="15"/>
      <c r="G133" s="14"/>
      <c r="H133" s="16" t="str">
        <f aca="false">IF(A133="","",IF(F133&lt;&gt;"","Bitti",IF(E133&lt;&gt;"","Okunuyor","Sırada")))</f>
        <v/>
      </c>
      <c r="I133" s="17" t="str">
        <f aca="false">IF(OR(E133="",F133=""),"",F133-E133+1)</f>
        <v/>
      </c>
      <c r="J133" s="18" t="str">
        <f aca="false">IF(OR(I133="",D133=""),"",D133/I133)</f>
        <v/>
      </c>
      <c r="K133" s="19" t="str">
        <f aca="false">IF(AND(A133&lt;&gt;"",G133&lt;&gt;""),G133+ROW()/1000000,"")</f>
        <v/>
      </c>
    </row>
    <row r="134" customFormat="false" ht="15" hidden="false" customHeight="false" outlineLevel="0" collapsed="false">
      <c r="A134" s="12"/>
      <c r="B134" s="12"/>
      <c r="C134" s="13"/>
      <c r="D134" s="14"/>
      <c r="E134" s="15"/>
      <c r="F134" s="15"/>
      <c r="G134" s="14"/>
      <c r="H134" s="16" t="str">
        <f aca="false">IF(A134="","",IF(F134&lt;&gt;"","Bitti",IF(E134&lt;&gt;"","Okunuyor","Sırada")))</f>
        <v/>
      </c>
      <c r="I134" s="17" t="str">
        <f aca="false">IF(OR(E134="",F134=""),"",F134-E134+1)</f>
        <v/>
      </c>
      <c r="J134" s="18" t="str">
        <f aca="false">IF(OR(I134="",D134=""),"",D134/I134)</f>
        <v/>
      </c>
      <c r="K134" s="19" t="str">
        <f aca="false">IF(AND(A134&lt;&gt;"",G134&lt;&gt;""),G134+ROW()/1000000,"")</f>
        <v/>
      </c>
    </row>
    <row r="135" customFormat="false" ht="15" hidden="false" customHeight="false" outlineLevel="0" collapsed="false">
      <c r="A135" s="12"/>
      <c r="B135" s="12"/>
      <c r="C135" s="13"/>
      <c r="D135" s="14"/>
      <c r="E135" s="15"/>
      <c r="F135" s="15"/>
      <c r="G135" s="14"/>
      <c r="H135" s="16" t="str">
        <f aca="false">IF(A135="","",IF(F135&lt;&gt;"","Bitti",IF(E135&lt;&gt;"","Okunuyor","Sırada")))</f>
        <v/>
      </c>
      <c r="I135" s="17" t="str">
        <f aca="false">IF(OR(E135="",F135=""),"",F135-E135+1)</f>
        <v/>
      </c>
      <c r="J135" s="18" t="str">
        <f aca="false">IF(OR(I135="",D135=""),"",D135/I135)</f>
        <v/>
      </c>
      <c r="K135" s="19" t="str">
        <f aca="false">IF(AND(A135&lt;&gt;"",G135&lt;&gt;""),G135+ROW()/1000000,"")</f>
        <v/>
      </c>
    </row>
    <row r="136" customFormat="false" ht="15" hidden="false" customHeight="false" outlineLevel="0" collapsed="false">
      <c r="A136" s="12"/>
      <c r="B136" s="12"/>
      <c r="C136" s="13"/>
      <c r="D136" s="14"/>
      <c r="E136" s="15"/>
      <c r="F136" s="15"/>
      <c r="G136" s="14"/>
      <c r="H136" s="16" t="str">
        <f aca="false">IF(A136="","",IF(F136&lt;&gt;"","Bitti",IF(E136&lt;&gt;"","Okunuyor","Sırada")))</f>
        <v/>
      </c>
      <c r="I136" s="17" t="str">
        <f aca="false">IF(OR(E136="",F136=""),"",F136-E136+1)</f>
        <v/>
      </c>
      <c r="J136" s="18" t="str">
        <f aca="false">IF(OR(I136="",D136=""),"",D136/I136)</f>
        <v/>
      </c>
      <c r="K136" s="19" t="str">
        <f aca="false">IF(AND(A136&lt;&gt;"",G136&lt;&gt;""),G136+ROW()/1000000,"")</f>
        <v/>
      </c>
    </row>
    <row r="137" customFormat="false" ht="15" hidden="false" customHeight="false" outlineLevel="0" collapsed="false">
      <c r="A137" s="12"/>
      <c r="B137" s="12"/>
      <c r="C137" s="13"/>
      <c r="D137" s="14"/>
      <c r="E137" s="15"/>
      <c r="F137" s="15"/>
      <c r="G137" s="14"/>
      <c r="H137" s="16" t="str">
        <f aca="false">IF(A137="","",IF(F137&lt;&gt;"","Bitti",IF(E137&lt;&gt;"","Okunuyor","Sırada")))</f>
        <v/>
      </c>
      <c r="I137" s="17" t="str">
        <f aca="false">IF(OR(E137="",F137=""),"",F137-E137+1)</f>
        <v/>
      </c>
      <c r="J137" s="18" t="str">
        <f aca="false">IF(OR(I137="",D137=""),"",D137/I137)</f>
        <v/>
      </c>
      <c r="K137" s="19" t="str">
        <f aca="false">IF(AND(A137&lt;&gt;"",G137&lt;&gt;""),G137+ROW()/1000000,"")</f>
        <v/>
      </c>
    </row>
    <row r="138" customFormat="false" ht="15" hidden="false" customHeight="false" outlineLevel="0" collapsed="false">
      <c r="A138" s="12"/>
      <c r="B138" s="12"/>
      <c r="C138" s="13"/>
      <c r="D138" s="14"/>
      <c r="E138" s="15"/>
      <c r="F138" s="15"/>
      <c r="G138" s="14"/>
      <c r="H138" s="16" t="str">
        <f aca="false">IF(A138="","",IF(F138&lt;&gt;"","Bitti",IF(E138&lt;&gt;"","Okunuyor","Sırada")))</f>
        <v/>
      </c>
      <c r="I138" s="17" t="str">
        <f aca="false">IF(OR(E138="",F138=""),"",F138-E138+1)</f>
        <v/>
      </c>
      <c r="J138" s="18" t="str">
        <f aca="false">IF(OR(I138="",D138=""),"",D138/I138)</f>
        <v/>
      </c>
      <c r="K138" s="19" t="str">
        <f aca="false">IF(AND(A138&lt;&gt;"",G138&lt;&gt;""),G138+ROW()/1000000,"")</f>
        <v/>
      </c>
    </row>
    <row r="139" customFormat="false" ht="15" hidden="false" customHeight="false" outlineLevel="0" collapsed="false">
      <c r="A139" s="12"/>
      <c r="B139" s="12"/>
      <c r="C139" s="13"/>
      <c r="D139" s="14"/>
      <c r="E139" s="15"/>
      <c r="F139" s="15"/>
      <c r="G139" s="14"/>
      <c r="H139" s="16" t="str">
        <f aca="false">IF(A139="","",IF(F139&lt;&gt;"","Bitti",IF(E139&lt;&gt;"","Okunuyor","Sırada")))</f>
        <v/>
      </c>
      <c r="I139" s="17" t="str">
        <f aca="false">IF(OR(E139="",F139=""),"",F139-E139+1)</f>
        <v/>
      </c>
      <c r="J139" s="18" t="str">
        <f aca="false">IF(OR(I139="",D139=""),"",D139/I139)</f>
        <v/>
      </c>
      <c r="K139" s="19" t="str">
        <f aca="false">IF(AND(A139&lt;&gt;"",G139&lt;&gt;""),G139+ROW()/1000000,"")</f>
        <v/>
      </c>
    </row>
    <row r="140" customFormat="false" ht="15" hidden="false" customHeight="false" outlineLevel="0" collapsed="false">
      <c r="A140" s="12"/>
      <c r="B140" s="12"/>
      <c r="C140" s="13"/>
      <c r="D140" s="14"/>
      <c r="E140" s="15"/>
      <c r="F140" s="15"/>
      <c r="G140" s="14"/>
      <c r="H140" s="16" t="str">
        <f aca="false">IF(A140="","",IF(F140&lt;&gt;"","Bitti",IF(E140&lt;&gt;"","Okunuyor","Sırada")))</f>
        <v/>
      </c>
      <c r="I140" s="17" t="str">
        <f aca="false">IF(OR(E140="",F140=""),"",F140-E140+1)</f>
        <v/>
      </c>
      <c r="J140" s="18" t="str">
        <f aca="false">IF(OR(I140="",D140=""),"",D140/I140)</f>
        <v/>
      </c>
      <c r="K140" s="19" t="str">
        <f aca="false">IF(AND(A140&lt;&gt;"",G140&lt;&gt;""),G140+ROW()/1000000,"")</f>
        <v/>
      </c>
    </row>
    <row r="141" customFormat="false" ht="15" hidden="false" customHeight="false" outlineLevel="0" collapsed="false">
      <c r="A141" s="12"/>
      <c r="B141" s="12"/>
      <c r="C141" s="13"/>
      <c r="D141" s="14"/>
      <c r="E141" s="15"/>
      <c r="F141" s="15"/>
      <c r="G141" s="14"/>
      <c r="H141" s="16" t="str">
        <f aca="false">IF(A141="","",IF(F141&lt;&gt;"","Bitti",IF(E141&lt;&gt;"","Okunuyor","Sırada")))</f>
        <v/>
      </c>
      <c r="I141" s="17" t="str">
        <f aca="false">IF(OR(E141="",F141=""),"",F141-E141+1)</f>
        <v/>
      </c>
      <c r="J141" s="18" t="str">
        <f aca="false">IF(OR(I141="",D141=""),"",D141/I141)</f>
        <v/>
      </c>
      <c r="K141" s="19" t="str">
        <f aca="false">IF(AND(A141&lt;&gt;"",G141&lt;&gt;""),G141+ROW()/1000000,"")</f>
        <v/>
      </c>
    </row>
    <row r="142" customFormat="false" ht="15" hidden="false" customHeight="false" outlineLevel="0" collapsed="false">
      <c r="A142" s="12"/>
      <c r="B142" s="12"/>
      <c r="C142" s="13"/>
      <c r="D142" s="14"/>
      <c r="E142" s="15"/>
      <c r="F142" s="15"/>
      <c r="G142" s="14"/>
      <c r="H142" s="16" t="str">
        <f aca="false">IF(A142="","",IF(F142&lt;&gt;"","Bitti",IF(E142&lt;&gt;"","Okunuyor","Sırada")))</f>
        <v/>
      </c>
      <c r="I142" s="17" t="str">
        <f aca="false">IF(OR(E142="",F142=""),"",F142-E142+1)</f>
        <v/>
      </c>
      <c r="J142" s="18" t="str">
        <f aca="false">IF(OR(I142="",D142=""),"",D142/I142)</f>
        <v/>
      </c>
      <c r="K142" s="19" t="str">
        <f aca="false">IF(AND(A142&lt;&gt;"",G142&lt;&gt;""),G142+ROW()/1000000,"")</f>
        <v/>
      </c>
    </row>
    <row r="143" customFormat="false" ht="15" hidden="false" customHeight="false" outlineLevel="0" collapsed="false">
      <c r="A143" s="12"/>
      <c r="B143" s="12"/>
      <c r="C143" s="13"/>
      <c r="D143" s="14"/>
      <c r="E143" s="15"/>
      <c r="F143" s="15"/>
      <c r="G143" s="14"/>
      <c r="H143" s="16" t="str">
        <f aca="false">IF(A143="","",IF(F143&lt;&gt;"","Bitti",IF(E143&lt;&gt;"","Okunuyor","Sırada")))</f>
        <v/>
      </c>
      <c r="I143" s="17" t="str">
        <f aca="false">IF(OR(E143="",F143=""),"",F143-E143+1)</f>
        <v/>
      </c>
      <c r="J143" s="18" t="str">
        <f aca="false">IF(OR(I143="",D143=""),"",D143/I143)</f>
        <v/>
      </c>
      <c r="K143" s="19" t="str">
        <f aca="false">IF(AND(A143&lt;&gt;"",G143&lt;&gt;""),G143+ROW()/1000000,"")</f>
        <v/>
      </c>
    </row>
    <row r="144" customFormat="false" ht="15" hidden="false" customHeight="false" outlineLevel="0" collapsed="false">
      <c r="A144" s="12"/>
      <c r="B144" s="12"/>
      <c r="C144" s="13"/>
      <c r="D144" s="14"/>
      <c r="E144" s="15"/>
      <c r="F144" s="15"/>
      <c r="G144" s="14"/>
      <c r="H144" s="16" t="str">
        <f aca="false">IF(A144="","",IF(F144&lt;&gt;"","Bitti",IF(E144&lt;&gt;"","Okunuyor","Sırada")))</f>
        <v/>
      </c>
      <c r="I144" s="17" t="str">
        <f aca="false">IF(OR(E144="",F144=""),"",F144-E144+1)</f>
        <v/>
      </c>
      <c r="J144" s="18" t="str">
        <f aca="false">IF(OR(I144="",D144=""),"",D144/I144)</f>
        <v/>
      </c>
      <c r="K144" s="19" t="str">
        <f aca="false">IF(AND(A144&lt;&gt;"",G144&lt;&gt;""),G144+ROW()/1000000,"")</f>
        <v/>
      </c>
    </row>
    <row r="145" customFormat="false" ht="15" hidden="false" customHeight="false" outlineLevel="0" collapsed="false">
      <c r="A145" s="12"/>
      <c r="B145" s="12"/>
      <c r="C145" s="13"/>
      <c r="D145" s="14"/>
      <c r="E145" s="15"/>
      <c r="F145" s="15"/>
      <c r="G145" s="14"/>
      <c r="H145" s="16" t="str">
        <f aca="false">IF(A145="","",IF(F145&lt;&gt;"","Bitti",IF(E145&lt;&gt;"","Okunuyor","Sırada")))</f>
        <v/>
      </c>
      <c r="I145" s="17" t="str">
        <f aca="false">IF(OR(E145="",F145=""),"",F145-E145+1)</f>
        <v/>
      </c>
      <c r="J145" s="18" t="str">
        <f aca="false">IF(OR(I145="",D145=""),"",D145/I145)</f>
        <v/>
      </c>
      <c r="K145" s="19" t="str">
        <f aca="false">IF(AND(A145&lt;&gt;"",G145&lt;&gt;""),G145+ROW()/1000000,"")</f>
        <v/>
      </c>
    </row>
    <row r="146" customFormat="false" ht="15" hidden="false" customHeight="false" outlineLevel="0" collapsed="false">
      <c r="A146" s="12"/>
      <c r="B146" s="12"/>
      <c r="C146" s="13"/>
      <c r="D146" s="14"/>
      <c r="E146" s="15"/>
      <c r="F146" s="15"/>
      <c r="G146" s="14"/>
      <c r="H146" s="16" t="str">
        <f aca="false">IF(A146="","",IF(F146&lt;&gt;"","Bitti",IF(E146&lt;&gt;"","Okunuyor","Sırada")))</f>
        <v/>
      </c>
      <c r="I146" s="17" t="str">
        <f aca="false">IF(OR(E146="",F146=""),"",F146-E146+1)</f>
        <v/>
      </c>
      <c r="J146" s="18" t="str">
        <f aca="false">IF(OR(I146="",D146=""),"",D146/I146)</f>
        <v/>
      </c>
      <c r="K146" s="19" t="str">
        <f aca="false">IF(AND(A146&lt;&gt;"",G146&lt;&gt;""),G146+ROW()/1000000,"")</f>
        <v/>
      </c>
    </row>
    <row r="147" customFormat="false" ht="15" hidden="false" customHeight="false" outlineLevel="0" collapsed="false">
      <c r="A147" s="12"/>
      <c r="B147" s="12"/>
      <c r="C147" s="13"/>
      <c r="D147" s="14"/>
      <c r="E147" s="15"/>
      <c r="F147" s="15"/>
      <c r="G147" s="14"/>
      <c r="H147" s="16" t="str">
        <f aca="false">IF(A147="","",IF(F147&lt;&gt;"","Bitti",IF(E147&lt;&gt;"","Okunuyor","Sırada")))</f>
        <v/>
      </c>
      <c r="I147" s="17" t="str">
        <f aca="false">IF(OR(E147="",F147=""),"",F147-E147+1)</f>
        <v/>
      </c>
      <c r="J147" s="18" t="str">
        <f aca="false">IF(OR(I147="",D147=""),"",D147/I147)</f>
        <v/>
      </c>
      <c r="K147" s="19" t="str">
        <f aca="false">IF(AND(A147&lt;&gt;"",G147&lt;&gt;""),G147+ROW()/1000000,"")</f>
        <v/>
      </c>
    </row>
    <row r="148" customFormat="false" ht="15" hidden="false" customHeight="false" outlineLevel="0" collapsed="false">
      <c r="A148" s="12"/>
      <c r="B148" s="12"/>
      <c r="C148" s="13"/>
      <c r="D148" s="14"/>
      <c r="E148" s="15"/>
      <c r="F148" s="15"/>
      <c r="G148" s="14"/>
      <c r="H148" s="16" t="str">
        <f aca="false">IF(A148="","",IF(F148&lt;&gt;"","Bitti",IF(E148&lt;&gt;"","Okunuyor","Sırada")))</f>
        <v/>
      </c>
      <c r="I148" s="17" t="str">
        <f aca="false">IF(OR(E148="",F148=""),"",F148-E148+1)</f>
        <v/>
      </c>
      <c r="J148" s="18" t="str">
        <f aca="false">IF(OR(I148="",D148=""),"",D148/I148)</f>
        <v/>
      </c>
      <c r="K148" s="19" t="str">
        <f aca="false">IF(AND(A148&lt;&gt;"",G148&lt;&gt;""),G148+ROW()/1000000,"")</f>
        <v/>
      </c>
    </row>
    <row r="149" customFormat="false" ht="15" hidden="false" customHeight="false" outlineLevel="0" collapsed="false">
      <c r="A149" s="12"/>
      <c r="B149" s="12"/>
      <c r="C149" s="13"/>
      <c r="D149" s="14"/>
      <c r="E149" s="15"/>
      <c r="F149" s="15"/>
      <c r="G149" s="14"/>
      <c r="H149" s="16" t="str">
        <f aca="false">IF(A149="","",IF(F149&lt;&gt;"","Bitti",IF(E149&lt;&gt;"","Okunuyor","Sırada")))</f>
        <v/>
      </c>
      <c r="I149" s="17" t="str">
        <f aca="false">IF(OR(E149="",F149=""),"",F149-E149+1)</f>
        <v/>
      </c>
      <c r="J149" s="18" t="str">
        <f aca="false">IF(OR(I149="",D149=""),"",D149/I149)</f>
        <v/>
      </c>
      <c r="K149" s="19" t="str">
        <f aca="false">IF(AND(A149&lt;&gt;"",G149&lt;&gt;""),G149+ROW()/1000000,"")</f>
        <v/>
      </c>
    </row>
    <row r="150" customFormat="false" ht="15" hidden="false" customHeight="false" outlineLevel="0" collapsed="false">
      <c r="A150" s="12"/>
      <c r="B150" s="12"/>
      <c r="C150" s="13"/>
      <c r="D150" s="14"/>
      <c r="E150" s="15"/>
      <c r="F150" s="15"/>
      <c r="G150" s="14"/>
      <c r="H150" s="16" t="str">
        <f aca="false">IF(A150="","",IF(F150&lt;&gt;"","Bitti",IF(E150&lt;&gt;"","Okunuyor","Sırada")))</f>
        <v/>
      </c>
      <c r="I150" s="17" t="str">
        <f aca="false">IF(OR(E150="",F150=""),"",F150-E150+1)</f>
        <v/>
      </c>
      <c r="J150" s="18" t="str">
        <f aca="false">IF(OR(I150="",D150=""),"",D150/I150)</f>
        <v/>
      </c>
      <c r="K150" s="19" t="str">
        <f aca="false">IF(AND(A150&lt;&gt;"",G150&lt;&gt;""),G150+ROW()/1000000,"")</f>
        <v/>
      </c>
    </row>
    <row r="151" customFormat="false" ht="15" hidden="false" customHeight="false" outlineLevel="0" collapsed="false">
      <c r="A151" s="12"/>
      <c r="B151" s="12"/>
      <c r="C151" s="13"/>
      <c r="D151" s="14"/>
      <c r="E151" s="15"/>
      <c r="F151" s="15"/>
      <c r="G151" s="14"/>
      <c r="H151" s="16" t="str">
        <f aca="false">IF(A151="","",IF(F151&lt;&gt;"","Bitti",IF(E151&lt;&gt;"","Okunuyor","Sırada")))</f>
        <v/>
      </c>
      <c r="I151" s="17" t="str">
        <f aca="false">IF(OR(E151="",F151=""),"",F151-E151+1)</f>
        <v/>
      </c>
      <c r="J151" s="18" t="str">
        <f aca="false">IF(OR(I151="",D151=""),"",D151/I151)</f>
        <v/>
      </c>
      <c r="K151" s="19" t="str">
        <f aca="false">IF(AND(A151&lt;&gt;"",G151&lt;&gt;""),G151+ROW()/1000000,"")</f>
        <v/>
      </c>
    </row>
    <row r="152" customFormat="false" ht="15" hidden="false" customHeight="false" outlineLevel="0" collapsed="false">
      <c r="A152" s="12"/>
      <c r="B152" s="12"/>
      <c r="C152" s="13"/>
      <c r="D152" s="14"/>
      <c r="E152" s="15"/>
      <c r="F152" s="15"/>
      <c r="G152" s="14"/>
      <c r="H152" s="16" t="str">
        <f aca="false">IF(A152="","",IF(F152&lt;&gt;"","Bitti",IF(E152&lt;&gt;"","Okunuyor","Sırada")))</f>
        <v/>
      </c>
      <c r="I152" s="17" t="str">
        <f aca="false">IF(OR(E152="",F152=""),"",F152-E152+1)</f>
        <v/>
      </c>
      <c r="J152" s="18" t="str">
        <f aca="false">IF(OR(I152="",D152=""),"",D152/I152)</f>
        <v/>
      </c>
      <c r="K152" s="19" t="str">
        <f aca="false">IF(AND(A152&lt;&gt;"",G152&lt;&gt;""),G152+ROW()/1000000,"")</f>
        <v/>
      </c>
    </row>
    <row r="153" customFormat="false" ht="15" hidden="false" customHeight="false" outlineLevel="0" collapsed="false">
      <c r="A153" s="12"/>
      <c r="B153" s="12"/>
      <c r="C153" s="13"/>
      <c r="D153" s="14"/>
      <c r="E153" s="15"/>
      <c r="F153" s="15"/>
      <c r="G153" s="14"/>
      <c r="H153" s="16" t="str">
        <f aca="false">IF(A153="","",IF(F153&lt;&gt;"","Bitti",IF(E153&lt;&gt;"","Okunuyor","Sırada")))</f>
        <v/>
      </c>
      <c r="I153" s="17" t="str">
        <f aca="false">IF(OR(E153="",F153=""),"",F153-E153+1)</f>
        <v/>
      </c>
      <c r="J153" s="18" t="str">
        <f aca="false">IF(OR(I153="",D153=""),"",D153/I153)</f>
        <v/>
      </c>
      <c r="K153" s="19" t="str">
        <f aca="false">IF(AND(A153&lt;&gt;"",G153&lt;&gt;""),G153+ROW()/1000000,"")</f>
        <v/>
      </c>
    </row>
    <row r="154" customFormat="false" ht="15" hidden="false" customHeight="false" outlineLevel="0" collapsed="false">
      <c r="A154" s="12"/>
      <c r="B154" s="12"/>
      <c r="C154" s="13"/>
      <c r="D154" s="14"/>
      <c r="E154" s="15"/>
      <c r="F154" s="15"/>
      <c r="G154" s="14"/>
      <c r="H154" s="16" t="str">
        <f aca="false">IF(A154="","",IF(F154&lt;&gt;"","Bitti",IF(E154&lt;&gt;"","Okunuyor","Sırada")))</f>
        <v/>
      </c>
      <c r="I154" s="17" t="str">
        <f aca="false">IF(OR(E154="",F154=""),"",F154-E154+1)</f>
        <v/>
      </c>
      <c r="J154" s="18" t="str">
        <f aca="false">IF(OR(I154="",D154=""),"",D154/I154)</f>
        <v/>
      </c>
      <c r="K154" s="19" t="str">
        <f aca="false">IF(AND(A154&lt;&gt;"",G154&lt;&gt;""),G154+ROW()/1000000,"")</f>
        <v/>
      </c>
    </row>
    <row r="155" customFormat="false" ht="15" hidden="false" customHeight="false" outlineLevel="0" collapsed="false">
      <c r="A155" s="12"/>
      <c r="B155" s="12"/>
      <c r="C155" s="13"/>
      <c r="D155" s="14"/>
      <c r="E155" s="15"/>
      <c r="F155" s="15"/>
      <c r="G155" s="14"/>
      <c r="H155" s="16" t="str">
        <f aca="false">IF(A155="","",IF(F155&lt;&gt;"","Bitti",IF(E155&lt;&gt;"","Okunuyor","Sırada")))</f>
        <v/>
      </c>
      <c r="I155" s="17" t="str">
        <f aca="false">IF(OR(E155="",F155=""),"",F155-E155+1)</f>
        <v/>
      </c>
      <c r="J155" s="18" t="str">
        <f aca="false">IF(OR(I155="",D155=""),"",D155/I155)</f>
        <v/>
      </c>
      <c r="K155" s="19" t="str">
        <f aca="false">IF(AND(A155&lt;&gt;"",G155&lt;&gt;""),G155+ROW()/1000000,"")</f>
        <v/>
      </c>
    </row>
    <row r="156" customFormat="false" ht="15" hidden="false" customHeight="false" outlineLevel="0" collapsed="false">
      <c r="A156" s="12"/>
      <c r="B156" s="12"/>
      <c r="C156" s="13"/>
      <c r="D156" s="14"/>
      <c r="E156" s="15"/>
      <c r="F156" s="15"/>
      <c r="G156" s="14"/>
      <c r="H156" s="16" t="str">
        <f aca="false">IF(A156="","",IF(F156&lt;&gt;"","Bitti",IF(E156&lt;&gt;"","Okunuyor","Sırada")))</f>
        <v/>
      </c>
      <c r="I156" s="17" t="str">
        <f aca="false">IF(OR(E156="",F156=""),"",F156-E156+1)</f>
        <v/>
      </c>
      <c r="J156" s="18" t="str">
        <f aca="false">IF(OR(I156="",D156=""),"",D156/I156)</f>
        <v/>
      </c>
      <c r="K156" s="19" t="str">
        <f aca="false">IF(AND(A156&lt;&gt;"",G156&lt;&gt;""),G156+ROW()/1000000,"")</f>
        <v/>
      </c>
    </row>
    <row r="157" customFormat="false" ht="15" hidden="false" customHeight="false" outlineLevel="0" collapsed="false">
      <c r="A157" s="12"/>
      <c r="B157" s="12"/>
      <c r="C157" s="13"/>
      <c r="D157" s="14"/>
      <c r="E157" s="15"/>
      <c r="F157" s="15"/>
      <c r="G157" s="14"/>
      <c r="H157" s="16" t="str">
        <f aca="false">IF(A157="","",IF(F157&lt;&gt;"","Bitti",IF(E157&lt;&gt;"","Okunuyor","Sırada")))</f>
        <v/>
      </c>
      <c r="I157" s="17" t="str">
        <f aca="false">IF(OR(E157="",F157=""),"",F157-E157+1)</f>
        <v/>
      </c>
      <c r="J157" s="18" t="str">
        <f aca="false">IF(OR(I157="",D157=""),"",D157/I157)</f>
        <v/>
      </c>
      <c r="K157" s="19" t="str">
        <f aca="false">IF(AND(A157&lt;&gt;"",G157&lt;&gt;""),G157+ROW()/1000000,"")</f>
        <v/>
      </c>
    </row>
    <row r="158" customFormat="false" ht="15" hidden="false" customHeight="false" outlineLevel="0" collapsed="false">
      <c r="A158" s="12"/>
      <c r="B158" s="12"/>
      <c r="C158" s="13"/>
      <c r="D158" s="14"/>
      <c r="E158" s="15"/>
      <c r="F158" s="15"/>
      <c r="G158" s="14"/>
      <c r="H158" s="16" t="str">
        <f aca="false">IF(A158="","",IF(F158&lt;&gt;"","Bitti",IF(E158&lt;&gt;"","Okunuyor","Sırada")))</f>
        <v/>
      </c>
      <c r="I158" s="17" t="str">
        <f aca="false">IF(OR(E158="",F158=""),"",F158-E158+1)</f>
        <v/>
      </c>
      <c r="J158" s="18" t="str">
        <f aca="false">IF(OR(I158="",D158=""),"",D158/I158)</f>
        <v/>
      </c>
      <c r="K158" s="19" t="str">
        <f aca="false">IF(AND(A158&lt;&gt;"",G158&lt;&gt;""),G158+ROW()/1000000,"")</f>
        <v/>
      </c>
    </row>
    <row r="159" customFormat="false" ht="15" hidden="false" customHeight="false" outlineLevel="0" collapsed="false">
      <c r="A159" s="12"/>
      <c r="B159" s="12"/>
      <c r="C159" s="13"/>
      <c r="D159" s="14"/>
      <c r="E159" s="15"/>
      <c r="F159" s="15"/>
      <c r="G159" s="14"/>
      <c r="H159" s="16" t="str">
        <f aca="false">IF(A159="","",IF(F159&lt;&gt;"","Bitti",IF(E159&lt;&gt;"","Okunuyor","Sırada")))</f>
        <v/>
      </c>
      <c r="I159" s="17" t="str">
        <f aca="false">IF(OR(E159="",F159=""),"",F159-E159+1)</f>
        <v/>
      </c>
      <c r="J159" s="18" t="str">
        <f aca="false">IF(OR(I159="",D159=""),"",D159/I159)</f>
        <v/>
      </c>
      <c r="K159" s="19" t="str">
        <f aca="false">IF(AND(A159&lt;&gt;"",G159&lt;&gt;""),G159+ROW()/1000000,"")</f>
        <v/>
      </c>
    </row>
    <row r="160" customFormat="false" ht="15" hidden="false" customHeight="false" outlineLevel="0" collapsed="false">
      <c r="A160" s="12"/>
      <c r="B160" s="12"/>
      <c r="C160" s="13"/>
      <c r="D160" s="14"/>
      <c r="E160" s="15"/>
      <c r="F160" s="15"/>
      <c r="G160" s="14"/>
      <c r="H160" s="16" t="str">
        <f aca="false">IF(A160="","",IF(F160&lt;&gt;"","Bitti",IF(E160&lt;&gt;"","Okunuyor","Sırada")))</f>
        <v/>
      </c>
      <c r="I160" s="17" t="str">
        <f aca="false">IF(OR(E160="",F160=""),"",F160-E160+1)</f>
        <v/>
      </c>
      <c r="J160" s="18" t="str">
        <f aca="false">IF(OR(I160="",D160=""),"",D160/I160)</f>
        <v/>
      </c>
      <c r="K160" s="19" t="str">
        <f aca="false">IF(AND(A160&lt;&gt;"",G160&lt;&gt;""),G160+ROW()/1000000,"")</f>
        <v/>
      </c>
    </row>
    <row r="161" customFormat="false" ht="15" hidden="false" customHeight="false" outlineLevel="0" collapsed="false">
      <c r="A161" s="12"/>
      <c r="B161" s="12"/>
      <c r="C161" s="13"/>
      <c r="D161" s="14"/>
      <c r="E161" s="15"/>
      <c r="F161" s="15"/>
      <c r="G161" s="14"/>
      <c r="H161" s="16" t="str">
        <f aca="false">IF(A161="","",IF(F161&lt;&gt;"","Bitti",IF(E161&lt;&gt;"","Okunuyor","Sırada")))</f>
        <v/>
      </c>
      <c r="I161" s="17" t="str">
        <f aca="false">IF(OR(E161="",F161=""),"",F161-E161+1)</f>
        <v/>
      </c>
      <c r="J161" s="18" t="str">
        <f aca="false">IF(OR(I161="",D161=""),"",D161/I161)</f>
        <v/>
      </c>
      <c r="K161" s="19" t="str">
        <f aca="false">IF(AND(A161&lt;&gt;"",G161&lt;&gt;""),G161+ROW()/1000000,"")</f>
        <v/>
      </c>
    </row>
    <row r="162" customFormat="false" ht="15" hidden="false" customHeight="false" outlineLevel="0" collapsed="false">
      <c r="A162" s="12"/>
      <c r="B162" s="12"/>
      <c r="C162" s="13"/>
      <c r="D162" s="14"/>
      <c r="E162" s="15"/>
      <c r="F162" s="15"/>
      <c r="G162" s="14"/>
      <c r="H162" s="16" t="str">
        <f aca="false">IF(A162="","",IF(F162&lt;&gt;"","Bitti",IF(E162&lt;&gt;"","Okunuyor","Sırada")))</f>
        <v/>
      </c>
      <c r="I162" s="17" t="str">
        <f aca="false">IF(OR(E162="",F162=""),"",F162-E162+1)</f>
        <v/>
      </c>
      <c r="J162" s="18" t="str">
        <f aca="false">IF(OR(I162="",D162=""),"",D162/I162)</f>
        <v/>
      </c>
      <c r="K162" s="19" t="str">
        <f aca="false">IF(AND(A162&lt;&gt;"",G162&lt;&gt;""),G162+ROW()/1000000,"")</f>
        <v/>
      </c>
    </row>
    <row r="163" customFormat="false" ht="15" hidden="false" customHeight="false" outlineLevel="0" collapsed="false">
      <c r="A163" s="12"/>
      <c r="B163" s="12"/>
      <c r="C163" s="13"/>
      <c r="D163" s="14"/>
      <c r="E163" s="15"/>
      <c r="F163" s="15"/>
      <c r="G163" s="14"/>
      <c r="H163" s="16" t="str">
        <f aca="false">IF(A163="","",IF(F163&lt;&gt;"","Bitti",IF(E163&lt;&gt;"","Okunuyor","Sırada")))</f>
        <v/>
      </c>
      <c r="I163" s="17" t="str">
        <f aca="false">IF(OR(E163="",F163=""),"",F163-E163+1)</f>
        <v/>
      </c>
      <c r="J163" s="18" t="str">
        <f aca="false">IF(OR(I163="",D163=""),"",D163/I163)</f>
        <v/>
      </c>
      <c r="K163" s="19" t="str">
        <f aca="false">IF(AND(A163&lt;&gt;"",G163&lt;&gt;""),G163+ROW()/1000000,"")</f>
        <v/>
      </c>
    </row>
    <row r="164" customFormat="false" ht="15" hidden="false" customHeight="false" outlineLevel="0" collapsed="false">
      <c r="A164" s="12"/>
      <c r="B164" s="12"/>
      <c r="C164" s="13"/>
      <c r="D164" s="14"/>
      <c r="E164" s="15"/>
      <c r="F164" s="15"/>
      <c r="G164" s="14"/>
      <c r="H164" s="16" t="str">
        <f aca="false">IF(A164="","",IF(F164&lt;&gt;"","Bitti",IF(E164&lt;&gt;"","Okunuyor","Sırada")))</f>
        <v/>
      </c>
      <c r="I164" s="17" t="str">
        <f aca="false">IF(OR(E164="",F164=""),"",F164-E164+1)</f>
        <v/>
      </c>
      <c r="J164" s="18" t="str">
        <f aca="false">IF(OR(I164="",D164=""),"",D164/I164)</f>
        <v/>
      </c>
      <c r="K164" s="19" t="str">
        <f aca="false">IF(AND(A164&lt;&gt;"",G164&lt;&gt;""),G164+ROW()/1000000,"")</f>
        <v/>
      </c>
    </row>
    <row r="165" customFormat="false" ht="15" hidden="false" customHeight="false" outlineLevel="0" collapsed="false">
      <c r="A165" s="12"/>
      <c r="B165" s="12"/>
      <c r="C165" s="13"/>
      <c r="D165" s="14"/>
      <c r="E165" s="15"/>
      <c r="F165" s="15"/>
      <c r="G165" s="14"/>
      <c r="H165" s="16" t="str">
        <f aca="false">IF(A165="","",IF(F165&lt;&gt;"","Bitti",IF(E165&lt;&gt;"","Okunuyor","Sırada")))</f>
        <v/>
      </c>
      <c r="I165" s="17" t="str">
        <f aca="false">IF(OR(E165="",F165=""),"",F165-E165+1)</f>
        <v/>
      </c>
      <c r="J165" s="18" t="str">
        <f aca="false">IF(OR(I165="",D165=""),"",D165/I165)</f>
        <v/>
      </c>
      <c r="K165" s="19" t="str">
        <f aca="false">IF(AND(A165&lt;&gt;"",G165&lt;&gt;""),G165+ROW()/1000000,"")</f>
        <v/>
      </c>
    </row>
    <row r="166" customFormat="false" ht="15" hidden="false" customHeight="false" outlineLevel="0" collapsed="false">
      <c r="A166" s="12"/>
      <c r="B166" s="12"/>
      <c r="C166" s="13"/>
      <c r="D166" s="14"/>
      <c r="E166" s="15"/>
      <c r="F166" s="15"/>
      <c r="G166" s="14"/>
      <c r="H166" s="16" t="str">
        <f aca="false">IF(A166="","",IF(F166&lt;&gt;"","Bitti",IF(E166&lt;&gt;"","Okunuyor","Sırada")))</f>
        <v/>
      </c>
      <c r="I166" s="17" t="str">
        <f aca="false">IF(OR(E166="",F166=""),"",F166-E166+1)</f>
        <v/>
      </c>
      <c r="J166" s="18" t="str">
        <f aca="false">IF(OR(I166="",D166=""),"",D166/I166)</f>
        <v/>
      </c>
      <c r="K166" s="19" t="str">
        <f aca="false">IF(AND(A166&lt;&gt;"",G166&lt;&gt;""),G166+ROW()/1000000,"")</f>
        <v/>
      </c>
    </row>
    <row r="167" customFormat="false" ht="15" hidden="false" customHeight="false" outlineLevel="0" collapsed="false">
      <c r="A167" s="12"/>
      <c r="B167" s="12"/>
      <c r="C167" s="13"/>
      <c r="D167" s="14"/>
      <c r="E167" s="15"/>
      <c r="F167" s="15"/>
      <c r="G167" s="14"/>
      <c r="H167" s="16" t="str">
        <f aca="false">IF(A167="","",IF(F167&lt;&gt;"","Bitti",IF(E167&lt;&gt;"","Okunuyor","Sırada")))</f>
        <v/>
      </c>
      <c r="I167" s="17" t="str">
        <f aca="false">IF(OR(E167="",F167=""),"",F167-E167+1)</f>
        <v/>
      </c>
      <c r="J167" s="18" t="str">
        <f aca="false">IF(OR(I167="",D167=""),"",D167/I167)</f>
        <v/>
      </c>
      <c r="K167" s="19" t="str">
        <f aca="false">IF(AND(A167&lt;&gt;"",G167&lt;&gt;""),G167+ROW()/1000000,"")</f>
        <v/>
      </c>
    </row>
    <row r="168" customFormat="false" ht="15" hidden="false" customHeight="false" outlineLevel="0" collapsed="false">
      <c r="A168" s="12"/>
      <c r="B168" s="12"/>
      <c r="C168" s="13"/>
      <c r="D168" s="14"/>
      <c r="E168" s="15"/>
      <c r="F168" s="15"/>
      <c r="G168" s="14"/>
      <c r="H168" s="16" t="str">
        <f aca="false">IF(A168="","",IF(F168&lt;&gt;"","Bitti",IF(E168&lt;&gt;"","Okunuyor","Sırada")))</f>
        <v/>
      </c>
      <c r="I168" s="17" t="str">
        <f aca="false">IF(OR(E168="",F168=""),"",F168-E168+1)</f>
        <v/>
      </c>
      <c r="J168" s="18" t="str">
        <f aca="false">IF(OR(I168="",D168=""),"",D168/I168)</f>
        <v/>
      </c>
      <c r="K168" s="19" t="str">
        <f aca="false">IF(AND(A168&lt;&gt;"",G168&lt;&gt;""),G168+ROW()/1000000,"")</f>
        <v/>
      </c>
    </row>
    <row r="169" customFormat="false" ht="15" hidden="false" customHeight="false" outlineLevel="0" collapsed="false">
      <c r="A169" s="12"/>
      <c r="B169" s="12"/>
      <c r="C169" s="13"/>
      <c r="D169" s="14"/>
      <c r="E169" s="15"/>
      <c r="F169" s="15"/>
      <c r="G169" s="14"/>
      <c r="H169" s="16" t="str">
        <f aca="false">IF(A169="","",IF(F169&lt;&gt;"","Bitti",IF(E169&lt;&gt;"","Okunuyor","Sırada")))</f>
        <v/>
      </c>
      <c r="I169" s="17" t="str">
        <f aca="false">IF(OR(E169="",F169=""),"",F169-E169+1)</f>
        <v/>
      </c>
      <c r="J169" s="18" t="str">
        <f aca="false">IF(OR(I169="",D169=""),"",D169/I169)</f>
        <v/>
      </c>
      <c r="K169" s="19" t="str">
        <f aca="false">IF(AND(A169&lt;&gt;"",G169&lt;&gt;""),G169+ROW()/1000000,"")</f>
        <v/>
      </c>
    </row>
    <row r="170" customFormat="false" ht="15" hidden="false" customHeight="false" outlineLevel="0" collapsed="false">
      <c r="A170" s="12"/>
      <c r="B170" s="12"/>
      <c r="C170" s="13"/>
      <c r="D170" s="14"/>
      <c r="E170" s="15"/>
      <c r="F170" s="15"/>
      <c r="G170" s="14"/>
      <c r="H170" s="16" t="str">
        <f aca="false">IF(A170="","",IF(F170&lt;&gt;"","Bitti",IF(E170&lt;&gt;"","Okunuyor","Sırada")))</f>
        <v/>
      </c>
      <c r="I170" s="17" t="str">
        <f aca="false">IF(OR(E170="",F170=""),"",F170-E170+1)</f>
        <v/>
      </c>
      <c r="J170" s="18" t="str">
        <f aca="false">IF(OR(I170="",D170=""),"",D170/I170)</f>
        <v/>
      </c>
      <c r="K170" s="19" t="str">
        <f aca="false">IF(AND(A170&lt;&gt;"",G170&lt;&gt;""),G170+ROW()/1000000,"")</f>
        <v/>
      </c>
    </row>
    <row r="171" customFormat="false" ht="15" hidden="false" customHeight="false" outlineLevel="0" collapsed="false">
      <c r="A171" s="12"/>
      <c r="B171" s="12"/>
      <c r="C171" s="13"/>
      <c r="D171" s="14"/>
      <c r="E171" s="15"/>
      <c r="F171" s="15"/>
      <c r="G171" s="14"/>
      <c r="H171" s="16" t="str">
        <f aca="false">IF(A171="","",IF(F171&lt;&gt;"","Bitti",IF(E171&lt;&gt;"","Okunuyor","Sırada")))</f>
        <v/>
      </c>
      <c r="I171" s="17" t="str">
        <f aca="false">IF(OR(E171="",F171=""),"",F171-E171+1)</f>
        <v/>
      </c>
      <c r="J171" s="18" t="str">
        <f aca="false">IF(OR(I171="",D171=""),"",D171/I171)</f>
        <v/>
      </c>
      <c r="K171" s="19" t="str">
        <f aca="false">IF(AND(A171&lt;&gt;"",G171&lt;&gt;""),G171+ROW()/1000000,"")</f>
        <v/>
      </c>
    </row>
    <row r="172" customFormat="false" ht="15" hidden="false" customHeight="false" outlineLevel="0" collapsed="false">
      <c r="A172" s="12"/>
      <c r="B172" s="12"/>
      <c r="C172" s="13"/>
      <c r="D172" s="14"/>
      <c r="E172" s="15"/>
      <c r="F172" s="15"/>
      <c r="G172" s="14"/>
      <c r="H172" s="16" t="str">
        <f aca="false">IF(A172="","",IF(F172&lt;&gt;"","Bitti",IF(E172&lt;&gt;"","Okunuyor","Sırada")))</f>
        <v/>
      </c>
      <c r="I172" s="17" t="str">
        <f aca="false">IF(OR(E172="",F172=""),"",F172-E172+1)</f>
        <v/>
      </c>
      <c r="J172" s="18" t="str">
        <f aca="false">IF(OR(I172="",D172=""),"",D172/I172)</f>
        <v/>
      </c>
      <c r="K172" s="19" t="str">
        <f aca="false">IF(AND(A172&lt;&gt;"",G172&lt;&gt;""),G172+ROW()/1000000,"")</f>
        <v/>
      </c>
    </row>
    <row r="173" customFormat="false" ht="15" hidden="false" customHeight="false" outlineLevel="0" collapsed="false">
      <c r="A173" s="12"/>
      <c r="B173" s="12"/>
      <c r="C173" s="13"/>
      <c r="D173" s="14"/>
      <c r="E173" s="15"/>
      <c r="F173" s="15"/>
      <c r="G173" s="14"/>
      <c r="H173" s="16" t="str">
        <f aca="false">IF(A173="","",IF(F173&lt;&gt;"","Bitti",IF(E173&lt;&gt;"","Okunuyor","Sırada")))</f>
        <v/>
      </c>
      <c r="I173" s="17" t="str">
        <f aca="false">IF(OR(E173="",F173=""),"",F173-E173+1)</f>
        <v/>
      </c>
      <c r="J173" s="18" t="str">
        <f aca="false">IF(OR(I173="",D173=""),"",D173/I173)</f>
        <v/>
      </c>
      <c r="K173" s="19" t="str">
        <f aca="false">IF(AND(A173&lt;&gt;"",G173&lt;&gt;""),G173+ROW()/1000000,"")</f>
        <v/>
      </c>
    </row>
    <row r="174" customFormat="false" ht="15" hidden="false" customHeight="false" outlineLevel="0" collapsed="false">
      <c r="A174" s="12"/>
      <c r="B174" s="12"/>
      <c r="C174" s="13"/>
      <c r="D174" s="14"/>
      <c r="E174" s="15"/>
      <c r="F174" s="15"/>
      <c r="G174" s="14"/>
      <c r="H174" s="16" t="str">
        <f aca="false">IF(A174="","",IF(F174&lt;&gt;"","Bitti",IF(E174&lt;&gt;"","Okunuyor","Sırada")))</f>
        <v/>
      </c>
      <c r="I174" s="17" t="str">
        <f aca="false">IF(OR(E174="",F174=""),"",F174-E174+1)</f>
        <v/>
      </c>
      <c r="J174" s="18" t="str">
        <f aca="false">IF(OR(I174="",D174=""),"",D174/I174)</f>
        <v/>
      </c>
      <c r="K174" s="19" t="str">
        <f aca="false">IF(AND(A174&lt;&gt;"",G174&lt;&gt;""),G174+ROW()/1000000,"")</f>
        <v/>
      </c>
    </row>
    <row r="175" customFormat="false" ht="15" hidden="false" customHeight="false" outlineLevel="0" collapsed="false">
      <c r="A175" s="12"/>
      <c r="B175" s="12"/>
      <c r="C175" s="13"/>
      <c r="D175" s="14"/>
      <c r="E175" s="15"/>
      <c r="F175" s="15"/>
      <c r="G175" s="14"/>
      <c r="H175" s="16" t="str">
        <f aca="false">IF(A175="","",IF(F175&lt;&gt;"","Bitti",IF(E175&lt;&gt;"","Okunuyor","Sırada")))</f>
        <v/>
      </c>
      <c r="I175" s="17" t="str">
        <f aca="false">IF(OR(E175="",F175=""),"",F175-E175+1)</f>
        <v/>
      </c>
      <c r="J175" s="18" t="str">
        <f aca="false">IF(OR(I175="",D175=""),"",D175/I175)</f>
        <v/>
      </c>
      <c r="K175" s="19" t="str">
        <f aca="false">IF(AND(A175&lt;&gt;"",G175&lt;&gt;""),G175+ROW()/1000000,"")</f>
        <v/>
      </c>
    </row>
    <row r="176" customFormat="false" ht="15" hidden="false" customHeight="false" outlineLevel="0" collapsed="false">
      <c r="A176" s="12"/>
      <c r="B176" s="12"/>
      <c r="C176" s="13"/>
      <c r="D176" s="14"/>
      <c r="E176" s="15"/>
      <c r="F176" s="15"/>
      <c r="G176" s="14"/>
      <c r="H176" s="16" t="str">
        <f aca="false">IF(A176="","",IF(F176&lt;&gt;"","Bitti",IF(E176&lt;&gt;"","Okunuyor","Sırada")))</f>
        <v/>
      </c>
      <c r="I176" s="17" t="str">
        <f aca="false">IF(OR(E176="",F176=""),"",F176-E176+1)</f>
        <v/>
      </c>
      <c r="J176" s="18" t="str">
        <f aca="false">IF(OR(I176="",D176=""),"",D176/I176)</f>
        <v/>
      </c>
      <c r="K176" s="19" t="str">
        <f aca="false">IF(AND(A176&lt;&gt;"",G176&lt;&gt;""),G176+ROW()/1000000,"")</f>
        <v/>
      </c>
    </row>
    <row r="177" customFormat="false" ht="15" hidden="false" customHeight="false" outlineLevel="0" collapsed="false">
      <c r="A177" s="12"/>
      <c r="B177" s="12"/>
      <c r="C177" s="13"/>
      <c r="D177" s="14"/>
      <c r="E177" s="15"/>
      <c r="F177" s="15"/>
      <c r="G177" s="14"/>
      <c r="H177" s="16" t="str">
        <f aca="false">IF(A177="","",IF(F177&lt;&gt;"","Bitti",IF(E177&lt;&gt;"","Okunuyor","Sırada")))</f>
        <v/>
      </c>
      <c r="I177" s="17" t="str">
        <f aca="false">IF(OR(E177="",F177=""),"",F177-E177+1)</f>
        <v/>
      </c>
      <c r="J177" s="18" t="str">
        <f aca="false">IF(OR(I177="",D177=""),"",D177/I177)</f>
        <v/>
      </c>
      <c r="K177" s="19" t="str">
        <f aca="false">IF(AND(A177&lt;&gt;"",G177&lt;&gt;""),G177+ROW()/1000000,"")</f>
        <v/>
      </c>
    </row>
    <row r="178" customFormat="false" ht="15" hidden="false" customHeight="false" outlineLevel="0" collapsed="false">
      <c r="A178" s="12"/>
      <c r="B178" s="12"/>
      <c r="C178" s="13"/>
      <c r="D178" s="14"/>
      <c r="E178" s="15"/>
      <c r="F178" s="15"/>
      <c r="G178" s="14"/>
      <c r="H178" s="16" t="str">
        <f aca="false">IF(A178="","",IF(F178&lt;&gt;"","Bitti",IF(E178&lt;&gt;"","Okunuyor","Sırada")))</f>
        <v/>
      </c>
      <c r="I178" s="17" t="str">
        <f aca="false">IF(OR(E178="",F178=""),"",F178-E178+1)</f>
        <v/>
      </c>
      <c r="J178" s="18" t="str">
        <f aca="false">IF(OR(I178="",D178=""),"",D178/I178)</f>
        <v/>
      </c>
      <c r="K178" s="19" t="str">
        <f aca="false">IF(AND(A178&lt;&gt;"",G178&lt;&gt;""),G178+ROW()/1000000,"")</f>
        <v/>
      </c>
    </row>
    <row r="179" customFormat="false" ht="15" hidden="false" customHeight="false" outlineLevel="0" collapsed="false">
      <c r="A179" s="12"/>
      <c r="B179" s="12"/>
      <c r="C179" s="13"/>
      <c r="D179" s="14"/>
      <c r="E179" s="15"/>
      <c r="F179" s="15"/>
      <c r="G179" s="14"/>
      <c r="H179" s="16" t="str">
        <f aca="false">IF(A179="","",IF(F179&lt;&gt;"","Bitti",IF(E179&lt;&gt;"","Okunuyor","Sırada")))</f>
        <v/>
      </c>
      <c r="I179" s="17" t="str">
        <f aca="false">IF(OR(E179="",F179=""),"",F179-E179+1)</f>
        <v/>
      </c>
      <c r="J179" s="18" t="str">
        <f aca="false">IF(OR(I179="",D179=""),"",D179/I179)</f>
        <v/>
      </c>
      <c r="K179" s="19" t="str">
        <f aca="false">IF(AND(A179&lt;&gt;"",G179&lt;&gt;""),G179+ROW()/1000000,"")</f>
        <v/>
      </c>
    </row>
    <row r="180" customFormat="false" ht="15" hidden="false" customHeight="false" outlineLevel="0" collapsed="false">
      <c r="A180" s="12"/>
      <c r="B180" s="12"/>
      <c r="C180" s="13"/>
      <c r="D180" s="14"/>
      <c r="E180" s="15"/>
      <c r="F180" s="15"/>
      <c r="G180" s="14"/>
      <c r="H180" s="16" t="str">
        <f aca="false">IF(A180="","",IF(F180&lt;&gt;"","Bitti",IF(E180&lt;&gt;"","Okunuyor","Sırada")))</f>
        <v/>
      </c>
      <c r="I180" s="17" t="str">
        <f aca="false">IF(OR(E180="",F180=""),"",F180-E180+1)</f>
        <v/>
      </c>
      <c r="J180" s="18" t="str">
        <f aca="false">IF(OR(I180="",D180=""),"",D180/I180)</f>
        <v/>
      </c>
      <c r="K180" s="19" t="str">
        <f aca="false">IF(AND(A180&lt;&gt;"",G180&lt;&gt;""),G180+ROW()/1000000,"")</f>
        <v/>
      </c>
    </row>
    <row r="181" customFormat="false" ht="15" hidden="false" customHeight="false" outlineLevel="0" collapsed="false">
      <c r="A181" s="12"/>
      <c r="B181" s="12"/>
      <c r="C181" s="13"/>
      <c r="D181" s="14"/>
      <c r="E181" s="15"/>
      <c r="F181" s="15"/>
      <c r="G181" s="14"/>
      <c r="H181" s="16" t="str">
        <f aca="false">IF(A181="","",IF(F181&lt;&gt;"","Bitti",IF(E181&lt;&gt;"","Okunuyor","Sırada")))</f>
        <v/>
      </c>
      <c r="I181" s="17" t="str">
        <f aca="false">IF(OR(E181="",F181=""),"",F181-E181+1)</f>
        <v/>
      </c>
      <c r="J181" s="18" t="str">
        <f aca="false">IF(OR(I181="",D181=""),"",D181/I181)</f>
        <v/>
      </c>
      <c r="K181" s="19" t="str">
        <f aca="false">IF(AND(A181&lt;&gt;"",G181&lt;&gt;""),G181+ROW()/1000000,"")</f>
        <v/>
      </c>
    </row>
    <row r="182" customFormat="false" ht="15" hidden="false" customHeight="false" outlineLevel="0" collapsed="false">
      <c r="A182" s="12"/>
      <c r="B182" s="12"/>
      <c r="C182" s="13"/>
      <c r="D182" s="14"/>
      <c r="E182" s="15"/>
      <c r="F182" s="15"/>
      <c r="G182" s="14"/>
      <c r="H182" s="16" t="str">
        <f aca="false">IF(A182="","",IF(F182&lt;&gt;"","Bitti",IF(E182&lt;&gt;"","Okunuyor","Sırada")))</f>
        <v/>
      </c>
      <c r="I182" s="17" t="str">
        <f aca="false">IF(OR(E182="",F182=""),"",F182-E182+1)</f>
        <v/>
      </c>
      <c r="J182" s="18" t="str">
        <f aca="false">IF(OR(I182="",D182=""),"",D182/I182)</f>
        <v/>
      </c>
      <c r="K182" s="19" t="str">
        <f aca="false">IF(AND(A182&lt;&gt;"",G182&lt;&gt;""),G182+ROW()/1000000,"")</f>
        <v/>
      </c>
    </row>
    <row r="183" customFormat="false" ht="15" hidden="false" customHeight="false" outlineLevel="0" collapsed="false">
      <c r="A183" s="12"/>
      <c r="B183" s="12"/>
      <c r="C183" s="13"/>
      <c r="D183" s="14"/>
      <c r="E183" s="15"/>
      <c r="F183" s="15"/>
      <c r="G183" s="14"/>
      <c r="H183" s="16" t="str">
        <f aca="false">IF(A183="","",IF(F183&lt;&gt;"","Bitti",IF(E183&lt;&gt;"","Okunuyor","Sırada")))</f>
        <v/>
      </c>
      <c r="I183" s="17" t="str">
        <f aca="false">IF(OR(E183="",F183=""),"",F183-E183+1)</f>
        <v/>
      </c>
      <c r="J183" s="18" t="str">
        <f aca="false">IF(OR(I183="",D183=""),"",D183/I183)</f>
        <v/>
      </c>
      <c r="K183" s="19" t="str">
        <f aca="false">IF(AND(A183&lt;&gt;"",G183&lt;&gt;""),G183+ROW()/1000000,"")</f>
        <v/>
      </c>
    </row>
    <row r="184" customFormat="false" ht="15" hidden="false" customHeight="false" outlineLevel="0" collapsed="false">
      <c r="A184" s="12"/>
      <c r="B184" s="12"/>
      <c r="C184" s="13"/>
      <c r="D184" s="14"/>
      <c r="E184" s="15"/>
      <c r="F184" s="15"/>
      <c r="G184" s="14"/>
      <c r="H184" s="16" t="str">
        <f aca="false">IF(A184="","",IF(F184&lt;&gt;"","Bitti",IF(E184&lt;&gt;"","Okunuyor","Sırada")))</f>
        <v/>
      </c>
      <c r="I184" s="17" t="str">
        <f aca="false">IF(OR(E184="",F184=""),"",F184-E184+1)</f>
        <v/>
      </c>
      <c r="J184" s="18" t="str">
        <f aca="false">IF(OR(I184="",D184=""),"",D184/I184)</f>
        <v/>
      </c>
      <c r="K184" s="19" t="str">
        <f aca="false">IF(AND(A184&lt;&gt;"",G184&lt;&gt;""),G184+ROW()/1000000,"")</f>
        <v/>
      </c>
    </row>
    <row r="185" customFormat="false" ht="15" hidden="false" customHeight="false" outlineLevel="0" collapsed="false">
      <c r="A185" s="12"/>
      <c r="B185" s="12"/>
      <c r="C185" s="13"/>
      <c r="D185" s="14"/>
      <c r="E185" s="15"/>
      <c r="F185" s="15"/>
      <c r="G185" s="14"/>
      <c r="H185" s="16" t="str">
        <f aca="false">IF(A185="","",IF(F185&lt;&gt;"","Bitti",IF(E185&lt;&gt;"","Okunuyor","Sırada")))</f>
        <v/>
      </c>
      <c r="I185" s="17" t="str">
        <f aca="false">IF(OR(E185="",F185=""),"",F185-E185+1)</f>
        <v/>
      </c>
      <c r="J185" s="18" t="str">
        <f aca="false">IF(OR(I185="",D185=""),"",D185/I185)</f>
        <v/>
      </c>
      <c r="K185" s="19" t="str">
        <f aca="false">IF(AND(A185&lt;&gt;"",G185&lt;&gt;""),G185+ROW()/1000000,"")</f>
        <v/>
      </c>
    </row>
    <row r="186" customFormat="false" ht="15" hidden="false" customHeight="false" outlineLevel="0" collapsed="false">
      <c r="A186" s="12"/>
      <c r="B186" s="12"/>
      <c r="C186" s="13"/>
      <c r="D186" s="14"/>
      <c r="E186" s="15"/>
      <c r="F186" s="15"/>
      <c r="G186" s="14"/>
      <c r="H186" s="16" t="str">
        <f aca="false">IF(A186="","",IF(F186&lt;&gt;"","Bitti",IF(E186&lt;&gt;"","Okunuyor","Sırada")))</f>
        <v/>
      </c>
      <c r="I186" s="17" t="str">
        <f aca="false">IF(OR(E186="",F186=""),"",F186-E186+1)</f>
        <v/>
      </c>
      <c r="J186" s="18" t="str">
        <f aca="false">IF(OR(I186="",D186=""),"",D186/I186)</f>
        <v/>
      </c>
      <c r="K186" s="19" t="str">
        <f aca="false">IF(AND(A186&lt;&gt;"",G186&lt;&gt;""),G186+ROW()/1000000,"")</f>
        <v/>
      </c>
    </row>
    <row r="187" customFormat="false" ht="15" hidden="false" customHeight="false" outlineLevel="0" collapsed="false">
      <c r="A187" s="12"/>
      <c r="B187" s="12"/>
      <c r="C187" s="13"/>
      <c r="D187" s="14"/>
      <c r="E187" s="15"/>
      <c r="F187" s="15"/>
      <c r="G187" s="14"/>
      <c r="H187" s="16" t="str">
        <f aca="false">IF(A187="","",IF(F187&lt;&gt;"","Bitti",IF(E187&lt;&gt;"","Okunuyor","Sırada")))</f>
        <v/>
      </c>
      <c r="I187" s="17" t="str">
        <f aca="false">IF(OR(E187="",F187=""),"",F187-E187+1)</f>
        <v/>
      </c>
      <c r="J187" s="18" t="str">
        <f aca="false">IF(OR(I187="",D187=""),"",D187/I187)</f>
        <v/>
      </c>
      <c r="K187" s="19" t="str">
        <f aca="false">IF(AND(A187&lt;&gt;"",G187&lt;&gt;""),G187+ROW()/1000000,"")</f>
        <v/>
      </c>
    </row>
    <row r="188" customFormat="false" ht="15" hidden="false" customHeight="false" outlineLevel="0" collapsed="false">
      <c r="A188" s="12"/>
      <c r="B188" s="12"/>
      <c r="C188" s="13"/>
      <c r="D188" s="14"/>
      <c r="E188" s="15"/>
      <c r="F188" s="15"/>
      <c r="G188" s="14"/>
      <c r="H188" s="16" t="str">
        <f aca="false">IF(A188="","",IF(F188&lt;&gt;"","Bitti",IF(E188&lt;&gt;"","Okunuyor","Sırada")))</f>
        <v/>
      </c>
      <c r="I188" s="17" t="str">
        <f aca="false">IF(OR(E188="",F188=""),"",F188-E188+1)</f>
        <v/>
      </c>
      <c r="J188" s="18" t="str">
        <f aca="false">IF(OR(I188="",D188=""),"",D188/I188)</f>
        <v/>
      </c>
      <c r="K188" s="19" t="str">
        <f aca="false">IF(AND(A188&lt;&gt;"",G188&lt;&gt;""),G188+ROW()/1000000,"")</f>
        <v/>
      </c>
    </row>
    <row r="189" customFormat="false" ht="15" hidden="false" customHeight="false" outlineLevel="0" collapsed="false">
      <c r="A189" s="12"/>
      <c r="B189" s="12"/>
      <c r="C189" s="13"/>
      <c r="D189" s="14"/>
      <c r="E189" s="15"/>
      <c r="F189" s="15"/>
      <c r="G189" s="14"/>
      <c r="H189" s="16" t="str">
        <f aca="false">IF(A189="","",IF(F189&lt;&gt;"","Bitti",IF(E189&lt;&gt;"","Okunuyor","Sırada")))</f>
        <v/>
      </c>
      <c r="I189" s="17" t="str">
        <f aca="false">IF(OR(E189="",F189=""),"",F189-E189+1)</f>
        <v/>
      </c>
      <c r="J189" s="18" t="str">
        <f aca="false">IF(OR(I189="",D189=""),"",D189/I189)</f>
        <v/>
      </c>
      <c r="K189" s="19" t="str">
        <f aca="false">IF(AND(A189&lt;&gt;"",G189&lt;&gt;""),G189+ROW()/1000000,"")</f>
        <v/>
      </c>
    </row>
    <row r="190" customFormat="false" ht="15" hidden="false" customHeight="false" outlineLevel="0" collapsed="false">
      <c r="A190" s="12"/>
      <c r="B190" s="12"/>
      <c r="C190" s="13"/>
      <c r="D190" s="14"/>
      <c r="E190" s="15"/>
      <c r="F190" s="15"/>
      <c r="G190" s="14"/>
      <c r="H190" s="16" t="str">
        <f aca="false">IF(A190="","",IF(F190&lt;&gt;"","Bitti",IF(E190&lt;&gt;"","Okunuyor","Sırada")))</f>
        <v/>
      </c>
      <c r="I190" s="17" t="str">
        <f aca="false">IF(OR(E190="",F190=""),"",F190-E190+1)</f>
        <v/>
      </c>
      <c r="J190" s="18" t="str">
        <f aca="false">IF(OR(I190="",D190=""),"",D190/I190)</f>
        <v/>
      </c>
      <c r="K190" s="19" t="str">
        <f aca="false">IF(AND(A190&lt;&gt;"",G190&lt;&gt;""),G190+ROW()/1000000,"")</f>
        <v/>
      </c>
    </row>
    <row r="191" customFormat="false" ht="15" hidden="false" customHeight="false" outlineLevel="0" collapsed="false">
      <c r="A191" s="12"/>
      <c r="B191" s="12"/>
      <c r="C191" s="13"/>
      <c r="D191" s="14"/>
      <c r="E191" s="15"/>
      <c r="F191" s="15"/>
      <c r="G191" s="14"/>
      <c r="H191" s="16" t="str">
        <f aca="false">IF(A191="","",IF(F191&lt;&gt;"","Bitti",IF(E191&lt;&gt;"","Okunuyor","Sırada")))</f>
        <v/>
      </c>
      <c r="I191" s="17" t="str">
        <f aca="false">IF(OR(E191="",F191=""),"",F191-E191+1)</f>
        <v/>
      </c>
      <c r="J191" s="18" t="str">
        <f aca="false">IF(OR(I191="",D191=""),"",D191/I191)</f>
        <v/>
      </c>
      <c r="K191" s="19" t="str">
        <f aca="false">IF(AND(A191&lt;&gt;"",G191&lt;&gt;""),G191+ROW()/1000000,"")</f>
        <v/>
      </c>
    </row>
    <row r="192" customFormat="false" ht="15" hidden="false" customHeight="false" outlineLevel="0" collapsed="false">
      <c r="A192" s="12"/>
      <c r="B192" s="12"/>
      <c r="C192" s="13"/>
      <c r="D192" s="14"/>
      <c r="E192" s="15"/>
      <c r="F192" s="15"/>
      <c r="G192" s="14"/>
      <c r="H192" s="16" t="str">
        <f aca="false">IF(A192="","",IF(F192&lt;&gt;"","Bitti",IF(E192&lt;&gt;"","Okunuyor","Sırada")))</f>
        <v/>
      </c>
      <c r="I192" s="17" t="str">
        <f aca="false">IF(OR(E192="",F192=""),"",F192-E192+1)</f>
        <v/>
      </c>
      <c r="J192" s="18" t="str">
        <f aca="false">IF(OR(I192="",D192=""),"",D192/I192)</f>
        <v/>
      </c>
      <c r="K192" s="19" t="str">
        <f aca="false">IF(AND(A192&lt;&gt;"",G192&lt;&gt;""),G192+ROW()/1000000,"")</f>
        <v/>
      </c>
    </row>
    <row r="193" customFormat="false" ht="15" hidden="false" customHeight="false" outlineLevel="0" collapsed="false">
      <c r="A193" s="12"/>
      <c r="B193" s="12"/>
      <c r="C193" s="13"/>
      <c r="D193" s="14"/>
      <c r="E193" s="15"/>
      <c r="F193" s="15"/>
      <c r="G193" s="14"/>
      <c r="H193" s="16" t="str">
        <f aca="false">IF(A193="","",IF(F193&lt;&gt;"","Bitti",IF(E193&lt;&gt;"","Okunuyor","Sırada")))</f>
        <v/>
      </c>
      <c r="I193" s="17" t="str">
        <f aca="false">IF(OR(E193="",F193=""),"",F193-E193+1)</f>
        <v/>
      </c>
      <c r="J193" s="18" t="str">
        <f aca="false">IF(OR(I193="",D193=""),"",D193/I193)</f>
        <v/>
      </c>
      <c r="K193" s="19" t="str">
        <f aca="false">IF(AND(A193&lt;&gt;"",G193&lt;&gt;""),G193+ROW()/1000000,"")</f>
        <v/>
      </c>
    </row>
    <row r="194" customFormat="false" ht="15" hidden="false" customHeight="false" outlineLevel="0" collapsed="false">
      <c r="A194" s="12"/>
      <c r="B194" s="12"/>
      <c r="C194" s="13"/>
      <c r="D194" s="14"/>
      <c r="E194" s="15"/>
      <c r="F194" s="15"/>
      <c r="G194" s="14"/>
      <c r="H194" s="16" t="str">
        <f aca="false">IF(A194="","",IF(F194&lt;&gt;"","Bitti",IF(E194&lt;&gt;"","Okunuyor","Sırada")))</f>
        <v/>
      </c>
      <c r="I194" s="17" t="str">
        <f aca="false">IF(OR(E194="",F194=""),"",F194-E194+1)</f>
        <v/>
      </c>
      <c r="J194" s="18" t="str">
        <f aca="false">IF(OR(I194="",D194=""),"",D194/I194)</f>
        <v/>
      </c>
      <c r="K194" s="19" t="str">
        <f aca="false">IF(AND(A194&lt;&gt;"",G194&lt;&gt;""),G194+ROW()/1000000,"")</f>
        <v/>
      </c>
    </row>
    <row r="195" customFormat="false" ht="15" hidden="false" customHeight="false" outlineLevel="0" collapsed="false">
      <c r="A195" s="12"/>
      <c r="B195" s="12"/>
      <c r="C195" s="13"/>
      <c r="D195" s="14"/>
      <c r="E195" s="15"/>
      <c r="F195" s="15"/>
      <c r="G195" s="14"/>
      <c r="H195" s="16" t="str">
        <f aca="false">IF(A195="","",IF(F195&lt;&gt;"","Bitti",IF(E195&lt;&gt;"","Okunuyor","Sırada")))</f>
        <v/>
      </c>
      <c r="I195" s="17" t="str">
        <f aca="false">IF(OR(E195="",F195=""),"",F195-E195+1)</f>
        <v/>
      </c>
      <c r="J195" s="18" t="str">
        <f aca="false">IF(OR(I195="",D195=""),"",D195/I195)</f>
        <v/>
      </c>
      <c r="K195" s="19" t="str">
        <f aca="false">IF(AND(A195&lt;&gt;"",G195&lt;&gt;""),G195+ROW()/1000000,"")</f>
        <v/>
      </c>
    </row>
    <row r="196" customFormat="false" ht="15" hidden="false" customHeight="false" outlineLevel="0" collapsed="false">
      <c r="A196" s="12"/>
      <c r="B196" s="12"/>
      <c r="C196" s="13"/>
      <c r="D196" s="14"/>
      <c r="E196" s="15"/>
      <c r="F196" s="15"/>
      <c r="G196" s="14"/>
      <c r="H196" s="16" t="str">
        <f aca="false">IF(A196="","",IF(F196&lt;&gt;"","Bitti",IF(E196&lt;&gt;"","Okunuyor","Sırada")))</f>
        <v/>
      </c>
      <c r="I196" s="17" t="str">
        <f aca="false">IF(OR(E196="",F196=""),"",F196-E196+1)</f>
        <v/>
      </c>
      <c r="J196" s="18" t="str">
        <f aca="false">IF(OR(I196="",D196=""),"",D196/I196)</f>
        <v/>
      </c>
      <c r="K196" s="19" t="str">
        <f aca="false">IF(AND(A196&lt;&gt;"",G196&lt;&gt;""),G196+ROW()/1000000,"")</f>
        <v/>
      </c>
    </row>
    <row r="197" customFormat="false" ht="15" hidden="false" customHeight="false" outlineLevel="0" collapsed="false">
      <c r="A197" s="12"/>
      <c r="B197" s="12"/>
      <c r="C197" s="13"/>
      <c r="D197" s="14"/>
      <c r="E197" s="15"/>
      <c r="F197" s="15"/>
      <c r="G197" s="14"/>
      <c r="H197" s="16" t="str">
        <f aca="false">IF(A197="","",IF(F197&lt;&gt;"","Bitti",IF(E197&lt;&gt;"","Okunuyor","Sırada")))</f>
        <v/>
      </c>
      <c r="I197" s="17" t="str">
        <f aca="false">IF(OR(E197="",F197=""),"",F197-E197+1)</f>
        <v/>
      </c>
      <c r="J197" s="18" t="str">
        <f aca="false">IF(OR(I197="",D197=""),"",D197/I197)</f>
        <v/>
      </c>
      <c r="K197" s="19" t="str">
        <f aca="false">IF(AND(A197&lt;&gt;"",G197&lt;&gt;""),G197+ROW()/1000000,"")</f>
        <v/>
      </c>
    </row>
    <row r="198" customFormat="false" ht="15" hidden="false" customHeight="false" outlineLevel="0" collapsed="false">
      <c r="A198" s="12"/>
      <c r="B198" s="12"/>
      <c r="C198" s="13"/>
      <c r="D198" s="14"/>
      <c r="E198" s="15"/>
      <c r="F198" s="15"/>
      <c r="G198" s="14"/>
      <c r="H198" s="16" t="str">
        <f aca="false">IF(A198="","",IF(F198&lt;&gt;"","Bitti",IF(E198&lt;&gt;"","Okunuyor","Sırada")))</f>
        <v/>
      </c>
      <c r="I198" s="17" t="str">
        <f aca="false">IF(OR(E198="",F198=""),"",F198-E198+1)</f>
        <v/>
      </c>
      <c r="J198" s="18" t="str">
        <f aca="false">IF(OR(I198="",D198=""),"",D198/I198)</f>
        <v/>
      </c>
      <c r="K198" s="19" t="str">
        <f aca="false">IF(AND(A198&lt;&gt;"",G198&lt;&gt;""),G198+ROW()/1000000,"")</f>
        <v/>
      </c>
    </row>
    <row r="199" customFormat="false" ht="15" hidden="false" customHeight="false" outlineLevel="0" collapsed="false">
      <c r="A199" s="12"/>
      <c r="B199" s="12"/>
      <c r="C199" s="13"/>
      <c r="D199" s="14"/>
      <c r="E199" s="15"/>
      <c r="F199" s="15"/>
      <c r="G199" s="14"/>
      <c r="H199" s="16" t="str">
        <f aca="false">IF(A199="","",IF(F199&lt;&gt;"","Bitti",IF(E199&lt;&gt;"","Okunuyor","Sırada")))</f>
        <v/>
      </c>
      <c r="I199" s="17" t="str">
        <f aca="false">IF(OR(E199="",F199=""),"",F199-E199+1)</f>
        <v/>
      </c>
      <c r="J199" s="18" t="str">
        <f aca="false">IF(OR(I199="",D199=""),"",D199/I199)</f>
        <v/>
      </c>
      <c r="K199" s="19" t="str">
        <f aca="false">IF(AND(A199&lt;&gt;"",G199&lt;&gt;""),G199+ROW()/1000000,"")</f>
        <v/>
      </c>
    </row>
    <row r="200" customFormat="false" ht="15" hidden="false" customHeight="false" outlineLevel="0" collapsed="false">
      <c r="A200" s="12"/>
      <c r="B200" s="12"/>
      <c r="C200" s="13"/>
      <c r="D200" s="14"/>
      <c r="E200" s="15"/>
      <c r="F200" s="15"/>
      <c r="G200" s="14"/>
      <c r="H200" s="16" t="str">
        <f aca="false">IF(A200="","",IF(F200&lt;&gt;"","Bitti",IF(E200&lt;&gt;"","Okunuyor","Sırada")))</f>
        <v/>
      </c>
      <c r="I200" s="17" t="str">
        <f aca="false">IF(OR(E200="",F200=""),"",F200-E200+1)</f>
        <v/>
      </c>
      <c r="J200" s="18" t="str">
        <f aca="false">IF(OR(I200="",D200=""),"",D200/I200)</f>
        <v/>
      </c>
      <c r="K200" s="19" t="str">
        <f aca="false">IF(AND(A200&lt;&gt;"",G200&lt;&gt;""),G200+ROW()/1000000,"")</f>
        <v/>
      </c>
    </row>
    <row r="201" customFormat="false" ht="15" hidden="false" customHeight="false" outlineLevel="0" collapsed="false">
      <c r="A201" s="12"/>
      <c r="B201" s="12"/>
      <c r="C201" s="13"/>
      <c r="D201" s="14"/>
      <c r="E201" s="15"/>
      <c r="F201" s="15"/>
      <c r="G201" s="14"/>
      <c r="H201" s="16" t="str">
        <f aca="false">IF(A201="","",IF(F201&lt;&gt;"","Bitti",IF(E201&lt;&gt;"","Okunuyor","Sırada")))</f>
        <v/>
      </c>
      <c r="I201" s="17" t="str">
        <f aca="false">IF(OR(E201="",F201=""),"",F201-E201+1)</f>
        <v/>
      </c>
      <c r="J201" s="18" t="str">
        <f aca="false">IF(OR(I201="",D201=""),"",D201/I201)</f>
        <v/>
      </c>
      <c r="K201" s="19" t="str">
        <f aca="false">IF(AND(A201&lt;&gt;"",G201&lt;&gt;""),G201+ROW()/1000000,"")</f>
        <v/>
      </c>
    </row>
    <row r="202" customFormat="false" ht="15" hidden="false" customHeight="false" outlineLevel="0" collapsed="false">
      <c r="A202" s="12"/>
      <c r="B202" s="12"/>
      <c r="C202" s="13"/>
      <c r="D202" s="14"/>
      <c r="E202" s="15"/>
      <c r="F202" s="15"/>
      <c r="G202" s="14"/>
      <c r="H202" s="16" t="str">
        <f aca="false">IF(A202="","",IF(F202&lt;&gt;"","Bitti",IF(E202&lt;&gt;"","Okunuyor","Sırada")))</f>
        <v/>
      </c>
      <c r="I202" s="17" t="str">
        <f aca="false">IF(OR(E202="",F202=""),"",F202-E202+1)</f>
        <v/>
      </c>
      <c r="J202" s="18" t="str">
        <f aca="false">IF(OR(I202="",D202=""),"",D202/I202)</f>
        <v/>
      </c>
      <c r="K202" s="19" t="str">
        <f aca="false">IF(AND(A202&lt;&gt;"",G202&lt;&gt;""),G202+ROW()/1000000,"")</f>
        <v/>
      </c>
    </row>
    <row r="203" customFormat="false" ht="15" hidden="false" customHeight="false" outlineLevel="0" collapsed="false">
      <c r="A203" s="12"/>
      <c r="B203" s="12"/>
      <c r="C203" s="13"/>
      <c r="D203" s="14"/>
      <c r="E203" s="15"/>
      <c r="F203" s="15"/>
      <c r="G203" s="14"/>
      <c r="H203" s="16" t="str">
        <f aca="false">IF(A203="","",IF(F203&lt;&gt;"","Bitti",IF(E203&lt;&gt;"","Okunuyor","Sırada")))</f>
        <v/>
      </c>
      <c r="I203" s="17" t="str">
        <f aca="false">IF(OR(E203="",F203=""),"",F203-E203+1)</f>
        <v/>
      </c>
      <c r="J203" s="18" t="str">
        <f aca="false">IF(OR(I203="",D203=""),"",D203/I203)</f>
        <v/>
      </c>
      <c r="K203" s="19" t="str">
        <f aca="false">IF(AND(A203&lt;&gt;"",G203&lt;&gt;""),G203+ROW()/1000000,"")</f>
        <v/>
      </c>
    </row>
    <row r="204" customFormat="false" ht="15" hidden="false" customHeight="false" outlineLevel="0" collapsed="false">
      <c r="A204" s="12"/>
      <c r="B204" s="12"/>
      <c r="C204" s="13"/>
      <c r="D204" s="14"/>
      <c r="E204" s="15"/>
      <c r="F204" s="15"/>
      <c r="G204" s="14"/>
      <c r="H204" s="16" t="str">
        <f aca="false">IF(A204="","",IF(F204&lt;&gt;"","Bitti",IF(E204&lt;&gt;"","Okunuyor","Sırada")))</f>
        <v/>
      </c>
      <c r="I204" s="17" t="str">
        <f aca="false">IF(OR(E204="",F204=""),"",F204-E204+1)</f>
        <v/>
      </c>
      <c r="J204" s="18" t="str">
        <f aca="false">IF(OR(I204="",D204=""),"",D204/I204)</f>
        <v/>
      </c>
      <c r="K204" s="19" t="str">
        <f aca="false">IF(AND(A204&lt;&gt;"",G204&lt;&gt;""),G204+ROW()/1000000,"")</f>
        <v/>
      </c>
    </row>
    <row r="205" customFormat="false" ht="15" hidden="false" customHeight="false" outlineLevel="0" collapsed="false">
      <c r="A205" s="12"/>
      <c r="B205" s="12"/>
      <c r="C205" s="13"/>
      <c r="D205" s="14"/>
      <c r="E205" s="15"/>
      <c r="F205" s="15"/>
      <c r="G205" s="14"/>
      <c r="H205" s="16" t="str">
        <f aca="false">IF(A205="","",IF(F205&lt;&gt;"","Bitti",IF(E205&lt;&gt;"","Okunuyor","Sırada")))</f>
        <v/>
      </c>
      <c r="I205" s="17" t="str">
        <f aca="false">IF(OR(E205="",F205=""),"",F205-E205+1)</f>
        <v/>
      </c>
      <c r="J205" s="18" t="str">
        <f aca="false">IF(OR(I205="",D205=""),"",D205/I205)</f>
        <v/>
      </c>
      <c r="K205" s="19" t="str">
        <f aca="false">IF(AND(A205&lt;&gt;"",G205&lt;&gt;""),G205+ROW()/1000000,"")</f>
        <v/>
      </c>
    </row>
    <row r="206" customFormat="false" ht="15" hidden="false" customHeight="false" outlineLevel="0" collapsed="false">
      <c r="A206" s="12"/>
      <c r="B206" s="12"/>
      <c r="C206" s="13"/>
      <c r="D206" s="14"/>
      <c r="E206" s="15"/>
      <c r="F206" s="15"/>
      <c r="G206" s="14"/>
      <c r="H206" s="16" t="str">
        <f aca="false">IF(A206="","",IF(F206&lt;&gt;"","Bitti",IF(E206&lt;&gt;"","Okunuyor","Sırada")))</f>
        <v/>
      </c>
      <c r="I206" s="17" t="str">
        <f aca="false">IF(OR(E206="",F206=""),"",F206-E206+1)</f>
        <v/>
      </c>
      <c r="J206" s="18" t="str">
        <f aca="false">IF(OR(I206="",D206=""),"",D206/I206)</f>
        <v/>
      </c>
      <c r="K206" s="19" t="str">
        <f aca="false">IF(AND(A206&lt;&gt;"",G206&lt;&gt;""),G206+ROW()/1000000,"")</f>
        <v/>
      </c>
    </row>
    <row r="207" customFormat="false" ht="15" hidden="false" customHeight="false" outlineLevel="0" collapsed="false">
      <c r="A207" s="12"/>
      <c r="B207" s="12"/>
      <c r="C207" s="13"/>
      <c r="D207" s="14"/>
      <c r="E207" s="15"/>
      <c r="F207" s="15"/>
      <c r="G207" s="14"/>
      <c r="H207" s="16" t="str">
        <f aca="false">IF(A207="","",IF(F207&lt;&gt;"","Bitti",IF(E207&lt;&gt;"","Okunuyor","Sırada")))</f>
        <v/>
      </c>
      <c r="I207" s="17" t="str">
        <f aca="false">IF(OR(E207="",F207=""),"",F207-E207+1)</f>
        <v/>
      </c>
      <c r="J207" s="18" t="str">
        <f aca="false">IF(OR(I207="",D207=""),"",D207/I207)</f>
        <v/>
      </c>
      <c r="K207" s="19" t="str">
        <f aca="false">IF(AND(A207&lt;&gt;"",G207&lt;&gt;""),G207+ROW()/1000000,"")</f>
        <v/>
      </c>
    </row>
    <row r="208" customFormat="false" ht="15" hidden="false" customHeight="false" outlineLevel="0" collapsed="false">
      <c r="A208" s="12"/>
      <c r="B208" s="12"/>
      <c r="C208" s="13"/>
      <c r="D208" s="14"/>
      <c r="E208" s="15"/>
      <c r="F208" s="15"/>
      <c r="G208" s="14"/>
      <c r="H208" s="16" t="str">
        <f aca="false">IF(A208="","",IF(F208&lt;&gt;"","Bitti",IF(E208&lt;&gt;"","Okunuyor","Sırada")))</f>
        <v/>
      </c>
      <c r="I208" s="17" t="str">
        <f aca="false">IF(OR(E208="",F208=""),"",F208-E208+1)</f>
        <v/>
      </c>
      <c r="J208" s="18" t="str">
        <f aca="false">IF(OR(I208="",D208=""),"",D208/I208)</f>
        <v/>
      </c>
      <c r="K208" s="19" t="str">
        <f aca="false">IF(AND(A208&lt;&gt;"",G208&lt;&gt;""),G208+ROW()/1000000,"")</f>
        <v/>
      </c>
    </row>
    <row r="209" customFormat="false" ht="15" hidden="false" customHeight="false" outlineLevel="0" collapsed="false">
      <c r="A209" s="12"/>
      <c r="B209" s="12"/>
      <c r="C209" s="13"/>
      <c r="D209" s="14"/>
      <c r="E209" s="15"/>
      <c r="F209" s="15"/>
      <c r="G209" s="14"/>
      <c r="H209" s="16" t="str">
        <f aca="false">IF(A209="","",IF(F209&lt;&gt;"","Bitti",IF(E209&lt;&gt;"","Okunuyor","Sırada")))</f>
        <v/>
      </c>
      <c r="I209" s="17" t="str">
        <f aca="false">IF(OR(E209="",F209=""),"",F209-E209+1)</f>
        <v/>
      </c>
      <c r="J209" s="18" t="str">
        <f aca="false">IF(OR(I209="",D209=""),"",D209/I209)</f>
        <v/>
      </c>
      <c r="K209" s="19" t="str">
        <f aca="false">IF(AND(A209&lt;&gt;"",G209&lt;&gt;""),G209+ROW()/1000000,"")</f>
        <v/>
      </c>
    </row>
    <row r="210" customFormat="false" ht="15" hidden="false" customHeight="false" outlineLevel="0" collapsed="false">
      <c r="A210" s="12"/>
      <c r="B210" s="12"/>
      <c r="C210" s="13"/>
      <c r="D210" s="14"/>
      <c r="E210" s="15"/>
      <c r="F210" s="15"/>
      <c r="G210" s="14"/>
      <c r="H210" s="16" t="str">
        <f aca="false">IF(A210="","",IF(F210&lt;&gt;"","Bitti",IF(E210&lt;&gt;"","Okunuyor","Sırada")))</f>
        <v/>
      </c>
      <c r="I210" s="17" t="str">
        <f aca="false">IF(OR(E210="",F210=""),"",F210-E210+1)</f>
        <v/>
      </c>
      <c r="J210" s="18" t="str">
        <f aca="false">IF(OR(I210="",D210=""),"",D210/I210)</f>
        <v/>
      </c>
      <c r="K210" s="19" t="str">
        <f aca="false">IF(AND(A210&lt;&gt;"",G210&lt;&gt;""),G210+ROW()/1000000,"")</f>
        <v/>
      </c>
    </row>
    <row r="211" customFormat="false" ht="15" hidden="false" customHeight="false" outlineLevel="0" collapsed="false">
      <c r="A211" s="12"/>
      <c r="B211" s="12"/>
      <c r="C211" s="13"/>
      <c r="D211" s="14"/>
      <c r="E211" s="15"/>
      <c r="F211" s="15"/>
      <c r="G211" s="14"/>
      <c r="H211" s="16" t="str">
        <f aca="false">IF(A211="","",IF(F211&lt;&gt;"","Bitti",IF(E211&lt;&gt;"","Okunuyor","Sırada")))</f>
        <v/>
      </c>
      <c r="I211" s="17" t="str">
        <f aca="false">IF(OR(E211="",F211=""),"",F211-E211+1)</f>
        <v/>
      </c>
      <c r="J211" s="18" t="str">
        <f aca="false">IF(OR(I211="",D211=""),"",D211/I211)</f>
        <v/>
      </c>
      <c r="K211" s="19" t="str">
        <f aca="false">IF(AND(A211&lt;&gt;"",G211&lt;&gt;""),G211+ROW()/1000000,"")</f>
        <v/>
      </c>
    </row>
    <row r="212" customFormat="false" ht="15" hidden="false" customHeight="false" outlineLevel="0" collapsed="false">
      <c r="A212" s="12"/>
      <c r="B212" s="12"/>
      <c r="C212" s="13"/>
      <c r="D212" s="14"/>
      <c r="E212" s="15"/>
      <c r="F212" s="15"/>
      <c r="G212" s="14"/>
      <c r="H212" s="16" t="str">
        <f aca="false">IF(A212="","",IF(F212&lt;&gt;"","Bitti",IF(E212&lt;&gt;"","Okunuyor","Sırada")))</f>
        <v/>
      </c>
      <c r="I212" s="17" t="str">
        <f aca="false">IF(OR(E212="",F212=""),"",F212-E212+1)</f>
        <v/>
      </c>
      <c r="J212" s="18" t="str">
        <f aca="false">IF(OR(I212="",D212=""),"",D212/I212)</f>
        <v/>
      </c>
      <c r="K212" s="19" t="str">
        <f aca="false">IF(AND(A212&lt;&gt;"",G212&lt;&gt;""),G212+ROW()/1000000,"")</f>
        <v/>
      </c>
    </row>
    <row r="213" customFormat="false" ht="15" hidden="false" customHeight="false" outlineLevel="0" collapsed="false">
      <c r="A213" s="12"/>
      <c r="B213" s="12"/>
      <c r="C213" s="13"/>
      <c r="D213" s="14"/>
      <c r="E213" s="15"/>
      <c r="F213" s="15"/>
      <c r="G213" s="14"/>
      <c r="H213" s="16" t="str">
        <f aca="false">IF(A213="","",IF(F213&lt;&gt;"","Bitti",IF(E213&lt;&gt;"","Okunuyor","Sırada")))</f>
        <v/>
      </c>
      <c r="I213" s="17" t="str">
        <f aca="false">IF(OR(E213="",F213=""),"",F213-E213+1)</f>
        <v/>
      </c>
      <c r="J213" s="18" t="str">
        <f aca="false">IF(OR(I213="",D213=""),"",D213/I213)</f>
        <v/>
      </c>
      <c r="K213" s="19" t="str">
        <f aca="false">IF(AND(A213&lt;&gt;"",G213&lt;&gt;""),G213+ROW()/1000000,"")</f>
        <v/>
      </c>
    </row>
    <row r="214" customFormat="false" ht="15" hidden="false" customHeight="false" outlineLevel="0" collapsed="false">
      <c r="A214" s="12"/>
      <c r="B214" s="12"/>
      <c r="C214" s="13"/>
      <c r="D214" s="14"/>
      <c r="E214" s="15"/>
      <c r="F214" s="15"/>
      <c r="G214" s="14"/>
      <c r="H214" s="16" t="str">
        <f aca="false">IF(A214="","",IF(F214&lt;&gt;"","Bitti",IF(E214&lt;&gt;"","Okunuyor","Sırada")))</f>
        <v/>
      </c>
      <c r="I214" s="17" t="str">
        <f aca="false">IF(OR(E214="",F214=""),"",F214-E214+1)</f>
        <v/>
      </c>
      <c r="J214" s="18" t="str">
        <f aca="false">IF(OR(I214="",D214=""),"",D214/I214)</f>
        <v/>
      </c>
      <c r="K214" s="19" t="str">
        <f aca="false">IF(AND(A214&lt;&gt;"",G214&lt;&gt;""),G214+ROW()/1000000,"")</f>
        <v/>
      </c>
    </row>
    <row r="215" customFormat="false" ht="15" hidden="false" customHeight="false" outlineLevel="0" collapsed="false">
      <c r="A215" s="12"/>
      <c r="B215" s="12"/>
      <c r="C215" s="13"/>
      <c r="D215" s="14"/>
      <c r="E215" s="15"/>
      <c r="F215" s="15"/>
      <c r="G215" s="14"/>
      <c r="H215" s="16" t="str">
        <f aca="false">IF(A215="","",IF(F215&lt;&gt;"","Bitti",IF(E215&lt;&gt;"","Okunuyor","Sırada")))</f>
        <v/>
      </c>
      <c r="I215" s="17" t="str">
        <f aca="false">IF(OR(E215="",F215=""),"",F215-E215+1)</f>
        <v/>
      </c>
      <c r="J215" s="18" t="str">
        <f aca="false">IF(OR(I215="",D215=""),"",D215/I215)</f>
        <v/>
      </c>
      <c r="K215" s="19" t="str">
        <f aca="false">IF(AND(A215&lt;&gt;"",G215&lt;&gt;""),G215+ROW()/1000000,"")</f>
        <v/>
      </c>
    </row>
    <row r="216" customFormat="false" ht="15" hidden="false" customHeight="false" outlineLevel="0" collapsed="false">
      <c r="A216" s="12"/>
      <c r="B216" s="12"/>
      <c r="C216" s="13"/>
      <c r="D216" s="14"/>
      <c r="E216" s="15"/>
      <c r="F216" s="15"/>
      <c r="G216" s="14"/>
      <c r="H216" s="16" t="str">
        <f aca="false">IF(A216="","",IF(F216&lt;&gt;"","Bitti",IF(E216&lt;&gt;"","Okunuyor","Sırada")))</f>
        <v/>
      </c>
      <c r="I216" s="17" t="str">
        <f aca="false">IF(OR(E216="",F216=""),"",F216-E216+1)</f>
        <v/>
      </c>
      <c r="J216" s="18" t="str">
        <f aca="false">IF(OR(I216="",D216=""),"",D216/I216)</f>
        <v/>
      </c>
      <c r="K216" s="19" t="str">
        <f aca="false">IF(AND(A216&lt;&gt;"",G216&lt;&gt;""),G216+ROW()/1000000,"")</f>
        <v/>
      </c>
    </row>
    <row r="217" customFormat="false" ht="15" hidden="false" customHeight="false" outlineLevel="0" collapsed="false">
      <c r="A217" s="12"/>
      <c r="B217" s="12"/>
      <c r="C217" s="13"/>
      <c r="D217" s="14"/>
      <c r="E217" s="15"/>
      <c r="F217" s="15"/>
      <c r="G217" s="14"/>
      <c r="H217" s="16" t="str">
        <f aca="false">IF(A217="","",IF(F217&lt;&gt;"","Bitti",IF(E217&lt;&gt;"","Okunuyor","Sırada")))</f>
        <v/>
      </c>
      <c r="I217" s="17" t="str">
        <f aca="false">IF(OR(E217="",F217=""),"",F217-E217+1)</f>
        <v/>
      </c>
      <c r="J217" s="18" t="str">
        <f aca="false">IF(OR(I217="",D217=""),"",D217/I217)</f>
        <v/>
      </c>
      <c r="K217" s="19" t="str">
        <f aca="false">IF(AND(A217&lt;&gt;"",G217&lt;&gt;""),G217+ROW()/1000000,"")</f>
        <v/>
      </c>
    </row>
    <row r="218" customFormat="false" ht="15" hidden="false" customHeight="false" outlineLevel="0" collapsed="false">
      <c r="A218" s="12"/>
      <c r="B218" s="12"/>
      <c r="C218" s="13"/>
      <c r="D218" s="14"/>
      <c r="E218" s="15"/>
      <c r="F218" s="15"/>
      <c r="G218" s="14"/>
      <c r="H218" s="16" t="str">
        <f aca="false">IF(A218="","",IF(F218&lt;&gt;"","Bitti",IF(E218&lt;&gt;"","Okunuyor","Sırada")))</f>
        <v/>
      </c>
      <c r="I218" s="17" t="str">
        <f aca="false">IF(OR(E218="",F218=""),"",F218-E218+1)</f>
        <v/>
      </c>
      <c r="J218" s="18" t="str">
        <f aca="false">IF(OR(I218="",D218=""),"",D218/I218)</f>
        <v/>
      </c>
      <c r="K218" s="19" t="str">
        <f aca="false">IF(AND(A218&lt;&gt;"",G218&lt;&gt;""),G218+ROW()/1000000,"")</f>
        <v/>
      </c>
    </row>
    <row r="219" customFormat="false" ht="15" hidden="false" customHeight="false" outlineLevel="0" collapsed="false">
      <c r="A219" s="12"/>
      <c r="B219" s="12"/>
      <c r="C219" s="13"/>
      <c r="D219" s="14"/>
      <c r="E219" s="15"/>
      <c r="F219" s="15"/>
      <c r="G219" s="14"/>
      <c r="H219" s="16" t="str">
        <f aca="false">IF(A219="","",IF(F219&lt;&gt;"","Bitti",IF(E219&lt;&gt;"","Okunuyor","Sırada")))</f>
        <v/>
      </c>
      <c r="I219" s="17" t="str">
        <f aca="false">IF(OR(E219="",F219=""),"",F219-E219+1)</f>
        <v/>
      </c>
      <c r="J219" s="18" t="str">
        <f aca="false">IF(OR(I219="",D219=""),"",D219/I219)</f>
        <v/>
      </c>
      <c r="K219" s="19" t="str">
        <f aca="false">IF(AND(A219&lt;&gt;"",G219&lt;&gt;""),G219+ROW()/1000000,"")</f>
        <v/>
      </c>
    </row>
    <row r="220" customFormat="false" ht="15" hidden="false" customHeight="false" outlineLevel="0" collapsed="false">
      <c r="A220" s="12"/>
      <c r="B220" s="12"/>
      <c r="C220" s="13"/>
      <c r="D220" s="14"/>
      <c r="E220" s="15"/>
      <c r="F220" s="15"/>
      <c r="G220" s="14"/>
      <c r="H220" s="16" t="str">
        <f aca="false">IF(A220="","",IF(F220&lt;&gt;"","Bitti",IF(E220&lt;&gt;"","Okunuyor","Sırada")))</f>
        <v/>
      </c>
      <c r="I220" s="17" t="str">
        <f aca="false">IF(OR(E220="",F220=""),"",F220-E220+1)</f>
        <v/>
      </c>
      <c r="J220" s="18" t="str">
        <f aca="false">IF(OR(I220="",D220=""),"",D220/I220)</f>
        <v/>
      </c>
      <c r="K220" s="19" t="str">
        <f aca="false">IF(AND(A220&lt;&gt;"",G220&lt;&gt;""),G220+ROW()/1000000,"")</f>
        <v/>
      </c>
    </row>
    <row r="221" customFormat="false" ht="15" hidden="false" customHeight="false" outlineLevel="0" collapsed="false">
      <c r="A221" s="12"/>
      <c r="B221" s="12"/>
      <c r="C221" s="13"/>
      <c r="D221" s="14"/>
      <c r="E221" s="15"/>
      <c r="F221" s="15"/>
      <c r="G221" s="14"/>
      <c r="H221" s="16" t="str">
        <f aca="false">IF(A221="","",IF(F221&lt;&gt;"","Bitti",IF(E221&lt;&gt;"","Okunuyor","Sırada")))</f>
        <v/>
      </c>
      <c r="I221" s="17" t="str">
        <f aca="false">IF(OR(E221="",F221=""),"",F221-E221+1)</f>
        <v/>
      </c>
      <c r="J221" s="18" t="str">
        <f aca="false">IF(OR(I221="",D221=""),"",D221/I221)</f>
        <v/>
      </c>
      <c r="K221" s="19" t="str">
        <f aca="false">IF(AND(A221&lt;&gt;"",G221&lt;&gt;""),G221+ROW()/1000000,"")</f>
        <v/>
      </c>
    </row>
    <row r="222" customFormat="false" ht="15" hidden="false" customHeight="false" outlineLevel="0" collapsed="false">
      <c r="A222" s="12"/>
      <c r="B222" s="12"/>
      <c r="C222" s="13"/>
      <c r="D222" s="14"/>
      <c r="E222" s="15"/>
      <c r="F222" s="15"/>
      <c r="G222" s="14"/>
      <c r="H222" s="16" t="str">
        <f aca="false">IF(A222="","",IF(F222&lt;&gt;"","Bitti",IF(E222&lt;&gt;"","Okunuyor","Sırada")))</f>
        <v/>
      </c>
      <c r="I222" s="17" t="str">
        <f aca="false">IF(OR(E222="",F222=""),"",F222-E222+1)</f>
        <v/>
      </c>
      <c r="J222" s="18" t="str">
        <f aca="false">IF(OR(I222="",D222=""),"",D222/I222)</f>
        <v/>
      </c>
      <c r="K222" s="19" t="str">
        <f aca="false">IF(AND(A222&lt;&gt;"",G222&lt;&gt;""),G222+ROW()/1000000,"")</f>
        <v/>
      </c>
    </row>
    <row r="223" customFormat="false" ht="15" hidden="false" customHeight="false" outlineLevel="0" collapsed="false">
      <c r="A223" s="12"/>
      <c r="B223" s="12"/>
      <c r="C223" s="13"/>
      <c r="D223" s="14"/>
      <c r="E223" s="15"/>
      <c r="F223" s="15"/>
      <c r="G223" s="14"/>
      <c r="H223" s="16" t="str">
        <f aca="false">IF(A223="","",IF(F223&lt;&gt;"","Bitti",IF(E223&lt;&gt;"","Okunuyor","Sırada")))</f>
        <v/>
      </c>
      <c r="I223" s="17" t="str">
        <f aca="false">IF(OR(E223="",F223=""),"",F223-E223+1)</f>
        <v/>
      </c>
      <c r="J223" s="18" t="str">
        <f aca="false">IF(OR(I223="",D223=""),"",D223/I223)</f>
        <v/>
      </c>
      <c r="K223" s="19" t="str">
        <f aca="false">IF(AND(A223&lt;&gt;"",G223&lt;&gt;""),G223+ROW()/1000000,"")</f>
        <v/>
      </c>
    </row>
    <row r="224" customFormat="false" ht="15" hidden="false" customHeight="false" outlineLevel="0" collapsed="false">
      <c r="A224" s="12"/>
      <c r="B224" s="12"/>
      <c r="C224" s="13"/>
      <c r="D224" s="14"/>
      <c r="E224" s="15"/>
      <c r="F224" s="15"/>
      <c r="G224" s="14"/>
      <c r="H224" s="16" t="str">
        <f aca="false">IF(A224="","",IF(F224&lt;&gt;"","Bitti",IF(E224&lt;&gt;"","Okunuyor","Sırada")))</f>
        <v/>
      </c>
      <c r="I224" s="17" t="str">
        <f aca="false">IF(OR(E224="",F224=""),"",F224-E224+1)</f>
        <v/>
      </c>
      <c r="J224" s="18" t="str">
        <f aca="false">IF(OR(I224="",D224=""),"",D224/I224)</f>
        <v/>
      </c>
      <c r="K224" s="19" t="str">
        <f aca="false">IF(AND(A224&lt;&gt;"",G224&lt;&gt;""),G224+ROW()/1000000,"")</f>
        <v/>
      </c>
    </row>
    <row r="225" customFormat="false" ht="15" hidden="false" customHeight="false" outlineLevel="0" collapsed="false">
      <c r="A225" s="12"/>
      <c r="B225" s="12"/>
      <c r="C225" s="13"/>
      <c r="D225" s="14"/>
      <c r="E225" s="15"/>
      <c r="F225" s="15"/>
      <c r="G225" s="14"/>
      <c r="H225" s="16" t="str">
        <f aca="false">IF(A225="","",IF(F225&lt;&gt;"","Bitti",IF(E225&lt;&gt;"","Okunuyor","Sırada")))</f>
        <v/>
      </c>
      <c r="I225" s="17" t="str">
        <f aca="false">IF(OR(E225="",F225=""),"",F225-E225+1)</f>
        <v/>
      </c>
      <c r="J225" s="18" t="str">
        <f aca="false">IF(OR(I225="",D225=""),"",D225/I225)</f>
        <v/>
      </c>
      <c r="K225" s="19" t="str">
        <f aca="false">IF(AND(A225&lt;&gt;"",G225&lt;&gt;""),G225+ROW()/1000000,"")</f>
        <v/>
      </c>
    </row>
    <row r="226" customFormat="false" ht="15" hidden="false" customHeight="false" outlineLevel="0" collapsed="false">
      <c r="A226" s="12"/>
      <c r="B226" s="12"/>
      <c r="C226" s="13"/>
      <c r="D226" s="14"/>
      <c r="E226" s="15"/>
      <c r="F226" s="15"/>
      <c r="G226" s="14"/>
      <c r="H226" s="16" t="str">
        <f aca="false">IF(A226="","",IF(F226&lt;&gt;"","Bitti",IF(E226&lt;&gt;"","Okunuyor","Sırada")))</f>
        <v/>
      </c>
      <c r="I226" s="17" t="str">
        <f aca="false">IF(OR(E226="",F226=""),"",F226-E226+1)</f>
        <v/>
      </c>
      <c r="J226" s="18" t="str">
        <f aca="false">IF(OR(I226="",D226=""),"",D226/I226)</f>
        <v/>
      </c>
      <c r="K226" s="19" t="str">
        <f aca="false">IF(AND(A226&lt;&gt;"",G226&lt;&gt;""),G226+ROW()/1000000,"")</f>
        <v/>
      </c>
    </row>
    <row r="227" customFormat="false" ht="15" hidden="false" customHeight="false" outlineLevel="0" collapsed="false">
      <c r="A227" s="12"/>
      <c r="B227" s="12"/>
      <c r="C227" s="13"/>
      <c r="D227" s="14"/>
      <c r="E227" s="15"/>
      <c r="F227" s="15"/>
      <c r="G227" s="14"/>
      <c r="H227" s="16" t="str">
        <f aca="false">IF(A227="","",IF(F227&lt;&gt;"","Bitti",IF(E227&lt;&gt;"","Okunuyor","Sırada")))</f>
        <v/>
      </c>
      <c r="I227" s="17" t="str">
        <f aca="false">IF(OR(E227="",F227=""),"",F227-E227+1)</f>
        <v/>
      </c>
      <c r="J227" s="18" t="str">
        <f aca="false">IF(OR(I227="",D227=""),"",D227/I227)</f>
        <v/>
      </c>
      <c r="K227" s="19" t="str">
        <f aca="false">IF(AND(A227&lt;&gt;"",G227&lt;&gt;""),G227+ROW()/1000000,"")</f>
        <v/>
      </c>
    </row>
    <row r="228" customFormat="false" ht="15" hidden="false" customHeight="false" outlineLevel="0" collapsed="false">
      <c r="A228" s="12"/>
      <c r="B228" s="12"/>
      <c r="C228" s="13"/>
      <c r="D228" s="14"/>
      <c r="E228" s="15"/>
      <c r="F228" s="15"/>
      <c r="G228" s="14"/>
      <c r="H228" s="16" t="str">
        <f aca="false">IF(A228="","",IF(F228&lt;&gt;"","Bitti",IF(E228&lt;&gt;"","Okunuyor","Sırada")))</f>
        <v/>
      </c>
      <c r="I228" s="17" t="str">
        <f aca="false">IF(OR(E228="",F228=""),"",F228-E228+1)</f>
        <v/>
      </c>
      <c r="J228" s="18" t="str">
        <f aca="false">IF(OR(I228="",D228=""),"",D228/I228)</f>
        <v/>
      </c>
      <c r="K228" s="19" t="str">
        <f aca="false">IF(AND(A228&lt;&gt;"",G228&lt;&gt;""),G228+ROW()/1000000,"")</f>
        <v/>
      </c>
    </row>
    <row r="229" customFormat="false" ht="15" hidden="false" customHeight="false" outlineLevel="0" collapsed="false">
      <c r="A229" s="12"/>
      <c r="B229" s="12"/>
      <c r="C229" s="13"/>
      <c r="D229" s="14"/>
      <c r="E229" s="15"/>
      <c r="F229" s="15"/>
      <c r="G229" s="14"/>
      <c r="H229" s="16" t="str">
        <f aca="false">IF(A229="","",IF(F229&lt;&gt;"","Bitti",IF(E229&lt;&gt;"","Okunuyor","Sırada")))</f>
        <v/>
      </c>
      <c r="I229" s="17" t="str">
        <f aca="false">IF(OR(E229="",F229=""),"",F229-E229+1)</f>
        <v/>
      </c>
      <c r="J229" s="18" t="str">
        <f aca="false">IF(OR(I229="",D229=""),"",D229/I229)</f>
        <v/>
      </c>
      <c r="K229" s="19" t="str">
        <f aca="false">IF(AND(A229&lt;&gt;"",G229&lt;&gt;""),G229+ROW()/1000000,"")</f>
        <v/>
      </c>
    </row>
    <row r="230" customFormat="false" ht="15" hidden="false" customHeight="false" outlineLevel="0" collapsed="false">
      <c r="A230" s="12"/>
      <c r="B230" s="12"/>
      <c r="C230" s="13"/>
      <c r="D230" s="14"/>
      <c r="E230" s="15"/>
      <c r="F230" s="15"/>
      <c r="G230" s="14"/>
      <c r="H230" s="16" t="str">
        <f aca="false">IF(A230="","",IF(F230&lt;&gt;"","Bitti",IF(E230&lt;&gt;"","Okunuyor","Sırada")))</f>
        <v/>
      </c>
      <c r="I230" s="17" t="str">
        <f aca="false">IF(OR(E230="",F230=""),"",F230-E230+1)</f>
        <v/>
      </c>
      <c r="J230" s="18" t="str">
        <f aca="false">IF(OR(I230="",D230=""),"",D230/I230)</f>
        <v/>
      </c>
      <c r="K230" s="19" t="str">
        <f aca="false">IF(AND(A230&lt;&gt;"",G230&lt;&gt;""),G230+ROW()/1000000,"")</f>
        <v/>
      </c>
    </row>
    <row r="231" customFormat="false" ht="15" hidden="false" customHeight="false" outlineLevel="0" collapsed="false">
      <c r="A231" s="12"/>
      <c r="B231" s="12"/>
      <c r="C231" s="13"/>
      <c r="D231" s="14"/>
      <c r="E231" s="15"/>
      <c r="F231" s="15"/>
      <c r="G231" s="14"/>
      <c r="H231" s="16" t="str">
        <f aca="false">IF(A231="","",IF(F231&lt;&gt;"","Bitti",IF(E231&lt;&gt;"","Okunuyor","Sırada")))</f>
        <v/>
      </c>
      <c r="I231" s="17" t="str">
        <f aca="false">IF(OR(E231="",F231=""),"",F231-E231+1)</f>
        <v/>
      </c>
      <c r="J231" s="18" t="str">
        <f aca="false">IF(OR(I231="",D231=""),"",D231/I231)</f>
        <v/>
      </c>
      <c r="K231" s="19" t="str">
        <f aca="false">IF(AND(A231&lt;&gt;"",G231&lt;&gt;""),G231+ROW()/1000000,"")</f>
        <v/>
      </c>
    </row>
    <row r="232" customFormat="false" ht="15" hidden="false" customHeight="false" outlineLevel="0" collapsed="false">
      <c r="A232" s="12"/>
      <c r="B232" s="12"/>
      <c r="C232" s="13"/>
      <c r="D232" s="14"/>
      <c r="E232" s="15"/>
      <c r="F232" s="15"/>
      <c r="G232" s="14"/>
      <c r="H232" s="16" t="str">
        <f aca="false">IF(A232="","",IF(F232&lt;&gt;"","Bitti",IF(E232&lt;&gt;"","Okunuyor","Sırada")))</f>
        <v/>
      </c>
      <c r="I232" s="17" t="str">
        <f aca="false">IF(OR(E232="",F232=""),"",F232-E232+1)</f>
        <v/>
      </c>
      <c r="J232" s="18" t="str">
        <f aca="false">IF(OR(I232="",D232=""),"",D232/I232)</f>
        <v/>
      </c>
      <c r="K232" s="19" t="str">
        <f aca="false">IF(AND(A232&lt;&gt;"",G232&lt;&gt;""),G232+ROW()/1000000,"")</f>
        <v/>
      </c>
    </row>
    <row r="233" customFormat="false" ht="15" hidden="false" customHeight="false" outlineLevel="0" collapsed="false">
      <c r="A233" s="12"/>
      <c r="B233" s="12"/>
      <c r="C233" s="13"/>
      <c r="D233" s="14"/>
      <c r="E233" s="15"/>
      <c r="F233" s="15"/>
      <c r="G233" s="14"/>
      <c r="H233" s="16" t="str">
        <f aca="false">IF(A233="","",IF(F233&lt;&gt;"","Bitti",IF(E233&lt;&gt;"","Okunuyor","Sırada")))</f>
        <v/>
      </c>
      <c r="I233" s="17" t="str">
        <f aca="false">IF(OR(E233="",F233=""),"",F233-E233+1)</f>
        <v/>
      </c>
      <c r="J233" s="18" t="str">
        <f aca="false">IF(OR(I233="",D233=""),"",D233/I233)</f>
        <v/>
      </c>
      <c r="K233" s="19" t="str">
        <f aca="false">IF(AND(A233&lt;&gt;"",G233&lt;&gt;""),G233+ROW()/1000000,"")</f>
        <v/>
      </c>
    </row>
    <row r="234" customFormat="false" ht="15" hidden="false" customHeight="false" outlineLevel="0" collapsed="false">
      <c r="A234" s="12"/>
      <c r="B234" s="12"/>
      <c r="C234" s="13"/>
      <c r="D234" s="14"/>
      <c r="E234" s="15"/>
      <c r="F234" s="15"/>
      <c r="G234" s="14"/>
      <c r="H234" s="16" t="str">
        <f aca="false">IF(A234="","",IF(F234&lt;&gt;"","Bitti",IF(E234&lt;&gt;"","Okunuyor","Sırada")))</f>
        <v/>
      </c>
      <c r="I234" s="17" t="str">
        <f aca="false">IF(OR(E234="",F234=""),"",F234-E234+1)</f>
        <v/>
      </c>
      <c r="J234" s="18" t="str">
        <f aca="false">IF(OR(I234="",D234=""),"",D234/I234)</f>
        <v/>
      </c>
      <c r="K234" s="19" t="str">
        <f aca="false">IF(AND(A234&lt;&gt;"",G234&lt;&gt;""),G234+ROW()/1000000,"")</f>
        <v/>
      </c>
    </row>
    <row r="235" customFormat="false" ht="15" hidden="false" customHeight="false" outlineLevel="0" collapsed="false">
      <c r="A235" s="12"/>
      <c r="B235" s="12"/>
      <c r="C235" s="13"/>
      <c r="D235" s="14"/>
      <c r="E235" s="15"/>
      <c r="F235" s="15"/>
      <c r="G235" s="14"/>
      <c r="H235" s="16" t="str">
        <f aca="false">IF(A235="","",IF(F235&lt;&gt;"","Bitti",IF(E235&lt;&gt;"","Okunuyor","Sırada")))</f>
        <v/>
      </c>
      <c r="I235" s="17" t="str">
        <f aca="false">IF(OR(E235="",F235=""),"",F235-E235+1)</f>
        <v/>
      </c>
      <c r="J235" s="18" t="str">
        <f aca="false">IF(OR(I235="",D235=""),"",D235/I235)</f>
        <v/>
      </c>
      <c r="K235" s="19" t="str">
        <f aca="false">IF(AND(A235&lt;&gt;"",G235&lt;&gt;""),G235+ROW()/1000000,"")</f>
        <v/>
      </c>
    </row>
    <row r="236" customFormat="false" ht="15" hidden="false" customHeight="false" outlineLevel="0" collapsed="false">
      <c r="A236" s="12"/>
      <c r="B236" s="12"/>
      <c r="C236" s="13"/>
      <c r="D236" s="14"/>
      <c r="E236" s="15"/>
      <c r="F236" s="15"/>
      <c r="G236" s="14"/>
      <c r="H236" s="16" t="str">
        <f aca="false">IF(A236="","",IF(F236&lt;&gt;"","Bitti",IF(E236&lt;&gt;"","Okunuyor","Sırada")))</f>
        <v/>
      </c>
      <c r="I236" s="17" t="str">
        <f aca="false">IF(OR(E236="",F236=""),"",F236-E236+1)</f>
        <v/>
      </c>
      <c r="J236" s="18" t="str">
        <f aca="false">IF(OR(I236="",D236=""),"",D236/I236)</f>
        <v/>
      </c>
      <c r="K236" s="19" t="str">
        <f aca="false">IF(AND(A236&lt;&gt;"",G236&lt;&gt;""),G236+ROW()/1000000,"")</f>
        <v/>
      </c>
    </row>
    <row r="237" customFormat="false" ht="15" hidden="false" customHeight="false" outlineLevel="0" collapsed="false">
      <c r="A237" s="12"/>
      <c r="B237" s="12"/>
      <c r="C237" s="13"/>
      <c r="D237" s="14"/>
      <c r="E237" s="15"/>
      <c r="F237" s="15"/>
      <c r="G237" s="14"/>
      <c r="H237" s="16" t="str">
        <f aca="false">IF(A237="","",IF(F237&lt;&gt;"","Bitti",IF(E237&lt;&gt;"","Okunuyor","Sırada")))</f>
        <v/>
      </c>
      <c r="I237" s="17" t="str">
        <f aca="false">IF(OR(E237="",F237=""),"",F237-E237+1)</f>
        <v/>
      </c>
      <c r="J237" s="18" t="str">
        <f aca="false">IF(OR(I237="",D237=""),"",D237/I237)</f>
        <v/>
      </c>
      <c r="K237" s="19" t="str">
        <f aca="false">IF(AND(A237&lt;&gt;"",G237&lt;&gt;""),G237+ROW()/1000000,"")</f>
        <v/>
      </c>
    </row>
    <row r="238" customFormat="false" ht="15" hidden="false" customHeight="false" outlineLevel="0" collapsed="false">
      <c r="A238" s="12"/>
      <c r="B238" s="12"/>
      <c r="C238" s="13"/>
      <c r="D238" s="14"/>
      <c r="E238" s="15"/>
      <c r="F238" s="15"/>
      <c r="G238" s="14"/>
      <c r="H238" s="16" t="str">
        <f aca="false">IF(A238="","",IF(F238&lt;&gt;"","Bitti",IF(E238&lt;&gt;"","Okunuyor","Sırada")))</f>
        <v/>
      </c>
      <c r="I238" s="17" t="str">
        <f aca="false">IF(OR(E238="",F238=""),"",F238-E238+1)</f>
        <v/>
      </c>
      <c r="J238" s="18" t="str">
        <f aca="false">IF(OR(I238="",D238=""),"",D238/I238)</f>
        <v/>
      </c>
      <c r="K238" s="19" t="str">
        <f aca="false">IF(AND(A238&lt;&gt;"",G238&lt;&gt;""),G238+ROW()/1000000,"")</f>
        <v/>
      </c>
    </row>
    <row r="239" customFormat="false" ht="15" hidden="false" customHeight="false" outlineLevel="0" collapsed="false">
      <c r="A239" s="12"/>
      <c r="B239" s="12"/>
      <c r="C239" s="13"/>
      <c r="D239" s="14"/>
      <c r="E239" s="15"/>
      <c r="F239" s="15"/>
      <c r="G239" s="14"/>
      <c r="H239" s="16" t="str">
        <f aca="false">IF(A239="","",IF(F239&lt;&gt;"","Bitti",IF(E239&lt;&gt;"","Okunuyor","Sırada")))</f>
        <v/>
      </c>
      <c r="I239" s="17" t="str">
        <f aca="false">IF(OR(E239="",F239=""),"",F239-E239+1)</f>
        <v/>
      </c>
      <c r="J239" s="18" t="str">
        <f aca="false">IF(OR(I239="",D239=""),"",D239/I239)</f>
        <v/>
      </c>
      <c r="K239" s="19" t="str">
        <f aca="false">IF(AND(A239&lt;&gt;"",G239&lt;&gt;""),G239+ROW()/1000000,"")</f>
        <v/>
      </c>
    </row>
    <row r="240" customFormat="false" ht="15" hidden="false" customHeight="false" outlineLevel="0" collapsed="false">
      <c r="A240" s="12"/>
      <c r="B240" s="12"/>
      <c r="C240" s="13"/>
      <c r="D240" s="14"/>
      <c r="E240" s="15"/>
      <c r="F240" s="15"/>
      <c r="G240" s="14"/>
      <c r="H240" s="16" t="str">
        <f aca="false">IF(A240="","",IF(F240&lt;&gt;"","Bitti",IF(E240&lt;&gt;"","Okunuyor","Sırada")))</f>
        <v/>
      </c>
      <c r="I240" s="17" t="str">
        <f aca="false">IF(OR(E240="",F240=""),"",F240-E240+1)</f>
        <v/>
      </c>
      <c r="J240" s="18" t="str">
        <f aca="false">IF(OR(I240="",D240=""),"",D240/I240)</f>
        <v/>
      </c>
      <c r="K240" s="19" t="str">
        <f aca="false">IF(AND(A240&lt;&gt;"",G240&lt;&gt;""),G240+ROW()/1000000,"")</f>
        <v/>
      </c>
    </row>
    <row r="241" customFormat="false" ht="15" hidden="false" customHeight="false" outlineLevel="0" collapsed="false">
      <c r="A241" s="12"/>
      <c r="B241" s="12"/>
      <c r="C241" s="13"/>
      <c r="D241" s="14"/>
      <c r="E241" s="15"/>
      <c r="F241" s="15"/>
      <c r="G241" s="14"/>
      <c r="H241" s="16" t="str">
        <f aca="false">IF(A241="","",IF(F241&lt;&gt;"","Bitti",IF(E241&lt;&gt;"","Okunuyor","Sırada")))</f>
        <v/>
      </c>
      <c r="I241" s="17" t="str">
        <f aca="false">IF(OR(E241="",F241=""),"",F241-E241+1)</f>
        <v/>
      </c>
      <c r="J241" s="18" t="str">
        <f aca="false">IF(OR(I241="",D241=""),"",D241/I241)</f>
        <v/>
      </c>
      <c r="K241" s="19" t="str">
        <f aca="false">IF(AND(A241&lt;&gt;"",G241&lt;&gt;""),G241+ROW()/1000000,"")</f>
        <v/>
      </c>
    </row>
    <row r="242" customFormat="false" ht="15" hidden="false" customHeight="false" outlineLevel="0" collapsed="false">
      <c r="A242" s="12"/>
      <c r="B242" s="12"/>
      <c r="C242" s="13"/>
      <c r="D242" s="14"/>
      <c r="E242" s="15"/>
      <c r="F242" s="15"/>
      <c r="G242" s="14"/>
      <c r="H242" s="16" t="str">
        <f aca="false">IF(A242="","",IF(F242&lt;&gt;"","Bitti",IF(E242&lt;&gt;"","Okunuyor","Sırada")))</f>
        <v/>
      </c>
      <c r="I242" s="17" t="str">
        <f aca="false">IF(OR(E242="",F242=""),"",F242-E242+1)</f>
        <v/>
      </c>
      <c r="J242" s="18" t="str">
        <f aca="false">IF(OR(I242="",D242=""),"",D242/I242)</f>
        <v/>
      </c>
      <c r="K242" s="19" t="str">
        <f aca="false">IF(AND(A242&lt;&gt;"",G242&lt;&gt;""),G242+ROW()/1000000,"")</f>
        <v/>
      </c>
    </row>
    <row r="243" customFormat="false" ht="15" hidden="false" customHeight="false" outlineLevel="0" collapsed="false">
      <c r="A243" s="12"/>
      <c r="B243" s="12"/>
      <c r="C243" s="13"/>
      <c r="D243" s="14"/>
      <c r="E243" s="15"/>
      <c r="F243" s="15"/>
      <c r="G243" s="14"/>
      <c r="H243" s="16" t="str">
        <f aca="false">IF(A243="","",IF(F243&lt;&gt;"","Bitti",IF(E243&lt;&gt;"","Okunuyor","Sırada")))</f>
        <v/>
      </c>
      <c r="I243" s="17" t="str">
        <f aca="false">IF(OR(E243="",F243=""),"",F243-E243+1)</f>
        <v/>
      </c>
      <c r="J243" s="18" t="str">
        <f aca="false">IF(OR(I243="",D243=""),"",D243/I243)</f>
        <v/>
      </c>
      <c r="K243" s="19" t="str">
        <f aca="false">IF(AND(A243&lt;&gt;"",G243&lt;&gt;""),G243+ROW()/1000000,"")</f>
        <v/>
      </c>
    </row>
    <row r="244" customFormat="false" ht="15" hidden="false" customHeight="false" outlineLevel="0" collapsed="false">
      <c r="A244" s="12"/>
      <c r="B244" s="12"/>
      <c r="C244" s="13"/>
      <c r="D244" s="14"/>
      <c r="E244" s="15"/>
      <c r="F244" s="15"/>
      <c r="G244" s="14"/>
      <c r="H244" s="16" t="str">
        <f aca="false">IF(A244="","",IF(F244&lt;&gt;"","Bitti",IF(E244&lt;&gt;"","Okunuyor","Sırada")))</f>
        <v/>
      </c>
      <c r="I244" s="17" t="str">
        <f aca="false">IF(OR(E244="",F244=""),"",F244-E244+1)</f>
        <v/>
      </c>
      <c r="J244" s="18" t="str">
        <f aca="false">IF(OR(I244="",D244=""),"",D244/I244)</f>
        <v/>
      </c>
      <c r="K244" s="19" t="str">
        <f aca="false">IF(AND(A244&lt;&gt;"",G244&lt;&gt;""),G244+ROW()/1000000,"")</f>
        <v/>
      </c>
    </row>
    <row r="245" customFormat="false" ht="15" hidden="false" customHeight="false" outlineLevel="0" collapsed="false">
      <c r="A245" s="12"/>
      <c r="B245" s="12"/>
      <c r="C245" s="13"/>
      <c r="D245" s="14"/>
      <c r="E245" s="15"/>
      <c r="F245" s="15"/>
      <c r="G245" s="14"/>
      <c r="H245" s="16" t="str">
        <f aca="false">IF(A245="","",IF(F245&lt;&gt;"","Bitti",IF(E245&lt;&gt;"","Okunuyor","Sırada")))</f>
        <v/>
      </c>
      <c r="I245" s="17" t="str">
        <f aca="false">IF(OR(E245="",F245=""),"",F245-E245+1)</f>
        <v/>
      </c>
      <c r="J245" s="18" t="str">
        <f aca="false">IF(OR(I245="",D245=""),"",D245/I245)</f>
        <v/>
      </c>
      <c r="K245" s="19" t="str">
        <f aca="false">IF(AND(A245&lt;&gt;"",G245&lt;&gt;""),G245+ROW()/1000000,"")</f>
        <v/>
      </c>
    </row>
    <row r="246" customFormat="false" ht="15" hidden="false" customHeight="false" outlineLevel="0" collapsed="false">
      <c r="A246" s="12"/>
      <c r="B246" s="12"/>
      <c r="C246" s="13"/>
      <c r="D246" s="14"/>
      <c r="E246" s="15"/>
      <c r="F246" s="15"/>
      <c r="G246" s="14"/>
      <c r="H246" s="16" t="str">
        <f aca="false">IF(A246="","",IF(F246&lt;&gt;"","Bitti",IF(E246&lt;&gt;"","Okunuyor","Sırada")))</f>
        <v/>
      </c>
      <c r="I246" s="17" t="str">
        <f aca="false">IF(OR(E246="",F246=""),"",F246-E246+1)</f>
        <v/>
      </c>
      <c r="J246" s="18" t="str">
        <f aca="false">IF(OR(I246="",D246=""),"",D246/I246)</f>
        <v/>
      </c>
      <c r="K246" s="19" t="str">
        <f aca="false">IF(AND(A246&lt;&gt;"",G246&lt;&gt;""),G246+ROW()/1000000,"")</f>
        <v/>
      </c>
    </row>
    <row r="247" customFormat="false" ht="15" hidden="false" customHeight="false" outlineLevel="0" collapsed="false">
      <c r="A247" s="12"/>
      <c r="B247" s="12"/>
      <c r="C247" s="13"/>
      <c r="D247" s="14"/>
      <c r="E247" s="15"/>
      <c r="F247" s="15"/>
      <c r="G247" s="14"/>
      <c r="H247" s="16" t="str">
        <f aca="false">IF(A247="","",IF(F247&lt;&gt;"","Bitti",IF(E247&lt;&gt;"","Okunuyor","Sırada")))</f>
        <v/>
      </c>
      <c r="I247" s="17" t="str">
        <f aca="false">IF(OR(E247="",F247=""),"",F247-E247+1)</f>
        <v/>
      </c>
      <c r="J247" s="18" t="str">
        <f aca="false">IF(OR(I247="",D247=""),"",D247/I247)</f>
        <v/>
      </c>
      <c r="K247" s="19" t="str">
        <f aca="false">IF(AND(A247&lt;&gt;"",G247&lt;&gt;""),G247+ROW()/1000000,"")</f>
        <v/>
      </c>
    </row>
    <row r="248" customFormat="false" ht="15" hidden="false" customHeight="false" outlineLevel="0" collapsed="false">
      <c r="A248" s="12"/>
      <c r="B248" s="12"/>
      <c r="C248" s="13"/>
      <c r="D248" s="14"/>
      <c r="E248" s="15"/>
      <c r="F248" s="15"/>
      <c r="G248" s="14"/>
      <c r="H248" s="16" t="str">
        <f aca="false">IF(A248="","",IF(F248&lt;&gt;"","Bitti",IF(E248&lt;&gt;"","Okunuyor","Sırada")))</f>
        <v/>
      </c>
      <c r="I248" s="17" t="str">
        <f aca="false">IF(OR(E248="",F248=""),"",F248-E248+1)</f>
        <v/>
      </c>
      <c r="J248" s="18" t="str">
        <f aca="false">IF(OR(I248="",D248=""),"",D248/I248)</f>
        <v/>
      </c>
      <c r="K248" s="19" t="str">
        <f aca="false">IF(AND(A248&lt;&gt;"",G248&lt;&gt;""),G248+ROW()/1000000,"")</f>
        <v/>
      </c>
    </row>
    <row r="249" customFormat="false" ht="15" hidden="false" customHeight="false" outlineLevel="0" collapsed="false">
      <c r="A249" s="12"/>
      <c r="B249" s="12"/>
      <c r="C249" s="13"/>
      <c r="D249" s="14"/>
      <c r="E249" s="15"/>
      <c r="F249" s="15"/>
      <c r="G249" s="14"/>
      <c r="H249" s="16" t="str">
        <f aca="false">IF(A249="","",IF(F249&lt;&gt;"","Bitti",IF(E249&lt;&gt;"","Okunuyor","Sırada")))</f>
        <v/>
      </c>
      <c r="I249" s="17" t="str">
        <f aca="false">IF(OR(E249="",F249=""),"",F249-E249+1)</f>
        <v/>
      </c>
      <c r="J249" s="18" t="str">
        <f aca="false">IF(OR(I249="",D249=""),"",D249/I249)</f>
        <v/>
      </c>
      <c r="K249" s="19" t="str">
        <f aca="false">IF(AND(A249&lt;&gt;"",G249&lt;&gt;""),G249+ROW()/1000000,"")</f>
        <v/>
      </c>
    </row>
    <row r="250" customFormat="false" ht="15" hidden="false" customHeight="false" outlineLevel="0" collapsed="false">
      <c r="A250" s="12"/>
      <c r="B250" s="12"/>
      <c r="C250" s="13"/>
      <c r="D250" s="14"/>
      <c r="E250" s="15"/>
      <c r="F250" s="15"/>
      <c r="G250" s="14"/>
      <c r="H250" s="16" t="str">
        <f aca="false">IF(A250="","",IF(F250&lt;&gt;"","Bitti",IF(E250&lt;&gt;"","Okunuyor","Sırada")))</f>
        <v/>
      </c>
      <c r="I250" s="17" t="str">
        <f aca="false">IF(OR(E250="",F250=""),"",F250-E250+1)</f>
        <v/>
      </c>
      <c r="J250" s="18" t="str">
        <f aca="false">IF(OR(I250="",D250=""),"",D250/I250)</f>
        <v/>
      </c>
      <c r="K250" s="19" t="str">
        <f aca="false">IF(AND(A250&lt;&gt;"",G250&lt;&gt;""),G250+ROW()/1000000,"")</f>
        <v/>
      </c>
    </row>
    <row r="251" customFormat="false" ht="15" hidden="false" customHeight="false" outlineLevel="0" collapsed="false">
      <c r="A251" s="12"/>
      <c r="B251" s="12"/>
      <c r="C251" s="13"/>
      <c r="D251" s="14"/>
      <c r="E251" s="15"/>
      <c r="F251" s="15"/>
      <c r="G251" s="14"/>
      <c r="H251" s="16" t="str">
        <f aca="false">IF(A251="","",IF(F251&lt;&gt;"","Bitti",IF(E251&lt;&gt;"","Okunuyor","Sırada")))</f>
        <v/>
      </c>
      <c r="I251" s="17" t="str">
        <f aca="false">IF(OR(E251="",F251=""),"",F251-E251+1)</f>
        <v/>
      </c>
      <c r="J251" s="18" t="str">
        <f aca="false">IF(OR(I251="",D251=""),"",D251/I251)</f>
        <v/>
      </c>
      <c r="K251" s="19" t="str">
        <f aca="false">IF(AND(A251&lt;&gt;"",G251&lt;&gt;""),G251+ROW()/1000000,"")</f>
        <v/>
      </c>
    </row>
    <row r="252" customFormat="false" ht="15" hidden="false" customHeight="false" outlineLevel="0" collapsed="false">
      <c r="A252" s="12"/>
      <c r="B252" s="12"/>
      <c r="C252" s="13"/>
      <c r="D252" s="14"/>
      <c r="E252" s="15"/>
      <c r="F252" s="15"/>
      <c r="G252" s="14"/>
      <c r="H252" s="16" t="str">
        <f aca="false">IF(A252="","",IF(F252&lt;&gt;"","Bitti",IF(E252&lt;&gt;"","Okunuyor","Sırada")))</f>
        <v/>
      </c>
      <c r="I252" s="17" t="str">
        <f aca="false">IF(OR(E252="",F252=""),"",F252-E252+1)</f>
        <v/>
      </c>
      <c r="J252" s="18" t="str">
        <f aca="false">IF(OR(I252="",D252=""),"",D252/I252)</f>
        <v/>
      </c>
      <c r="K252" s="19" t="str">
        <f aca="false">IF(AND(A252&lt;&gt;"",G252&lt;&gt;""),G252+ROW()/1000000,"")</f>
        <v/>
      </c>
    </row>
    <row r="253" customFormat="false" ht="15" hidden="false" customHeight="false" outlineLevel="0" collapsed="false">
      <c r="A253" s="12"/>
      <c r="B253" s="12"/>
      <c r="C253" s="13"/>
      <c r="D253" s="14"/>
      <c r="E253" s="15"/>
      <c r="F253" s="15"/>
      <c r="G253" s="14"/>
      <c r="H253" s="16" t="str">
        <f aca="false">IF(A253="","",IF(F253&lt;&gt;"","Bitti",IF(E253&lt;&gt;"","Okunuyor","Sırada")))</f>
        <v/>
      </c>
      <c r="I253" s="17" t="str">
        <f aca="false">IF(OR(E253="",F253=""),"",F253-E253+1)</f>
        <v/>
      </c>
      <c r="J253" s="18" t="str">
        <f aca="false">IF(OR(I253="",D253=""),"",D253/I253)</f>
        <v/>
      </c>
      <c r="K253" s="19" t="str">
        <f aca="false">IF(AND(A253&lt;&gt;"",G253&lt;&gt;""),G253+ROW()/1000000,"")</f>
        <v/>
      </c>
    </row>
    <row r="254" customFormat="false" ht="15" hidden="false" customHeight="false" outlineLevel="0" collapsed="false">
      <c r="A254" s="12"/>
      <c r="B254" s="12"/>
      <c r="C254" s="13"/>
      <c r="D254" s="14"/>
      <c r="E254" s="15"/>
      <c r="F254" s="15"/>
      <c r="G254" s="14"/>
      <c r="H254" s="16" t="str">
        <f aca="false">IF(A254="","",IF(F254&lt;&gt;"","Bitti",IF(E254&lt;&gt;"","Okunuyor","Sırada")))</f>
        <v/>
      </c>
      <c r="I254" s="17" t="str">
        <f aca="false">IF(OR(E254="",F254=""),"",F254-E254+1)</f>
        <v/>
      </c>
      <c r="J254" s="18" t="str">
        <f aca="false">IF(OR(I254="",D254=""),"",D254/I254)</f>
        <v/>
      </c>
      <c r="K254" s="19" t="str">
        <f aca="false">IF(AND(A254&lt;&gt;"",G254&lt;&gt;""),G254+ROW()/1000000,"")</f>
        <v/>
      </c>
    </row>
    <row r="255" customFormat="false" ht="15" hidden="false" customHeight="false" outlineLevel="0" collapsed="false">
      <c r="A255" s="12"/>
      <c r="B255" s="12"/>
      <c r="C255" s="13"/>
      <c r="D255" s="14"/>
      <c r="E255" s="15"/>
      <c r="F255" s="15"/>
      <c r="G255" s="14"/>
      <c r="H255" s="16" t="str">
        <f aca="false">IF(A255="","",IF(F255&lt;&gt;"","Bitti",IF(E255&lt;&gt;"","Okunuyor","Sırada")))</f>
        <v/>
      </c>
      <c r="I255" s="17" t="str">
        <f aca="false">IF(OR(E255="",F255=""),"",F255-E255+1)</f>
        <v/>
      </c>
      <c r="J255" s="18" t="str">
        <f aca="false">IF(OR(I255="",D255=""),"",D255/I255)</f>
        <v/>
      </c>
      <c r="K255" s="19" t="str">
        <f aca="false">IF(AND(A255&lt;&gt;"",G255&lt;&gt;""),G255+ROW()/1000000,"")</f>
        <v/>
      </c>
    </row>
    <row r="256" customFormat="false" ht="15" hidden="false" customHeight="false" outlineLevel="0" collapsed="false">
      <c r="A256" s="12"/>
      <c r="B256" s="12"/>
      <c r="C256" s="13"/>
      <c r="D256" s="14"/>
      <c r="E256" s="15"/>
      <c r="F256" s="15"/>
      <c r="G256" s="14"/>
      <c r="H256" s="16" t="str">
        <f aca="false">IF(A256="","",IF(F256&lt;&gt;"","Bitti",IF(E256&lt;&gt;"","Okunuyor","Sırada")))</f>
        <v/>
      </c>
      <c r="I256" s="17" t="str">
        <f aca="false">IF(OR(E256="",F256=""),"",F256-E256+1)</f>
        <v/>
      </c>
      <c r="J256" s="18" t="str">
        <f aca="false">IF(OR(I256="",D256=""),"",D256/I256)</f>
        <v/>
      </c>
      <c r="K256" s="19" t="str">
        <f aca="false">IF(AND(A256&lt;&gt;"",G256&lt;&gt;""),G256+ROW()/1000000,"")</f>
        <v/>
      </c>
    </row>
    <row r="257" customFormat="false" ht="15" hidden="false" customHeight="false" outlineLevel="0" collapsed="false">
      <c r="A257" s="12"/>
      <c r="B257" s="12"/>
      <c r="C257" s="13"/>
      <c r="D257" s="14"/>
      <c r="E257" s="15"/>
      <c r="F257" s="15"/>
      <c r="G257" s="14"/>
      <c r="H257" s="16" t="str">
        <f aca="false">IF(A257="","",IF(F257&lt;&gt;"","Bitti",IF(E257&lt;&gt;"","Okunuyor","Sırada")))</f>
        <v/>
      </c>
      <c r="I257" s="17" t="str">
        <f aca="false">IF(OR(E257="",F257=""),"",F257-E257+1)</f>
        <v/>
      </c>
      <c r="J257" s="18" t="str">
        <f aca="false">IF(OR(I257="",D257=""),"",D257/I257)</f>
        <v/>
      </c>
      <c r="K257" s="19" t="str">
        <f aca="false">IF(AND(A257&lt;&gt;"",G257&lt;&gt;""),G257+ROW()/1000000,"")</f>
        <v/>
      </c>
    </row>
    <row r="258" customFormat="false" ht="15" hidden="false" customHeight="false" outlineLevel="0" collapsed="false">
      <c r="A258" s="12"/>
      <c r="B258" s="12"/>
      <c r="C258" s="13"/>
      <c r="D258" s="14"/>
      <c r="E258" s="15"/>
      <c r="F258" s="15"/>
      <c r="G258" s="14"/>
      <c r="H258" s="16" t="str">
        <f aca="false">IF(A258="","",IF(F258&lt;&gt;"","Bitti",IF(E258&lt;&gt;"","Okunuyor","Sırada")))</f>
        <v/>
      </c>
      <c r="I258" s="17" t="str">
        <f aca="false">IF(OR(E258="",F258=""),"",F258-E258+1)</f>
        <v/>
      </c>
      <c r="J258" s="18" t="str">
        <f aca="false">IF(OR(I258="",D258=""),"",D258/I258)</f>
        <v/>
      </c>
      <c r="K258" s="19" t="str">
        <f aca="false">IF(AND(A258&lt;&gt;"",G258&lt;&gt;""),G258+ROW()/1000000,"")</f>
        <v/>
      </c>
    </row>
    <row r="259" customFormat="false" ht="15" hidden="false" customHeight="false" outlineLevel="0" collapsed="false">
      <c r="A259" s="12"/>
      <c r="B259" s="12"/>
      <c r="C259" s="13"/>
      <c r="D259" s="14"/>
      <c r="E259" s="15"/>
      <c r="F259" s="15"/>
      <c r="G259" s="14"/>
      <c r="H259" s="16" t="str">
        <f aca="false">IF(A259="","",IF(F259&lt;&gt;"","Bitti",IF(E259&lt;&gt;"","Okunuyor","Sırada")))</f>
        <v/>
      </c>
      <c r="I259" s="17" t="str">
        <f aca="false">IF(OR(E259="",F259=""),"",F259-E259+1)</f>
        <v/>
      </c>
      <c r="J259" s="18" t="str">
        <f aca="false">IF(OR(I259="",D259=""),"",D259/I259)</f>
        <v/>
      </c>
      <c r="K259" s="19" t="str">
        <f aca="false">IF(AND(A259&lt;&gt;"",G259&lt;&gt;""),G259+ROW()/1000000,"")</f>
        <v/>
      </c>
    </row>
    <row r="260" customFormat="false" ht="15" hidden="false" customHeight="false" outlineLevel="0" collapsed="false">
      <c r="A260" s="12"/>
      <c r="B260" s="12"/>
      <c r="C260" s="13"/>
      <c r="D260" s="14"/>
      <c r="E260" s="15"/>
      <c r="F260" s="15"/>
      <c r="G260" s="14"/>
      <c r="H260" s="16" t="str">
        <f aca="false">IF(A260="","",IF(F260&lt;&gt;"","Bitti",IF(E260&lt;&gt;"","Okunuyor","Sırada")))</f>
        <v/>
      </c>
      <c r="I260" s="17" t="str">
        <f aca="false">IF(OR(E260="",F260=""),"",F260-E260+1)</f>
        <v/>
      </c>
      <c r="J260" s="18" t="str">
        <f aca="false">IF(OR(I260="",D260=""),"",D260/I260)</f>
        <v/>
      </c>
      <c r="K260" s="19" t="str">
        <f aca="false">IF(AND(A260&lt;&gt;"",G260&lt;&gt;""),G260+ROW()/1000000,"")</f>
        <v/>
      </c>
    </row>
    <row r="261" customFormat="false" ht="15" hidden="false" customHeight="false" outlineLevel="0" collapsed="false">
      <c r="A261" s="12"/>
      <c r="B261" s="12"/>
      <c r="C261" s="13"/>
      <c r="D261" s="14"/>
      <c r="E261" s="15"/>
      <c r="F261" s="15"/>
      <c r="G261" s="14"/>
      <c r="H261" s="16" t="str">
        <f aca="false">IF(A261="","",IF(F261&lt;&gt;"","Bitti",IF(E261&lt;&gt;"","Okunuyor","Sırada")))</f>
        <v/>
      </c>
      <c r="I261" s="17" t="str">
        <f aca="false">IF(OR(E261="",F261=""),"",F261-E261+1)</f>
        <v/>
      </c>
      <c r="J261" s="18" t="str">
        <f aca="false">IF(OR(I261="",D261=""),"",D261/I261)</f>
        <v/>
      </c>
      <c r="K261" s="19" t="str">
        <f aca="false">IF(AND(A261&lt;&gt;"",G261&lt;&gt;""),G261+ROW()/1000000,"")</f>
        <v/>
      </c>
    </row>
    <row r="262" customFormat="false" ht="15" hidden="false" customHeight="false" outlineLevel="0" collapsed="false">
      <c r="A262" s="12"/>
      <c r="B262" s="12"/>
      <c r="C262" s="13"/>
      <c r="D262" s="14"/>
      <c r="E262" s="15"/>
      <c r="F262" s="15"/>
      <c r="G262" s="14"/>
      <c r="H262" s="16" t="str">
        <f aca="false">IF(A262="","",IF(F262&lt;&gt;"","Bitti",IF(E262&lt;&gt;"","Okunuyor","Sırada")))</f>
        <v/>
      </c>
      <c r="I262" s="17" t="str">
        <f aca="false">IF(OR(E262="",F262=""),"",F262-E262+1)</f>
        <v/>
      </c>
      <c r="J262" s="18" t="str">
        <f aca="false">IF(OR(I262="",D262=""),"",D262/I262)</f>
        <v/>
      </c>
      <c r="K262" s="19" t="str">
        <f aca="false">IF(AND(A262&lt;&gt;"",G262&lt;&gt;""),G262+ROW()/1000000,"")</f>
        <v/>
      </c>
    </row>
    <row r="263" customFormat="false" ht="15" hidden="false" customHeight="false" outlineLevel="0" collapsed="false">
      <c r="A263" s="12"/>
      <c r="B263" s="12"/>
      <c r="C263" s="13"/>
      <c r="D263" s="14"/>
      <c r="E263" s="15"/>
      <c r="F263" s="15"/>
      <c r="G263" s="14"/>
      <c r="H263" s="16" t="str">
        <f aca="false">IF(A263="","",IF(F263&lt;&gt;"","Bitti",IF(E263&lt;&gt;"","Okunuyor","Sırada")))</f>
        <v/>
      </c>
      <c r="I263" s="17" t="str">
        <f aca="false">IF(OR(E263="",F263=""),"",F263-E263+1)</f>
        <v/>
      </c>
      <c r="J263" s="18" t="str">
        <f aca="false">IF(OR(I263="",D263=""),"",D263/I263)</f>
        <v/>
      </c>
      <c r="K263" s="19" t="str">
        <f aca="false">IF(AND(A263&lt;&gt;"",G263&lt;&gt;""),G263+ROW()/1000000,"")</f>
        <v/>
      </c>
    </row>
    <row r="264" customFormat="false" ht="15" hidden="false" customHeight="false" outlineLevel="0" collapsed="false">
      <c r="A264" s="12"/>
      <c r="B264" s="12"/>
      <c r="C264" s="13"/>
      <c r="D264" s="14"/>
      <c r="E264" s="15"/>
      <c r="F264" s="15"/>
      <c r="G264" s="14"/>
      <c r="H264" s="16" t="str">
        <f aca="false">IF(A264="","",IF(F264&lt;&gt;"","Bitti",IF(E264&lt;&gt;"","Okunuyor","Sırada")))</f>
        <v/>
      </c>
      <c r="I264" s="17" t="str">
        <f aca="false">IF(OR(E264="",F264=""),"",F264-E264+1)</f>
        <v/>
      </c>
      <c r="J264" s="18" t="str">
        <f aca="false">IF(OR(I264="",D264=""),"",D264/I264)</f>
        <v/>
      </c>
      <c r="K264" s="19" t="str">
        <f aca="false">IF(AND(A264&lt;&gt;"",G264&lt;&gt;""),G264+ROW()/1000000,"")</f>
        <v/>
      </c>
    </row>
    <row r="265" customFormat="false" ht="15" hidden="false" customHeight="false" outlineLevel="0" collapsed="false">
      <c r="A265" s="12"/>
      <c r="B265" s="12"/>
      <c r="C265" s="13"/>
      <c r="D265" s="14"/>
      <c r="E265" s="15"/>
      <c r="F265" s="15"/>
      <c r="G265" s="14"/>
      <c r="H265" s="16" t="str">
        <f aca="false">IF(A265="","",IF(F265&lt;&gt;"","Bitti",IF(E265&lt;&gt;"","Okunuyor","Sırada")))</f>
        <v/>
      </c>
      <c r="I265" s="17" t="str">
        <f aca="false">IF(OR(E265="",F265=""),"",F265-E265+1)</f>
        <v/>
      </c>
      <c r="J265" s="18" t="str">
        <f aca="false">IF(OR(I265="",D265=""),"",D265/I265)</f>
        <v/>
      </c>
      <c r="K265" s="19" t="str">
        <f aca="false">IF(AND(A265&lt;&gt;"",G265&lt;&gt;""),G265+ROW()/1000000,"")</f>
        <v/>
      </c>
    </row>
    <row r="266" customFormat="false" ht="15" hidden="false" customHeight="false" outlineLevel="0" collapsed="false">
      <c r="A266" s="12"/>
      <c r="B266" s="12"/>
      <c r="C266" s="13"/>
      <c r="D266" s="14"/>
      <c r="E266" s="15"/>
      <c r="F266" s="15"/>
      <c r="G266" s="14"/>
      <c r="H266" s="16" t="str">
        <f aca="false">IF(A266="","",IF(F266&lt;&gt;"","Bitti",IF(E266&lt;&gt;"","Okunuyor","Sırada")))</f>
        <v/>
      </c>
      <c r="I266" s="17" t="str">
        <f aca="false">IF(OR(E266="",F266=""),"",F266-E266+1)</f>
        <v/>
      </c>
      <c r="J266" s="18" t="str">
        <f aca="false">IF(OR(I266="",D266=""),"",D266/I266)</f>
        <v/>
      </c>
      <c r="K266" s="19" t="str">
        <f aca="false">IF(AND(A266&lt;&gt;"",G266&lt;&gt;""),G266+ROW()/1000000,"")</f>
        <v/>
      </c>
    </row>
    <row r="267" customFormat="false" ht="15" hidden="false" customHeight="false" outlineLevel="0" collapsed="false">
      <c r="A267" s="12"/>
      <c r="B267" s="12"/>
      <c r="C267" s="13"/>
      <c r="D267" s="14"/>
      <c r="E267" s="15"/>
      <c r="F267" s="15"/>
      <c r="G267" s="14"/>
      <c r="H267" s="16" t="str">
        <f aca="false">IF(A267="","",IF(F267&lt;&gt;"","Bitti",IF(E267&lt;&gt;"","Okunuyor","Sırada")))</f>
        <v/>
      </c>
      <c r="I267" s="17" t="str">
        <f aca="false">IF(OR(E267="",F267=""),"",F267-E267+1)</f>
        <v/>
      </c>
      <c r="J267" s="18" t="str">
        <f aca="false">IF(OR(I267="",D267=""),"",D267/I267)</f>
        <v/>
      </c>
      <c r="K267" s="19" t="str">
        <f aca="false">IF(AND(A267&lt;&gt;"",G267&lt;&gt;""),G267+ROW()/1000000,"")</f>
        <v/>
      </c>
    </row>
    <row r="268" customFormat="false" ht="15" hidden="false" customHeight="false" outlineLevel="0" collapsed="false">
      <c r="A268" s="12"/>
      <c r="B268" s="12"/>
      <c r="C268" s="13"/>
      <c r="D268" s="14"/>
      <c r="E268" s="15"/>
      <c r="F268" s="15"/>
      <c r="G268" s="14"/>
      <c r="H268" s="16" t="str">
        <f aca="false">IF(A268="","",IF(F268&lt;&gt;"","Bitti",IF(E268&lt;&gt;"","Okunuyor","Sırada")))</f>
        <v/>
      </c>
      <c r="I268" s="17" t="str">
        <f aca="false">IF(OR(E268="",F268=""),"",F268-E268+1)</f>
        <v/>
      </c>
      <c r="J268" s="18" t="str">
        <f aca="false">IF(OR(I268="",D268=""),"",D268/I268)</f>
        <v/>
      </c>
      <c r="K268" s="19" t="str">
        <f aca="false">IF(AND(A268&lt;&gt;"",G268&lt;&gt;""),G268+ROW()/1000000,"")</f>
        <v/>
      </c>
    </row>
    <row r="269" customFormat="false" ht="15" hidden="false" customHeight="false" outlineLevel="0" collapsed="false">
      <c r="A269" s="12"/>
      <c r="B269" s="12"/>
      <c r="C269" s="13"/>
      <c r="D269" s="14"/>
      <c r="E269" s="15"/>
      <c r="F269" s="15"/>
      <c r="G269" s="14"/>
      <c r="H269" s="16" t="str">
        <f aca="false">IF(A269="","",IF(F269&lt;&gt;"","Bitti",IF(E269&lt;&gt;"","Okunuyor","Sırada")))</f>
        <v/>
      </c>
      <c r="I269" s="17" t="str">
        <f aca="false">IF(OR(E269="",F269=""),"",F269-E269+1)</f>
        <v/>
      </c>
      <c r="J269" s="18" t="str">
        <f aca="false">IF(OR(I269="",D269=""),"",D269/I269)</f>
        <v/>
      </c>
      <c r="K269" s="19" t="str">
        <f aca="false">IF(AND(A269&lt;&gt;"",G269&lt;&gt;""),G269+ROW()/1000000,"")</f>
        <v/>
      </c>
    </row>
    <row r="270" customFormat="false" ht="15" hidden="false" customHeight="false" outlineLevel="0" collapsed="false">
      <c r="A270" s="12"/>
      <c r="B270" s="12"/>
      <c r="C270" s="13"/>
      <c r="D270" s="14"/>
      <c r="E270" s="15"/>
      <c r="F270" s="15"/>
      <c r="G270" s="14"/>
      <c r="H270" s="16" t="str">
        <f aca="false">IF(A270="","",IF(F270&lt;&gt;"","Bitti",IF(E270&lt;&gt;"","Okunuyor","Sırada")))</f>
        <v/>
      </c>
      <c r="I270" s="17" t="str">
        <f aca="false">IF(OR(E270="",F270=""),"",F270-E270+1)</f>
        <v/>
      </c>
      <c r="J270" s="18" t="str">
        <f aca="false">IF(OR(I270="",D270=""),"",D270/I270)</f>
        <v/>
      </c>
      <c r="K270" s="19" t="str">
        <f aca="false">IF(AND(A270&lt;&gt;"",G270&lt;&gt;""),G270+ROW()/1000000,"")</f>
        <v/>
      </c>
    </row>
    <row r="271" customFormat="false" ht="15" hidden="false" customHeight="false" outlineLevel="0" collapsed="false">
      <c r="A271" s="12"/>
      <c r="B271" s="12"/>
      <c r="C271" s="13"/>
      <c r="D271" s="14"/>
      <c r="E271" s="15"/>
      <c r="F271" s="15"/>
      <c r="G271" s="14"/>
      <c r="H271" s="16" t="str">
        <f aca="false">IF(A271="","",IF(F271&lt;&gt;"","Bitti",IF(E271&lt;&gt;"","Okunuyor","Sırada")))</f>
        <v/>
      </c>
      <c r="I271" s="17" t="str">
        <f aca="false">IF(OR(E271="",F271=""),"",F271-E271+1)</f>
        <v/>
      </c>
      <c r="J271" s="18" t="str">
        <f aca="false">IF(OR(I271="",D271=""),"",D271/I271)</f>
        <v/>
      </c>
      <c r="K271" s="19" t="str">
        <f aca="false">IF(AND(A271&lt;&gt;"",G271&lt;&gt;""),G271+ROW()/1000000,"")</f>
        <v/>
      </c>
    </row>
    <row r="272" customFormat="false" ht="15" hidden="false" customHeight="false" outlineLevel="0" collapsed="false">
      <c r="A272" s="12"/>
      <c r="B272" s="12"/>
      <c r="C272" s="13"/>
      <c r="D272" s="14"/>
      <c r="E272" s="15"/>
      <c r="F272" s="15"/>
      <c r="G272" s="14"/>
      <c r="H272" s="16" t="str">
        <f aca="false">IF(A272="","",IF(F272&lt;&gt;"","Bitti",IF(E272&lt;&gt;"","Okunuyor","Sırada")))</f>
        <v/>
      </c>
      <c r="I272" s="17" t="str">
        <f aca="false">IF(OR(E272="",F272=""),"",F272-E272+1)</f>
        <v/>
      </c>
      <c r="J272" s="18" t="str">
        <f aca="false">IF(OR(I272="",D272=""),"",D272/I272)</f>
        <v/>
      </c>
      <c r="K272" s="19" t="str">
        <f aca="false">IF(AND(A272&lt;&gt;"",G272&lt;&gt;""),G272+ROW()/1000000,"")</f>
        <v/>
      </c>
    </row>
    <row r="273" customFormat="false" ht="15" hidden="false" customHeight="false" outlineLevel="0" collapsed="false">
      <c r="A273" s="12"/>
      <c r="B273" s="12"/>
      <c r="C273" s="13"/>
      <c r="D273" s="14"/>
      <c r="E273" s="15"/>
      <c r="F273" s="15"/>
      <c r="G273" s="14"/>
      <c r="H273" s="16" t="str">
        <f aca="false">IF(A273="","",IF(F273&lt;&gt;"","Bitti",IF(E273&lt;&gt;"","Okunuyor","Sırada")))</f>
        <v/>
      </c>
      <c r="I273" s="17" t="str">
        <f aca="false">IF(OR(E273="",F273=""),"",F273-E273+1)</f>
        <v/>
      </c>
      <c r="J273" s="18" t="str">
        <f aca="false">IF(OR(I273="",D273=""),"",D273/I273)</f>
        <v/>
      </c>
      <c r="K273" s="19" t="str">
        <f aca="false">IF(AND(A273&lt;&gt;"",G273&lt;&gt;""),G273+ROW()/1000000,"")</f>
        <v/>
      </c>
    </row>
    <row r="274" customFormat="false" ht="15" hidden="false" customHeight="false" outlineLevel="0" collapsed="false">
      <c r="A274" s="12"/>
      <c r="B274" s="12"/>
      <c r="C274" s="13"/>
      <c r="D274" s="14"/>
      <c r="E274" s="15"/>
      <c r="F274" s="15"/>
      <c r="G274" s="14"/>
      <c r="H274" s="16" t="str">
        <f aca="false">IF(A274="","",IF(F274&lt;&gt;"","Bitti",IF(E274&lt;&gt;"","Okunuyor","Sırada")))</f>
        <v/>
      </c>
      <c r="I274" s="17" t="str">
        <f aca="false">IF(OR(E274="",F274=""),"",F274-E274+1)</f>
        <v/>
      </c>
      <c r="J274" s="18" t="str">
        <f aca="false">IF(OR(I274="",D274=""),"",D274/I274)</f>
        <v/>
      </c>
      <c r="K274" s="19" t="str">
        <f aca="false">IF(AND(A274&lt;&gt;"",G274&lt;&gt;""),G274+ROW()/1000000,"")</f>
        <v/>
      </c>
    </row>
    <row r="275" customFormat="false" ht="15" hidden="false" customHeight="false" outlineLevel="0" collapsed="false">
      <c r="A275" s="12"/>
      <c r="B275" s="12"/>
      <c r="C275" s="13"/>
      <c r="D275" s="14"/>
      <c r="E275" s="15"/>
      <c r="F275" s="15"/>
      <c r="G275" s="14"/>
      <c r="H275" s="16" t="str">
        <f aca="false">IF(A275="","",IF(F275&lt;&gt;"","Bitti",IF(E275&lt;&gt;"","Okunuyor","Sırada")))</f>
        <v/>
      </c>
      <c r="I275" s="17" t="str">
        <f aca="false">IF(OR(E275="",F275=""),"",F275-E275+1)</f>
        <v/>
      </c>
      <c r="J275" s="18" t="str">
        <f aca="false">IF(OR(I275="",D275=""),"",D275/I275)</f>
        <v/>
      </c>
      <c r="K275" s="19" t="str">
        <f aca="false">IF(AND(A275&lt;&gt;"",G275&lt;&gt;""),G275+ROW()/1000000,"")</f>
        <v/>
      </c>
    </row>
    <row r="276" customFormat="false" ht="15" hidden="false" customHeight="false" outlineLevel="0" collapsed="false">
      <c r="A276" s="12"/>
      <c r="B276" s="12"/>
      <c r="C276" s="13"/>
      <c r="D276" s="14"/>
      <c r="E276" s="15"/>
      <c r="F276" s="15"/>
      <c r="G276" s="14"/>
      <c r="H276" s="16" t="str">
        <f aca="false">IF(A276="","",IF(F276&lt;&gt;"","Bitti",IF(E276&lt;&gt;"","Okunuyor","Sırada")))</f>
        <v/>
      </c>
      <c r="I276" s="17" t="str">
        <f aca="false">IF(OR(E276="",F276=""),"",F276-E276+1)</f>
        <v/>
      </c>
      <c r="J276" s="18" t="str">
        <f aca="false">IF(OR(I276="",D276=""),"",D276/I276)</f>
        <v/>
      </c>
      <c r="K276" s="19" t="str">
        <f aca="false">IF(AND(A276&lt;&gt;"",G276&lt;&gt;""),G276+ROW()/1000000,"")</f>
        <v/>
      </c>
    </row>
    <row r="277" customFormat="false" ht="15" hidden="false" customHeight="false" outlineLevel="0" collapsed="false">
      <c r="A277" s="12"/>
      <c r="B277" s="12"/>
      <c r="C277" s="13"/>
      <c r="D277" s="14"/>
      <c r="E277" s="15"/>
      <c r="F277" s="15"/>
      <c r="G277" s="14"/>
      <c r="H277" s="16" t="str">
        <f aca="false">IF(A277="","",IF(F277&lt;&gt;"","Bitti",IF(E277&lt;&gt;"","Okunuyor","Sırada")))</f>
        <v/>
      </c>
      <c r="I277" s="17" t="str">
        <f aca="false">IF(OR(E277="",F277=""),"",F277-E277+1)</f>
        <v/>
      </c>
      <c r="J277" s="18" t="str">
        <f aca="false">IF(OR(I277="",D277=""),"",D277/I277)</f>
        <v/>
      </c>
      <c r="K277" s="19" t="str">
        <f aca="false">IF(AND(A277&lt;&gt;"",G277&lt;&gt;""),G277+ROW()/1000000,"")</f>
        <v/>
      </c>
    </row>
    <row r="278" customFormat="false" ht="15" hidden="false" customHeight="false" outlineLevel="0" collapsed="false">
      <c r="A278" s="12"/>
      <c r="B278" s="12"/>
      <c r="C278" s="13"/>
      <c r="D278" s="14"/>
      <c r="E278" s="15"/>
      <c r="F278" s="15"/>
      <c r="G278" s="14"/>
      <c r="H278" s="16" t="str">
        <f aca="false">IF(A278="","",IF(F278&lt;&gt;"","Bitti",IF(E278&lt;&gt;"","Okunuyor","Sırada")))</f>
        <v/>
      </c>
      <c r="I278" s="17" t="str">
        <f aca="false">IF(OR(E278="",F278=""),"",F278-E278+1)</f>
        <v/>
      </c>
      <c r="J278" s="18" t="str">
        <f aca="false">IF(OR(I278="",D278=""),"",D278/I278)</f>
        <v/>
      </c>
      <c r="K278" s="19" t="str">
        <f aca="false">IF(AND(A278&lt;&gt;"",G278&lt;&gt;""),G278+ROW()/1000000,"")</f>
        <v/>
      </c>
    </row>
    <row r="279" customFormat="false" ht="15" hidden="false" customHeight="false" outlineLevel="0" collapsed="false">
      <c r="A279" s="12"/>
      <c r="B279" s="12"/>
      <c r="C279" s="13"/>
      <c r="D279" s="14"/>
      <c r="E279" s="15"/>
      <c r="F279" s="15"/>
      <c r="G279" s="14"/>
      <c r="H279" s="16" t="str">
        <f aca="false">IF(A279="","",IF(F279&lt;&gt;"","Bitti",IF(E279&lt;&gt;"","Okunuyor","Sırada")))</f>
        <v/>
      </c>
      <c r="I279" s="17" t="str">
        <f aca="false">IF(OR(E279="",F279=""),"",F279-E279+1)</f>
        <v/>
      </c>
      <c r="J279" s="18" t="str">
        <f aca="false">IF(OR(I279="",D279=""),"",D279/I279)</f>
        <v/>
      </c>
      <c r="K279" s="19" t="str">
        <f aca="false">IF(AND(A279&lt;&gt;"",G279&lt;&gt;""),G279+ROW()/1000000,"")</f>
        <v/>
      </c>
    </row>
    <row r="280" customFormat="false" ht="15" hidden="false" customHeight="false" outlineLevel="0" collapsed="false">
      <c r="A280" s="12"/>
      <c r="B280" s="12"/>
      <c r="C280" s="13"/>
      <c r="D280" s="14"/>
      <c r="E280" s="15"/>
      <c r="F280" s="15"/>
      <c r="G280" s="14"/>
      <c r="H280" s="16" t="str">
        <f aca="false">IF(A280="","",IF(F280&lt;&gt;"","Bitti",IF(E280&lt;&gt;"","Okunuyor","Sırada")))</f>
        <v/>
      </c>
      <c r="I280" s="17" t="str">
        <f aca="false">IF(OR(E280="",F280=""),"",F280-E280+1)</f>
        <v/>
      </c>
      <c r="J280" s="18" t="str">
        <f aca="false">IF(OR(I280="",D280=""),"",D280/I280)</f>
        <v/>
      </c>
      <c r="K280" s="19" t="str">
        <f aca="false">IF(AND(A280&lt;&gt;"",G280&lt;&gt;""),G280+ROW()/1000000,"")</f>
        <v/>
      </c>
    </row>
    <row r="281" customFormat="false" ht="15" hidden="false" customHeight="false" outlineLevel="0" collapsed="false">
      <c r="A281" s="12"/>
      <c r="B281" s="12"/>
      <c r="C281" s="13"/>
      <c r="D281" s="14"/>
      <c r="E281" s="15"/>
      <c r="F281" s="15"/>
      <c r="G281" s="14"/>
      <c r="H281" s="16" t="str">
        <f aca="false">IF(A281="","",IF(F281&lt;&gt;"","Bitti",IF(E281&lt;&gt;"","Okunuyor","Sırada")))</f>
        <v/>
      </c>
      <c r="I281" s="17" t="str">
        <f aca="false">IF(OR(E281="",F281=""),"",F281-E281+1)</f>
        <v/>
      </c>
      <c r="J281" s="18" t="str">
        <f aca="false">IF(OR(I281="",D281=""),"",D281/I281)</f>
        <v/>
      </c>
      <c r="K281" s="19" t="str">
        <f aca="false">IF(AND(A281&lt;&gt;"",G281&lt;&gt;""),G281+ROW()/1000000,"")</f>
        <v/>
      </c>
    </row>
    <row r="282" customFormat="false" ht="15" hidden="false" customHeight="false" outlineLevel="0" collapsed="false">
      <c r="A282" s="12"/>
      <c r="B282" s="12"/>
      <c r="C282" s="13"/>
      <c r="D282" s="14"/>
      <c r="E282" s="15"/>
      <c r="F282" s="15"/>
      <c r="G282" s="14"/>
      <c r="H282" s="16" t="str">
        <f aca="false">IF(A282="","",IF(F282&lt;&gt;"","Bitti",IF(E282&lt;&gt;"","Okunuyor","Sırada")))</f>
        <v/>
      </c>
      <c r="I282" s="17" t="str">
        <f aca="false">IF(OR(E282="",F282=""),"",F282-E282+1)</f>
        <v/>
      </c>
      <c r="J282" s="18" t="str">
        <f aca="false">IF(OR(I282="",D282=""),"",D282/I282)</f>
        <v/>
      </c>
      <c r="K282" s="19" t="str">
        <f aca="false">IF(AND(A282&lt;&gt;"",G282&lt;&gt;""),G282+ROW()/1000000,"")</f>
        <v/>
      </c>
    </row>
    <row r="283" customFormat="false" ht="15" hidden="false" customHeight="false" outlineLevel="0" collapsed="false">
      <c r="A283" s="12"/>
      <c r="B283" s="12"/>
      <c r="C283" s="13"/>
      <c r="D283" s="14"/>
      <c r="E283" s="15"/>
      <c r="F283" s="15"/>
      <c r="G283" s="14"/>
      <c r="H283" s="16" t="str">
        <f aca="false">IF(A283="","",IF(F283&lt;&gt;"","Bitti",IF(E283&lt;&gt;"","Okunuyor","Sırada")))</f>
        <v/>
      </c>
      <c r="I283" s="17" t="str">
        <f aca="false">IF(OR(E283="",F283=""),"",F283-E283+1)</f>
        <v/>
      </c>
      <c r="J283" s="18" t="str">
        <f aca="false">IF(OR(I283="",D283=""),"",D283/I283)</f>
        <v/>
      </c>
      <c r="K283" s="19" t="str">
        <f aca="false">IF(AND(A283&lt;&gt;"",G283&lt;&gt;""),G283+ROW()/1000000,"")</f>
        <v/>
      </c>
    </row>
    <row r="284" customFormat="false" ht="15" hidden="false" customHeight="false" outlineLevel="0" collapsed="false">
      <c r="A284" s="12"/>
      <c r="B284" s="12"/>
      <c r="C284" s="13"/>
      <c r="D284" s="14"/>
      <c r="E284" s="15"/>
      <c r="F284" s="15"/>
      <c r="G284" s="14"/>
      <c r="H284" s="16" t="str">
        <f aca="false">IF(A284="","",IF(F284&lt;&gt;"","Bitti",IF(E284&lt;&gt;"","Okunuyor","Sırada")))</f>
        <v/>
      </c>
      <c r="I284" s="17" t="str">
        <f aca="false">IF(OR(E284="",F284=""),"",F284-E284+1)</f>
        <v/>
      </c>
      <c r="J284" s="18" t="str">
        <f aca="false">IF(OR(I284="",D284=""),"",D284/I284)</f>
        <v/>
      </c>
      <c r="K284" s="19" t="str">
        <f aca="false">IF(AND(A284&lt;&gt;"",G284&lt;&gt;""),G284+ROW()/1000000,"")</f>
        <v/>
      </c>
    </row>
    <row r="285" customFormat="false" ht="15" hidden="false" customHeight="false" outlineLevel="0" collapsed="false">
      <c r="A285" s="12"/>
      <c r="B285" s="12"/>
      <c r="C285" s="13"/>
      <c r="D285" s="14"/>
      <c r="E285" s="15"/>
      <c r="F285" s="15"/>
      <c r="G285" s="14"/>
      <c r="H285" s="16" t="str">
        <f aca="false">IF(A285="","",IF(F285&lt;&gt;"","Bitti",IF(E285&lt;&gt;"","Okunuyor","Sırada")))</f>
        <v/>
      </c>
      <c r="I285" s="17" t="str">
        <f aca="false">IF(OR(E285="",F285=""),"",F285-E285+1)</f>
        <v/>
      </c>
      <c r="J285" s="18" t="str">
        <f aca="false">IF(OR(I285="",D285=""),"",D285/I285)</f>
        <v/>
      </c>
      <c r="K285" s="19" t="str">
        <f aca="false">IF(AND(A285&lt;&gt;"",G285&lt;&gt;""),G285+ROW()/1000000,"")</f>
        <v/>
      </c>
    </row>
    <row r="286" customFormat="false" ht="15" hidden="false" customHeight="false" outlineLevel="0" collapsed="false">
      <c r="A286" s="12"/>
      <c r="B286" s="12"/>
      <c r="C286" s="13"/>
      <c r="D286" s="14"/>
      <c r="E286" s="15"/>
      <c r="F286" s="15"/>
      <c r="G286" s="14"/>
      <c r="H286" s="16" t="str">
        <f aca="false">IF(A286="","",IF(F286&lt;&gt;"","Bitti",IF(E286&lt;&gt;"","Okunuyor","Sırada")))</f>
        <v/>
      </c>
      <c r="I286" s="17" t="str">
        <f aca="false">IF(OR(E286="",F286=""),"",F286-E286+1)</f>
        <v/>
      </c>
      <c r="J286" s="18" t="str">
        <f aca="false">IF(OR(I286="",D286=""),"",D286/I286)</f>
        <v/>
      </c>
      <c r="K286" s="19" t="str">
        <f aca="false">IF(AND(A286&lt;&gt;"",G286&lt;&gt;""),G286+ROW()/1000000,"")</f>
        <v/>
      </c>
    </row>
    <row r="287" customFormat="false" ht="15" hidden="false" customHeight="false" outlineLevel="0" collapsed="false">
      <c r="A287" s="12"/>
      <c r="B287" s="12"/>
      <c r="C287" s="13"/>
      <c r="D287" s="14"/>
      <c r="E287" s="15"/>
      <c r="F287" s="15"/>
      <c r="G287" s="14"/>
      <c r="H287" s="16" t="str">
        <f aca="false">IF(A287="","",IF(F287&lt;&gt;"","Bitti",IF(E287&lt;&gt;"","Okunuyor","Sırada")))</f>
        <v/>
      </c>
      <c r="I287" s="17" t="str">
        <f aca="false">IF(OR(E287="",F287=""),"",F287-E287+1)</f>
        <v/>
      </c>
      <c r="J287" s="18" t="str">
        <f aca="false">IF(OR(I287="",D287=""),"",D287/I287)</f>
        <v/>
      </c>
      <c r="K287" s="19" t="str">
        <f aca="false">IF(AND(A287&lt;&gt;"",G287&lt;&gt;""),G287+ROW()/1000000,"")</f>
        <v/>
      </c>
    </row>
    <row r="288" customFormat="false" ht="15" hidden="false" customHeight="false" outlineLevel="0" collapsed="false">
      <c r="A288" s="12"/>
      <c r="B288" s="12"/>
      <c r="C288" s="13"/>
      <c r="D288" s="14"/>
      <c r="E288" s="15"/>
      <c r="F288" s="15"/>
      <c r="G288" s="14"/>
      <c r="H288" s="16" t="str">
        <f aca="false">IF(A288="","",IF(F288&lt;&gt;"","Bitti",IF(E288&lt;&gt;"","Okunuyor","Sırada")))</f>
        <v/>
      </c>
      <c r="I288" s="17" t="str">
        <f aca="false">IF(OR(E288="",F288=""),"",F288-E288+1)</f>
        <v/>
      </c>
      <c r="J288" s="18" t="str">
        <f aca="false">IF(OR(I288="",D288=""),"",D288/I288)</f>
        <v/>
      </c>
      <c r="K288" s="19" t="str">
        <f aca="false">IF(AND(A288&lt;&gt;"",G288&lt;&gt;""),G288+ROW()/1000000,"")</f>
        <v/>
      </c>
    </row>
    <row r="289" customFormat="false" ht="15" hidden="false" customHeight="false" outlineLevel="0" collapsed="false">
      <c r="A289" s="12"/>
      <c r="B289" s="12"/>
      <c r="C289" s="13"/>
      <c r="D289" s="14"/>
      <c r="E289" s="15"/>
      <c r="F289" s="15"/>
      <c r="G289" s="14"/>
      <c r="H289" s="16" t="str">
        <f aca="false">IF(A289="","",IF(F289&lt;&gt;"","Bitti",IF(E289&lt;&gt;"","Okunuyor","Sırada")))</f>
        <v/>
      </c>
      <c r="I289" s="17" t="str">
        <f aca="false">IF(OR(E289="",F289=""),"",F289-E289+1)</f>
        <v/>
      </c>
      <c r="J289" s="18" t="str">
        <f aca="false">IF(OR(I289="",D289=""),"",D289/I289)</f>
        <v/>
      </c>
      <c r="K289" s="19" t="str">
        <f aca="false">IF(AND(A289&lt;&gt;"",G289&lt;&gt;""),G289+ROW()/1000000,"")</f>
        <v/>
      </c>
    </row>
    <row r="290" customFormat="false" ht="15" hidden="false" customHeight="false" outlineLevel="0" collapsed="false">
      <c r="A290" s="12"/>
      <c r="B290" s="12"/>
      <c r="C290" s="13"/>
      <c r="D290" s="14"/>
      <c r="E290" s="15"/>
      <c r="F290" s="15"/>
      <c r="G290" s="14"/>
      <c r="H290" s="16" t="str">
        <f aca="false">IF(A290="","",IF(F290&lt;&gt;"","Bitti",IF(E290&lt;&gt;"","Okunuyor","Sırada")))</f>
        <v/>
      </c>
      <c r="I290" s="17" t="str">
        <f aca="false">IF(OR(E290="",F290=""),"",F290-E290+1)</f>
        <v/>
      </c>
      <c r="J290" s="18" t="str">
        <f aca="false">IF(OR(I290="",D290=""),"",D290/I290)</f>
        <v/>
      </c>
      <c r="K290" s="19" t="str">
        <f aca="false">IF(AND(A290&lt;&gt;"",G290&lt;&gt;""),G290+ROW()/1000000,"")</f>
        <v/>
      </c>
    </row>
    <row r="291" customFormat="false" ht="15" hidden="false" customHeight="false" outlineLevel="0" collapsed="false">
      <c r="A291" s="12"/>
      <c r="B291" s="12"/>
      <c r="C291" s="13"/>
      <c r="D291" s="14"/>
      <c r="E291" s="15"/>
      <c r="F291" s="15"/>
      <c r="G291" s="14"/>
      <c r="H291" s="16" t="str">
        <f aca="false">IF(A291="","",IF(F291&lt;&gt;"","Bitti",IF(E291&lt;&gt;"","Okunuyor","Sırada")))</f>
        <v/>
      </c>
      <c r="I291" s="17" t="str">
        <f aca="false">IF(OR(E291="",F291=""),"",F291-E291+1)</f>
        <v/>
      </c>
      <c r="J291" s="18" t="str">
        <f aca="false">IF(OR(I291="",D291=""),"",D291/I291)</f>
        <v/>
      </c>
      <c r="K291" s="19" t="str">
        <f aca="false">IF(AND(A291&lt;&gt;"",G291&lt;&gt;""),G291+ROW()/1000000,"")</f>
        <v/>
      </c>
    </row>
    <row r="292" customFormat="false" ht="15" hidden="false" customHeight="false" outlineLevel="0" collapsed="false">
      <c r="A292" s="12"/>
      <c r="B292" s="12"/>
      <c r="C292" s="13"/>
      <c r="D292" s="14"/>
      <c r="E292" s="15"/>
      <c r="F292" s="15"/>
      <c r="G292" s="14"/>
      <c r="H292" s="16" t="str">
        <f aca="false">IF(A292="","",IF(F292&lt;&gt;"","Bitti",IF(E292&lt;&gt;"","Okunuyor","Sırada")))</f>
        <v/>
      </c>
      <c r="I292" s="17" t="str">
        <f aca="false">IF(OR(E292="",F292=""),"",F292-E292+1)</f>
        <v/>
      </c>
      <c r="J292" s="18" t="str">
        <f aca="false">IF(OR(I292="",D292=""),"",D292/I292)</f>
        <v/>
      </c>
      <c r="K292" s="19" t="str">
        <f aca="false">IF(AND(A292&lt;&gt;"",G292&lt;&gt;""),G292+ROW()/1000000,"")</f>
        <v/>
      </c>
    </row>
    <row r="293" customFormat="false" ht="15" hidden="false" customHeight="false" outlineLevel="0" collapsed="false">
      <c r="A293" s="12"/>
      <c r="B293" s="12"/>
      <c r="C293" s="13"/>
      <c r="D293" s="14"/>
      <c r="E293" s="15"/>
      <c r="F293" s="15"/>
      <c r="G293" s="14"/>
      <c r="H293" s="16" t="str">
        <f aca="false">IF(A293="","",IF(F293&lt;&gt;"","Bitti",IF(E293&lt;&gt;"","Okunuyor","Sırada")))</f>
        <v/>
      </c>
      <c r="I293" s="17" t="str">
        <f aca="false">IF(OR(E293="",F293=""),"",F293-E293+1)</f>
        <v/>
      </c>
      <c r="J293" s="18" t="str">
        <f aca="false">IF(OR(I293="",D293=""),"",D293/I293)</f>
        <v/>
      </c>
      <c r="K293" s="19" t="str">
        <f aca="false">IF(AND(A293&lt;&gt;"",G293&lt;&gt;""),G293+ROW()/1000000,"")</f>
        <v/>
      </c>
    </row>
    <row r="294" customFormat="false" ht="15" hidden="false" customHeight="false" outlineLevel="0" collapsed="false">
      <c r="A294" s="12"/>
      <c r="B294" s="12"/>
      <c r="C294" s="13"/>
      <c r="D294" s="14"/>
      <c r="E294" s="15"/>
      <c r="F294" s="15"/>
      <c r="G294" s="14"/>
      <c r="H294" s="16" t="str">
        <f aca="false">IF(A294="","",IF(F294&lt;&gt;"","Bitti",IF(E294&lt;&gt;"","Okunuyor","Sırada")))</f>
        <v/>
      </c>
      <c r="I294" s="17" t="str">
        <f aca="false">IF(OR(E294="",F294=""),"",F294-E294+1)</f>
        <v/>
      </c>
      <c r="J294" s="18" t="str">
        <f aca="false">IF(OR(I294="",D294=""),"",D294/I294)</f>
        <v/>
      </c>
      <c r="K294" s="19" t="str">
        <f aca="false">IF(AND(A294&lt;&gt;"",G294&lt;&gt;""),G294+ROW()/1000000,"")</f>
        <v/>
      </c>
    </row>
    <row r="295" customFormat="false" ht="15" hidden="false" customHeight="false" outlineLevel="0" collapsed="false">
      <c r="A295" s="12"/>
      <c r="B295" s="12"/>
      <c r="C295" s="13"/>
      <c r="D295" s="14"/>
      <c r="E295" s="15"/>
      <c r="F295" s="15"/>
      <c r="G295" s="14"/>
      <c r="H295" s="16" t="str">
        <f aca="false">IF(A295="","",IF(F295&lt;&gt;"","Bitti",IF(E295&lt;&gt;"","Okunuyor","Sırada")))</f>
        <v/>
      </c>
      <c r="I295" s="17" t="str">
        <f aca="false">IF(OR(E295="",F295=""),"",F295-E295+1)</f>
        <v/>
      </c>
      <c r="J295" s="18" t="str">
        <f aca="false">IF(OR(I295="",D295=""),"",D295/I295)</f>
        <v/>
      </c>
      <c r="K295" s="19" t="str">
        <f aca="false">IF(AND(A295&lt;&gt;"",G295&lt;&gt;""),G295+ROW()/1000000,"")</f>
        <v/>
      </c>
    </row>
    <row r="296" customFormat="false" ht="15" hidden="false" customHeight="false" outlineLevel="0" collapsed="false">
      <c r="A296" s="12"/>
      <c r="B296" s="12"/>
      <c r="C296" s="13"/>
      <c r="D296" s="14"/>
      <c r="E296" s="15"/>
      <c r="F296" s="15"/>
      <c r="G296" s="14"/>
      <c r="H296" s="16" t="str">
        <f aca="false">IF(A296="","",IF(F296&lt;&gt;"","Bitti",IF(E296&lt;&gt;"","Okunuyor","Sırada")))</f>
        <v/>
      </c>
      <c r="I296" s="17" t="str">
        <f aca="false">IF(OR(E296="",F296=""),"",F296-E296+1)</f>
        <v/>
      </c>
      <c r="J296" s="18" t="str">
        <f aca="false">IF(OR(I296="",D296=""),"",D296/I296)</f>
        <v/>
      </c>
      <c r="K296" s="19" t="str">
        <f aca="false">IF(AND(A296&lt;&gt;"",G296&lt;&gt;""),G296+ROW()/1000000,"")</f>
        <v/>
      </c>
    </row>
    <row r="297" customFormat="false" ht="15" hidden="false" customHeight="false" outlineLevel="0" collapsed="false">
      <c r="A297" s="12"/>
      <c r="B297" s="12"/>
      <c r="C297" s="13"/>
      <c r="D297" s="14"/>
      <c r="E297" s="15"/>
      <c r="F297" s="15"/>
      <c r="G297" s="14"/>
      <c r="H297" s="16" t="str">
        <f aca="false">IF(A297="","",IF(F297&lt;&gt;"","Bitti",IF(E297&lt;&gt;"","Okunuyor","Sırada")))</f>
        <v/>
      </c>
      <c r="I297" s="17" t="str">
        <f aca="false">IF(OR(E297="",F297=""),"",F297-E297+1)</f>
        <v/>
      </c>
      <c r="J297" s="18" t="str">
        <f aca="false">IF(OR(I297="",D297=""),"",D297/I297)</f>
        <v/>
      </c>
      <c r="K297" s="19" t="str">
        <f aca="false">IF(AND(A297&lt;&gt;"",G297&lt;&gt;""),G297+ROW()/1000000,"")</f>
        <v/>
      </c>
    </row>
    <row r="298" customFormat="false" ht="15" hidden="false" customHeight="false" outlineLevel="0" collapsed="false">
      <c r="A298" s="12"/>
      <c r="B298" s="12"/>
      <c r="C298" s="13"/>
      <c r="D298" s="14"/>
      <c r="E298" s="15"/>
      <c r="F298" s="15"/>
      <c r="G298" s="14"/>
      <c r="H298" s="16" t="str">
        <f aca="false">IF(A298="","",IF(F298&lt;&gt;"","Bitti",IF(E298&lt;&gt;"","Okunuyor","Sırada")))</f>
        <v/>
      </c>
      <c r="I298" s="17" t="str">
        <f aca="false">IF(OR(E298="",F298=""),"",F298-E298+1)</f>
        <v/>
      </c>
      <c r="J298" s="18" t="str">
        <f aca="false">IF(OR(I298="",D298=""),"",D298/I298)</f>
        <v/>
      </c>
      <c r="K298" s="19" t="str">
        <f aca="false">IF(AND(A298&lt;&gt;"",G298&lt;&gt;""),G298+ROW()/1000000,"")</f>
        <v/>
      </c>
    </row>
    <row r="299" customFormat="false" ht="15" hidden="false" customHeight="false" outlineLevel="0" collapsed="false">
      <c r="A299" s="12"/>
      <c r="B299" s="12"/>
      <c r="C299" s="13"/>
      <c r="D299" s="14"/>
      <c r="E299" s="15"/>
      <c r="F299" s="15"/>
      <c r="G299" s="14"/>
      <c r="H299" s="16" t="str">
        <f aca="false">IF(A299="","",IF(F299&lt;&gt;"","Bitti",IF(E299&lt;&gt;"","Okunuyor","Sırada")))</f>
        <v/>
      </c>
      <c r="I299" s="17" t="str">
        <f aca="false">IF(OR(E299="",F299=""),"",F299-E299+1)</f>
        <v/>
      </c>
      <c r="J299" s="18" t="str">
        <f aca="false">IF(OR(I299="",D299=""),"",D299/I299)</f>
        <v/>
      </c>
      <c r="K299" s="19" t="str">
        <f aca="false">IF(AND(A299&lt;&gt;"",G299&lt;&gt;""),G299+ROW()/1000000,"")</f>
        <v/>
      </c>
    </row>
    <row r="300" customFormat="false" ht="15" hidden="false" customHeight="false" outlineLevel="0" collapsed="false">
      <c r="A300" s="12"/>
      <c r="B300" s="12"/>
      <c r="C300" s="13"/>
      <c r="D300" s="14"/>
      <c r="E300" s="15"/>
      <c r="F300" s="15"/>
      <c r="G300" s="14"/>
      <c r="H300" s="16" t="str">
        <f aca="false">IF(A300="","",IF(F300&lt;&gt;"","Bitti",IF(E300&lt;&gt;"","Okunuyor","Sırada")))</f>
        <v/>
      </c>
      <c r="I300" s="17" t="str">
        <f aca="false">IF(OR(E300="",F300=""),"",F300-E300+1)</f>
        <v/>
      </c>
      <c r="J300" s="18" t="str">
        <f aca="false">IF(OR(I300="",D300=""),"",D300/I300)</f>
        <v/>
      </c>
      <c r="K300" s="19" t="str">
        <f aca="false">IF(AND(A300&lt;&gt;"",G300&lt;&gt;""),G300+ROW()/1000000,"")</f>
        <v/>
      </c>
    </row>
    <row r="301" customFormat="false" ht="15" hidden="false" customHeight="false" outlineLevel="0" collapsed="false">
      <c r="A301" s="12"/>
      <c r="B301" s="12"/>
      <c r="C301" s="13"/>
      <c r="D301" s="14"/>
      <c r="E301" s="15"/>
      <c r="F301" s="15"/>
      <c r="G301" s="14"/>
      <c r="H301" s="16" t="str">
        <f aca="false">IF(A301="","",IF(F301&lt;&gt;"","Bitti",IF(E301&lt;&gt;"","Okunuyor","Sırada")))</f>
        <v/>
      </c>
      <c r="I301" s="17" t="str">
        <f aca="false">IF(OR(E301="",F301=""),"",F301-E301+1)</f>
        <v/>
      </c>
      <c r="J301" s="18" t="str">
        <f aca="false">IF(OR(I301="",D301=""),"",D301/I301)</f>
        <v/>
      </c>
      <c r="K301" s="19" t="str">
        <f aca="false">IF(AND(A301&lt;&gt;"",G301&lt;&gt;""),G301+ROW()/1000000,"")</f>
        <v/>
      </c>
    </row>
    <row r="302" customFormat="false" ht="15" hidden="false" customHeight="false" outlineLevel="0" collapsed="false">
      <c r="A302" s="12"/>
      <c r="B302" s="12"/>
      <c r="C302" s="13"/>
      <c r="D302" s="14"/>
      <c r="E302" s="15"/>
      <c r="F302" s="15"/>
      <c r="G302" s="14"/>
      <c r="H302" s="16" t="str">
        <f aca="false">IF(A302="","",IF(F302&lt;&gt;"","Bitti",IF(E302&lt;&gt;"","Okunuyor","Sırada")))</f>
        <v/>
      </c>
      <c r="I302" s="17" t="str">
        <f aca="false">IF(OR(E302="",F302=""),"",F302-E302+1)</f>
        <v/>
      </c>
      <c r="J302" s="18" t="str">
        <f aca="false">IF(OR(I302="",D302=""),"",D302/I302)</f>
        <v/>
      </c>
      <c r="K302" s="19" t="str">
        <f aca="false">IF(AND(A302&lt;&gt;"",G302&lt;&gt;""),G302+ROW()/1000000,"")</f>
        <v/>
      </c>
    </row>
    <row r="303" customFormat="false" ht="15" hidden="false" customHeight="false" outlineLevel="0" collapsed="false">
      <c r="A303" s="12"/>
      <c r="B303" s="12"/>
      <c r="C303" s="13"/>
      <c r="D303" s="14"/>
      <c r="E303" s="15"/>
      <c r="F303" s="15"/>
      <c r="G303" s="14"/>
      <c r="H303" s="16" t="str">
        <f aca="false">IF(A303="","",IF(F303&lt;&gt;"","Bitti",IF(E303&lt;&gt;"","Okunuyor","Sırada")))</f>
        <v/>
      </c>
      <c r="I303" s="17" t="str">
        <f aca="false">IF(OR(E303="",F303=""),"",F303-E303+1)</f>
        <v/>
      </c>
      <c r="J303" s="18" t="str">
        <f aca="false">IF(OR(I303="",D303=""),"",D303/I303)</f>
        <v/>
      </c>
      <c r="K303" s="19" t="str">
        <f aca="false">IF(AND(A303&lt;&gt;"",G303&lt;&gt;""),G303+ROW()/1000000,"")</f>
        <v/>
      </c>
    </row>
    <row r="304" customFormat="false" ht="15" hidden="false" customHeight="false" outlineLevel="0" collapsed="false">
      <c r="A304" s="12"/>
      <c r="B304" s="12"/>
      <c r="C304" s="13"/>
      <c r="D304" s="14"/>
      <c r="E304" s="15"/>
      <c r="F304" s="15"/>
      <c r="G304" s="14"/>
      <c r="H304" s="16" t="str">
        <f aca="false">IF(A304="","",IF(F304&lt;&gt;"","Bitti",IF(E304&lt;&gt;"","Okunuyor","Sırada")))</f>
        <v/>
      </c>
      <c r="I304" s="17" t="str">
        <f aca="false">IF(OR(E304="",F304=""),"",F304-E304+1)</f>
        <v/>
      </c>
      <c r="J304" s="18" t="str">
        <f aca="false">IF(OR(I304="",D304=""),"",D304/I304)</f>
        <v/>
      </c>
      <c r="K304" s="19" t="str">
        <f aca="false">IF(AND(A304&lt;&gt;"",G304&lt;&gt;""),G304+ROW()/1000000,"")</f>
        <v/>
      </c>
    </row>
    <row r="305" customFormat="false" ht="15" hidden="false" customHeight="false" outlineLevel="0" collapsed="false">
      <c r="A305" s="12"/>
      <c r="B305" s="12"/>
      <c r="C305" s="13"/>
      <c r="D305" s="14"/>
      <c r="E305" s="15"/>
      <c r="F305" s="15"/>
      <c r="G305" s="14"/>
      <c r="H305" s="16" t="str">
        <f aca="false">IF(A305="","",IF(F305&lt;&gt;"","Bitti",IF(E305&lt;&gt;"","Okunuyor","Sırada")))</f>
        <v/>
      </c>
      <c r="I305" s="17" t="str">
        <f aca="false">IF(OR(E305="",F305=""),"",F305-E305+1)</f>
        <v/>
      </c>
      <c r="J305" s="18" t="str">
        <f aca="false">IF(OR(I305="",D305=""),"",D305/I305)</f>
        <v/>
      </c>
      <c r="K305" s="19" t="str">
        <f aca="false">IF(AND(A305&lt;&gt;"",G305&lt;&gt;""),G305+ROW()/1000000,"")</f>
        <v/>
      </c>
    </row>
    <row r="306" customFormat="false" ht="15" hidden="false" customHeight="false" outlineLevel="0" collapsed="false">
      <c r="A306" s="12"/>
      <c r="B306" s="12"/>
      <c r="C306" s="13"/>
      <c r="D306" s="14"/>
      <c r="E306" s="15"/>
      <c r="F306" s="15"/>
      <c r="G306" s="14"/>
      <c r="H306" s="16" t="str">
        <f aca="false">IF(A306="","",IF(F306&lt;&gt;"","Bitti",IF(E306&lt;&gt;"","Okunuyor","Sırada")))</f>
        <v/>
      </c>
      <c r="I306" s="17" t="str">
        <f aca="false">IF(OR(E306="",F306=""),"",F306-E306+1)</f>
        <v/>
      </c>
      <c r="J306" s="18" t="str">
        <f aca="false">IF(OR(I306="",D306=""),"",D306/I306)</f>
        <v/>
      </c>
      <c r="K306" s="19" t="str">
        <f aca="false">IF(AND(A306&lt;&gt;"",G306&lt;&gt;""),G306+ROW()/1000000,"")</f>
        <v/>
      </c>
    </row>
    <row r="307" customFormat="false" ht="15" hidden="false" customHeight="false" outlineLevel="0" collapsed="false">
      <c r="A307" s="12"/>
      <c r="B307" s="12"/>
      <c r="C307" s="13"/>
      <c r="D307" s="14"/>
      <c r="E307" s="15"/>
      <c r="F307" s="15"/>
      <c r="G307" s="14"/>
      <c r="H307" s="16" t="str">
        <f aca="false">IF(A307="","",IF(F307&lt;&gt;"","Bitti",IF(E307&lt;&gt;"","Okunuyor","Sırada")))</f>
        <v/>
      </c>
      <c r="I307" s="17" t="str">
        <f aca="false">IF(OR(E307="",F307=""),"",F307-E307+1)</f>
        <v/>
      </c>
      <c r="J307" s="18" t="str">
        <f aca="false">IF(OR(I307="",D307=""),"",D307/I307)</f>
        <v/>
      </c>
      <c r="K307" s="19" t="str">
        <f aca="false">IF(AND(A307&lt;&gt;"",G307&lt;&gt;""),G307+ROW()/1000000,"")</f>
        <v/>
      </c>
    </row>
    <row r="308" customFormat="false" ht="15" hidden="false" customHeight="false" outlineLevel="0" collapsed="false">
      <c r="A308" s="12"/>
      <c r="B308" s="12"/>
      <c r="C308" s="13"/>
      <c r="D308" s="14"/>
      <c r="E308" s="15"/>
      <c r="F308" s="15"/>
      <c r="G308" s="14"/>
      <c r="H308" s="16" t="str">
        <f aca="false">IF(A308="","",IF(F308&lt;&gt;"","Bitti",IF(E308&lt;&gt;"","Okunuyor","Sırada")))</f>
        <v/>
      </c>
      <c r="I308" s="17" t="str">
        <f aca="false">IF(OR(E308="",F308=""),"",F308-E308+1)</f>
        <v/>
      </c>
      <c r="J308" s="18" t="str">
        <f aca="false">IF(OR(I308="",D308=""),"",D308/I308)</f>
        <v/>
      </c>
      <c r="K308" s="19" t="str">
        <f aca="false">IF(AND(A308&lt;&gt;"",G308&lt;&gt;""),G308+ROW()/1000000,"")</f>
        <v/>
      </c>
    </row>
    <row r="309" customFormat="false" ht="15" hidden="false" customHeight="false" outlineLevel="0" collapsed="false">
      <c r="A309" s="12"/>
      <c r="B309" s="12"/>
      <c r="C309" s="13"/>
      <c r="D309" s="14"/>
      <c r="E309" s="15"/>
      <c r="F309" s="15"/>
      <c r="G309" s="14"/>
      <c r="H309" s="16" t="str">
        <f aca="false">IF(A309="","",IF(F309&lt;&gt;"","Bitti",IF(E309&lt;&gt;"","Okunuyor","Sırada")))</f>
        <v/>
      </c>
      <c r="I309" s="17" t="str">
        <f aca="false">IF(OR(E309="",F309=""),"",F309-E309+1)</f>
        <v/>
      </c>
      <c r="J309" s="18" t="str">
        <f aca="false">IF(OR(I309="",D309=""),"",D309/I309)</f>
        <v/>
      </c>
      <c r="K309" s="19" t="str">
        <f aca="false">IF(AND(A309&lt;&gt;"",G309&lt;&gt;""),G309+ROW()/1000000,"")</f>
        <v/>
      </c>
    </row>
    <row r="310" customFormat="false" ht="15" hidden="false" customHeight="false" outlineLevel="0" collapsed="false">
      <c r="A310" s="12"/>
      <c r="B310" s="12"/>
      <c r="C310" s="13"/>
      <c r="D310" s="14"/>
      <c r="E310" s="15"/>
      <c r="F310" s="15"/>
      <c r="G310" s="14"/>
      <c r="H310" s="16" t="str">
        <f aca="false">IF(A310="","",IF(F310&lt;&gt;"","Bitti",IF(E310&lt;&gt;"","Okunuyor","Sırada")))</f>
        <v/>
      </c>
      <c r="I310" s="17" t="str">
        <f aca="false">IF(OR(E310="",F310=""),"",F310-E310+1)</f>
        <v/>
      </c>
      <c r="J310" s="18" t="str">
        <f aca="false">IF(OR(I310="",D310=""),"",D310/I310)</f>
        <v/>
      </c>
      <c r="K310" s="19" t="str">
        <f aca="false">IF(AND(A310&lt;&gt;"",G310&lt;&gt;""),G310+ROW()/1000000,"")</f>
        <v/>
      </c>
    </row>
    <row r="311" customFormat="false" ht="15" hidden="false" customHeight="false" outlineLevel="0" collapsed="false">
      <c r="A311" s="12"/>
      <c r="B311" s="12"/>
      <c r="C311" s="13"/>
      <c r="D311" s="14"/>
      <c r="E311" s="15"/>
      <c r="F311" s="15"/>
      <c r="G311" s="14"/>
      <c r="H311" s="16" t="str">
        <f aca="false">IF(A311="","",IF(F311&lt;&gt;"","Bitti",IF(E311&lt;&gt;"","Okunuyor","Sırada")))</f>
        <v/>
      </c>
      <c r="I311" s="17" t="str">
        <f aca="false">IF(OR(E311="",F311=""),"",F311-E311+1)</f>
        <v/>
      </c>
      <c r="J311" s="18" t="str">
        <f aca="false">IF(OR(I311="",D311=""),"",D311/I311)</f>
        <v/>
      </c>
      <c r="K311" s="19" t="str">
        <f aca="false">IF(AND(A311&lt;&gt;"",G311&lt;&gt;""),G311+ROW()/1000000,"")</f>
        <v/>
      </c>
    </row>
    <row r="312" customFormat="false" ht="15" hidden="false" customHeight="false" outlineLevel="0" collapsed="false">
      <c r="A312" s="12"/>
      <c r="B312" s="12"/>
      <c r="C312" s="13"/>
      <c r="D312" s="14"/>
      <c r="E312" s="15"/>
      <c r="F312" s="15"/>
      <c r="G312" s="14"/>
      <c r="H312" s="16" t="str">
        <f aca="false">IF(A312="","",IF(F312&lt;&gt;"","Bitti",IF(E312&lt;&gt;"","Okunuyor","Sırada")))</f>
        <v/>
      </c>
      <c r="I312" s="17" t="str">
        <f aca="false">IF(OR(E312="",F312=""),"",F312-E312+1)</f>
        <v/>
      </c>
      <c r="J312" s="18" t="str">
        <f aca="false">IF(OR(I312="",D312=""),"",D312/I312)</f>
        <v/>
      </c>
      <c r="K312" s="19" t="str">
        <f aca="false">IF(AND(A312&lt;&gt;"",G312&lt;&gt;""),G312+ROW()/1000000,"")</f>
        <v/>
      </c>
    </row>
    <row r="313" customFormat="false" ht="15" hidden="false" customHeight="false" outlineLevel="0" collapsed="false">
      <c r="A313" s="12"/>
      <c r="B313" s="12"/>
      <c r="C313" s="13"/>
      <c r="D313" s="14"/>
      <c r="E313" s="15"/>
      <c r="F313" s="15"/>
      <c r="G313" s="14"/>
      <c r="H313" s="16" t="str">
        <f aca="false">IF(A313="","",IF(F313&lt;&gt;"","Bitti",IF(E313&lt;&gt;"","Okunuyor","Sırada")))</f>
        <v/>
      </c>
      <c r="I313" s="17" t="str">
        <f aca="false">IF(OR(E313="",F313=""),"",F313-E313+1)</f>
        <v/>
      </c>
      <c r="J313" s="18" t="str">
        <f aca="false">IF(OR(I313="",D313=""),"",D313/I313)</f>
        <v/>
      </c>
      <c r="K313" s="19" t="str">
        <f aca="false">IF(AND(A313&lt;&gt;"",G313&lt;&gt;""),G313+ROW()/1000000,"")</f>
        <v/>
      </c>
    </row>
    <row r="314" customFormat="false" ht="15" hidden="false" customHeight="false" outlineLevel="0" collapsed="false">
      <c r="A314" s="12"/>
      <c r="B314" s="12"/>
      <c r="C314" s="13"/>
      <c r="D314" s="14"/>
      <c r="E314" s="15"/>
      <c r="F314" s="15"/>
      <c r="G314" s="14"/>
      <c r="H314" s="16" t="str">
        <f aca="false">IF(A314="","",IF(F314&lt;&gt;"","Bitti",IF(E314&lt;&gt;"","Okunuyor","Sırada")))</f>
        <v/>
      </c>
      <c r="I314" s="17" t="str">
        <f aca="false">IF(OR(E314="",F314=""),"",F314-E314+1)</f>
        <v/>
      </c>
      <c r="J314" s="18" t="str">
        <f aca="false">IF(OR(I314="",D314=""),"",D314/I314)</f>
        <v/>
      </c>
      <c r="K314" s="19" t="str">
        <f aca="false">IF(AND(A314&lt;&gt;"",G314&lt;&gt;""),G314+ROW()/1000000,"")</f>
        <v/>
      </c>
    </row>
    <row r="315" customFormat="false" ht="15" hidden="false" customHeight="false" outlineLevel="0" collapsed="false">
      <c r="A315" s="12"/>
      <c r="B315" s="12"/>
      <c r="C315" s="13"/>
      <c r="D315" s="14"/>
      <c r="E315" s="15"/>
      <c r="F315" s="15"/>
      <c r="G315" s="14"/>
      <c r="H315" s="16" t="str">
        <f aca="false">IF(A315="","",IF(F315&lt;&gt;"","Bitti",IF(E315&lt;&gt;"","Okunuyor","Sırada")))</f>
        <v/>
      </c>
      <c r="I315" s="17" t="str">
        <f aca="false">IF(OR(E315="",F315=""),"",F315-E315+1)</f>
        <v/>
      </c>
      <c r="J315" s="18" t="str">
        <f aca="false">IF(OR(I315="",D315=""),"",D315/I315)</f>
        <v/>
      </c>
      <c r="K315" s="19" t="str">
        <f aca="false">IF(AND(A315&lt;&gt;"",G315&lt;&gt;""),G315+ROW()/1000000,"")</f>
        <v/>
      </c>
    </row>
    <row r="316" customFormat="false" ht="15" hidden="false" customHeight="false" outlineLevel="0" collapsed="false">
      <c r="A316" s="12"/>
      <c r="B316" s="12"/>
      <c r="C316" s="13"/>
      <c r="D316" s="14"/>
      <c r="E316" s="15"/>
      <c r="F316" s="15"/>
      <c r="G316" s="14"/>
      <c r="H316" s="16" t="str">
        <f aca="false">IF(A316="","",IF(F316&lt;&gt;"","Bitti",IF(E316&lt;&gt;"","Okunuyor","Sırada")))</f>
        <v/>
      </c>
      <c r="I316" s="17" t="str">
        <f aca="false">IF(OR(E316="",F316=""),"",F316-E316+1)</f>
        <v/>
      </c>
      <c r="J316" s="18" t="str">
        <f aca="false">IF(OR(I316="",D316=""),"",D316/I316)</f>
        <v/>
      </c>
      <c r="K316" s="19" t="str">
        <f aca="false">IF(AND(A316&lt;&gt;"",G316&lt;&gt;""),G316+ROW()/1000000,"")</f>
        <v/>
      </c>
    </row>
    <row r="317" customFormat="false" ht="15" hidden="false" customHeight="false" outlineLevel="0" collapsed="false">
      <c r="A317" s="12"/>
      <c r="B317" s="12"/>
      <c r="C317" s="13"/>
      <c r="D317" s="14"/>
      <c r="E317" s="15"/>
      <c r="F317" s="15"/>
      <c r="G317" s="14"/>
      <c r="H317" s="16" t="str">
        <f aca="false">IF(A317="","",IF(F317&lt;&gt;"","Bitti",IF(E317&lt;&gt;"","Okunuyor","Sırada")))</f>
        <v/>
      </c>
      <c r="I317" s="17" t="str">
        <f aca="false">IF(OR(E317="",F317=""),"",F317-E317+1)</f>
        <v/>
      </c>
      <c r="J317" s="18" t="str">
        <f aca="false">IF(OR(I317="",D317=""),"",D317/I317)</f>
        <v/>
      </c>
      <c r="K317" s="19" t="str">
        <f aca="false">IF(AND(A317&lt;&gt;"",G317&lt;&gt;""),G317+ROW()/1000000,"")</f>
        <v/>
      </c>
    </row>
    <row r="318" customFormat="false" ht="15" hidden="false" customHeight="false" outlineLevel="0" collapsed="false">
      <c r="A318" s="12"/>
      <c r="B318" s="12"/>
      <c r="C318" s="13"/>
      <c r="D318" s="14"/>
      <c r="E318" s="15"/>
      <c r="F318" s="15"/>
      <c r="G318" s="14"/>
      <c r="H318" s="16" t="str">
        <f aca="false">IF(A318="","",IF(F318&lt;&gt;"","Bitti",IF(E318&lt;&gt;"","Okunuyor","Sırada")))</f>
        <v/>
      </c>
      <c r="I318" s="17" t="str">
        <f aca="false">IF(OR(E318="",F318=""),"",F318-E318+1)</f>
        <v/>
      </c>
      <c r="J318" s="18" t="str">
        <f aca="false">IF(OR(I318="",D318=""),"",D318/I318)</f>
        <v/>
      </c>
      <c r="K318" s="19" t="str">
        <f aca="false">IF(AND(A318&lt;&gt;"",G318&lt;&gt;""),G318+ROW()/1000000,"")</f>
        <v/>
      </c>
    </row>
    <row r="319" customFormat="false" ht="15" hidden="false" customHeight="false" outlineLevel="0" collapsed="false">
      <c r="A319" s="12"/>
      <c r="B319" s="12"/>
      <c r="C319" s="13"/>
      <c r="D319" s="14"/>
      <c r="E319" s="15"/>
      <c r="F319" s="15"/>
      <c r="G319" s="14"/>
      <c r="H319" s="16" t="str">
        <f aca="false">IF(A319="","",IF(F319&lt;&gt;"","Bitti",IF(E319&lt;&gt;"","Okunuyor","Sırada")))</f>
        <v/>
      </c>
      <c r="I319" s="17" t="str">
        <f aca="false">IF(OR(E319="",F319=""),"",F319-E319+1)</f>
        <v/>
      </c>
      <c r="J319" s="18" t="str">
        <f aca="false">IF(OR(I319="",D319=""),"",D319/I319)</f>
        <v/>
      </c>
      <c r="K319" s="19" t="str">
        <f aca="false">IF(AND(A319&lt;&gt;"",G319&lt;&gt;""),G319+ROW()/1000000,"")</f>
        <v/>
      </c>
    </row>
    <row r="320" customFormat="false" ht="15" hidden="false" customHeight="false" outlineLevel="0" collapsed="false">
      <c r="A320" s="12"/>
      <c r="B320" s="12"/>
      <c r="C320" s="13"/>
      <c r="D320" s="14"/>
      <c r="E320" s="15"/>
      <c r="F320" s="15"/>
      <c r="G320" s="14"/>
      <c r="H320" s="16" t="str">
        <f aca="false">IF(A320="","",IF(F320&lt;&gt;"","Bitti",IF(E320&lt;&gt;"","Okunuyor","Sırada")))</f>
        <v/>
      </c>
      <c r="I320" s="17" t="str">
        <f aca="false">IF(OR(E320="",F320=""),"",F320-E320+1)</f>
        <v/>
      </c>
      <c r="J320" s="18" t="str">
        <f aca="false">IF(OR(I320="",D320=""),"",D320/I320)</f>
        <v/>
      </c>
      <c r="K320" s="19" t="str">
        <f aca="false">IF(AND(A320&lt;&gt;"",G320&lt;&gt;""),G320+ROW()/1000000,"")</f>
        <v/>
      </c>
    </row>
    <row r="321" customFormat="false" ht="15" hidden="false" customHeight="false" outlineLevel="0" collapsed="false">
      <c r="A321" s="12"/>
      <c r="B321" s="12"/>
      <c r="C321" s="13"/>
      <c r="D321" s="14"/>
      <c r="E321" s="15"/>
      <c r="F321" s="15"/>
      <c r="G321" s="14"/>
      <c r="H321" s="16" t="str">
        <f aca="false">IF(A321="","",IF(F321&lt;&gt;"","Bitti",IF(E321&lt;&gt;"","Okunuyor","Sırada")))</f>
        <v/>
      </c>
      <c r="I321" s="17" t="str">
        <f aca="false">IF(OR(E321="",F321=""),"",F321-E321+1)</f>
        <v/>
      </c>
      <c r="J321" s="18" t="str">
        <f aca="false">IF(OR(I321="",D321=""),"",D321/I321)</f>
        <v/>
      </c>
      <c r="K321" s="19" t="str">
        <f aca="false">IF(AND(A321&lt;&gt;"",G321&lt;&gt;""),G321+ROW()/1000000,"")</f>
        <v/>
      </c>
    </row>
    <row r="322" customFormat="false" ht="15" hidden="false" customHeight="false" outlineLevel="0" collapsed="false">
      <c r="A322" s="12"/>
      <c r="B322" s="12"/>
      <c r="C322" s="13"/>
      <c r="D322" s="14"/>
      <c r="E322" s="15"/>
      <c r="F322" s="15"/>
      <c r="G322" s="14"/>
      <c r="H322" s="16" t="str">
        <f aca="false">IF(A322="","",IF(F322&lt;&gt;"","Bitti",IF(E322&lt;&gt;"","Okunuyor","Sırada")))</f>
        <v/>
      </c>
      <c r="I322" s="17" t="str">
        <f aca="false">IF(OR(E322="",F322=""),"",F322-E322+1)</f>
        <v/>
      </c>
      <c r="J322" s="18" t="str">
        <f aca="false">IF(OR(I322="",D322=""),"",D322/I322)</f>
        <v/>
      </c>
      <c r="K322" s="19" t="str">
        <f aca="false">IF(AND(A322&lt;&gt;"",G322&lt;&gt;""),G322+ROW()/1000000,"")</f>
        <v/>
      </c>
    </row>
    <row r="323" customFormat="false" ht="15" hidden="false" customHeight="false" outlineLevel="0" collapsed="false">
      <c r="A323" s="12"/>
      <c r="B323" s="12"/>
      <c r="C323" s="13"/>
      <c r="D323" s="14"/>
      <c r="E323" s="15"/>
      <c r="F323" s="15"/>
      <c r="G323" s="14"/>
      <c r="H323" s="16" t="str">
        <f aca="false">IF(A323="","",IF(F323&lt;&gt;"","Bitti",IF(E323&lt;&gt;"","Okunuyor","Sırada")))</f>
        <v/>
      </c>
      <c r="I323" s="17" t="str">
        <f aca="false">IF(OR(E323="",F323=""),"",F323-E323+1)</f>
        <v/>
      </c>
      <c r="J323" s="18" t="str">
        <f aca="false">IF(OR(I323="",D323=""),"",D323/I323)</f>
        <v/>
      </c>
      <c r="K323" s="19" t="str">
        <f aca="false">IF(AND(A323&lt;&gt;"",G323&lt;&gt;""),G323+ROW()/1000000,"")</f>
        <v/>
      </c>
    </row>
    <row r="324" customFormat="false" ht="15" hidden="false" customHeight="false" outlineLevel="0" collapsed="false">
      <c r="A324" s="12"/>
      <c r="B324" s="12"/>
      <c r="C324" s="13"/>
      <c r="D324" s="14"/>
      <c r="E324" s="15"/>
      <c r="F324" s="15"/>
      <c r="G324" s="14"/>
      <c r="H324" s="16" t="str">
        <f aca="false">IF(A324="","",IF(F324&lt;&gt;"","Bitti",IF(E324&lt;&gt;"","Okunuyor","Sırada")))</f>
        <v/>
      </c>
      <c r="I324" s="17" t="str">
        <f aca="false">IF(OR(E324="",F324=""),"",F324-E324+1)</f>
        <v/>
      </c>
      <c r="J324" s="18" t="str">
        <f aca="false">IF(OR(I324="",D324=""),"",D324/I324)</f>
        <v/>
      </c>
      <c r="K324" s="19" t="str">
        <f aca="false">IF(AND(A324&lt;&gt;"",G324&lt;&gt;""),G324+ROW()/1000000,"")</f>
        <v/>
      </c>
    </row>
    <row r="325" customFormat="false" ht="15" hidden="false" customHeight="false" outlineLevel="0" collapsed="false">
      <c r="A325" s="12"/>
      <c r="B325" s="12"/>
      <c r="C325" s="13"/>
      <c r="D325" s="14"/>
      <c r="E325" s="15"/>
      <c r="F325" s="15"/>
      <c r="G325" s="14"/>
      <c r="H325" s="16" t="str">
        <f aca="false">IF(A325="","",IF(F325&lt;&gt;"","Bitti",IF(E325&lt;&gt;"","Okunuyor","Sırada")))</f>
        <v/>
      </c>
      <c r="I325" s="17" t="str">
        <f aca="false">IF(OR(E325="",F325=""),"",F325-E325+1)</f>
        <v/>
      </c>
      <c r="J325" s="18" t="str">
        <f aca="false">IF(OR(I325="",D325=""),"",D325/I325)</f>
        <v/>
      </c>
      <c r="K325" s="19" t="str">
        <f aca="false">IF(AND(A325&lt;&gt;"",G325&lt;&gt;""),G325+ROW()/1000000,"")</f>
        <v/>
      </c>
    </row>
    <row r="326" customFormat="false" ht="15" hidden="false" customHeight="false" outlineLevel="0" collapsed="false">
      <c r="A326" s="12"/>
      <c r="B326" s="12"/>
      <c r="C326" s="13"/>
      <c r="D326" s="14"/>
      <c r="E326" s="15"/>
      <c r="F326" s="15"/>
      <c r="G326" s="14"/>
      <c r="H326" s="16" t="str">
        <f aca="false">IF(A326="","",IF(F326&lt;&gt;"","Bitti",IF(E326&lt;&gt;"","Okunuyor","Sırada")))</f>
        <v/>
      </c>
      <c r="I326" s="17" t="str">
        <f aca="false">IF(OR(E326="",F326=""),"",F326-E326+1)</f>
        <v/>
      </c>
      <c r="J326" s="18" t="str">
        <f aca="false">IF(OR(I326="",D326=""),"",D326/I326)</f>
        <v/>
      </c>
      <c r="K326" s="19" t="str">
        <f aca="false">IF(AND(A326&lt;&gt;"",G326&lt;&gt;""),G326+ROW()/1000000,"")</f>
        <v/>
      </c>
    </row>
    <row r="327" customFormat="false" ht="15" hidden="false" customHeight="false" outlineLevel="0" collapsed="false">
      <c r="A327" s="12"/>
      <c r="B327" s="12"/>
      <c r="C327" s="13"/>
      <c r="D327" s="14"/>
      <c r="E327" s="15"/>
      <c r="F327" s="15"/>
      <c r="G327" s="14"/>
      <c r="H327" s="16" t="str">
        <f aca="false">IF(A327="","",IF(F327&lt;&gt;"","Bitti",IF(E327&lt;&gt;"","Okunuyor","Sırada")))</f>
        <v/>
      </c>
      <c r="I327" s="17" t="str">
        <f aca="false">IF(OR(E327="",F327=""),"",F327-E327+1)</f>
        <v/>
      </c>
      <c r="J327" s="18" t="str">
        <f aca="false">IF(OR(I327="",D327=""),"",D327/I327)</f>
        <v/>
      </c>
      <c r="K327" s="19" t="str">
        <f aca="false">IF(AND(A327&lt;&gt;"",G327&lt;&gt;""),G327+ROW()/1000000,"")</f>
        <v/>
      </c>
    </row>
    <row r="328" customFormat="false" ht="15" hidden="false" customHeight="false" outlineLevel="0" collapsed="false">
      <c r="A328" s="12"/>
      <c r="B328" s="12"/>
      <c r="C328" s="13"/>
      <c r="D328" s="14"/>
      <c r="E328" s="15"/>
      <c r="F328" s="15"/>
      <c r="G328" s="14"/>
      <c r="H328" s="16" t="str">
        <f aca="false">IF(A328="","",IF(F328&lt;&gt;"","Bitti",IF(E328&lt;&gt;"","Okunuyor","Sırada")))</f>
        <v/>
      </c>
      <c r="I328" s="17" t="str">
        <f aca="false">IF(OR(E328="",F328=""),"",F328-E328+1)</f>
        <v/>
      </c>
      <c r="J328" s="18" t="str">
        <f aca="false">IF(OR(I328="",D328=""),"",D328/I328)</f>
        <v/>
      </c>
      <c r="K328" s="19" t="str">
        <f aca="false">IF(AND(A328&lt;&gt;"",G328&lt;&gt;""),G328+ROW()/1000000,"")</f>
        <v/>
      </c>
    </row>
    <row r="329" customFormat="false" ht="15" hidden="false" customHeight="false" outlineLevel="0" collapsed="false">
      <c r="A329" s="12"/>
      <c r="B329" s="12"/>
      <c r="C329" s="13"/>
      <c r="D329" s="14"/>
      <c r="E329" s="15"/>
      <c r="F329" s="15"/>
      <c r="G329" s="14"/>
      <c r="H329" s="16" t="str">
        <f aca="false">IF(A329="","",IF(F329&lt;&gt;"","Bitti",IF(E329&lt;&gt;"","Okunuyor","Sırada")))</f>
        <v/>
      </c>
      <c r="I329" s="17" t="str">
        <f aca="false">IF(OR(E329="",F329=""),"",F329-E329+1)</f>
        <v/>
      </c>
      <c r="J329" s="18" t="str">
        <f aca="false">IF(OR(I329="",D329=""),"",D329/I329)</f>
        <v/>
      </c>
      <c r="K329" s="19" t="str">
        <f aca="false">IF(AND(A329&lt;&gt;"",G329&lt;&gt;""),G329+ROW()/1000000,"")</f>
        <v/>
      </c>
    </row>
    <row r="330" customFormat="false" ht="15" hidden="false" customHeight="false" outlineLevel="0" collapsed="false">
      <c r="A330" s="12"/>
      <c r="B330" s="12"/>
      <c r="C330" s="13"/>
      <c r="D330" s="14"/>
      <c r="E330" s="15"/>
      <c r="F330" s="15"/>
      <c r="G330" s="14"/>
      <c r="H330" s="16" t="str">
        <f aca="false">IF(A330="","",IF(F330&lt;&gt;"","Bitti",IF(E330&lt;&gt;"","Okunuyor","Sırada")))</f>
        <v/>
      </c>
      <c r="I330" s="17" t="str">
        <f aca="false">IF(OR(E330="",F330=""),"",F330-E330+1)</f>
        <v/>
      </c>
      <c r="J330" s="18" t="str">
        <f aca="false">IF(OR(I330="",D330=""),"",D330/I330)</f>
        <v/>
      </c>
      <c r="K330" s="19" t="str">
        <f aca="false">IF(AND(A330&lt;&gt;"",G330&lt;&gt;""),G330+ROW()/1000000,"")</f>
        <v/>
      </c>
    </row>
    <row r="331" customFormat="false" ht="15" hidden="false" customHeight="false" outlineLevel="0" collapsed="false">
      <c r="A331" s="12"/>
      <c r="B331" s="12"/>
      <c r="C331" s="13"/>
      <c r="D331" s="14"/>
      <c r="E331" s="15"/>
      <c r="F331" s="15"/>
      <c r="G331" s="14"/>
      <c r="H331" s="16" t="str">
        <f aca="false">IF(A331="","",IF(F331&lt;&gt;"","Bitti",IF(E331&lt;&gt;"","Okunuyor","Sırada")))</f>
        <v/>
      </c>
      <c r="I331" s="17" t="str">
        <f aca="false">IF(OR(E331="",F331=""),"",F331-E331+1)</f>
        <v/>
      </c>
      <c r="J331" s="18" t="str">
        <f aca="false">IF(OR(I331="",D331=""),"",D331/I331)</f>
        <v/>
      </c>
      <c r="K331" s="19" t="str">
        <f aca="false">IF(AND(A331&lt;&gt;"",G331&lt;&gt;""),G331+ROW()/1000000,"")</f>
        <v/>
      </c>
    </row>
    <row r="332" customFormat="false" ht="15" hidden="false" customHeight="false" outlineLevel="0" collapsed="false">
      <c r="A332" s="12"/>
      <c r="B332" s="12"/>
      <c r="C332" s="13"/>
      <c r="D332" s="14"/>
      <c r="E332" s="15"/>
      <c r="F332" s="15"/>
      <c r="G332" s="14"/>
      <c r="H332" s="16" t="str">
        <f aca="false">IF(A332="","",IF(F332&lt;&gt;"","Bitti",IF(E332&lt;&gt;"","Okunuyor","Sırada")))</f>
        <v/>
      </c>
      <c r="I332" s="17" t="str">
        <f aca="false">IF(OR(E332="",F332=""),"",F332-E332+1)</f>
        <v/>
      </c>
      <c r="J332" s="18" t="str">
        <f aca="false">IF(OR(I332="",D332=""),"",D332/I332)</f>
        <v/>
      </c>
      <c r="K332" s="19" t="str">
        <f aca="false">IF(AND(A332&lt;&gt;"",G332&lt;&gt;""),G332+ROW()/1000000,"")</f>
        <v/>
      </c>
    </row>
    <row r="333" customFormat="false" ht="15" hidden="false" customHeight="false" outlineLevel="0" collapsed="false">
      <c r="A333" s="12"/>
      <c r="B333" s="12"/>
      <c r="C333" s="13"/>
      <c r="D333" s="14"/>
      <c r="E333" s="15"/>
      <c r="F333" s="15"/>
      <c r="G333" s="14"/>
      <c r="H333" s="16" t="str">
        <f aca="false">IF(A333="","",IF(F333&lt;&gt;"","Bitti",IF(E333&lt;&gt;"","Okunuyor","Sırada")))</f>
        <v/>
      </c>
      <c r="I333" s="17" t="str">
        <f aca="false">IF(OR(E333="",F333=""),"",F333-E333+1)</f>
        <v/>
      </c>
      <c r="J333" s="18" t="str">
        <f aca="false">IF(OR(I333="",D333=""),"",D333/I333)</f>
        <v/>
      </c>
      <c r="K333" s="19" t="str">
        <f aca="false">IF(AND(A333&lt;&gt;"",G333&lt;&gt;""),G333+ROW()/1000000,"")</f>
        <v/>
      </c>
    </row>
    <row r="334" customFormat="false" ht="15" hidden="false" customHeight="false" outlineLevel="0" collapsed="false">
      <c r="A334" s="12"/>
      <c r="B334" s="12"/>
      <c r="C334" s="13"/>
      <c r="D334" s="14"/>
      <c r="E334" s="15"/>
      <c r="F334" s="15"/>
      <c r="G334" s="14"/>
      <c r="H334" s="16" t="str">
        <f aca="false">IF(A334="","",IF(F334&lt;&gt;"","Bitti",IF(E334&lt;&gt;"","Okunuyor","Sırada")))</f>
        <v/>
      </c>
      <c r="I334" s="17" t="str">
        <f aca="false">IF(OR(E334="",F334=""),"",F334-E334+1)</f>
        <v/>
      </c>
      <c r="J334" s="18" t="str">
        <f aca="false">IF(OR(I334="",D334=""),"",D334/I334)</f>
        <v/>
      </c>
      <c r="K334" s="19" t="str">
        <f aca="false">IF(AND(A334&lt;&gt;"",G334&lt;&gt;""),G334+ROW()/1000000,"")</f>
        <v/>
      </c>
    </row>
    <row r="335" customFormat="false" ht="15" hidden="false" customHeight="false" outlineLevel="0" collapsed="false">
      <c r="A335" s="12"/>
      <c r="B335" s="12"/>
      <c r="C335" s="13"/>
      <c r="D335" s="14"/>
      <c r="E335" s="15"/>
      <c r="F335" s="15"/>
      <c r="G335" s="14"/>
      <c r="H335" s="16" t="str">
        <f aca="false">IF(A335="","",IF(F335&lt;&gt;"","Bitti",IF(E335&lt;&gt;"","Okunuyor","Sırada")))</f>
        <v/>
      </c>
      <c r="I335" s="17" t="str">
        <f aca="false">IF(OR(E335="",F335=""),"",F335-E335+1)</f>
        <v/>
      </c>
      <c r="J335" s="18" t="str">
        <f aca="false">IF(OR(I335="",D335=""),"",D335/I335)</f>
        <v/>
      </c>
      <c r="K335" s="19" t="str">
        <f aca="false">IF(AND(A335&lt;&gt;"",G335&lt;&gt;""),G335+ROW()/1000000,"")</f>
        <v/>
      </c>
    </row>
    <row r="336" customFormat="false" ht="15" hidden="false" customHeight="false" outlineLevel="0" collapsed="false">
      <c r="A336" s="12"/>
      <c r="B336" s="12"/>
      <c r="C336" s="13"/>
      <c r="D336" s="14"/>
      <c r="E336" s="15"/>
      <c r="F336" s="15"/>
      <c r="G336" s="14"/>
      <c r="H336" s="16" t="str">
        <f aca="false">IF(A336="","",IF(F336&lt;&gt;"","Bitti",IF(E336&lt;&gt;"","Okunuyor","Sırada")))</f>
        <v/>
      </c>
      <c r="I336" s="17" t="str">
        <f aca="false">IF(OR(E336="",F336=""),"",F336-E336+1)</f>
        <v/>
      </c>
      <c r="J336" s="18" t="str">
        <f aca="false">IF(OR(I336="",D336=""),"",D336/I336)</f>
        <v/>
      </c>
      <c r="K336" s="19" t="str">
        <f aca="false">IF(AND(A336&lt;&gt;"",G336&lt;&gt;""),G336+ROW()/1000000,"")</f>
        <v/>
      </c>
    </row>
    <row r="337" customFormat="false" ht="15" hidden="false" customHeight="false" outlineLevel="0" collapsed="false">
      <c r="A337" s="12"/>
      <c r="B337" s="12"/>
      <c r="C337" s="13"/>
      <c r="D337" s="14"/>
      <c r="E337" s="15"/>
      <c r="F337" s="15"/>
      <c r="G337" s="14"/>
      <c r="H337" s="16" t="str">
        <f aca="false">IF(A337="","",IF(F337&lt;&gt;"","Bitti",IF(E337&lt;&gt;"","Okunuyor","Sırada")))</f>
        <v/>
      </c>
      <c r="I337" s="17" t="str">
        <f aca="false">IF(OR(E337="",F337=""),"",F337-E337+1)</f>
        <v/>
      </c>
      <c r="J337" s="18" t="str">
        <f aca="false">IF(OR(I337="",D337=""),"",D337/I337)</f>
        <v/>
      </c>
      <c r="K337" s="19" t="str">
        <f aca="false">IF(AND(A337&lt;&gt;"",G337&lt;&gt;""),G337+ROW()/1000000,"")</f>
        <v/>
      </c>
    </row>
    <row r="338" customFormat="false" ht="15" hidden="false" customHeight="false" outlineLevel="0" collapsed="false">
      <c r="A338" s="12"/>
      <c r="B338" s="12"/>
      <c r="C338" s="13"/>
      <c r="D338" s="14"/>
      <c r="E338" s="15"/>
      <c r="F338" s="15"/>
      <c r="G338" s="14"/>
      <c r="H338" s="16" t="str">
        <f aca="false">IF(A338="","",IF(F338&lt;&gt;"","Bitti",IF(E338&lt;&gt;"","Okunuyor","Sırada")))</f>
        <v/>
      </c>
      <c r="I338" s="17" t="str">
        <f aca="false">IF(OR(E338="",F338=""),"",F338-E338+1)</f>
        <v/>
      </c>
      <c r="J338" s="18" t="str">
        <f aca="false">IF(OR(I338="",D338=""),"",D338/I338)</f>
        <v/>
      </c>
      <c r="K338" s="19" t="str">
        <f aca="false">IF(AND(A338&lt;&gt;"",G338&lt;&gt;""),G338+ROW()/1000000,"")</f>
        <v/>
      </c>
    </row>
    <row r="339" customFormat="false" ht="15" hidden="false" customHeight="false" outlineLevel="0" collapsed="false">
      <c r="A339" s="12"/>
      <c r="B339" s="12"/>
      <c r="C339" s="13"/>
      <c r="D339" s="14"/>
      <c r="E339" s="15"/>
      <c r="F339" s="15"/>
      <c r="G339" s="14"/>
      <c r="H339" s="16" t="str">
        <f aca="false">IF(A339="","",IF(F339&lt;&gt;"","Bitti",IF(E339&lt;&gt;"","Okunuyor","Sırada")))</f>
        <v/>
      </c>
      <c r="I339" s="17" t="str">
        <f aca="false">IF(OR(E339="",F339=""),"",F339-E339+1)</f>
        <v/>
      </c>
      <c r="J339" s="18" t="str">
        <f aca="false">IF(OR(I339="",D339=""),"",D339/I339)</f>
        <v/>
      </c>
      <c r="K339" s="19" t="str">
        <f aca="false">IF(AND(A339&lt;&gt;"",G339&lt;&gt;""),G339+ROW()/1000000,"")</f>
        <v/>
      </c>
    </row>
    <row r="340" customFormat="false" ht="15" hidden="false" customHeight="false" outlineLevel="0" collapsed="false">
      <c r="A340" s="12"/>
      <c r="B340" s="12"/>
      <c r="C340" s="13"/>
      <c r="D340" s="14"/>
      <c r="E340" s="15"/>
      <c r="F340" s="15"/>
      <c r="G340" s="14"/>
      <c r="H340" s="16" t="str">
        <f aca="false">IF(A340="","",IF(F340&lt;&gt;"","Bitti",IF(E340&lt;&gt;"","Okunuyor","Sırada")))</f>
        <v/>
      </c>
      <c r="I340" s="17" t="str">
        <f aca="false">IF(OR(E340="",F340=""),"",F340-E340+1)</f>
        <v/>
      </c>
      <c r="J340" s="18" t="str">
        <f aca="false">IF(OR(I340="",D340=""),"",D340/I340)</f>
        <v/>
      </c>
      <c r="K340" s="19" t="str">
        <f aca="false">IF(AND(A340&lt;&gt;"",G340&lt;&gt;""),G340+ROW()/1000000,"")</f>
        <v/>
      </c>
    </row>
    <row r="341" customFormat="false" ht="15" hidden="false" customHeight="false" outlineLevel="0" collapsed="false">
      <c r="A341" s="12"/>
      <c r="B341" s="12"/>
      <c r="C341" s="13"/>
      <c r="D341" s="14"/>
      <c r="E341" s="15"/>
      <c r="F341" s="15"/>
      <c r="G341" s="14"/>
      <c r="H341" s="16" t="str">
        <f aca="false">IF(A341="","",IF(F341&lt;&gt;"","Bitti",IF(E341&lt;&gt;"","Okunuyor","Sırada")))</f>
        <v/>
      </c>
      <c r="I341" s="17" t="str">
        <f aca="false">IF(OR(E341="",F341=""),"",F341-E341+1)</f>
        <v/>
      </c>
      <c r="J341" s="18" t="str">
        <f aca="false">IF(OR(I341="",D341=""),"",D341/I341)</f>
        <v/>
      </c>
      <c r="K341" s="19" t="str">
        <f aca="false">IF(AND(A341&lt;&gt;"",G341&lt;&gt;""),G341+ROW()/1000000,"")</f>
        <v/>
      </c>
    </row>
    <row r="342" customFormat="false" ht="15" hidden="false" customHeight="false" outlineLevel="0" collapsed="false">
      <c r="A342" s="12"/>
      <c r="B342" s="12"/>
      <c r="C342" s="13"/>
      <c r="D342" s="14"/>
      <c r="E342" s="15"/>
      <c r="F342" s="15"/>
      <c r="G342" s="14"/>
      <c r="H342" s="16" t="str">
        <f aca="false">IF(A342="","",IF(F342&lt;&gt;"","Bitti",IF(E342&lt;&gt;"","Okunuyor","Sırada")))</f>
        <v/>
      </c>
      <c r="I342" s="17" t="str">
        <f aca="false">IF(OR(E342="",F342=""),"",F342-E342+1)</f>
        <v/>
      </c>
      <c r="J342" s="18" t="str">
        <f aca="false">IF(OR(I342="",D342=""),"",D342/I342)</f>
        <v/>
      </c>
      <c r="K342" s="19" t="str">
        <f aca="false">IF(AND(A342&lt;&gt;"",G342&lt;&gt;""),G342+ROW()/1000000,"")</f>
        <v/>
      </c>
    </row>
    <row r="343" customFormat="false" ht="15" hidden="false" customHeight="false" outlineLevel="0" collapsed="false">
      <c r="A343" s="12"/>
      <c r="B343" s="12"/>
      <c r="C343" s="13"/>
      <c r="D343" s="14"/>
      <c r="E343" s="15"/>
      <c r="F343" s="15"/>
      <c r="G343" s="14"/>
      <c r="H343" s="16" t="str">
        <f aca="false">IF(A343="","",IF(F343&lt;&gt;"","Bitti",IF(E343&lt;&gt;"","Okunuyor","Sırada")))</f>
        <v/>
      </c>
      <c r="I343" s="17" t="str">
        <f aca="false">IF(OR(E343="",F343=""),"",F343-E343+1)</f>
        <v/>
      </c>
      <c r="J343" s="18" t="str">
        <f aca="false">IF(OR(I343="",D343=""),"",D343/I343)</f>
        <v/>
      </c>
      <c r="K343" s="19" t="str">
        <f aca="false">IF(AND(A343&lt;&gt;"",G343&lt;&gt;""),G343+ROW()/1000000,"")</f>
        <v/>
      </c>
    </row>
    <row r="344" customFormat="false" ht="15" hidden="false" customHeight="false" outlineLevel="0" collapsed="false">
      <c r="A344" s="12"/>
      <c r="B344" s="12"/>
      <c r="C344" s="13"/>
      <c r="D344" s="14"/>
      <c r="E344" s="15"/>
      <c r="F344" s="15"/>
      <c r="G344" s="14"/>
      <c r="H344" s="16" t="str">
        <f aca="false">IF(A344="","",IF(F344&lt;&gt;"","Bitti",IF(E344&lt;&gt;"","Okunuyor","Sırada")))</f>
        <v/>
      </c>
      <c r="I344" s="17" t="str">
        <f aca="false">IF(OR(E344="",F344=""),"",F344-E344+1)</f>
        <v/>
      </c>
      <c r="J344" s="18" t="str">
        <f aca="false">IF(OR(I344="",D344=""),"",D344/I344)</f>
        <v/>
      </c>
      <c r="K344" s="19" t="str">
        <f aca="false">IF(AND(A344&lt;&gt;"",G344&lt;&gt;""),G344+ROW()/1000000,"")</f>
        <v/>
      </c>
    </row>
    <row r="345" customFormat="false" ht="15" hidden="false" customHeight="false" outlineLevel="0" collapsed="false">
      <c r="A345" s="12"/>
      <c r="B345" s="12"/>
      <c r="C345" s="13"/>
      <c r="D345" s="14"/>
      <c r="E345" s="15"/>
      <c r="F345" s="15"/>
      <c r="G345" s="14"/>
      <c r="H345" s="16" t="str">
        <f aca="false">IF(A345="","",IF(F345&lt;&gt;"","Bitti",IF(E345&lt;&gt;"","Okunuyor","Sırada")))</f>
        <v/>
      </c>
      <c r="I345" s="17" t="str">
        <f aca="false">IF(OR(E345="",F345=""),"",F345-E345+1)</f>
        <v/>
      </c>
      <c r="J345" s="18" t="str">
        <f aca="false">IF(OR(I345="",D345=""),"",D345/I345)</f>
        <v/>
      </c>
      <c r="K345" s="19" t="str">
        <f aca="false">IF(AND(A345&lt;&gt;"",G345&lt;&gt;""),G345+ROW()/1000000,"")</f>
        <v/>
      </c>
    </row>
    <row r="346" customFormat="false" ht="15" hidden="false" customHeight="false" outlineLevel="0" collapsed="false">
      <c r="A346" s="12"/>
      <c r="B346" s="12"/>
      <c r="C346" s="13"/>
      <c r="D346" s="14"/>
      <c r="E346" s="15"/>
      <c r="F346" s="15"/>
      <c r="G346" s="14"/>
      <c r="H346" s="16" t="str">
        <f aca="false">IF(A346="","",IF(F346&lt;&gt;"","Bitti",IF(E346&lt;&gt;"","Okunuyor","Sırada")))</f>
        <v/>
      </c>
      <c r="I346" s="17" t="str">
        <f aca="false">IF(OR(E346="",F346=""),"",F346-E346+1)</f>
        <v/>
      </c>
      <c r="J346" s="18" t="str">
        <f aca="false">IF(OR(I346="",D346=""),"",D346/I346)</f>
        <v/>
      </c>
      <c r="K346" s="19" t="str">
        <f aca="false">IF(AND(A346&lt;&gt;"",G346&lt;&gt;""),G346+ROW()/1000000,"")</f>
        <v/>
      </c>
    </row>
    <row r="347" customFormat="false" ht="15" hidden="false" customHeight="false" outlineLevel="0" collapsed="false">
      <c r="A347" s="12"/>
      <c r="B347" s="12"/>
      <c r="C347" s="13"/>
      <c r="D347" s="14"/>
      <c r="E347" s="15"/>
      <c r="F347" s="15"/>
      <c r="G347" s="14"/>
      <c r="H347" s="16" t="str">
        <f aca="false">IF(A347="","",IF(F347&lt;&gt;"","Bitti",IF(E347&lt;&gt;"","Okunuyor","Sırada")))</f>
        <v/>
      </c>
      <c r="I347" s="17" t="str">
        <f aca="false">IF(OR(E347="",F347=""),"",F347-E347+1)</f>
        <v/>
      </c>
      <c r="J347" s="18" t="str">
        <f aca="false">IF(OR(I347="",D347=""),"",D347/I347)</f>
        <v/>
      </c>
      <c r="K347" s="19" t="str">
        <f aca="false">IF(AND(A347&lt;&gt;"",G347&lt;&gt;""),G347+ROW()/1000000,"")</f>
        <v/>
      </c>
    </row>
    <row r="348" customFormat="false" ht="15" hidden="false" customHeight="false" outlineLevel="0" collapsed="false">
      <c r="A348" s="12"/>
      <c r="B348" s="12"/>
      <c r="C348" s="13"/>
      <c r="D348" s="14"/>
      <c r="E348" s="15"/>
      <c r="F348" s="15"/>
      <c r="G348" s="14"/>
      <c r="H348" s="16" t="str">
        <f aca="false">IF(A348="","",IF(F348&lt;&gt;"","Bitti",IF(E348&lt;&gt;"","Okunuyor","Sırada")))</f>
        <v/>
      </c>
      <c r="I348" s="17" t="str">
        <f aca="false">IF(OR(E348="",F348=""),"",F348-E348+1)</f>
        <v/>
      </c>
      <c r="J348" s="18" t="str">
        <f aca="false">IF(OR(I348="",D348=""),"",D348/I348)</f>
        <v/>
      </c>
      <c r="K348" s="19" t="str">
        <f aca="false">IF(AND(A348&lt;&gt;"",G348&lt;&gt;""),G348+ROW()/1000000,"")</f>
        <v/>
      </c>
    </row>
    <row r="349" customFormat="false" ht="15" hidden="false" customHeight="false" outlineLevel="0" collapsed="false">
      <c r="A349" s="12"/>
      <c r="B349" s="12"/>
      <c r="C349" s="13"/>
      <c r="D349" s="14"/>
      <c r="E349" s="15"/>
      <c r="F349" s="15"/>
      <c r="G349" s="14"/>
      <c r="H349" s="16" t="str">
        <f aca="false">IF(A349="","",IF(F349&lt;&gt;"","Bitti",IF(E349&lt;&gt;"","Okunuyor","Sırada")))</f>
        <v/>
      </c>
      <c r="I349" s="17" t="str">
        <f aca="false">IF(OR(E349="",F349=""),"",F349-E349+1)</f>
        <v/>
      </c>
      <c r="J349" s="18" t="str">
        <f aca="false">IF(OR(I349="",D349=""),"",D349/I349)</f>
        <v/>
      </c>
      <c r="K349" s="19" t="str">
        <f aca="false">IF(AND(A349&lt;&gt;"",G349&lt;&gt;""),G349+ROW()/1000000,"")</f>
        <v/>
      </c>
    </row>
    <row r="350" customFormat="false" ht="15" hidden="false" customHeight="false" outlineLevel="0" collapsed="false">
      <c r="A350" s="12"/>
      <c r="B350" s="12"/>
      <c r="C350" s="13"/>
      <c r="D350" s="14"/>
      <c r="E350" s="15"/>
      <c r="F350" s="15"/>
      <c r="G350" s="14"/>
      <c r="H350" s="16" t="str">
        <f aca="false">IF(A350="","",IF(F350&lt;&gt;"","Bitti",IF(E350&lt;&gt;"","Okunuyor","Sırada")))</f>
        <v/>
      </c>
      <c r="I350" s="17" t="str">
        <f aca="false">IF(OR(E350="",F350=""),"",F350-E350+1)</f>
        <v/>
      </c>
      <c r="J350" s="18" t="str">
        <f aca="false">IF(OR(I350="",D350=""),"",D350/I350)</f>
        <v/>
      </c>
      <c r="K350" s="19" t="str">
        <f aca="false">IF(AND(A350&lt;&gt;"",G350&lt;&gt;""),G350+ROW()/1000000,"")</f>
        <v/>
      </c>
    </row>
    <row r="351" customFormat="false" ht="15" hidden="false" customHeight="false" outlineLevel="0" collapsed="false">
      <c r="A351" s="12"/>
      <c r="B351" s="12"/>
      <c r="C351" s="13"/>
      <c r="D351" s="14"/>
      <c r="E351" s="15"/>
      <c r="F351" s="15"/>
      <c r="G351" s="14"/>
      <c r="H351" s="16" t="str">
        <f aca="false">IF(A351="","",IF(F351&lt;&gt;"","Bitti",IF(E351&lt;&gt;"","Okunuyor","Sırada")))</f>
        <v/>
      </c>
      <c r="I351" s="17" t="str">
        <f aca="false">IF(OR(E351="",F351=""),"",F351-E351+1)</f>
        <v/>
      </c>
      <c r="J351" s="18" t="str">
        <f aca="false">IF(OR(I351="",D351=""),"",D351/I351)</f>
        <v/>
      </c>
      <c r="K351" s="19" t="str">
        <f aca="false">IF(AND(A351&lt;&gt;"",G351&lt;&gt;""),G351+ROW()/1000000,"")</f>
        <v/>
      </c>
    </row>
    <row r="352" customFormat="false" ht="15" hidden="false" customHeight="false" outlineLevel="0" collapsed="false">
      <c r="A352" s="12"/>
      <c r="B352" s="12"/>
      <c r="C352" s="13"/>
      <c r="D352" s="14"/>
      <c r="E352" s="15"/>
      <c r="F352" s="15"/>
      <c r="G352" s="14"/>
      <c r="H352" s="16" t="str">
        <f aca="false">IF(A352="","",IF(F352&lt;&gt;"","Bitti",IF(E352&lt;&gt;"","Okunuyor","Sırada")))</f>
        <v/>
      </c>
      <c r="I352" s="17" t="str">
        <f aca="false">IF(OR(E352="",F352=""),"",F352-E352+1)</f>
        <v/>
      </c>
      <c r="J352" s="18" t="str">
        <f aca="false">IF(OR(I352="",D352=""),"",D352/I352)</f>
        <v/>
      </c>
      <c r="K352" s="19" t="str">
        <f aca="false">IF(AND(A352&lt;&gt;"",G352&lt;&gt;""),G352+ROW()/1000000,"")</f>
        <v/>
      </c>
    </row>
    <row r="353" customFormat="false" ht="15" hidden="false" customHeight="false" outlineLevel="0" collapsed="false">
      <c r="A353" s="12"/>
      <c r="B353" s="12"/>
      <c r="C353" s="13"/>
      <c r="D353" s="14"/>
      <c r="E353" s="15"/>
      <c r="F353" s="15"/>
      <c r="G353" s="14"/>
      <c r="H353" s="16" t="str">
        <f aca="false">IF(A353="","",IF(F353&lt;&gt;"","Bitti",IF(E353&lt;&gt;"","Okunuyor","Sırada")))</f>
        <v/>
      </c>
      <c r="I353" s="17" t="str">
        <f aca="false">IF(OR(E353="",F353=""),"",F353-E353+1)</f>
        <v/>
      </c>
      <c r="J353" s="18" t="str">
        <f aca="false">IF(OR(I353="",D353=""),"",D353/I353)</f>
        <v/>
      </c>
      <c r="K353" s="19" t="str">
        <f aca="false">IF(AND(A353&lt;&gt;"",G353&lt;&gt;""),G353+ROW()/1000000,"")</f>
        <v/>
      </c>
    </row>
    <row r="354" customFormat="false" ht="15" hidden="false" customHeight="false" outlineLevel="0" collapsed="false">
      <c r="A354" s="12"/>
      <c r="B354" s="12"/>
      <c r="C354" s="13"/>
      <c r="D354" s="14"/>
      <c r="E354" s="15"/>
      <c r="F354" s="15"/>
      <c r="G354" s="14"/>
      <c r="H354" s="16" t="str">
        <f aca="false">IF(A354="","",IF(F354&lt;&gt;"","Bitti",IF(E354&lt;&gt;"","Okunuyor","Sırada")))</f>
        <v/>
      </c>
      <c r="I354" s="17" t="str">
        <f aca="false">IF(OR(E354="",F354=""),"",F354-E354+1)</f>
        <v/>
      </c>
      <c r="J354" s="18" t="str">
        <f aca="false">IF(OR(I354="",D354=""),"",D354/I354)</f>
        <v/>
      </c>
      <c r="K354" s="19" t="str">
        <f aca="false">IF(AND(A354&lt;&gt;"",G354&lt;&gt;""),G354+ROW()/1000000,"")</f>
        <v/>
      </c>
    </row>
    <row r="355" customFormat="false" ht="15" hidden="false" customHeight="false" outlineLevel="0" collapsed="false">
      <c r="A355" s="12"/>
      <c r="B355" s="12"/>
      <c r="C355" s="13"/>
      <c r="D355" s="14"/>
      <c r="E355" s="15"/>
      <c r="F355" s="15"/>
      <c r="G355" s="14"/>
      <c r="H355" s="16" t="str">
        <f aca="false">IF(A355="","",IF(F355&lt;&gt;"","Bitti",IF(E355&lt;&gt;"","Okunuyor","Sırada")))</f>
        <v/>
      </c>
      <c r="I355" s="17" t="str">
        <f aca="false">IF(OR(E355="",F355=""),"",F355-E355+1)</f>
        <v/>
      </c>
      <c r="J355" s="18" t="str">
        <f aca="false">IF(OR(I355="",D355=""),"",D355/I355)</f>
        <v/>
      </c>
      <c r="K355" s="19" t="str">
        <f aca="false">IF(AND(A355&lt;&gt;"",G355&lt;&gt;""),G355+ROW()/1000000,"")</f>
        <v/>
      </c>
    </row>
    <row r="356" customFormat="false" ht="15" hidden="false" customHeight="false" outlineLevel="0" collapsed="false">
      <c r="A356" s="12"/>
      <c r="B356" s="12"/>
      <c r="C356" s="13"/>
      <c r="D356" s="14"/>
      <c r="E356" s="15"/>
      <c r="F356" s="15"/>
      <c r="G356" s="14"/>
      <c r="H356" s="16" t="str">
        <f aca="false">IF(A356="","",IF(F356&lt;&gt;"","Bitti",IF(E356&lt;&gt;"","Okunuyor","Sırada")))</f>
        <v/>
      </c>
      <c r="I356" s="17" t="str">
        <f aca="false">IF(OR(E356="",F356=""),"",F356-E356+1)</f>
        <v/>
      </c>
      <c r="J356" s="18" t="str">
        <f aca="false">IF(OR(I356="",D356=""),"",D356/I356)</f>
        <v/>
      </c>
      <c r="K356" s="19" t="str">
        <f aca="false">IF(AND(A356&lt;&gt;"",G356&lt;&gt;""),G356+ROW()/1000000,"")</f>
        <v/>
      </c>
    </row>
    <row r="357" customFormat="false" ht="15" hidden="false" customHeight="false" outlineLevel="0" collapsed="false">
      <c r="A357" s="12"/>
      <c r="B357" s="12"/>
      <c r="C357" s="13"/>
      <c r="D357" s="14"/>
      <c r="E357" s="15"/>
      <c r="F357" s="15"/>
      <c r="G357" s="14"/>
      <c r="H357" s="16" t="str">
        <f aca="false">IF(A357="","",IF(F357&lt;&gt;"","Bitti",IF(E357&lt;&gt;"","Okunuyor","Sırada")))</f>
        <v/>
      </c>
      <c r="I357" s="17" t="str">
        <f aca="false">IF(OR(E357="",F357=""),"",F357-E357+1)</f>
        <v/>
      </c>
      <c r="J357" s="18" t="str">
        <f aca="false">IF(OR(I357="",D357=""),"",D357/I357)</f>
        <v/>
      </c>
      <c r="K357" s="19" t="str">
        <f aca="false">IF(AND(A357&lt;&gt;"",G357&lt;&gt;""),G357+ROW()/1000000,"")</f>
        <v/>
      </c>
    </row>
    <row r="358" customFormat="false" ht="15" hidden="false" customHeight="false" outlineLevel="0" collapsed="false">
      <c r="A358" s="12"/>
      <c r="B358" s="12"/>
      <c r="C358" s="13"/>
      <c r="D358" s="14"/>
      <c r="E358" s="15"/>
      <c r="F358" s="15"/>
      <c r="G358" s="14"/>
      <c r="H358" s="16" t="str">
        <f aca="false">IF(A358="","",IF(F358&lt;&gt;"","Bitti",IF(E358&lt;&gt;"","Okunuyor","Sırada")))</f>
        <v/>
      </c>
      <c r="I358" s="17" t="str">
        <f aca="false">IF(OR(E358="",F358=""),"",F358-E358+1)</f>
        <v/>
      </c>
      <c r="J358" s="18" t="str">
        <f aca="false">IF(OR(I358="",D358=""),"",D358/I358)</f>
        <v/>
      </c>
      <c r="K358" s="19" t="str">
        <f aca="false">IF(AND(A358&lt;&gt;"",G358&lt;&gt;""),G358+ROW()/1000000,"")</f>
        <v/>
      </c>
    </row>
    <row r="359" customFormat="false" ht="15" hidden="false" customHeight="false" outlineLevel="0" collapsed="false">
      <c r="A359" s="12"/>
      <c r="B359" s="12"/>
      <c r="C359" s="13"/>
      <c r="D359" s="14"/>
      <c r="E359" s="15"/>
      <c r="F359" s="15"/>
      <c r="G359" s="14"/>
      <c r="H359" s="16" t="str">
        <f aca="false">IF(A359="","",IF(F359&lt;&gt;"","Bitti",IF(E359&lt;&gt;"","Okunuyor","Sırada")))</f>
        <v/>
      </c>
      <c r="I359" s="17" t="str">
        <f aca="false">IF(OR(E359="",F359=""),"",F359-E359+1)</f>
        <v/>
      </c>
      <c r="J359" s="18" t="str">
        <f aca="false">IF(OR(I359="",D359=""),"",D359/I359)</f>
        <v/>
      </c>
      <c r="K359" s="19" t="str">
        <f aca="false">IF(AND(A359&lt;&gt;"",G359&lt;&gt;""),G359+ROW()/1000000,"")</f>
        <v/>
      </c>
    </row>
    <row r="360" customFormat="false" ht="15" hidden="false" customHeight="false" outlineLevel="0" collapsed="false">
      <c r="A360" s="12"/>
      <c r="B360" s="12"/>
      <c r="C360" s="13"/>
      <c r="D360" s="14"/>
      <c r="E360" s="15"/>
      <c r="F360" s="15"/>
      <c r="G360" s="14"/>
      <c r="H360" s="16" t="str">
        <f aca="false">IF(A360="","",IF(F360&lt;&gt;"","Bitti",IF(E360&lt;&gt;"","Okunuyor","Sırada")))</f>
        <v/>
      </c>
      <c r="I360" s="17" t="str">
        <f aca="false">IF(OR(E360="",F360=""),"",F360-E360+1)</f>
        <v/>
      </c>
      <c r="J360" s="18" t="str">
        <f aca="false">IF(OR(I360="",D360=""),"",D360/I360)</f>
        <v/>
      </c>
      <c r="K360" s="19" t="str">
        <f aca="false">IF(AND(A360&lt;&gt;"",G360&lt;&gt;""),G360+ROW()/1000000,"")</f>
        <v/>
      </c>
    </row>
    <row r="361" customFormat="false" ht="15" hidden="false" customHeight="false" outlineLevel="0" collapsed="false">
      <c r="A361" s="12"/>
      <c r="B361" s="12"/>
      <c r="C361" s="13"/>
      <c r="D361" s="14"/>
      <c r="E361" s="15"/>
      <c r="F361" s="15"/>
      <c r="G361" s="14"/>
      <c r="H361" s="16" t="str">
        <f aca="false">IF(A361="","",IF(F361&lt;&gt;"","Bitti",IF(E361&lt;&gt;"","Okunuyor","Sırada")))</f>
        <v/>
      </c>
      <c r="I361" s="17" t="str">
        <f aca="false">IF(OR(E361="",F361=""),"",F361-E361+1)</f>
        <v/>
      </c>
      <c r="J361" s="18" t="str">
        <f aca="false">IF(OR(I361="",D361=""),"",D361/I361)</f>
        <v/>
      </c>
      <c r="K361" s="19" t="str">
        <f aca="false">IF(AND(A361&lt;&gt;"",G361&lt;&gt;""),G361+ROW()/1000000,"")</f>
        <v/>
      </c>
    </row>
    <row r="362" customFormat="false" ht="15" hidden="false" customHeight="false" outlineLevel="0" collapsed="false">
      <c r="A362" s="12"/>
      <c r="B362" s="12"/>
      <c r="C362" s="13"/>
      <c r="D362" s="14"/>
      <c r="E362" s="15"/>
      <c r="F362" s="15"/>
      <c r="G362" s="14"/>
      <c r="H362" s="16" t="str">
        <f aca="false">IF(A362="","",IF(F362&lt;&gt;"","Bitti",IF(E362&lt;&gt;"","Okunuyor","Sırada")))</f>
        <v/>
      </c>
      <c r="I362" s="17" t="str">
        <f aca="false">IF(OR(E362="",F362=""),"",F362-E362+1)</f>
        <v/>
      </c>
      <c r="J362" s="18" t="str">
        <f aca="false">IF(OR(I362="",D362=""),"",D362/I362)</f>
        <v/>
      </c>
      <c r="K362" s="19" t="str">
        <f aca="false">IF(AND(A362&lt;&gt;"",G362&lt;&gt;""),G362+ROW()/1000000,"")</f>
        <v/>
      </c>
    </row>
    <row r="363" customFormat="false" ht="15" hidden="false" customHeight="false" outlineLevel="0" collapsed="false">
      <c r="A363" s="12"/>
      <c r="B363" s="12"/>
      <c r="C363" s="13"/>
      <c r="D363" s="14"/>
      <c r="E363" s="15"/>
      <c r="F363" s="15"/>
      <c r="G363" s="14"/>
      <c r="H363" s="16" t="str">
        <f aca="false">IF(A363="","",IF(F363&lt;&gt;"","Bitti",IF(E363&lt;&gt;"","Okunuyor","Sırada")))</f>
        <v/>
      </c>
      <c r="I363" s="17" t="str">
        <f aca="false">IF(OR(E363="",F363=""),"",F363-E363+1)</f>
        <v/>
      </c>
      <c r="J363" s="18" t="str">
        <f aca="false">IF(OR(I363="",D363=""),"",D363/I363)</f>
        <v/>
      </c>
      <c r="K363" s="19" t="str">
        <f aca="false">IF(AND(A363&lt;&gt;"",G363&lt;&gt;""),G363+ROW()/1000000,"")</f>
        <v/>
      </c>
    </row>
    <row r="364" customFormat="false" ht="15" hidden="false" customHeight="false" outlineLevel="0" collapsed="false">
      <c r="A364" s="12"/>
      <c r="B364" s="12"/>
      <c r="C364" s="13"/>
      <c r="D364" s="14"/>
      <c r="E364" s="15"/>
      <c r="F364" s="15"/>
      <c r="G364" s="14"/>
      <c r="H364" s="16" t="str">
        <f aca="false">IF(A364="","",IF(F364&lt;&gt;"","Bitti",IF(E364&lt;&gt;"","Okunuyor","Sırada")))</f>
        <v/>
      </c>
      <c r="I364" s="17" t="str">
        <f aca="false">IF(OR(E364="",F364=""),"",F364-E364+1)</f>
        <v/>
      </c>
      <c r="J364" s="18" t="str">
        <f aca="false">IF(OR(I364="",D364=""),"",D364/I364)</f>
        <v/>
      </c>
      <c r="K364" s="19" t="str">
        <f aca="false">IF(AND(A364&lt;&gt;"",G364&lt;&gt;""),G364+ROW()/1000000,"")</f>
        <v/>
      </c>
    </row>
    <row r="365" customFormat="false" ht="15" hidden="false" customHeight="false" outlineLevel="0" collapsed="false">
      <c r="A365" s="12"/>
      <c r="B365" s="12"/>
      <c r="C365" s="13"/>
      <c r="D365" s="14"/>
      <c r="E365" s="15"/>
      <c r="F365" s="15"/>
      <c r="G365" s="14"/>
      <c r="H365" s="16" t="str">
        <f aca="false">IF(A365="","",IF(F365&lt;&gt;"","Bitti",IF(E365&lt;&gt;"","Okunuyor","Sırada")))</f>
        <v/>
      </c>
      <c r="I365" s="17" t="str">
        <f aca="false">IF(OR(E365="",F365=""),"",F365-E365+1)</f>
        <v/>
      </c>
      <c r="J365" s="18" t="str">
        <f aca="false">IF(OR(I365="",D365=""),"",D365/I365)</f>
        <v/>
      </c>
      <c r="K365" s="19" t="str">
        <f aca="false">IF(AND(A365&lt;&gt;"",G365&lt;&gt;""),G365+ROW()/1000000,"")</f>
        <v/>
      </c>
    </row>
    <row r="366" customFormat="false" ht="15" hidden="false" customHeight="false" outlineLevel="0" collapsed="false">
      <c r="A366" s="12"/>
      <c r="B366" s="12"/>
      <c r="C366" s="13"/>
      <c r="D366" s="14"/>
      <c r="E366" s="15"/>
      <c r="F366" s="15"/>
      <c r="G366" s="14"/>
      <c r="H366" s="16" t="str">
        <f aca="false">IF(A366="","",IF(F366&lt;&gt;"","Bitti",IF(E366&lt;&gt;"","Okunuyor","Sırada")))</f>
        <v/>
      </c>
      <c r="I366" s="17" t="str">
        <f aca="false">IF(OR(E366="",F366=""),"",F366-E366+1)</f>
        <v/>
      </c>
      <c r="J366" s="18" t="str">
        <f aca="false">IF(OR(I366="",D366=""),"",D366/I366)</f>
        <v/>
      </c>
      <c r="K366" s="19" t="str">
        <f aca="false">IF(AND(A366&lt;&gt;"",G366&lt;&gt;""),G366+ROW()/1000000,"")</f>
        <v/>
      </c>
    </row>
    <row r="367" customFormat="false" ht="15" hidden="false" customHeight="false" outlineLevel="0" collapsed="false">
      <c r="A367" s="12"/>
      <c r="B367" s="12"/>
      <c r="C367" s="13"/>
      <c r="D367" s="14"/>
      <c r="E367" s="15"/>
      <c r="F367" s="15"/>
      <c r="G367" s="14"/>
      <c r="H367" s="16" t="str">
        <f aca="false">IF(A367="","",IF(F367&lt;&gt;"","Bitti",IF(E367&lt;&gt;"","Okunuyor","Sırada")))</f>
        <v/>
      </c>
      <c r="I367" s="17" t="str">
        <f aca="false">IF(OR(E367="",F367=""),"",F367-E367+1)</f>
        <v/>
      </c>
      <c r="J367" s="18" t="str">
        <f aca="false">IF(OR(I367="",D367=""),"",D367/I367)</f>
        <v/>
      </c>
      <c r="K367" s="19" t="str">
        <f aca="false">IF(AND(A367&lt;&gt;"",G367&lt;&gt;""),G367+ROW()/1000000,"")</f>
        <v/>
      </c>
    </row>
    <row r="368" customFormat="false" ht="15" hidden="false" customHeight="false" outlineLevel="0" collapsed="false">
      <c r="A368" s="12"/>
      <c r="B368" s="12"/>
      <c r="C368" s="13"/>
      <c r="D368" s="14"/>
      <c r="E368" s="15"/>
      <c r="F368" s="15"/>
      <c r="G368" s="14"/>
      <c r="H368" s="16" t="str">
        <f aca="false">IF(A368="","",IF(F368&lt;&gt;"","Bitti",IF(E368&lt;&gt;"","Okunuyor","Sırada")))</f>
        <v/>
      </c>
      <c r="I368" s="17" t="str">
        <f aca="false">IF(OR(E368="",F368=""),"",F368-E368+1)</f>
        <v/>
      </c>
      <c r="J368" s="18" t="str">
        <f aca="false">IF(OR(I368="",D368=""),"",D368/I368)</f>
        <v/>
      </c>
      <c r="K368" s="19" t="str">
        <f aca="false">IF(AND(A368&lt;&gt;"",G368&lt;&gt;""),G368+ROW()/1000000,"")</f>
        <v/>
      </c>
    </row>
    <row r="369" customFormat="false" ht="15" hidden="false" customHeight="false" outlineLevel="0" collapsed="false">
      <c r="A369" s="12"/>
      <c r="B369" s="12"/>
      <c r="C369" s="13"/>
      <c r="D369" s="14"/>
      <c r="E369" s="15"/>
      <c r="F369" s="15"/>
      <c r="G369" s="14"/>
      <c r="H369" s="16" t="str">
        <f aca="false">IF(A369="","",IF(F369&lt;&gt;"","Bitti",IF(E369&lt;&gt;"","Okunuyor","Sırada")))</f>
        <v/>
      </c>
      <c r="I369" s="17" t="str">
        <f aca="false">IF(OR(E369="",F369=""),"",F369-E369+1)</f>
        <v/>
      </c>
      <c r="J369" s="18" t="str">
        <f aca="false">IF(OR(I369="",D369=""),"",D369/I369)</f>
        <v/>
      </c>
      <c r="K369" s="19" t="str">
        <f aca="false">IF(AND(A369&lt;&gt;"",G369&lt;&gt;""),G369+ROW()/1000000,"")</f>
        <v/>
      </c>
    </row>
    <row r="370" customFormat="false" ht="15" hidden="false" customHeight="false" outlineLevel="0" collapsed="false">
      <c r="A370" s="12"/>
      <c r="B370" s="12"/>
      <c r="C370" s="13"/>
      <c r="D370" s="14"/>
      <c r="E370" s="15"/>
      <c r="F370" s="15"/>
      <c r="G370" s="14"/>
      <c r="H370" s="16" t="str">
        <f aca="false">IF(A370="","",IF(F370&lt;&gt;"","Bitti",IF(E370&lt;&gt;"","Okunuyor","Sırada")))</f>
        <v/>
      </c>
      <c r="I370" s="17" t="str">
        <f aca="false">IF(OR(E370="",F370=""),"",F370-E370+1)</f>
        <v/>
      </c>
      <c r="J370" s="18" t="str">
        <f aca="false">IF(OR(I370="",D370=""),"",D370/I370)</f>
        <v/>
      </c>
      <c r="K370" s="19" t="str">
        <f aca="false">IF(AND(A370&lt;&gt;"",G370&lt;&gt;""),G370+ROW()/1000000,"")</f>
        <v/>
      </c>
    </row>
    <row r="371" customFormat="false" ht="15" hidden="false" customHeight="false" outlineLevel="0" collapsed="false">
      <c r="A371" s="12"/>
      <c r="B371" s="12"/>
      <c r="C371" s="13"/>
      <c r="D371" s="14"/>
      <c r="E371" s="15"/>
      <c r="F371" s="15"/>
      <c r="G371" s="14"/>
      <c r="H371" s="16" t="str">
        <f aca="false">IF(A371="","",IF(F371&lt;&gt;"","Bitti",IF(E371&lt;&gt;"","Okunuyor","Sırada")))</f>
        <v/>
      </c>
      <c r="I371" s="17" t="str">
        <f aca="false">IF(OR(E371="",F371=""),"",F371-E371+1)</f>
        <v/>
      </c>
      <c r="J371" s="18" t="str">
        <f aca="false">IF(OR(I371="",D371=""),"",D371/I371)</f>
        <v/>
      </c>
      <c r="K371" s="19" t="str">
        <f aca="false">IF(AND(A371&lt;&gt;"",G371&lt;&gt;""),G371+ROW()/1000000,"")</f>
        <v/>
      </c>
    </row>
    <row r="372" customFormat="false" ht="15" hidden="false" customHeight="false" outlineLevel="0" collapsed="false">
      <c r="A372" s="12"/>
      <c r="B372" s="12"/>
      <c r="C372" s="13"/>
      <c r="D372" s="14"/>
      <c r="E372" s="15"/>
      <c r="F372" s="15"/>
      <c r="G372" s="14"/>
      <c r="H372" s="16" t="str">
        <f aca="false">IF(A372="","",IF(F372&lt;&gt;"","Bitti",IF(E372&lt;&gt;"","Okunuyor","Sırada")))</f>
        <v/>
      </c>
      <c r="I372" s="17" t="str">
        <f aca="false">IF(OR(E372="",F372=""),"",F372-E372+1)</f>
        <v/>
      </c>
      <c r="J372" s="18" t="str">
        <f aca="false">IF(OR(I372="",D372=""),"",D372/I372)</f>
        <v/>
      </c>
      <c r="K372" s="19" t="str">
        <f aca="false">IF(AND(A372&lt;&gt;"",G372&lt;&gt;""),G372+ROW()/1000000,"")</f>
        <v/>
      </c>
    </row>
    <row r="373" customFormat="false" ht="15" hidden="false" customHeight="false" outlineLevel="0" collapsed="false">
      <c r="A373" s="12"/>
      <c r="B373" s="12"/>
      <c r="C373" s="13"/>
      <c r="D373" s="14"/>
      <c r="E373" s="15"/>
      <c r="F373" s="15"/>
      <c r="G373" s="14"/>
      <c r="H373" s="16" t="str">
        <f aca="false">IF(A373="","",IF(F373&lt;&gt;"","Bitti",IF(E373&lt;&gt;"","Okunuyor","Sırada")))</f>
        <v/>
      </c>
      <c r="I373" s="17" t="str">
        <f aca="false">IF(OR(E373="",F373=""),"",F373-E373+1)</f>
        <v/>
      </c>
      <c r="J373" s="18" t="str">
        <f aca="false">IF(OR(I373="",D373=""),"",D373/I373)</f>
        <v/>
      </c>
      <c r="K373" s="19" t="str">
        <f aca="false">IF(AND(A373&lt;&gt;"",G373&lt;&gt;""),G373+ROW()/1000000,"")</f>
        <v/>
      </c>
    </row>
    <row r="374" customFormat="false" ht="15" hidden="false" customHeight="false" outlineLevel="0" collapsed="false">
      <c r="A374" s="12"/>
      <c r="B374" s="12"/>
      <c r="C374" s="13"/>
      <c r="D374" s="14"/>
      <c r="E374" s="15"/>
      <c r="F374" s="15"/>
      <c r="G374" s="14"/>
      <c r="H374" s="16" t="str">
        <f aca="false">IF(A374="","",IF(F374&lt;&gt;"","Bitti",IF(E374&lt;&gt;"","Okunuyor","Sırada")))</f>
        <v/>
      </c>
      <c r="I374" s="17" t="str">
        <f aca="false">IF(OR(E374="",F374=""),"",F374-E374+1)</f>
        <v/>
      </c>
      <c r="J374" s="18" t="str">
        <f aca="false">IF(OR(I374="",D374=""),"",D374/I374)</f>
        <v/>
      </c>
      <c r="K374" s="19" t="str">
        <f aca="false">IF(AND(A374&lt;&gt;"",G374&lt;&gt;""),G374+ROW()/1000000,"")</f>
        <v/>
      </c>
    </row>
    <row r="375" customFormat="false" ht="15" hidden="false" customHeight="false" outlineLevel="0" collapsed="false">
      <c r="A375" s="12"/>
      <c r="B375" s="12"/>
      <c r="C375" s="13"/>
      <c r="D375" s="14"/>
      <c r="E375" s="15"/>
      <c r="F375" s="15"/>
      <c r="G375" s="14"/>
      <c r="H375" s="16" t="str">
        <f aca="false">IF(A375="","",IF(F375&lt;&gt;"","Bitti",IF(E375&lt;&gt;"","Okunuyor","Sırada")))</f>
        <v/>
      </c>
      <c r="I375" s="17" t="str">
        <f aca="false">IF(OR(E375="",F375=""),"",F375-E375+1)</f>
        <v/>
      </c>
      <c r="J375" s="18" t="str">
        <f aca="false">IF(OR(I375="",D375=""),"",D375/I375)</f>
        <v/>
      </c>
      <c r="K375" s="19" t="str">
        <f aca="false">IF(AND(A375&lt;&gt;"",G375&lt;&gt;""),G375+ROW()/1000000,"")</f>
        <v/>
      </c>
    </row>
    <row r="376" customFormat="false" ht="15" hidden="false" customHeight="false" outlineLevel="0" collapsed="false">
      <c r="A376" s="12"/>
      <c r="B376" s="12"/>
      <c r="C376" s="13"/>
      <c r="D376" s="14"/>
      <c r="E376" s="15"/>
      <c r="F376" s="15"/>
      <c r="G376" s="14"/>
      <c r="H376" s="16" t="str">
        <f aca="false">IF(A376="","",IF(F376&lt;&gt;"","Bitti",IF(E376&lt;&gt;"","Okunuyor","Sırada")))</f>
        <v/>
      </c>
      <c r="I376" s="17" t="str">
        <f aca="false">IF(OR(E376="",F376=""),"",F376-E376+1)</f>
        <v/>
      </c>
      <c r="J376" s="18" t="str">
        <f aca="false">IF(OR(I376="",D376=""),"",D376/I376)</f>
        <v/>
      </c>
      <c r="K376" s="19" t="str">
        <f aca="false">IF(AND(A376&lt;&gt;"",G376&lt;&gt;""),G376+ROW()/1000000,"")</f>
        <v/>
      </c>
    </row>
    <row r="377" customFormat="false" ht="15" hidden="false" customHeight="false" outlineLevel="0" collapsed="false">
      <c r="A377" s="12"/>
      <c r="B377" s="12"/>
      <c r="C377" s="13"/>
      <c r="D377" s="14"/>
      <c r="E377" s="15"/>
      <c r="F377" s="15"/>
      <c r="G377" s="14"/>
      <c r="H377" s="16" t="str">
        <f aca="false">IF(A377="","",IF(F377&lt;&gt;"","Bitti",IF(E377&lt;&gt;"","Okunuyor","Sırada")))</f>
        <v/>
      </c>
      <c r="I377" s="17" t="str">
        <f aca="false">IF(OR(E377="",F377=""),"",F377-E377+1)</f>
        <v/>
      </c>
      <c r="J377" s="18" t="str">
        <f aca="false">IF(OR(I377="",D377=""),"",D377/I377)</f>
        <v/>
      </c>
      <c r="K377" s="19" t="str">
        <f aca="false">IF(AND(A377&lt;&gt;"",G377&lt;&gt;""),G377+ROW()/1000000,"")</f>
        <v/>
      </c>
    </row>
    <row r="378" customFormat="false" ht="15" hidden="false" customHeight="false" outlineLevel="0" collapsed="false">
      <c r="A378" s="12"/>
      <c r="B378" s="12"/>
      <c r="C378" s="13"/>
      <c r="D378" s="14"/>
      <c r="E378" s="15"/>
      <c r="F378" s="15"/>
      <c r="G378" s="14"/>
      <c r="H378" s="16" t="str">
        <f aca="false">IF(A378="","",IF(F378&lt;&gt;"","Bitti",IF(E378&lt;&gt;"","Okunuyor","Sırada")))</f>
        <v/>
      </c>
      <c r="I378" s="17" t="str">
        <f aca="false">IF(OR(E378="",F378=""),"",F378-E378+1)</f>
        <v/>
      </c>
      <c r="J378" s="18" t="str">
        <f aca="false">IF(OR(I378="",D378=""),"",D378/I378)</f>
        <v/>
      </c>
      <c r="K378" s="19" t="str">
        <f aca="false">IF(AND(A378&lt;&gt;"",G378&lt;&gt;""),G378+ROW()/1000000,"")</f>
        <v/>
      </c>
    </row>
    <row r="379" customFormat="false" ht="15" hidden="false" customHeight="false" outlineLevel="0" collapsed="false">
      <c r="A379" s="12"/>
      <c r="B379" s="12"/>
      <c r="C379" s="13"/>
      <c r="D379" s="14"/>
      <c r="E379" s="15"/>
      <c r="F379" s="15"/>
      <c r="G379" s="14"/>
      <c r="H379" s="16" t="str">
        <f aca="false">IF(A379="","",IF(F379&lt;&gt;"","Bitti",IF(E379&lt;&gt;"","Okunuyor","Sırada")))</f>
        <v/>
      </c>
      <c r="I379" s="17" t="str">
        <f aca="false">IF(OR(E379="",F379=""),"",F379-E379+1)</f>
        <v/>
      </c>
      <c r="J379" s="18" t="str">
        <f aca="false">IF(OR(I379="",D379=""),"",D379/I379)</f>
        <v/>
      </c>
      <c r="K379" s="19" t="str">
        <f aca="false">IF(AND(A379&lt;&gt;"",G379&lt;&gt;""),G379+ROW()/1000000,"")</f>
        <v/>
      </c>
    </row>
    <row r="380" customFormat="false" ht="15" hidden="false" customHeight="false" outlineLevel="0" collapsed="false">
      <c r="A380" s="12"/>
      <c r="B380" s="12"/>
      <c r="C380" s="13"/>
      <c r="D380" s="14"/>
      <c r="E380" s="15"/>
      <c r="F380" s="15"/>
      <c r="G380" s="14"/>
      <c r="H380" s="16" t="str">
        <f aca="false">IF(A380="","",IF(F380&lt;&gt;"","Bitti",IF(E380&lt;&gt;"","Okunuyor","Sırada")))</f>
        <v/>
      </c>
      <c r="I380" s="17" t="str">
        <f aca="false">IF(OR(E380="",F380=""),"",F380-E380+1)</f>
        <v/>
      </c>
      <c r="J380" s="18" t="str">
        <f aca="false">IF(OR(I380="",D380=""),"",D380/I380)</f>
        <v/>
      </c>
      <c r="K380" s="19" t="str">
        <f aca="false">IF(AND(A380&lt;&gt;"",G380&lt;&gt;""),G380+ROW()/1000000,"")</f>
        <v/>
      </c>
    </row>
    <row r="381" customFormat="false" ht="15" hidden="false" customHeight="false" outlineLevel="0" collapsed="false">
      <c r="A381" s="12"/>
      <c r="B381" s="12"/>
      <c r="C381" s="13"/>
      <c r="D381" s="14"/>
      <c r="E381" s="15"/>
      <c r="F381" s="15"/>
      <c r="G381" s="14"/>
      <c r="H381" s="16" t="str">
        <f aca="false">IF(A381="","",IF(F381&lt;&gt;"","Bitti",IF(E381&lt;&gt;"","Okunuyor","Sırada")))</f>
        <v/>
      </c>
      <c r="I381" s="17" t="str">
        <f aca="false">IF(OR(E381="",F381=""),"",F381-E381+1)</f>
        <v/>
      </c>
      <c r="J381" s="18" t="str">
        <f aca="false">IF(OR(I381="",D381=""),"",D381/I381)</f>
        <v/>
      </c>
      <c r="K381" s="19" t="str">
        <f aca="false">IF(AND(A381&lt;&gt;"",G381&lt;&gt;""),G381+ROW()/1000000,"")</f>
        <v/>
      </c>
    </row>
    <row r="382" customFormat="false" ht="15" hidden="false" customHeight="false" outlineLevel="0" collapsed="false">
      <c r="A382" s="12"/>
      <c r="B382" s="12"/>
      <c r="C382" s="13"/>
      <c r="D382" s="14"/>
      <c r="E382" s="15"/>
      <c r="F382" s="15"/>
      <c r="G382" s="14"/>
      <c r="H382" s="16" t="str">
        <f aca="false">IF(A382="","",IF(F382&lt;&gt;"","Bitti",IF(E382&lt;&gt;"","Okunuyor","Sırada")))</f>
        <v/>
      </c>
      <c r="I382" s="17" t="str">
        <f aca="false">IF(OR(E382="",F382=""),"",F382-E382+1)</f>
        <v/>
      </c>
      <c r="J382" s="18" t="str">
        <f aca="false">IF(OR(I382="",D382=""),"",D382/I382)</f>
        <v/>
      </c>
      <c r="K382" s="19" t="str">
        <f aca="false">IF(AND(A382&lt;&gt;"",G382&lt;&gt;""),G382+ROW()/1000000,"")</f>
        <v/>
      </c>
    </row>
    <row r="383" customFormat="false" ht="15" hidden="false" customHeight="false" outlineLevel="0" collapsed="false">
      <c r="A383" s="12"/>
      <c r="B383" s="12"/>
      <c r="C383" s="13"/>
      <c r="D383" s="14"/>
      <c r="E383" s="15"/>
      <c r="F383" s="15"/>
      <c r="G383" s="14"/>
      <c r="H383" s="16" t="str">
        <f aca="false">IF(A383="","",IF(F383&lt;&gt;"","Bitti",IF(E383&lt;&gt;"","Okunuyor","Sırada")))</f>
        <v/>
      </c>
      <c r="I383" s="17" t="str">
        <f aca="false">IF(OR(E383="",F383=""),"",F383-E383+1)</f>
        <v/>
      </c>
      <c r="J383" s="18" t="str">
        <f aca="false">IF(OR(I383="",D383=""),"",D383/I383)</f>
        <v/>
      </c>
      <c r="K383" s="19" t="str">
        <f aca="false">IF(AND(A383&lt;&gt;"",G383&lt;&gt;""),G383+ROW()/1000000,"")</f>
        <v/>
      </c>
    </row>
    <row r="384" customFormat="false" ht="15" hidden="false" customHeight="false" outlineLevel="0" collapsed="false">
      <c r="A384" s="12"/>
      <c r="B384" s="12"/>
      <c r="C384" s="13"/>
      <c r="D384" s="14"/>
      <c r="E384" s="15"/>
      <c r="F384" s="15"/>
      <c r="G384" s="14"/>
      <c r="H384" s="16" t="str">
        <f aca="false">IF(A384="","",IF(F384&lt;&gt;"","Bitti",IF(E384&lt;&gt;"","Okunuyor","Sırada")))</f>
        <v/>
      </c>
      <c r="I384" s="17" t="str">
        <f aca="false">IF(OR(E384="",F384=""),"",F384-E384+1)</f>
        <v/>
      </c>
      <c r="J384" s="18" t="str">
        <f aca="false">IF(OR(I384="",D384=""),"",D384/I384)</f>
        <v/>
      </c>
      <c r="K384" s="19" t="str">
        <f aca="false">IF(AND(A384&lt;&gt;"",G384&lt;&gt;""),G384+ROW()/1000000,"")</f>
        <v/>
      </c>
    </row>
    <row r="385" customFormat="false" ht="15" hidden="false" customHeight="false" outlineLevel="0" collapsed="false">
      <c r="A385" s="12"/>
      <c r="B385" s="12"/>
      <c r="C385" s="13"/>
      <c r="D385" s="14"/>
      <c r="E385" s="15"/>
      <c r="F385" s="15"/>
      <c r="G385" s="14"/>
      <c r="H385" s="16" t="str">
        <f aca="false">IF(A385="","",IF(F385&lt;&gt;"","Bitti",IF(E385&lt;&gt;"","Okunuyor","Sırada")))</f>
        <v/>
      </c>
      <c r="I385" s="17" t="str">
        <f aca="false">IF(OR(E385="",F385=""),"",F385-E385+1)</f>
        <v/>
      </c>
      <c r="J385" s="18" t="str">
        <f aca="false">IF(OR(I385="",D385=""),"",D385/I385)</f>
        <v/>
      </c>
      <c r="K385" s="19" t="str">
        <f aca="false">IF(AND(A385&lt;&gt;"",G385&lt;&gt;""),G385+ROW()/1000000,"")</f>
        <v/>
      </c>
    </row>
    <row r="386" customFormat="false" ht="15" hidden="false" customHeight="false" outlineLevel="0" collapsed="false">
      <c r="A386" s="12"/>
      <c r="B386" s="12"/>
      <c r="C386" s="13"/>
      <c r="D386" s="14"/>
      <c r="E386" s="15"/>
      <c r="F386" s="15"/>
      <c r="G386" s="14"/>
      <c r="H386" s="16" t="str">
        <f aca="false">IF(A386="","",IF(F386&lt;&gt;"","Bitti",IF(E386&lt;&gt;"","Okunuyor","Sırada")))</f>
        <v/>
      </c>
      <c r="I386" s="17" t="str">
        <f aca="false">IF(OR(E386="",F386=""),"",F386-E386+1)</f>
        <v/>
      </c>
      <c r="J386" s="18" t="str">
        <f aca="false">IF(OR(I386="",D386=""),"",D386/I386)</f>
        <v/>
      </c>
      <c r="K386" s="19" t="str">
        <f aca="false">IF(AND(A386&lt;&gt;"",G386&lt;&gt;""),G386+ROW()/1000000,"")</f>
        <v/>
      </c>
    </row>
    <row r="387" customFormat="false" ht="15" hidden="false" customHeight="false" outlineLevel="0" collapsed="false">
      <c r="A387" s="12"/>
      <c r="B387" s="12"/>
      <c r="C387" s="13"/>
      <c r="D387" s="14"/>
      <c r="E387" s="15"/>
      <c r="F387" s="15"/>
      <c r="G387" s="14"/>
      <c r="H387" s="16" t="str">
        <f aca="false">IF(A387="","",IF(F387&lt;&gt;"","Bitti",IF(E387&lt;&gt;"","Okunuyor","Sırada")))</f>
        <v/>
      </c>
      <c r="I387" s="17" t="str">
        <f aca="false">IF(OR(E387="",F387=""),"",F387-E387+1)</f>
        <v/>
      </c>
      <c r="J387" s="18" t="str">
        <f aca="false">IF(OR(I387="",D387=""),"",D387/I387)</f>
        <v/>
      </c>
      <c r="K387" s="19" t="str">
        <f aca="false">IF(AND(A387&lt;&gt;"",G387&lt;&gt;""),G387+ROW()/1000000,"")</f>
        <v/>
      </c>
    </row>
    <row r="388" customFormat="false" ht="15" hidden="false" customHeight="false" outlineLevel="0" collapsed="false">
      <c r="A388" s="12"/>
      <c r="B388" s="12"/>
      <c r="C388" s="13"/>
      <c r="D388" s="14"/>
      <c r="E388" s="15"/>
      <c r="F388" s="15"/>
      <c r="G388" s="14"/>
      <c r="H388" s="16" t="str">
        <f aca="false">IF(A388="","",IF(F388&lt;&gt;"","Bitti",IF(E388&lt;&gt;"","Okunuyor","Sırada")))</f>
        <v/>
      </c>
      <c r="I388" s="17" t="str">
        <f aca="false">IF(OR(E388="",F388=""),"",F388-E388+1)</f>
        <v/>
      </c>
      <c r="J388" s="18" t="str">
        <f aca="false">IF(OR(I388="",D388=""),"",D388/I388)</f>
        <v/>
      </c>
      <c r="K388" s="19" t="str">
        <f aca="false">IF(AND(A388&lt;&gt;"",G388&lt;&gt;""),G388+ROW()/1000000,"")</f>
        <v/>
      </c>
    </row>
    <row r="389" customFormat="false" ht="15" hidden="false" customHeight="false" outlineLevel="0" collapsed="false">
      <c r="A389" s="12"/>
      <c r="B389" s="12"/>
      <c r="C389" s="13"/>
      <c r="D389" s="14"/>
      <c r="E389" s="15"/>
      <c r="F389" s="15"/>
      <c r="G389" s="14"/>
      <c r="H389" s="16" t="str">
        <f aca="false">IF(A389="","",IF(F389&lt;&gt;"","Bitti",IF(E389&lt;&gt;"","Okunuyor","Sırada")))</f>
        <v/>
      </c>
      <c r="I389" s="17" t="str">
        <f aca="false">IF(OR(E389="",F389=""),"",F389-E389+1)</f>
        <v/>
      </c>
      <c r="J389" s="18" t="str">
        <f aca="false">IF(OR(I389="",D389=""),"",D389/I389)</f>
        <v/>
      </c>
      <c r="K389" s="19" t="str">
        <f aca="false">IF(AND(A389&lt;&gt;"",G389&lt;&gt;""),G389+ROW()/1000000,"")</f>
        <v/>
      </c>
    </row>
    <row r="390" customFormat="false" ht="15" hidden="false" customHeight="false" outlineLevel="0" collapsed="false">
      <c r="A390" s="12"/>
      <c r="B390" s="12"/>
      <c r="C390" s="13"/>
      <c r="D390" s="14"/>
      <c r="E390" s="15"/>
      <c r="F390" s="15"/>
      <c r="G390" s="14"/>
      <c r="H390" s="16" t="str">
        <f aca="false">IF(A390="","",IF(F390&lt;&gt;"","Bitti",IF(E390&lt;&gt;"","Okunuyor","Sırada")))</f>
        <v/>
      </c>
      <c r="I390" s="17" t="str">
        <f aca="false">IF(OR(E390="",F390=""),"",F390-E390+1)</f>
        <v/>
      </c>
      <c r="J390" s="18" t="str">
        <f aca="false">IF(OR(I390="",D390=""),"",D390/I390)</f>
        <v/>
      </c>
      <c r="K390" s="19" t="str">
        <f aca="false">IF(AND(A390&lt;&gt;"",G390&lt;&gt;""),G390+ROW()/1000000,"")</f>
        <v/>
      </c>
    </row>
    <row r="391" customFormat="false" ht="15" hidden="false" customHeight="false" outlineLevel="0" collapsed="false">
      <c r="A391" s="12"/>
      <c r="B391" s="12"/>
      <c r="C391" s="13"/>
      <c r="D391" s="14"/>
      <c r="E391" s="15"/>
      <c r="F391" s="15"/>
      <c r="G391" s="14"/>
      <c r="H391" s="16" t="str">
        <f aca="false">IF(A391="","",IF(F391&lt;&gt;"","Bitti",IF(E391&lt;&gt;"","Okunuyor","Sırada")))</f>
        <v/>
      </c>
      <c r="I391" s="17" t="str">
        <f aca="false">IF(OR(E391="",F391=""),"",F391-E391+1)</f>
        <v/>
      </c>
      <c r="J391" s="18" t="str">
        <f aca="false">IF(OR(I391="",D391=""),"",D391/I391)</f>
        <v/>
      </c>
      <c r="K391" s="19" t="str">
        <f aca="false">IF(AND(A391&lt;&gt;"",G391&lt;&gt;""),G391+ROW()/1000000,"")</f>
        <v/>
      </c>
    </row>
    <row r="392" customFormat="false" ht="15" hidden="false" customHeight="false" outlineLevel="0" collapsed="false">
      <c r="A392" s="12"/>
      <c r="B392" s="12"/>
      <c r="C392" s="13"/>
      <c r="D392" s="14"/>
      <c r="E392" s="15"/>
      <c r="F392" s="15"/>
      <c r="G392" s="14"/>
      <c r="H392" s="16" t="str">
        <f aca="false">IF(A392="","",IF(F392&lt;&gt;"","Bitti",IF(E392&lt;&gt;"","Okunuyor","Sırada")))</f>
        <v/>
      </c>
      <c r="I392" s="17" t="str">
        <f aca="false">IF(OR(E392="",F392=""),"",F392-E392+1)</f>
        <v/>
      </c>
      <c r="J392" s="18" t="str">
        <f aca="false">IF(OR(I392="",D392=""),"",D392/I392)</f>
        <v/>
      </c>
      <c r="K392" s="19" t="str">
        <f aca="false">IF(AND(A392&lt;&gt;"",G392&lt;&gt;""),G392+ROW()/1000000,"")</f>
        <v/>
      </c>
    </row>
    <row r="393" customFormat="false" ht="15" hidden="false" customHeight="false" outlineLevel="0" collapsed="false">
      <c r="A393" s="12"/>
      <c r="B393" s="12"/>
      <c r="C393" s="13"/>
      <c r="D393" s="14"/>
      <c r="E393" s="15"/>
      <c r="F393" s="15"/>
      <c r="G393" s="14"/>
      <c r="H393" s="16" t="str">
        <f aca="false">IF(A393="","",IF(F393&lt;&gt;"","Bitti",IF(E393&lt;&gt;"","Okunuyor","Sırada")))</f>
        <v/>
      </c>
      <c r="I393" s="17" t="str">
        <f aca="false">IF(OR(E393="",F393=""),"",F393-E393+1)</f>
        <v/>
      </c>
      <c r="J393" s="18" t="str">
        <f aca="false">IF(OR(I393="",D393=""),"",D393/I393)</f>
        <v/>
      </c>
      <c r="K393" s="19" t="str">
        <f aca="false">IF(AND(A393&lt;&gt;"",G393&lt;&gt;""),G393+ROW()/1000000,"")</f>
        <v/>
      </c>
    </row>
    <row r="394" customFormat="false" ht="15" hidden="false" customHeight="false" outlineLevel="0" collapsed="false">
      <c r="A394" s="12"/>
      <c r="B394" s="12"/>
      <c r="C394" s="13"/>
      <c r="D394" s="14"/>
      <c r="E394" s="15"/>
      <c r="F394" s="15"/>
      <c r="G394" s="14"/>
      <c r="H394" s="16" t="str">
        <f aca="false">IF(A394="","",IF(F394&lt;&gt;"","Bitti",IF(E394&lt;&gt;"","Okunuyor","Sırada")))</f>
        <v/>
      </c>
      <c r="I394" s="17" t="str">
        <f aca="false">IF(OR(E394="",F394=""),"",F394-E394+1)</f>
        <v/>
      </c>
      <c r="J394" s="18" t="str">
        <f aca="false">IF(OR(I394="",D394=""),"",D394/I394)</f>
        <v/>
      </c>
      <c r="K394" s="19" t="str">
        <f aca="false">IF(AND(A394&lt;&gt;"",G394&lt;&gt;""),G394+ROW()/1000000,"")</f>
        <v/>
      </c>
    </row>
    <row r="395" customFormat="false" ht="15" hidden="false" customHeight="false" outlineLevel="0" collapsed="false">
      <c r="A395" s="12"/>
      <c r="B395" s="12"/>
      <c r="C395" s="13"/>
      <c r="D395" s="14"/>
      <c r="E395" s="15"/>
      <c r="F395" s="15"/>
      <c r="G395" s="14"/>
      <c r="H395" s="16" t="str">
        <f aca="false">IF(A395="","",IF(F395&lt;&gt;"","Bitti",IF(E395&lt;&gt;"","Okunuyor","Sırada")))</f>
        <v/>
      </c>
      <c r="I395" s="17" t="str">
        <f aca="false">IF(OR(E395="",F395=""),"",F395-E395+1)</f>
        <v/>
      </c>
      <c r="J395" s="18" t="str">
        <f aca="false">IF(OR(I395="",D395=""),"",D395/I395)</f>
        <v/>
      </c>
      <c r="K395" s="19" t="str">
        <f aca="false">IF(AND(A395&lt;&gt;"",G395&lt;&gt;""),G395+ROW()/1000000,"")</f>
        <v/>
      </c>
    </row>
    <row r="396" customFormat="false" ht="15" hidden="false" customHeight="false" outlineLevel="0" collapsed="false">
      <c r="A396" s="12"/>
      <c r="B396" s="12"/>
      <c r="C396" s="13"/>
      <c r="D396" s="14"/>
      <c r="E396" s="15"/>
      <c r="F396" s="15"/>
      <c r="G396" s="14"/>
      <c r="H396" s="16" t="str">
        <f aca="false">IF(A396="","",IF(F396&lt;&gt;"","Bitti",IF(E396&lt;&gt;"","Okunuyor","Sırada")))</f>
        <v/>
      </c>
      <c r="I396" s="17" t="str">
        <f aca="false">IF(OR(E396="",F396=""),"",F396-E396+1)</f>
        <v/>
      </c>
      <c r="J396" s="18" t="str">
        <f aca="false">IF(OR(I396="",D396=""),"",D396/I396)</f>
        <v/>
      </c>
      <c r="K396" s="19" t="str">
        <f aca="false">IF(AND(A396&lt;&gt;"",G396&lt;&gt;""),G396+ROW()/1000000,"")</f>
        <v/>
      </c>
    </row>
    <row r="397" customFormat="false" ht="15" hidden="false" customHeight="false" outlineLevel="0" collapsed="false">
      <c r="A397" s="12"/>
      <c r="B397" s="12"/>
      <c r="C397" s="13"/>
      <c r="D397" s="14"/>
      <c r="E397" s="15"/>
      <c r="F397" s="15"/>
      <c r="G397" s="14"/>
      <c r="H397" s="16" t="str">
        <f aca="false">IF(A397="","",IF(F397&lt;&gt;"","Bitti",IF(E397&lt;&gt;"","Okunuyor","Sırada")))</f>
        <v/>
      </c>
      <c r="I397" s="17" t="str">
        <f aca="false">IF(OR(E397="",F397=""),"",F397-E397+1)</f>
        <v/>
      </c>
      <c r="J397" s="18" t="str">
        <f aca="false">IF(OR(I397="",D397=""),"",D397/I397)</f>
        <v/>
      </c>
      <c r="K397" s="19" t="str">
        <f aca="false">IF(AND(A397&lt;&gt;"",G397&lt;&gt;""),G397+ROW()/1000000,"")</f>
        <v/>
      </c>
    </row>
    <row r="398" customFormat="false" ht="15" hidden="false" customHeight="false" outlineLevel="0" collapsed="false">
      <c r="A398" s="12"/>
      <c r="B398" s="12"/>
      <c r="C398" s="13"/>
      <c r="D398" s="14"/>
      <c r="E398" s="15"/>
      <c r="F398" s="15"/>
      <c r="G398" s="14"/>
      <c r="H398" s="16" t="str">
        <f aca="false">IF(A398="","",IF(F398&lt;&gt;"","Bitti",IF(E398&lt;&gt;"","Okunuyor","Sırada")))</f>
        <v/>
      </c>
      <c r="I398" s="17" t="str">
        <f aca="false">IF(OR(E398="",F398=""),"",F398-E398+1)</f>
        <v/>
      </c>
      <c r="J398" s="18" t="str">
        <f aca="false">IF(OR(I398="",D398=""),"",D398/I398)</f>
        <v/>
      </c>
      <c r="K398" s="19" t="str">
        <f aca="false">IF(AND(A398&lt;&gt;"",G398&lt;&gt;""),G398+ROW()/1000000,"")</f>
        <v/>
      </c>
    </row>
    <row r="399" customFormat="false" ht="15" hidden="false" customHeight="false" outlineLevel="0" collapsed="false">
      <c r="A399" s="12"/>
      <c r="B399" s="12"/>
      <c r="C399" s="13"/>
      <c r="D399" s="14"/>
      <c r="E399" s="15"/>
      <c r="F399" s="15"/>
      <c r="G399" s="14"/>
      <c r="H399" s="16" t="str">
        <f aca="false">IF(A399="","",IF(F399&lt;&gt;"","Bitti",IF(E399&lt;&gt;"","Okunuyor","Sırada")))</f>
        <v/>
      </c>
      <c r="I399" s="17" t="str">
        <f aca="false">IF(OR(E399="",F399=""),"",F399-E399+1)</f>
        <v/>
      </c>
      <c r="J399" s="18" t="str">
        <f aca="false">IF(OR(I399="",D399=""),"",D399/I399)</f>
        <v/>
      </c>
      <c r="K399" s="19" t="str">
        <f aca="false">IF(AND(A399&lt;&gt;"",G399&lt;&gt;""),G399+ROW()/1000000,"")</f>
        <v/>
      </c>
    </row>
    <row r="400" customFormat="false" ht="15" hidden="false" customHeight="false" outlineLevel="0" collapsed="false">
      <c r="A400" s="12"/>
      <c r="B400" s="12"/>
      <c r="C400" s="13"/>
      <c r="D400" s="14"/>
      <c r="E400" s="15"/>
      <c r="F400" s="15"/>
      <c r="G400" s="14"/>
      <c r="H400" s="16" t="str">
        <f aca="false">IF(A400="","",IF(F400&lt;&gt;"","Bitti",IF(E400&lt;&gt;"","Okunuyor","Sırada")))</f>
        <v/>
      </c>
      <c r="I400" s="17" t="str">
        <f aca="false">IF(OR(E400="",F400=""),"",F400-E400+1)</f>
        <v/>
      </c>
      <c r="J400" s="18" t="str">
        <f aca="false">IF(OR(I400="",D400=""),"",D400/I400)</f>
        <v/>
      </c>
      <c r="K400" s="19" t="str">
        <f aca="false">IF(AND(A400&lt;&gt;"",G400&lt;&gt;""),G400+ROW()/1000000,"")</f>
        <v/>
      </c>
    </row>
    <row r="401" customFormat="false" ht="15" hidden="false" customHeight="false" outlineLevel="0" collapsed="false">
      <c r="A401" s="12"/>
      <c r="B401" s="12"/>
      <c r="C401" s="13"/>
      <c r="D401" s="14"/>
      <c r="E401" s="15"/>
      <c r="F401" s="15"/>
      <c r="G401" s="14"/>
      <c r="H401" s="16" t="str">
        <f aca="false">IF(A401="","",IF(F401&lt;&gt;"","Bitti",IF(E401&lt;&gt;"","Okunuyor","Sırada")))</f>
        <v/>
      </c>
      <c r="I401" s="17" t="str">
        <f aca="false">IF(OR(E401="",F401=""),"",F401-E401+1)</f>
        <v/>
      </c>
      <c r="J401" s="18" t="str">
        <f aca="false">IF(OR(I401="",D401=""),"",D401/I401)</f>
        <v/>
      </c>
      <c r="K401" s="19" t="str">
        <f aca="false">IF(AND(A401&lt;&gt;"",G401&lt;&gt;""),G401+ROW()/1000000,"")</f>
        <v/>
      </c>
    </row>
    <row r="402" customFormat="false" ht="15" hidden="false" customHeight="false" outlineLevel="0" collapsed="false">
      <c r="A402" s="12"/>
      <c r="B402" s="12"/>
      <c r="C402" s="13"/>
      <c r="D402" s="14"/>
      <c r="E402" s="15"/>
      <c r="F402" s="15"/>
      <c r="G402" s="14"/>
      <c r="H402" s="16" t="str">
        <f aca="false">IF(A402="","",IF(F402&lt;&gt;"","Bitti",IF(E402&lt;&gt;"","Okunuyor","Sırada")))</f>
        <v/>
      </c>
      <c r="I402" s="17" t="str">
        <f aca="false">IF(OR(E402="",F402=""),"",F402-E402+1)</f>
        <v/>
      </c>
      <c r="J402" s="18" t="str">
        <f aca="false">IF(OR(I402="",D402=""),"",D402/I402)</f>
        <v/>
      </c>
      <c r="K402" s="19" t="str">
        <f aca="false">IF(AND(A402&lt;&gt;"",G402&lt;&gt;""),G402+ROW()/1000000,"")</f>
        <v/>
      </c>
    </row>
    <row r="403" customFormat="false" ht="15" hidden="false" customHeight="false" outlineLevel="0" collapsed="false">
      <c r="A403" s="12"/>
      <c r="B403" s="12"/>
      <c r="C403" s="13"/>
      <c r="D403" s="14"/>
      <c r="E403" s="15"/>
      <c r="F403" s="15"/>
      <c r="G403" s="14"/>
      <c r="H403" s="16" t="str">
        <f aca="false">IF(A403="","",IF(F403&lt;&gt;"","Bitti",IF(E403&lt;&gt;"","Okunuyor","Sırada")))</f>
        <v/>
      </c>
      <c r="I403" s="17" t="str">
        <f aca="false">IF(OR(E403="",F403=""),"",F403-E403+1)</f>
        <v/>
      </c>
      <c r="J403" s="18" t="str">
        <f aca="false">IF(OR(I403="",D403=""),"",D403/I403)</f>
        <v/>
      </c>
      <c r="K403" s="19" t="str">
        <f aca="false">IF(AND(A403&lt;&gt;"",G403&lt;&gt;""),G403+ROW()/1000000,"")</f>
        <v/>
      </c>
    </row>
    <row r="404" customFormat="false" ht="15" hidden="false" customHeight="false" outlineLevel="0" collapsed="false">
      <c r="A404" s="12"/>
      <c r="B404" s="12"/>
      <c r="C404" s="13"/>
      <c r="D404" s="14"/>
      <c r="E404" s="15"/>
      <c r="F404" s="15"/>
      <c r="G404" s="14"/>
      <c r="H404" s="16" t="str">
        <f aca="false">IF(A404="","",IF(F404&lt;&gt;"","Bitti",IF(E404&lt;&gt;"","Okunuyor","Sırada")))</f>
        <v/>
      </c>
      <c r="I404" s="17" t="str">
        <f aca="false">IF(OR(E404="",F404=""),"",F404-E404+1)</f>
        <v/>
      </c>
      <c r="J404" s="18" t="str">
        <f aca="false">IF(OR(I404="",D404=""),"",D404/I404)</f>
        <v/>
      </c>
      <c r="K404" s="19" t="str">
        <f aca="false">IF(AND(A404&lt;&gt;"",G404&lt;&gt;""),G404+ROW()/1000000,"")</f>
        <v/>
      </c>
    </row>
    <row r="405" customFormat="false" ht="15" hidden="false" customHeight="false" outlineLevel="0" collapsed="false">
      <c r="A405" s="12"/>
      <c r="B405" s="12"/>
      <c r="C405" s="13"/>
      <c r="D405" s="14"/>
      <c r="E405" s="15"/>
      <c r="F405" s="15"/>
      <c r="G405" s="14"/>
      <c r="H405" s="16" t="str">
        <f aca="false">IF(A405="","",IF(F405&lt;&gt;"","Bitti",IF(E405&lt;&gt;"","Okunuyor","Sırada")))</f>
        <v/>
      </c>
      <c r="I405" s="17" t="str">
        <f aca="false">IF(OR(E405="",F405=""),"",F405-E405+1)</f>
        <v/>
      </c>
      <c r="J405" s="18" t="str">
        <f aca="false">IF(OR(I405="",D405=""),"",D405/I405)</f>
        <v/>
      </c>
      <c r="K405" s="19" t="str">
        <f aca="false">IF(AND(A405&lt;&gt;"",G405&lt;&gt;""),G405+ROW()/1000000,"")</f>
        <v/>
      </c>
    </row>
    <row r="406" customFormat="false" ht="15" hidden="false" customHeight="false" outlineLevel="0" collapsed="false">
      <c r="A406" s="12"/>
      <c r="B406" s="12"/>
      <c r="C406" s="13"/>
      <c r="D406" s="14"/>
      <c r="E406" s="15"/>
      <c r="F406" s="15"/>
      <c r="G406" s="14"/>
      <c r="H406" s="16" t="str">
        <f aca="false">IF(A406="","",IF(F406&lt;&gt;"","Bitti",IF(E406&lt;&gt;"","Okunuyor","Sırada")))</f>
        <v/>
      </c>
      <c r="I406" s="17" t="str">
        <f aca="false">IF(OR(E406="",F406=""),"",F406-E406+1)</f>
        <v/>
      </c>
      <c r="J406" s="18" t="str">
        <f aca="false">IF(OR(I406="",D406=""),"",D406/I406)</f>
        <v/>
      </c>
      <c r="K406" s="19" t="str">
        <f aca="false">IF(AND(A406&lt;&gt;"",G406&lt;&gt;""),G406+ROW()/1000000,"")</f>
        <v/>
      </c>
    </row>
    <row r="407" customFormat="false" ht="15" hidden="false" customHeight="false" outlineLevel="0" collapsed="false">
      <c r="A407" s="12"/>
      <c r="B407" s="12"/>
      <c r="C407" s="13"/>
      <c r="D407" s="14"/>
      <c r="E407" s="15"/>
      <c r="F407" s="15"/>
      <c r="G407" s="14"/>
      <c r="H407" s="16" t="str">
        <f aca="false">IF(A407="","",IF(F407&lt;&gt;"","Bitti",IF(E407&lt;&gt;"","Okunuyor","Sırada")))</f>
        <v/>
      </c>
      <c r="I407" s="17" t="str">
        <f aca="false">IF(OR(E407="",F407=""),"",F407-E407+1)</f>
        <v/>
      </c>
      <c r="J407" s="18" t="str">
        <f aca="false">IF(OR(I407="",D407=""),"",D407/I407)</f>
        <v/>
      </c>
      <c r="K407" s="19" t="str">
        <f aca="false">IF(AND(A407&lt;&gt;"",G407&lt;&gt;""),G407+ROW()/1000000,"")</f>
        <v/>
      </c>
    </row>
    <row r="408" customFormat="false" ht="15" hidden="false" customHeight="false" outlineLevel="0" collapsed="false">
      <c r="A408" s="12"/>
      <c r="B408" s="12"/>
      <c r="C408" s="13"/>
      <c r="D408" s="14"/>
      <c r="E408" s="15"/>
      <c r="F408" s="15"/>
      <c r="G408" s="14"/>
      <c r="H408" s="16" t="str">
        <f aca="false">IF(A408="","",IF(F408&lt;&gt;"","Bitti",IF(E408&lt;&gt;"","Okunuyor","Sırada")))</f>
        <v/>
      </c>
      <c r="I408" s="17" t="str">
        <f aca="false">IF(OR(E408="",F408=""),"",F408-E408+1)</f>
        <v/>
      </c>
      <c r="J408" s="18" t="str">
        <f aca="false">IF(OR(I408="",D408=""),"",D408/I408)</f>
        <v/>
      </c>
      <c r="K408" s="19" t="str">
        <f aca="false">IF(AND(A408&lt;&gt;"",G408&lt;&gt;""),G408+ROW()/1000000,"")</f>
        <v/>
      </c>
    </row>
    <row r="409" customFormat="false" ht="15" hidden="false" customHeight="false" outlineLevel="0" collapsed="false">
      <c r="A409" s="12"/>
      <c r="B409" s="12"/>
      <c r="C409" s="13"/>
      <c r="D409" s="14"/>
      <c r="E409" s="15"/>
      <c r="F409" s="15"/>
      <c r="G409" s="14"/>
      <c r="H409" s="16" t="str">
        <f aca="false">IF(A409="","",IF(F409&lt;&gt;"","Bitti",IF(E409&lt;&gt;"","Okunuyor","Sırada")))</f>
        <v/>
      </c>
      <c r="I409" s="17" t="str">
        <f aca="false">IF(OR(E409="",F409=""),"",F409-E409+1)</f>
        <v/>
      </c>
      <c r="J409" s="18" t="str">
        <f aca="false">IF(OR(I409="",D409=""),"",D409/I409)</f>
        <v/>
      </c>
      <c r="K409" s="19" t="str">
        <f aca="false">IF(AND(A409&lt;&gt;"",G409&lt;&gt;""),G409+ROW()/1000000,"")</f>
        <v/>
      </c>
    </row>
    <row r="410" customFormat="false" ht="15" hidden="false" customHeight="false" outlineLevel="0" collapsed="false">
      <c r="A410" s="12"/>
      <c r="B410" s="12"/>
      <c r="C410" s="13"/>
      <c r="D410" s="14"/>
      <c r="E410" s="15"/>
      <c r="F410" s="15"/>
      <c r="G410" s="14"/>
      <c r="H410" s="16" t="str">
        <f aca="false">IF(A410="","",IF(F410&lt;&gt;"","Bitti",IF(E410&lt;&gt;"","Okunuyor","Sırada")))</f>
        <v/>
      </c>
      <c r="I410" s="17" t="str">
        <f aca="false">IF(OR(E410="",F410=""),"",F410-E410+1)</f>
        <v/>
      </c>
      <c r="J410" s="18" t="str">
        <f aca="false">IF(OR(I410="",D410=""),"",D410/I410)</f>
        <v/>
      </c>
      <c r="K410" s="19" t="str">
        <f aca="false">IF(AND(A410&lt;&gt;"",G410&lt;&gt;""),G410+ROW()/1000000,"")</f>
        <v/>
      </c>
    </row>
    <row r="411" customFormat="false" ht="15" hidden="false" customHeight="false" outlineLevel="0" collapsed="false">
      <c r="A411" s="12"/>
      <c r="B411" s="12"/>
      <c r="C411" s="13"/>
      <c r="D411" s="14"/>
      <c r="E411" s="15"/>
      <c r="F411" s="15"/>
      <c r="G411" s="14"/>
      <c r="H411" s="16" t="str">
        <f aca="false">IF(A411="","",IF(F411&lt;&gt;"","Bitti",IF(E411&lt;&gt;"","Okunuyor","Sırada")))</f>
        <v/>
      </c>
      <c r="I411" s="17" t="str">
        <f aca="false">IF(OR(E411="",F411=""),"",F411-E411+1)</f>
        <v/>
      </c>
      <c r="J411" s="18" t="str">
        <f aca="false">IF(OR(I411="",D411=""),"",D411/I411)</f>
        <v/>
      </c>
      <c r="K411" s="19" t="str">
        <f aca="false">IF(AND(A411&lt;&gt;"",G411&lt;&gt;""),G411+ROW()/1000000,"")</f>
        <v/>
      </c>
    </row>
    <row r="412" customFormat="false" ht="15" hidden="false" customHeight="false" outlineLevel="0" collapsed="false">
      <c r="A412" s="12"/>
      <c r="B412" s="12"/>
      <c r="C412" s="13"/>
      <c r="D412" s="14"/>
      <c r="E412" s="15"/>
      <c r="F412" s="15"/>
      <c r="G412" s="14"/>
      <c r="H412" s="16" t="str">
        <f aca="false">IF(A412="","",IF(F412&lt;&gt;"","Bitti",IF(E412&lt;&gt;"","Okunuyor","Sırada")))</f>
        <v/>
      </c>
      <c r="I412" s="17" t="str">
        <f aca="false">IF(OR(E412="",F412=""),"",F412-E412+1)</f>
        <v/>
      </c>
      <c r="J412" s="18" t="str">
        <f aca="false">IF(OR(I412="",D412=""),"",D412/I412)</f>
        <v/>
      </c>
      <c r="K412" s="19" t="str">
        <f aca="false">IF(AND(A412&lt;&gt;"",G412&lt;&gt;""),G412+ROW()/1000000,"")</f>
        <v/>
      </c>
    </row>
    <row r="413" customFormat="false" ht="15" hidden="false" customHeight="false" outlineLevel="0" collapsed="false">
      <c r="A413" s="12"/>
      <c r="B413" s="12"/>
      <c r="C413" s="13"/>
      <c r="D413" s="14"/>
      <c r="E413" s="15"/>
      <c r="F413" s="15"/>
      <c r="G413" s="14"/>
      <c r="H413" s="16" t="str">
        <f aca="false">IF(A413="","",IF(F413&lt;&gt;"","Bitti",IF(E413&lt;&gt;"","Okunuyor","Sırada")))</f>
        <v/>
      </c>
      <c r="I413" s="17" t="str">
        <f aca="false">IF(OR(E413="",F413=""),"",F413-E413+1)</f>
        <v/>
      </c>
      <c r="J413" s="18" t="str">
        <f aca="false">IF(OR(I413="",D413=""),"",D413/I413)</f>
        <v/>
      </c>
      <c r="K413" s="19" t="str">
        <f aca="false">IF(AND(A413&lt;&gt;"",G413&lt;&gt;""),G413+ROW()/1000000,"")</f>
        <v/>
      </c>
    </row>
    <row r="414" customFormat="false" ht="15" hidden="false" customHeight="false" outlineLevel="0" collapsed="false">
      <c r="A414" s="12"/>
      <c r="B414" s="12"/>
      <c r="C414" s="13"/>
      <c r="D414" s="14"/>
      <c r="E414" s="15"/>
      <c r="F414" s="15"/>
      <c r="G414" s="14"/>
      <c r="H414" s="16" t="str">
        <f aca="false">IF(A414="","",IF(F414&lt;&gt;"","Bitti",IF(E414&lt;&gt;"","Okunuyor","Sırada")))</f>
        <v/>
      </c>
      <c r="I414" s="17" t="str">
        <f aca="false">IF(OR(E414="",F414=""),"",F414-E414+1)</f>
        <v/>
      </c>
      <c r="J414" s="18" t="str">
        <f aca="false">IF(OR(I414="",D414=""),"",D414/I414)</f>
        <v/>
      </c>
      <c r="K414" s="19" t="str">
        <f aca="false">IF(AND(A414&lt;&gt;"",G414&lt;&gt;""),G414+ROW()/1000000,"")</f>
        <v/>
      </c>
    </row>
    <row r="415" customFormat="false" ht="15" hidden="false" customHeight="false" outlineLevel="0" collapsed="false">
      <c r="A415" s="12"/>
      <c r="B415" s="12"/>
      <c r="C415" s="13"/>
      <c r="D415" s="14"/>
      <c r="E415" s="15"/>
      <c r="F415" s="15"/>
      <c r="G415" s="14"/>
      <c r="H415" s="16" t="str">
        <f aca="false">IF(A415="","",IF(F415&lt;&gt;"","Bitti",IF(E415&lt;&gt;"","Okunuyor","Sırada")))</f>
        <v/>
      </c>
      <c r="I415" s="17" t="str">
        <f aca="false">IF(OR(E415="",F415=""),"",F415-E415+1)</f>
        <v/>
      </c>
      <c r="J415" s="18" t="str">
        <f aca="false">IF(OR(I415="",D415=""),"",D415/I415)</f>
        <v/>
      </c>
      <c r="K415" s="19" t="str">
        <f aca="false">IF(AND(A415&lt;&gt;"",G415&lt;&gt;""),G415+ROW()/1000000,"")</f>
        <v/>
      </c>
    </row>
    <row r="416" customFormat="false" ht="15" hidden="false" customHeight="false" outlineLevel="0" collapsed="false">
      <c r="A416" s="12"/>
      <c r="B416" s="12"/>
      <c r="C416" s="13"/>
      <c r="D416" s="14"/>
      <c r="E416" s="15"/>
      <c r="F416" s="15"/>
      <c r="G416" s="14"/>
      <c r="H416" s="16" t="str">
        <f aca="false">IF(A416="","",IF(F416&lt;&gt;"","Bitti",IF(E416&lt;&gt;"","Okunuyor","Sırada")))</f>
        <v/>
      </c>
      <c r="I416" s="17" t="str">
        <f aca="false">IF(OR(E416="",F416=""),"",F416-E416+1)</f>
        <v/>
      </c>
      <c r="J416" s="18" t="str">
        <f aca="false">IF(OR(I416="",D416=""),"",D416/I416)</f>
        <v/>
      </c>
      <c r="K416" s="19" t="str">
        <f aca="false">IF(AND(A416&lt;&gt;"",G416&lt;&gt;""),G416+ROW()/1000000,"")</f>
        <v/>
      </c>
    </row>
    <row r="417" customFormat="false" ht="15" hidden="false" customHeight="false" outlineLevel="0" collapsed="false">
      <c r="A417" s="12"/>
      <c r="B417" s="12"/>
      <c r="C417" s="13"/>
      <c r="D417" s="14"/>
      <c r="E417" s="15"/>
      <c r="F417" s="15"/>
      <c r="G417" s="14"/>
      <c r="H417" s="16" t="str">
        <f aca="false">IF(A417="","",IF(F417&lt;&gt;"","Bitti",IF(E417&lt;&gt;"","Okunuyor","Sırada")))</f>
        <v/>
      </c>
      <c r="I417" s="17" t="str">
        <f aca="false">IF(OR(E417="",F417=""),"",F417-E417+1)</f>
        <v/>
      </c>
      <c r="J417" s="18" t="str">
        <f aca="false">IF(OR(I417="",D417=""),"",D417/I417)</f>
        <v/>
      </c>
      <c r="K417" s="19" t="str">
        <f aca="false">IF(AND(A417&lt;&gt;"",G417&lt;&gt;""),G417+ROW()/1000000,"")</f>
        <v/>
      </c>
    </row>
    <row r="418" customFormat="false" ht="15" hidden="false" customHeight="false" outlineLevel="0" collapsed="false">
      <c r="A418" s="12"/>
      <c r="B418" s="12"/>
      <c r="C418" s="13"/>
      <c r="D418" s="14"/>
      <c r="E418" s="15"/>
      <c r="F418" s="15"/>
      <c r="G418" s="14"/>
      <c r="H418" s="16" t="str">
        <f aca="false">IF(A418="","",IF(F418&lt;&gt;"","Bitti",IF(E418&lt;&gt;"","Okunuyor","Sırada")))</f>
        <v/>
      </c>
      <c r="I418" s="17" t="str">
        <f aca="false">IF(OR(E418="",F418=""),"",F418-E418+1)</f>
        <v/>
      </c>
      <c r="J418" s="18" t="str">
        <f aca="false">IF(OR(I418="",D418=""),"",D418/I418)</f>
        <v/>
      </c>
      <c r="K418" s="19" t="str">
        <f aca="false">IF(AND(A418&lt;&gt;"",G418&lt;&gt;""),G418+ROW()/1000000,"")</f>
        <v/>
      </c>
    </row>
    <row r="419" customFormat="false" ht="15" hidden="false" customHeight="false" outlineLevel="0" collapsed="false">
      <c r="A419" s="12"/>
      <c r="B419" s="12"/>
      <c r="C419" s="13"/>
      <c r="D419" s="14"/>
      <c r="E419" s="15"/>
      <c r="F419" s="15"/>
      <c r="G419" s="14"/>
      <c r="H419" s="16" t="str">
        <f aca="false">IF(A419="","",IF(F419&lt;&gt;"","Bitti",IF(E419&lt;&gt;"","Okunuyor","Sırada")))</f>
        <v/>
      </c>
      <c r="I419" s="17" t="str">
        <f aca="false">IF(OR(E419="",F419=""),"",F419-E419+1)</f>
        <v/>
      </c>
      <c r="J419" s="18" t="str">
        <f aca="false">IF(OR(I419="",D419=""),"",D419/I419)</f>
        <v/>
      </c>
      <c r="K419" s="19" t="str">
        <f aca="false">IF(AND(A419&lt;&gt;"",G419&lt;&gt;""),G419+ROW()/1000000,"")</f>
        <v/>
      </c>
    </row>
    <row r="420" customFormat="false" ht="15" hidden="false" customHeight="false" outlineLevel="0" collapsed="false">
      <c r="A420" s="12"/>
      <c r="B420" s="12"/>
      <c r="C420" s="13"/>
      <c r="D420" s="14"/>
      <c r="E420" s="15"/>
      <c r="F420" s="15"/>
      <c r="G420" s="14"/>
      <c r="H420" s="16" t="str">
        <f aca="false">IF(A420="","",IF(F420&lt;&gt;"","Bitti",IF(E420&lt;&gt;"","Okunuyor","Sırada")))</f>
        <v/>
      </c>
      <c r="I420" s="17" t="str">
        <f aca="false">IF(OR(E420="",F420=""),"",F420-E420+1)</f>
        <v/>
      </c>
      <c r="J420" s="18" t="str">
        <f aca="false">IF(OR(I420="",D420=""),"",D420/I420)</f>
        <v/>
      </c>
      <c r="K420" s="19" t="str">
        <f aca="false">IF(AND(A420&lt;&gt;"",G420&lt;&gt;""),G420+ROW()/1000000,"")</f>
        <v/>
      </c>
    </row>
    <row r="421" customFormat="false" ht="15" hidden="false" customHeight="false" outlineLevel="0" collapsed="false">
      <c r="A421" s="12"/>
      <c r="B421" s="12"/>
      <c r="C421" s="13"/>
      <c r="D421" s="14"/>
      <c r="E421" s="15"/>
      <c r="F421" s="15"/>
      <c r="G421" s="14"/>
      <c r="H421" s="16" t="str">
        <f aca="false">IF(A421="","",IF(F421&lt;&gt;"","Bitti",IF(E421&lt;&gt;"","Okunuyor","Sırada")))</f>
        <v/>
      </c>
      <c r="I421" s="17" t="str">
        <f aca="false">IF(OR(E421="",F421=""),"",F421-E421+1)</f>
        <v/>
      </c>
      <c r="J421" s="18" t="str">
        <f aca="false">IF(OR(I421="",D421=""),"",D421/I421)</f>
        <v/>
      </c>
      <c r="K421" s="19" t="str">
        <f aca="false">IF(AND(A421&lt;&gt;"",G421&lt;&gt;""),G421+ROW()/1000000,"")</f>
        <v/>
      </c>
    </row>
    <row r="422" customFormat="false" ht="15" hidden="false" customHeight="false" outlineLevel="0" collapsed="false">
      <c r="A422" s="12"/>
      <c r="B422" s="12"/>
      <c r="C422" s="13"/>
      <c r="D422" s="14"/>
      <c r="E422" s="15"/>
      <c r="F422" s="15"/>
      <c r="G422" s="14"/>
      <c r="H422" s="16" t="str">
        <f aca="false">IF(A422="","",IF(F422&lt;&gt;"","Bitti",IF(E422&lt;&gt;"","Okunuyor","Sırada")))</f>
        <v/>
      </c>
      <c r="I422" s="17" t="str">
        <f aca="false">IF(OR(E422="",F422=""),"",F422-E422+1)</f>
        <v/>
      </c>
      <c r="J422" s="18" t="str">
        <f aca="false">IF(OR(I422="",D422=""),"",D422/I422)</f>
        <v/>
      </c>
      <c r="K422" s="19" t="str">
        <f aca="false">IF(AND(A422&lt;&gt;"",G422&lt;&gt;""),G422+ROW()/1000000,"")</f>
        <v/>
      </c>
    </row>
    <row r="423" customFormat="false" ht="15" hidden="false" customHeight="false" outlineLevel="0" collapsed="false">
      <c r="A423" s="12"/>
      <c r="B423" s="12"/>
      <c r="C423" s="13"/>
      <c r="D423" s="14"/>
      <c r="E423" s="15"/>
      <c r="F423" s="15"/>
      <c r="G423" s="14"/>
      <c r="H423" s="16" t="str">
        <f aca="false">IF(A423="","",IF(F423&lt;&gt;"","Bitti",IF(E423&lt;&gt;"","Okunuyor","Sırada")))</f>
        <v/>
      </c>
      <c r="I423" s="17" t="str">
        <f aca="false">IF(OR(E423="",F423=""),"",F423-E423+1)</f>
        <v/>
      </c>
      <c r="J423" s="18" t="str">
        <f aca="false">IF(OR(I423="",D423=""),"",D423/I423)</f>
        <v/>
      </c>
      <c r="K423" s="19" t="str">
        <f aca="false">IF(AND(A423&lt;&gt;"",G423&lt;&gt;""),G423+ROW()/1000000,"")</f>
        <v/>
      </c>
    </row>
    <row r="424" customFormat="false" ht="15" hidden="false" customHeight="false" outlineLevel="0" collapsed="false">
      <c r="A424" s="12"/>
      <c r="B424" s="12"/>
      <c r="C424" s="13"/>
      <c r="D424" s="14"/>
      <c r="E424" s="15"/>
      <c r="F424" s="15"/>
      <c r="G424" s="14"/>
      <c r="H424" s="16" t="str">
        <f aca="false">IF(A424="","",IF(F424&lt;&gt;"","Bitti",IF(E424&lt;&gt;"","Okunuyor","Sırada")))</f>
        <v/>
      </c>
      <c r="I424" s="17" t="str">
        <f aca="false">IF(OR(E424="",F424=""),"",F424-E424+1)</f>
        <v/>
      </c>
      <c r="J424" s="18" t="str">
        <f aca="false">IF(OR(I424="",D424=""),"",D424/I424)</f>
        <v/>
      </c>
      <c r="K424" s="19" t="str">
        <f aca="false">IF(AND(A424&lt;&gt;"",G424&lt;&gt;""),G424+ROW()/1000000,"")</f>
        <v/>
      </c>
    </row>
    <row r="425" customFormat="false" ht="15" hidden="false" customHeight="false" outlineLevel="0" collapsed="false">
      <c r="A425" s="12"/>
      <c r="B425" s="12"/>
      <c r="C425" s="13"/>
      <c r="D425" s="14"/>
      <c r="E425" s="15"/>
      <c r="F425" s="15"/>
      <c r="G425" s="14"/>
      <c r="H425" s="16" t="str">
        <f aca="false">IF(A425="","",IF(F425&lt;&gt;"","Bitti",IF(E425&lt;&gt;"","Okunuyor","Sırada")))</f>
        <v/>
      </c>
      <c r="I425" s="17" t="str">
        <f aca="false">IF(OR(E425="",F425=""),"",F425-E425+1)</f>
        <v/>
      </c>
      <c r="J425" s="18" t="str">
        <f aca="false">IF(OR(I425="",D425=""),"",D425/I425)</f>
        <v/>
      </c>
      <c r="K425" s="19" t="str">
        <f aca="false">IF(AND(A425&lt;&gt;"",G425&lt;&gt;""),G425+ROW()/1000000,"")</f>
        <v/>
      </c>
    </row>
    <row r="426" customFormat="false" ht="15" hidden="false" customHeight="false" outlineLevel="0" collapsed="false">
      <c r="A426" s="12"/>
      <c r="B426" s="12"/>
      <c r="C426" s="13"/>
      <c r="D426" s="14"/>
      <c r="E426" s="15"/>
      <c r="F426" s="15"/>
      <c r="G426" s="14"/>
      <c r="H426" s="16" t="str">
        <f aca="false">IF(A426="","",IF(F426&lt;&gt;"","Bitti",IF(E426&lt;&gt;"","Okunuyor","Sırada")))</f>
        <v/>
      </c>
      <c r="I426" s="17" t="str">
        <f aca="false">IF(OR(E426="",F426=""),"",F426-E426+1)</f>
        <v/>
      </c>
      <c r="J426" s="18" t="str">
        <f aca="false">IF(OR(I426="",D426=""),"",D426/I426)</f>
        <v/>
      </c>
      <c r="K426" s="19" t="str">
        <f aca="false">IF(AND(A426&lt;&gt;"",G426&lt;&gt;""),G426+ROW()/1000000,"")</f>
        <v/>
      </c>
    </row>
    <row r="427" customFormat="false" ht="15" hidden="false" customHeight="false" outlineLevel="0" collapsed="false">
      <c r="A427" s="12"/>
      <c r="B427" s="12"/>
      <c r="C427" s="13"/>
      <c r="D427" s="14"/>
      <c r="E427" s="15"/>
      <c r="F427" s="15"/>
      <c r="G427" s="14"/>
      <c r="H427" s="16" t="str">
        <f aca="false">IF(A427="","",IF(F427&lt;&gt;"","Bitti",IF(E427&lt;&gt;"","Okunuyor","Sırada")))</f>
        <v/>
      </c>
      <c r="I427" s="17" t="str">
        <f aca="false">IF(OR(E427="",F427=""),"",F427-E427+1)</f>
        <v/>
      </c>
      <c r="J427" s="18" t="str">
        <f aca="false">IF(OR(I427="",D427=""),"",D427/I427)</f>
        <v/>
      </c>
      <c r="K427" s="19" t="str">
        <f aca="false">IF(AND(A427&lt;&gt;"",G427&lt;&gt;""),G427+ROW()/1000000,"")</f>
        <v/>
      </c>
    </row>
    <row r="428" customFormat="false" ht="15" hidden="false" customHeight="false" outlineLevel="0" collapsed="false">
      <c r="A428" s="12"/>
      <c r="B428" s="12"/>
      <c r="C428" s="13"/>
      <c r="D428" s="14"/>
      <c r="E428" s="15"/>
      <c r="F428" s="15"/>
      <c r="G428" s="14"/>
      <c r="H428" s="16" t="str">
        <f aca="false">IF(A428="","",IF(F428&lt;&gt;"","Bitti",IF(E428&lt;&gt;"","Okunuyor","Sırada")))</f>
        <v/>
      </c>
      <c r="I428" s="17" t="str">
        <f aca="false">IF(OR(E428="",F428=""),"",F428-E428+1)</f>
        <v/>
      </c>
      <c r="J428" s="18" t="str">
        <f aca="false">IF(OR(I428="",D428=""),"",D428/I428)</f>
        <v/>
      </c>
      <c r="K428" s="19" t="str">
        <f aca="false">IF(AND(A428&lt;&gt;"",G428&lt;&gt;""),G428+ROW()/1000000,"")</f>
        <v/>
      </c>
    </row>
    <row r="429" customFormat="false" ht="15" hidden="false" customHeight="false" outlineLevel="0" collapsed="false">
      <c r="A429" s="12"/>
      <c r="B429" s="12"/>
      <c r="C429" s="13"/>
      <c r="D429" s="14"/>
      <c r="E429" s="15"/>
      <c r="F429" s="15"/>
      <c r="G429" s="14"/>
      <c r="H429" s="16" t="str">
        <f aca="false">IF(A429="","",IF(F429&lt;&gt;"","Bitti",IF(E429&lt;&gt;"","Okunuyor","Sırada")))</f>
        <v/>
      </c>
      <c r="I429" s="17" t="str">
        <f aca="false">IF(OR(E429="",F429=""),"",F429-E429+1)</f>
        <v/>
      </c>
      <c r="J429" s="18" t="str">
        <f aca="false">IF(OR(I429="",D429=""),"",D429/I429)</f>
        <v/>
      </c>
      <c r="K429" s="19" t="str">
        <f aca="false">IF(AND(A429&lt;&gt;"",G429&lt;&gt;""),G429+ROW()/1000000,"")</f>
        <v/>
      </c>
    </row>
    <row r="430" customFormat="false" ht="15" hidden="false" customHeight="false" outlineLevel="0" collapsed="false">
      <c r="A430" s="12"/>
      <c r="B430" s="12"/>
      <c r="C430" s="13"/>
      <c r="D430" s="14"/>
      <c r="E430" s="15"/>
      <c r="F430" s="15"/>
      <c r="G430" s="14"/>
      <c r="H430" s="16" t="str">
        <f aca="false">IF(A430="","",IF(F430&lt;&gt;"","Bitti",IF(E430&lt;&gt;"","Okunuyor","Sırada")))</f>
        <v/>
      </c>
      <c r="I430" s="17" t="str">
        <f aca="false">IF(OR(E430="",F430=""),"",F430-E430+1)</f>
        <v/>
      </c>
      <c r="J430" s="18" t="str">
        <f aca="false">IF(OR(I430="",D430=""),"",D430/I430)</f>
        <v/>
      </c>
      <c r="K430" s="19" t="str">
        <f aca="false">IF(AND(A430&lt;&gt;"",G430&lt;&gt;""),G430+ROW()/1000000,"")</f>
        <v/>
      </c>
    </row>
    <row r="431" customFormat="false" ht="15" hidden="false" customHeight="false" outlineLevel="0" collapsed="false">
      <c r="A431" s="12"/>
      <c r="B431" s="12"/>
      <c r="C431" s="13"/>
      <c r="D431" s="14"/>
      <c r="E431" s="15"/>
      <c r="F431" s="15"/>
      <c r="G431" s="14"/>
      <c r="H431" s="16" t="str">
        <f aca="false">IF(A431="","",IF(F431&lt;&gt;"","Bitti",IF(E431&lt;&gt;"","Okunuyor","Sırada")))</f>
        <v/>
      </c>
      <c r="I431" s="17" t="str">
        <f aca="false">IF(OR(E431="",F431=""),"",F431-E431+1)</f>
        <v/>
      </c>
      <c r="J431" s="18" t="str">
        <f aca="false">IF(OR(I431="",D431=""),"",D431/I431)</f>
        <v/>
      </c>
      <c r="K431" s="19" t="str">
        <f aca="false">IF(AND(A431&lt;&gt;"",G431&lt;&gt;""),G431+ROW()/1000000,"")</f>
        <v/>
      </c>
    </row>
    <row r="432" customFormat="false" ht="15" hidden="false" customHeight="false" outlineLevel="0" collapsed="false">
      <c r="A432" s="12"/>
      <c r="B432" s="12"/>
      <c r="C432" s="13"/>
      <c r="D432" s="14"/>
      <c r="E432" s="15"/>
      <c r="F432" s="15"/>
      <c r="G432" s="14"/>
      <c r="H432" s="16" t="str">
        <f aca="false">IF(A432="","",IF(F432&lt;&gt;"","Bitti",IF(E432&lt;&gt;"","Okunuyor","Sırada")))</f>
        <v/>
      </c>
      <c r="I432" s="17" t="str">
        <f aca="false">IF(OR(E432="",F432=""),"",F432-E432+1)</f>
        <v/>
      </c>
      <c r="J432" s="18" t="str">
        <f aca="false">IF(OR(I432="",D432=""),"",D432/I432)</f>
        <v/>
      </c>
      <c r="K432" s="19" t="str">
        <f aca="false">IF(AND(A432&lt;&gt;"",G432&lt;&gt;""),G432+ROW()/1000000,"")</f>
        <v/>
      </c>
    </row>
    <row r="433" customFormat="false" ht="15" hidden="false" customHeight="false" outlineLevel="0" collapsed="false">
      <c r="A433" s="12"/>
      <c r="B433" s="12"/>
      <c r="C433" s="13"/>
      <c r="D433" s="14"/>
      <c r="E433" s="15"/>
      <c r="F433" s="15"/>
      <c r="G433" s="14"/>
      <c r="H433" s="16" t="str">
        <f aca="false">IF(A433="","",IF(F433&lt;&gt;"","Bitti",IF(E433&lt;&gt;"","Okunuyor","Sırada")))</f>
        <v/>
      </c>
      <c r="I433" s="17" t="str">
        <f aca="false">IF(OR(E433="",F433=""),"",F433-E433+1)</f>
        <v/>
      </c>
      <c r="J433" s="18" t="str">
        <f aca="false">IF(OR(I433="",D433=""),"",D433/I433)</f>
        <v/>
      </c>
      <c r="K433" s="19" t="str">
        <f aca="false">IF(AND(A433&lt;&gt;"",G433&lt;&gt;""),G433+ROW()/1000000,"")</f>
        <v/>
      </c>
    </row>
    <row r="434" customFormat="false" ht="15" hidden="false" customHeight="false" outlineLevel="0" collapsed="false">
      <c r="A434" s="12"/>
      <c r="B434" s="12"/>
      <c r="C434" s="13"/>
      <c r="D434" s="14"/>
      <c r="E434" s="15"/>
      <c r="F434" s="15"/>
      <c r="G434" s="14"/>
      <c r="H434" s="16" t="str">
        <f aca="false">IF(A434="","",IF(F434&lt;&gt;"","Bitti",IF(E434&lt;&gt;"","Okunuyor","Sırada")))</f>
        <v/>
      </c>
      <c r="I434" s="17" t="str">
        <f aca="false">IF(OR(E434="",F434=""),"",F434-E434+1)</f>
        <v/>
      </c>
      <c r="J434" s="18" t="str">
        <f aca="false">IF(OR(I434="",D434=""),"",D434/I434)</f>
        <v/>
      </c>
      <c r="K434" s="19" t="str">
        <f aca="false">IF(AND(A434&lt;&gt;"",G434&lt;&gt;""),G434+ROW()/1000000,"")</f>
        <v/>
      </c>
    </row>
    <row r="435" customFormat="false" ht="15" hidden="false" customHeight="false" outlineLevel="0" collapsed="false">
      <c r="A435" s="12"/>
      <c r="B435" s="12"/>
      <c r="C435" s="13"/>
      <c r="D435" s="14"/>
      <c r="E435" s="15"/>
      <c r="F435" s="15"/>
      <c r="G435" s="14"/>
      <c r="H435" s="16" t="str">
        <f aca="false">IF(A435="","",IF(F435&lt;&gt;"","Bitti",IF(E435&lt;&gt;"","Okunuyor","Sırada")))</f>
        <v/>
      </c>
      <c r="I435" s="17" t="str">
        <f aca="false">IF(OR(E435="",F435=""),"",F435-E435+1)</f>
        <v/>
      </c>
      <c r="J435" s="18" t="str">
        <f aca="false">IF(OR(I435="",D435=""),"",D435/I435)</f>
        <v/>
      </c>
      <c r="K435" s="19" t="str">
        <f aca="false">IF(AND(A435&lt;&gt;"",G435&lt;&gt;""),G435+ROW()/1000000,"")</f>
        <v/>
      </c>
    </row>
    <row r="436" customFormat="false" ht="15" hidden="false" customHeight="false" outlineLevel="0" collapsed="false">
      <c r="A436" s="12"/>
      <c r="B436" s="12"/>
      <c r="C436" s="13"/>
      <c r="D436" s="14"/>
      <c r="E436" s="15"/>
      <c r="F436" s="15"/>
      <c r="G436" s="14"/>
      <c r="H436" s="16" t="str">
        <f aca="false">IF(A436="","",IF(F436&lt;&gt;"","Bitti",IF(E436&lt;&gt;"","Okunuyor","Sırada")))</f>
        <v/>
      </c>
      <c r="I436" s="17" t="str">
        <f aca="false">IF(OR(E436="",F436=""),"",F436-E436+1)</f>
        <v/>
      </c>
      <c r="J436" s="18" t="str">
        <f aca="false">IF(OR(I436="",D436=""),"",D436/I436)</f>
        <v/>
      </c>
      <c r="K436" s="19" t="str">
        <f aca="false">IF(AND(A436&lt;&gt;"",G436&lt;&gt;""),G436+ROW()/1000000,"")</f>
        <v/>
      </c>
    </row>
    <row r="437" customFormat="false" ht="15" hidden="false" customHeight="false" outlineLevel="0" collapsed="false">
      <c r="A437" s="12"/>
      <c r="B437" s="12"/>
      <c r="C437" s="13"/>
      <c r="D437" s="14"/>
      <c r="E437" s="15"/>
      <c r="F437" s="15"/>
      <c r="G437" s="14"/>
      <c r="H437" s="16" t="str">
        <f aca="false">IF(A437="","",IF(F437&lt;&gt;"","Bitti",IF(E437&lt;&gt;"","Okunuyor","Sırada")))</f>
        <v/>
      </c>
      <c r="I437" s="17" t="str">
        <f aca="false">IF(OR(E437="",F437=""),"",F437-E437+1)</f>
        <v/>
      </c>
      <c r="J437" s="18" t="str">
        <f aca="false">IF(OR(I437="",D437=""),"",D437/I437)</f>
        <v/>
      </c>
      <c r="K437" s="19" t="str">
        <f aca="false">IF(AND(A437&lt;&gt;"",G437&lt;&gt;""),G437+ROW()/1000000,"")</f>
        <v/>
      </c>
    </row>
    <row r="438" customFormat="false" ht="15" hidden="false" customHeight="false" outlineLevel="0" collapsed="false">
      <c r="A438" s="12"/>
      <c r="B438" s="12"/>
      <c r="C438" s="13"/>
      <c r="D438" s="14"/>
      <c r="E438" s="15"/>
      <c r="F438" s="15"/>
      <c r="G438" s="14"/>
      <c r="H438" s="16" t="str">
        <f aca="false">IF(A438="","",IF(F438&lt;&gt;"","Bitti",IF(E438&lt;&gt;"","Okunuyor","Sırada")))</f>
        <v/>
      </c>
      <c r="I438" s="17" t="str">
        <f aca="false">IF(OR(E438="",F438=""),"",F438-E438+1)</f>
        <v/>
      </c>
      <c r="J438" s="18" t="str">
        <f aca="false">IF(OR(I438="",D438=""),"",D438/I438)</f>
        <v/>
      </c>
      <c r="K438" s="19" t="str">
        <f aca="false">IF(AND(A438&lt;&gt;"",G438&lt;&gt;""),G438+ROW()/1000000,"")</f>
        <v/>
      </c>
    </row>
    <row r="439" customFormat="false" ht="15" hidden="false" customHeight="false" outlineLevel="0" collapsed="false">
      <c r="A439" s="12"/>
      <c r="B439" s="12"/>
      <c r="C439" s="13"/>
      <c r="D439" s="14"/>
      <c r="E439" s="15"/>
      <c r="F439" s="15"/>
      <c r="G439" s="14"/>
      <c r="H439" s="16" t="str">
        <f aca="false">IF(A439="","",IF(F439&lt;&gt;"","Bitti",IF(E439&lt;&gt;"","Okunuyor","Sırada")))</f>
        <v/>
      </c>
      <c r="I439" s="17" t="str">
        <f aca="false">IF(OR(E439="",F439=""),"",F439-E439+1)</f>
        <v/>
      </c>
      <c r="J439" s="18" t="str">
        <f aca="false">IF(OR(I439="",D439=""),"",D439/I439)</f>
        <v/>
      </c>
      <c r="K439" s="19" t="str">
        <f aca="false">IF(AND(A439&lt;&gt;"",G439&lt;&gt;""),G439+ROW()/1000000,"")</f>
        <v/>
      </c>
    </row>
    <row r="440" customFormat="false" ht="15" hidden="false" customHeight="false" outlineLevel="0" collapsed="false">
      <c r="A440" s="12"/>
      <c r="B440" s="12"/>
      <c r="C440" s="13"/>
      <c r="D440" s="14"/>
      <c r="E440" s="15"/>
      <c r="F440" s="15"/>
      <c r="G440" s="14"/>
      <c r="H440" s="16" t="str">
        <f aca="false">IF(A440="","",IF(F440&lt;&gt;"","Bitti",IF(E440&lt;&gt;"","Okunuyor","Sırada")))</f>
        <v/>
      </c>
      <c r="I440" s="17" t="str">
        <f aca="false">IF(OR(E440="",F440=""),"",F440-E440+1)</f>
        <v/>
      </c>
      <c r="J440" s="18" t="str">
        <f aca="false">IF(OR(I440="",D440=""),"",D440/I440)</f>
        <v/>
      </c>
      <c r="K440" s="19" t="str">
        <f aca="false">IF(AND(A440&lt;&gt;"",G440&lt;&gt;""),G440+ROW()/1000000,"")</f>
        <v/>
      </c>
    </row>
    <row r="441" customFormat="false" ht="15" hidden="false" customHeight="false" outlineLevel="0" collapsed="false">
      <c r="A441" s="12"/>
      <c r="B441" s="12"/>
      <c r="C441" s="13"/>
      <c r="D441" s="14"/>
      <c r="E441" s="15"/>
      <c r="F441" s="15"/>
      <c r="G441" s="14"/>
      <c r="H441" s="16" t="str">
        <f aca="false">IF(A441="","",IF(F441&lt;&gt;"","Bitti",IF(E441&lt;&gt;"","Okunuyor","Sırada")))</f>
        <v/>
      </c>
      <c r="I441" s="17" t="str">
        <f aca="false">IF(OR(E441="",F441=""),"",F441-E441+1)</f>
        <v/>
      </c>
      <c r="J441" s="18" t="str">
        <f aca="false">IF(OR(I441="",D441=""),"",D441/I441)</f>
        <v/>
      </c>
      <c r="K441" s="19" t="str">
        <f aca="false">IF(AND(A441&lt;&gt;"",G441&lt;&gt;""),G441+ROW()/1000000,"")</f>
        <v/>
      </c>
    </row>
    <row r="442" customFormat="false" ht="15" hidden="false" customHeight="false" outlineLevel="0" collapsed="false">
      <c r="A442" s="12"/>
      <c r="B442" s="12"/>
      <c r="C442" s="13"/>
      <c r="D442" s="14"/>
      <c r="E442" s="15"/>
      <c r="F442" s="15"/>
      <c r="G442" s="14"/>
      <c r="H442" s="16" t="str">
        <f aca="false">IF(A442="","",IF(F442&lt;&gt;"","Bitti",IF(E442&lt;&gt;"","Okunuyor","Sırada")))</f>
        <v/>
      </c>
      <c r="I442" s="17" t="str">
        <f aca="false">IF(OR(E442="",F442=""),"",F442-E442+1)</f>
        <v/>
      </c>
      <c r="J442" s="18" t="str">
        <f aca="false">IF(OR(I442="",D442=""),"",D442/I442)</f>
        <v/>
      </c>
      <c r="K442" s="19" t="str">
        <f aca="false">IF(AND(A442&lt;&gt;"",G442&lt;&gt;""),G442+ROW()/1000000,"")</f>
        <v/>
      </c>
    </row>
    <row r="443" customFormat="false" ht="15" hidden="false" customHeight="false" outlineLevel="0" collapsed="false">
      <c r="A443" s="12"/>
      <c r="B443" s="12"/>
      <c r="C443" s="13"/>
      <c r="D443" s="14"/>
      <c r="E443" s="15"/>
      <c r="F443" s="15"/>
      <c r="G443" s="14"/>
      <c r="H443" s="16" t="str">
        <f aca="false">IF(A443="","",IF(F443&lt;&gt;"","Bitti",IF(E443&lt;&gt;"","Okunuyor","Sırada")))</f>
        <v/>
      </c>
      <c r="I443" s="17" t="str">
        <f aca="false">IF(OR(E443="",F443=""),"",F443-E443+1)</f>
        <v/>
      </c>
      <c r="J443" s="18" t="str">
        <f aca="false">IF(OR(I443="",D443=""),"",D443/I443)</f>
        <v/>
      </c>
      <c r="K443" s="19" t="str">
        <f aca="false">IF(AND(A443&lt;&gt;"",G443&lt;&gt;""),G443+ROW()/1000000,"")</f>
        <v/>
      </c>
    </row>
    <row r="444" customFormat="false" ht="15" hidden="false" customHeight="false" outlineLevel="0" collapsed="false">
      <c r="A444" s="12"/>
      <c r="B444" s="12"/>
      <c r="C444" s="13"/>
      <c r="D444" s="14"/>
      <c r="E444" s="15"/>
      <c r="F444" s="15"/>
      <c r="G444" s="14"/>
      <c r="H444" s="16" t="str">
        <f aca="false">IF(A444="","",IF(F444&lt;&gt;"","Bitti",IF(E444&lt;&gt;"","Okunuyor","Sırada")))</f>
        <v/>
      </c>
      <c r="I444" s="17" t="str">
        <f aca="false">IF(OR(E444="",F444=""),"",F444-E444+1)</f>
        <v/>
      </c>
      <c r="J444" s="18" t="str">
        <f aca="false">IF(OR(I444="",D444=""),"",D444/I444)</f>
        <v/>
      </c>
      <c r="K444" s="19" t="str">
        <f aca="false">IF(AND(A444&lt;&gt;"",G444&lt;&gt;""),G444+ROW()/1000000,"")</f>
        <v/>
      </c>
    </row>
    <row r="445" customFormat="false" ht="15" hidden="false" customHeight="false" outlineLevel="0" collapsed="false">
      <c r="A445" s="12"/>
      <c r="B445" s="12"/>
      <c r="C445" s="13"/>
      <c r="D445" s="14"/>
      <c r="E445" s="15"/>
      <c r="F445" s="15"/>
      <c r="G445" s="14"/>
      <c r="H445" s="16" t="str">
        <f aca="false">IF(A445="","",IF(F445&lt;&gt;"","Bitti",IF(E445&lt;&gt;"","Okunuyor","Sırada")))</f>
        <v/>
      </c>
      <c r="I445" s="17" t="str">
        <f aca="false">IF(OR(E445="",F445=""),"",F445-E445+1)</f>
        <v/>
      </c>
      <c r="J445" s="18" t="str">
        <f aca="false">IF(OR(I445="",D445=""),"",D445/I445)</f>
        <v/>
      </c>
      <c r="K445" s="19" t="str">
        <f aca="false">IF(AND(A445&lt;&gt;"",G445&lt;&gt;""),G445+ROW()/1000000,"")</f>
        <v/>
      </c>
    </row>
    <row r="446" customFormat="false" ht="15" hidden="false" customHeight="false" outlineLevel="0" collapsed="false">
      <c r="A446" s="12"/>
      <c r="B446" s="12"/>
      <c r="C446" s="13"/>
      <c r="D446" s="14"/>
      <c r="E446" s="15"/>
      <c r="F446" s="15"/>
      <c r="G446" s="14"/>
      <c r="H446" s="16" t="str">
        <f aca="false">IF(A446="","",IF(F446&lt;&gt;"","Bitti",IF(E446&lt;&gt;"","Okunuyor","Sırada")))</f>
        <v/>
      </c>
      <c r="I446" s="17" t="str">
        <f aca="false">IF(OR(E446="",F446=""),"",F446-E446+1)</f>
        <v/>
      </c>
      <c r="J446" s="18" t="str">
        <f aca="false">IF(OR(I446="",D446=""),"",D446/I446)</f>
        <v/>
      </c>
      <c r="K446" s="19" t="str">
        <f aca="false">IF(AND(A446&lt;&gt;"",G446&lt;&gt;""),G446+ROW()/1000000,"")</f>
        <v/>
      </c>
    </row>
    <row r="447" customFormat="false" ht="15" hidden="false" customHeight="false" outlineLevel="0" collapsed="false">
      <c r="A447" s="12"/>
      <c r="B447" s="12"/>
      <c r="C447" s="13"/>
      <c r="D447" s="14"/>
      <c r="E447" s="15"/>
      <c r="F447" s="15"/>
      <c r="G447" s="14"/>
      <c r="H447" s="16" t="str">
        <f aca="false">IF(A447="","",IF(F447&lt;&gt;"","Bitti",IF(E447&lt;&gt;"","Okunuyor","Sırada")))</f>
        <v/>
      </c>
      <c r="I447" s="17" t="str">
        <f aca="false">IF(OR(E447="",F447=""),"",F447-E447+1)</f>
        <v/>
      </c>
      <c r="J447" s="18" t="str">
        <f aca="false">IF(OR(I447="",D447=""),"",D447/I447)</f>
        <v/>
      </c>
      <c r="K447" s="19" t="str">
        <f aca="false">IF(AND(A447&lt;&gt;"",G447&lt;&gt;""),G447+ROW()/1000000,"")</f>
        <v/>
      </c>
    </row>
    <row r="448" customFormat="false" ht="15" hidden="false" customHeight="false" outlineLevel="0" collapsed="false">
      <c r="A448" s="12"/>
      <c r="B448" s="12"/>
      <c r="C448" s="13"/>
      <c r="D448" s="14"/>
      <c r="E448" s="15"/>
      <c r="F448" s="15"/>
      <c r="G448" s="14"/>
      <c r="H448" s="16" t="str">
        <f aca="false">IF(A448="","",IF(F448&lt;&gt;"","Bitti",IF(E448&lt;&gt;"","Okunuyor","Sırada")))</f>
        <v/>
      </c>
      <c r="I448" s="17" t="str">
        <f aca="false">IF(OR(E448="",F448=""),"",F448-E448+1)</f>
        <v/>
      </c>
      <c r="J448" s="18" t="str">
        <f aca="false">IF(OR(I448="",D448=""),"",D448/I448)</f>
        <v/>
      </c>
      <c r="K448" s="19" t="str">
        <f aca="false">IF(AND(A448&lt;&gt;"",G448&lt;&gt;""),G448+ROW()/1000000,"")</f>
        <v/>
      </c>
    </row>
    <row r="449" customFormat="false" ht="15" hidden="false" customHeight="false" outlineLevel="0" collapsed="false">
      <c r="A449" s="12"/>
      <c r="B449" s="12"/>
      <c r="C449" s="13"/>
      <c r="D449" s="14"/>
      <c r="E449" s="15"/>
      <c r="F449" s="15"/>
      <c r="G449" s="14"/>
      <c r="H449" s="16" t="str">
        <f aca="false">IF(A449="","",IF(F449&lt;&gt;"","Bitti",IF(E449&lt;&gt;"","Okunuyor","Sırada")))</f>
        <v/>
      </c>
      <c r="I449" s="17" t="str">
        <f aca="false">IF(OR(E449="",F449=""),"",F449-E449+1)</f>
        <v/>
      </c>
      <c r="J449" s="18" t="str">
        <f aca="false">IF(OR(I449="",D449=""),"",D449/I449)</f>
        <v/>
      </c>
      <c r="K449" s="19" t="str">
        <f aca="false">IF(AND(A449&lt;&gt;"",G449&lt;&gt;""),G449+ROW()/1000000,"")</f>
        <v/>
      </c>
    </row>
    <row r="450" customFormat="false" ht="15" hidden="false" customHeight="false" outlineLevel="0" collapsed="false">
      <c r="A450" s="12"/>
      <c r="B450" s="12"/>
      <c r="C450" s="13"/>
      <c r="D450" s="14"/>
      <c r="E450" s="15"/>
      <c r="F450" s="15"/>
      <c r="G450" s="14"/>
      <c r="H450" s="16" t="str">
        <f aca="false">IF(A450="","",IF(F450&lt;&gt;"","Bitti",IF(E450&lt;&gt;"","Okunuyor","Sırada")))</f>
        <v/>
      </c>
      <c r="I450" s="17" t="str">
        <f aca="false">IF(OR(E450="",F450=""),"",F450-E450+1)</f>
        <v/>
      </c>
      <c r="J450" s="18" t="str">
        <f aca="false">IF(OR(I450="",D450=""),"",D450/I450)</f>
        <v/>
      </c>
      <c r="K450" s="19" t="str">
        <f aca="false">IF(AND(A450&lt;&gt;"",G450&lt;&gt;""),G450+ROW()/1000000,"")</f>
        <v/>
      </c>
    </row>
    <row r="451" customFormat="false" ht="15" hidden="false" customHeight="false" outlineLevel="0" collapsed="false">
      <c r="A451" s="12"/>
      <c r="B451" s="12"/>
      <c r="C451" s="13"/>
      <c r="D451" s="14"/>
      <c r="E451" s="15"/>
      <c r="F451" s="15"/>
      <c r="G451" s="14"/>
      <c r="H451" s="16" t="str">
        <f aca="false">IF(A451="","",IF(F451&lt;&gt;"","Bitti",IF(E451&lt;&gt;"","Okunuyor","Sırada")))</f>
        <v/>
      </c>
      <c r="I451" s="17" t="str">
        <f aca="false">IF(OR(E451="",F451=""),"",F451-E451+1)</f>
        <v/>
      </c>
      <c r="J451" s="18" t="str">
        <f aca="false">IF(OR(I451="",D451=""),"",D451/I451)</f>
        <v/>
      </c>
      <c r="K451" s="19" t="str">
        <f aca="false">IF(AND(A451&lt;&gt;"",G451&lt;&gt;""),G451+ROW()/1000000,"")</f>
        <v/>
      </c>
    </row>
    <row r="452" customFormat="false" ht="15" hidden="false" customHeight="false" outlineLevel="0" collapsed="false">
      <c r="A452" s="12"/>
      <c r="B452" s="12"/>
      <c r="C452" s="13"/>
      <c r="D452" s="14"/>
      <c r="E452" s="15"/>
      <c r="F452" s="15"/>
      <c r="G452" s="14"/>
      <c r="H452" s="16" t="str">
        <f aca="false">IF(A452="","",IF(F452&lt;&gt;"","Bitti",IF(E452&lt;&gt;"","Okunuyor","Sırada")))</f>
        <v/>
      </c>
      <c r="I452" s="17" t="str">
        <f aca="false">IF(OR(E452="",F452=""),"",F452-E452+1)</f>
        <v/>
      </c>
      <c r="J452" s="18" t="str">
        <f aca="false">IF(OR(I452="",D452=""),"",D452/I452)</f>
        <v/>
      </c>
      <c r="K452" s="19" t="str">
        <f aca="false">IF(AND(A452&lt;&gt;"",G452&lt;&gt;""),G452+ROW()/1000000,"")</f>
        <v/>
      </c>
    </row>
    <row r="453" customFormat="false" ht="15" hidden="false" customHeight="false" outlineLevel="0" collapsed="false">
      <c r="A453" s="12"/>
      <c r="B453" s="12"/>
      <c r="C453" s="13"/>
      <c r="D453" s="14"/>
      <c r="E453" s="15"/>
      <c r="F453" s="15"/>
      <c r="G453" s="14"/>
      <c r="H453" s="16" t="str">
        <f aca="false">IF(A453="","",IF(F453&lt;&gt;"","Bitti",IF(E453&lt;&gt;"","Okunuyor","Sırada")))</f>
        <v/>
      </c>
      <c r="I453" s="17" t="str">
        <f aca="false">IF(OR(E453="",F453=""),"",F453-E453+1)</f>
        <v/>
      </c>
      <c r="J453" s="18" t="str">
        <f aca="false">IF(OR(I453="",D453=""),"",D453/I453)</f>
        <v/>
      </c>
      <c r="K453" s="19" t="str">
        <f aca="false">IF(AND(A453&lt;&gt;"",G453&lt;&gt;""),G453+ROW()/1000000,"")</f>
        <v/>
      </c>
    </row>
    <row r="454" customFormat="false" ht="15" hidden="false" customHeight="false" outlineLevel="0" collapsed="false">
      <c r="A454" s="12"/>
      <c r="B454" s="12"/>
      <c r="C454" s="13"/>
      <c r="D454" s="14"/>
      <c r="E454" s="15"/>
      <c r="F454" s="15"/>
      <c r="G454" s="14"/>
      <c r="H454" s="16" t="str">
        <f aca="false">IF(A454="","",IF(F454&lt;&gt;"","Bitti",IF(E454&lt;&gt;"","Okunuyor","Sırada")))</f>
        <v/>
      </c>
      <c r="I454" s="17" t="str">
        <f aca="false">IF(OR(E454="",F454=""),"",F454-E454+1)</f>
        <v/>
      </c>
      <c r="J454" s="18" t="str">
        <f aca="false">IF(OR(I454="",D454=""),"",D454/I454)</f>
        <v/>
      </c>
      <c r="K454" s="19" t="str">
        <f aca="false">IF(AND(A454&lt;&gt;"",G454&lt;&gt;""),G454+ROW()/1000000,"")</f>
        <v/>
      </c>
    </row>
    <row r="455" customFormat="false" ht="15" hidden="false" customHeight="false" outlineLevel="0" collapsed="false">
      <c r="A455" s="12"/>
      <c r="B455" s="12"/>
      <c r="C455" s="13"/>
      <c r="D455" s="14"/>
      <c r="E455" s="15"/>
      <c r="F455" s="15"/>
      <c r="G455" s="14"/>
      <c r="H455" s="16" t="str">
        <f aca="false">IF(A455="","",IF(F455&lt;&gt;"","Bitti",IF(E455&lt;&gt;"","Okunuyor","Sırada")))</f>
        <v/>
      </c>
      <c r="I455" s="17" t="str">
        <f aca="false">IF(OR(E455="",F455=""),"",F455-E455+1)</f>
        <v/>
      </c>
      <c r="J455" s="18" t="str">
        <f aca="false">IF(OR(I455="",D455=""),"",D455/I455)</f>
        <v/>
      </c>
      <c r="K455" s="19" t="str">
        <f aca="false">IF(AND(A455&lt;&gt;"",G455&lt;&gt;""),G455+ROW()/1000000,"")</f>
        <v/>
      </c>
    </row>
    <row r="456" customFormat="false" ht="15" hidden="false" customHeight="false" outlineLevel="0" collapsed="false">
      <c r="A456" s="12"/>
      <c r="B456" s="12"/>
      <c r="C456" s="13"/>
      <c r="D456" s="14"/>
      <c r="E456" s="15"/>
      <c r="F456" s="15"/>
      <c r="G456" s="14"/>
      <c r="H456" s="16" t="str">
        <f aca="false">IF(A456="","",IF(F456&lt;&gt;"","Bitti",IF(E456&lt;&gt;"","Okunuyor","Sırada")))</f>
        <v/>
      </c>
      <c r="I456" s="17" t="str">
        <f aca="false">IF(OR(E456="",F456=""),"",F456-E456+1)</f>
        <v/>
      </c>
      <c r="J456" s="18" t="str">
        <f aca="false">IF(OR(I456="",D456=""),"",D456/I456)</f>
        <v/>
      </c>
      <c r="K456" s="19" t="str">
        <f aca="false">IF(AND(A456&lt;&gt;"",G456&lt;&gt;""),G456+ROW()/1000000,"")</f>
        <v/>
      </c>
    </row>
    <row r="457" customFormat="false" ht="15" hidden="false" customHeight="false" outlineLevel="0" collapsed="false">
      <c r="A457" s="12"/>
      <c r="B457" s="12"/>
      <c r="C457" s="13"/>
      <c r="D457" s="14"/>
      <c r="E457" s="15"/>
      <c r="F457" s="15"/>
      <c r="G457" s="14"/>
      <c r="H457" s="16" t="str">
        <f aca="false">IF(A457="","",IF(F457&lt;&gt;"","Bitti",IF(E457&lt;&gt;"","Okunuyor","Sırada")))</f>
        <v/>
      </c>
      <c r="I457" s="17" t="str">
        <f aca="false">IF(OR(E457="",F457=""),"",F457-E457+1)</f>
        <v/>
      </c>
      <c r="J457" s="18" t="str">
        <f aca="false">IF(OR(I457="",D457=""),"",D457/I457)</f>
        <v/>
      </c>
      <c r="K457" s="19" t="str">
        <f aca="false">IF(AND(A457&lt;&gt;"",G457&lt;&gt;""),G457+ROW()/1000000,"")</f>
        <v/>
      </c>
    </row>
    <row r="458" customFormat="false" ht="15" hidden="false" customHeight="false" outlineLevel="0" collapsed="false">
      <c r="A458" s="12"/>
      <c r="B458" s="12"/>
      <c r="C458" s="13"/>
      <c r="D458" s="14"/>
      <c r="E458" s="15"/>
      <c r="F458" s="15"/>
      <c r="G458" s="14"/>
      <c r="H458" s="16" t="str">
        <f aca="false">IF(A458="","",IF(F458&lt;&gt;"","Bitti",IF(E458&lt;&gt;"","Okunuyor","Sırada")))</f>
        <v/>
      </c>
      <c r="I458" s="17" t="str">
        <f aca="false">IF(OR(E458="",F458=""),"",F458-E458+1)</f>
        <v/>
      </c>
      <c r="J458" s="18" t="str">
        <f aca="false">IF(OR(I458="",D458=""),"",D458/I458)</f>
        <v/>
      </c>
      <c r="K458" s="19" t="str">
        <f aca="false">IF(AND(A458&lt;&gt;"",G458&lt;&gt;""),G458+ROW()/1000000,"")</f>
        <v/>
      </c>
    </row>
    <row r="459" customFormat="false" ht="15" hidden="false" customHeight="false" outlineLevel="0" collapsed="false">
      <c r="A459" s="12"/>
      <c r="B459" s="12"/>
      <c r="C459" s="13"/>
      <c r="D459" s="14"/>
      <c r="E459" s="15"/>
      <c r="F459" s="15"/>
      <c r="G459" s="14"/>
      <c r="H459" s="16" t="str">
        <f aca="false">IF(A459="","",IF(F459&lt;&gt;"","Bitti",IF(E459&lt;&gt;"","Okunuyor","Sırada")))</f>
        <v/>
      </c>
      <c r="I459" s="17" t="str">
        <f aca="false">IF(OR(E459="",F459=""),"",F459-E459+1)</f>
        <v/>
      </c>
      <c r="J459" s="18" t="str">
        <f aca="false">IF(OR(I459="",D459=""),"",D459/I459)</f>
        <v/>
      </c>
      <c r="K459" s="19" t="str">
        <f aca="false">IF(AND(A459&lt;&gt;"",G459&lt;&gt;""),G459+ROW()/1000000,"")</f>
        <v/>
      </c>
    </row>
    <row r="460" customFormat="false" ht="15" hidden="false" customHeight="false" outlineLevel="0" collapsed="false">
      <c r="A460" s="12"/>
      <c r="B460" s="12"/>
      <c r="C460" s="13"/>
      <c r="D460" s="14"/>
      <c r="E460" s="15"/>
      <c r="F460" s="15"/>
      <c r="G460" s="14"/>
      <c r="H460" s="16" t="str">
        <f aca="false">IF(A460="","",IF(F460&lt;&gt;"","Bitti",IF(E460&lt;&gt;"","Okunuyor","Sırada")))</f>
        <v/>
      </c>
      <c r="I460" s="17" t="str">
        <f aca="false">IF(OR(E460="",F460=""),"",F460-E460+1)</f>
        <v/>
      </c>
      <c r="J460" s="18" t="str">
        <f aca="false">IF(OR(I460="",D460=""),"",D460/I460)</f>
        <v/>
      </c>
      <c r="K460" s="19" t="str">
        <f aca="false">IF(AND(A460&lt;&gt;"",G460&lt;&gt;""),G460+ROW()/1000000,"")</f>
        <v/>
      </c>
    </row>
    <row r="461" customFormat="false" ht="15" hidden="false" customHeight="false" outlineLevel="0" collapsed="false">
      <c r="A461" s="12"/>
      <c r="B461" s="12"/>
      <c r="C461" s="13"/>
      <c r="D461" s="14"/>
      <c r="E461" s="15"/>
      <c r="F461" s="15"/>
      <c r="G461" s="14"/>
      <c r="H461" s="16" t="str">
        <f aca="false">IF(A461="","",IF(F461&lt;&gt;"","Bitti",IF(E461&lt;&gt;"","Okunuyor","Sırada")))</f>
        <v/>
      </c>
      <c r="I461" s="17" t="str">
        <f aca="false">IF(OR(E461="",F461=""),"",F461-E461+1)</f>
        <v/>
      </c>
      <c r="J461" s="18" t="str">
        <f aca="false">IF(OR(I461="",D461=""),"",D461/I461)</f>
        <v/>
      </c>
      <c r="K461" s="19" t="str">
        <f aca="false">IF(AND(A461&lt;&gt;"",G461&lt;&gt;""),G461+ROW()/1000000,"")</f>
        <v/>
      </c>
    </row>
    <row r="462" customFormat="false" ht="15" hidden="false" customHeight="false" outlineLevel="0" collapsed="false">
      <c r="A462" s="12"/>
      <c r="B462" s="12"/>
      <c r="C462" s="13"/>
      <c r="D462" s="14"/>
      <c r="E462" s="15"/>
      <c r="F462" s="15"/>
      <c r="G462" s="14"/>
      <c r="H462" s="16" t="str">
        <f aca="false">IF(A462="","",IF(F462&lt;&gt;"","Bitti",IF(E462&lt;&gt;"","Okunuyor","Sırada")))</f>
        <v/>
      </c>
      <c r="I462" s="17" t="str">
        <f aca="false">IF(OR(E462="",F462=""),"",F462-E462+1)</f>
        <v/>
      </c>
      <c r="J462" s="18" t="str">
        <f aca="false">IF(OR(I462="",D462=""),"",D462/I462)</f>
        <v/>
      </c>
      <c r="K462" s="19" t="str">
        <f aca="false">IF(AND(A462&lt;&gt;"",G462&lt;&gt;""),G462+ROW()/1000000,"")</f>
        <v/>
      </c>
    </row>
    <row r="463" customFormat="false" ht="15" hidden="false" customHeight="false" outlineLevel="0" collapsed="false">
      <c r="A463" s="12"/>
      <c r="B463" s="12"/>
      <c r="C463" s="13"/>
      <c r="D463" s="14"/>
      <c r="E463" s="15"/>
      <c r="F463" s="15"/>
      <c r="G463" s="14"/>
      <c r="H463" s="16" t="str">
        <f aca="false">IF(A463="","",IF(F463&lt;&gt;"","Bitti",IF(E463&lt;&gt;"","Okunuyor","Sırada")))</f>
        <v/>
      </c>
      <c r="I463" s="17" t="str">
        <f aca="false">IF(OR(E463="",F463=""),"",F463-E463+1)</f>
        <v/>
      </c>
      <c r="J463" s="18" t="str">
        <f aca="false">IF(OR(I463="",D463=""),"",D463/I463)</f>
        <v/>
      </c>
      <c r="K463" s="19" t="str">
        <f aca="false">IF(AND(A463&lt;&gt;"",G463&lt;&gt;""),G463+ROW()/1000000,"")</f>
        <v/>
      </c>
    </row>
    <row r="464" customFormat="false" ht="15" hidden="false" customHeight="false" outlineLevel="0" collapsed="false">
      <c r="A464" s="12"/>
      <c r="B464" s="12"/>
      <c r="C464" s="13"/>
      <c r="D464" s="14"/>
      <c r="E464" s="15"/>
      <c r="F464" s="15"/>
      <c r="G464" s="14"/>
      <c r="H464" s="16" t="str">
        <f aca="false">IF(A464="","",IF(F464&lt;&gt;"","Bitti",IF(E464&lt;&gt;"","Okunuyor","Sırada")))</f>
        <v/>
      </c>
      <c r="I464" s="17" t="str">
        <f aca="false">IF(OR(E464="",F464=""),"",F464-E464+1)</f>
        <v/>
      </c>
      <c r="J464" s="18" t="str">
        <f aca="false">IF(OR(I464="",D464=""),"",D464/I464)</f>
        <v/>
      </c>
      <c r="K464" s="19" t="str">
        <f aca="false">IF(AND(A464&lt;&gt;"",G464&lt;&gt;""),G464+ROW()/1000000,"")</f>
        <v/>
      </c>
    </row>
    <row r="465" customFormat="false" ht="15" hidden="false" customHeight="false" outlineLevel="0" collapsed="false">
      <c r="A465" s="12"/>
      <c r="B465" s="12"/>
      <c r="C465" s="13"/>
      <c r="D465" s="14"/>
      <c r="E465" s="15"/>
      <c r="F465" s="15"/>
      <c r="G465" s="14"/>
      <c r="H465" s="16" t="str">
        <f aca="false">IF(A465="","",IF(F465&lt;&gt;"","Bitti",IF(E465&lt;&gt;"","Okunuyor","Sırada")))</f>
        <v/>
      </c>
      <c r="I465" s="17" t="str">
        <f aca="false">IF(OR(E465="",F465=""),"",F465-E465+1)</f>
        <v/>
      </c>
      <c r="J465" s="18" t="str">
        <f aca="false">IF(OR(I465="",D465=""),"",D465/I465)</f>
        <v/>
      </c>
      <c r="K465" s="19" t="str">
        <f aca="false">IF(AND(A465&lt;&gt;"",G465&lt;&gt;""),G465+ROW()/1000000,"")</f>
        <v/>
      </c>
    </row>
    <row r="466" customFormat="false" ht="15" hidden="false" customHeight="false" outlineLevel="0" collapsed="false">
      <c r="A466" s="12"/>
      <c r="B466" s="12"/>
      <c r="C466" s="13"/>
      <c r="D466" s="14"/>
      <c r="E466" s="15"/>
      <c r="F466" s="15"/>
      <c r="G466" s="14"/>
      <c r="H466" s="16" t="str">
        <f aca="false">IF(A466="","",IF(F466&lt;&gt;"","Bitti",IF(E466&lt;&gt;"","Okunuyor","Sırada")))</f>
        <v/>
      </c>
      <c r="I466" s="17" t="str">
        <f aca="false">IF(OR(E466="",F466=""),"",F466-E466+1)</f>
        <v/>
      </c>
      <c r="J466" s="18" t="str">
        <f aca="false">IF(OR(I466="",D466=""),"",D466/I466)</f>
        <v/>
      </c>
      <c r="K466" s="19" t="str">
        <f aca="false">IF(AND(A466&lt;&gt;"",G466&lt;&gt;""),G466+ROW()/1000000,"")</f>
        <v/>
      </c>
    </row>
    <row r="467" customFormat="false" ht="15" hidden="false" customHeight="false" outlineLevel="0" collapsed="false">
      <c r="A467" s="12"/>
      <c r="B467" s="12"/>
      <c r="C467" s="13"/>
      <c r="D467" s="14"/>
      <c r="E467" s="15"/>
      <c r="F467" s="15"/>
      <c r="G467" s="14"/>
      <c r="H467" s="16" t="str">
        <f aca="false">IF(A467="","",IF(F467&lt;&gt;"","Bitti",IF(E467&lt;&gt;"","Okunuyor","Sırada")))</f>
        <v/>
      </c>
      <c r="I467" s="17" t="str">
        <f aca="false">IF(OR(E467="",F467=""),"",F467-E467+1)</f>
        <v/>
      </c>
      <c r="J467" s="18" t="str">
        <f aca="false">IF(OR(I467="",D467=""),"",D467/I467)</f>
        <v/>
      </c>
      <c r="K467" s="19" t="str">
        <f aca="false">IF(AND(A467&lt;&gt;"",G467&lt;&gt;""),G467+ROW()/1000000,"")</f>
        <v/>
      </c>
    </row>
    <row r="468" customFormat="false" ht="15" hidden="false" customHeight="false" outlineLevel="0" collapsed="false">
      <c r="A468" s="12"/>
      <c r="B468" s="12"/>
      <c r="C468" s="13"/>
      <c r="D468" s="14"/>
      <c r="E468" s="15"/>
      <c r="F468" s="15"/>
      <c r="G468" s="14"/>
      <c r="H468" s="16" t="str">
        <f aca="false">IF(A468="","",IF(F468&lt;&gt;"","Bitti",IF(E468&lt;&gt;"","Okunuyor","Sırada")))</f>
        <v/>
      </c>
      <c r="I468" s="17" t="str">
        <f aca="false">IF(OR(E468="",F468=""),"",F468-E468+1)</f>
        <v/>
      </c>
      <c r="J468" s="18" t="str">
        <f aca="false">IF(OR(I468="",D468=""),"",D468/I468)</f>
        <v/>
      </c>
      <c r="K468" s="19" t="str">
        <f aca="false">IF(AND(A468&lt;&gt;"",G468&lt;&gt;""),G468+ROW()/1000000,"")</f>
        <v/>
      </c>
    </row>
    <row r="469" customFormat="false" ht="15" hidden="false" customHeight="false" outlineLevel="0" collapsed="false">
      <c r="A469" s="12"/>
      <c r="B469" s="12"/>
      <c r="C469" s="13"/>
      <c r="D469" s="14"/>
      <c r="E469" s="15"/>
      <c r="F469" s="15"/>
      <c r="G469" s="14"/>
      <c r="H469" s="16" t="str">
        <f aca="false">IF(A469="","",IF(F469&lt;&gt;"","Bitti",IF(E469&lt;&gt;"","Okunuyor","Sırada")))</f>
        <v/>
      </c>
      <c r="I469" s="17" t="str">
        <f aca="false">IF(OR(E469="",F469=""),"",F469-E469+1)</f>
        <v/>
      </c>
      <c r="J469" s="18" t="str">
        <f aca="false">IF(OR(I469="",D469=""),"",D469/I469)</f>
        <v/>
      </c>
      <c r="K469" s="19" t="str">
        <f aca="false">IF(AND(A469&lt;&gt;"",G469&lt;&gt;""),G469+ROW()/1000000,"")</f>
        <v/>
      </c>
    </row>
    <row r="470" customFormat="false" ht="15" hidden="false" customHeight="false" outlineLevel="0" collapsed="false">
      <c r="A470" s="12"/>
      <c r="B470" s="12"/>
      <c r="C470" s="13"/>
      <c r="D470" s="14"/>
      <c r="E470" s="15"/>
      <c r="F470" s="15"/>
      <c r="G470" s="14"/>
      <c r="H470" s="16" t="str">
        <f aca="false">IF(A470="","",IF(F470&lt;&gt;"","Bitti",IF(E470&lt;&gt;"","Okunuyor","Sırada")))</f>
        <v/>
      </c>
      <c r="I470" s="17" t="str">
        <f aca="false">IF(OR(E470="",F470=""),"",F470-E470+1)</f>
        <v/>
      </c>
      <c r="J470" s="18" t="str">
        <f aca="false">IF(OR(I470="",D470=""),"",D470/I470)</f>
        <v/>
      </c>
      <c r="K470" s="19" t="str">
        <f aca="false">IF(AND(A470&lt;&gt;"",G470&lt;&gt;""),G470+ROW()/1000000,"")</f>
        <v/>
      </c>
    </row>
    <row r="471" customFormat="false" ht="15" hidden="false" customHeight="false" outlineLevel="0" collapsed="false">
      <c r="A471" s="12"/>
      <c r="B471" s="12"/>
      <c r="C471" s="13"/>
      <c r="D471" s="14"/>
      <c r="E471" s="15"/>
      <c r="F471" s="15"/>
      <c r="G471" s="14"/>
      <c r="H471" s="16" t="str">
        <f aca="false">IF(A471="","",IF(F471&lt;&gt;"","Bitti",IF(E471&lt;&gt;"","Okunuyor","Sırada")))</f>
        <v/>
      </c>
      <c r="I471" s="17" t="str">
        <f aca="false">IF(OR(E471="",F471=""),"",F471-E471+1)</f>
        <v/>
      </c>
      <c r="J471" s="18" t="str">
        <f aca="false">IF(OR(I471="",D471=""),"",D471/I471)</f>
        <v/>
      </c>
      <c r="K471" s="19" t="str">
        <f aca="false">IF(AND(A471&lt;&gt;"",G471&lt;&gt;""),G471+ROW()/1000000,"")</f>
        <v/>
      </c>
    </row>
    <row r="472" customFormat="false" ht="15" hidden="false" customHeight="false" outlineLevel="0" collapsed="false">
      <c r="A472" s="12"/>
      <c r="B472" s="12"/>
      <c r="C472" s="13"/>
      <c r="D472" s="14"/>
      <c r="E472" s="15"/>
      <c r="F472" s="15"/>
      <c r="G472" s="14"/>
      <c r="H472" s="16" t="str">
        <f aca="false">IF(A472="","",IF(F472&lt;&gt;"","Bitti",IF(E472&lt;&gt;"","Okunuyor","Sırada")))</f>
        <v/>
      </c>
      <c r="I472" s="17" t="str">
        <f aca="false">IF(OR(E472="",F472=""),"",F472-E472+1)</f>
        <v/>
      </c>
      <c r="J472" s="18" t="str">
        <f aca="false">IF(OR(I472="",D472=""),"",D472/I472)</f>
        <v/>
      </c>
      <c r="K472" s="19" t="str">
        <f aca="false">IF(AND(A472&lt;&gt;"",G472&lt;&gt;""),G472+ROW()/1000000,"")</f>
        <v/>
      </c>
    </row>
    <row r="473" customFormat="false" ht="15" hidden="false" customHeight="false" outlineLevel="0" collapsed="false">
      <c r="A473" s="12"/>
      <c r="B473" s="12"/>
      <c r="C473" s="13"/>
      <c r="D473" s="14"/>
      <c r="E473" s="15"/>
      <c r="F473" s="15"/>
      <c r="G473" s="14"/>
      <c r="H473" s="16" t="str">
        <f aca="false">IF(A473="","",IF(F473&lt;&gt;"","Bitti",IF(E473&lt;&gt;"","Okunuyor","Sırada")))</f>
        <v/>
      </c>
      <c r="I473" s="17" t="str">
        <f aca="false">IF(OR(E473="",F473=""),"",F473-E473+1)</f>
        <v/>
      </c>
      <c r="J473" s="18" t="str">
        <f aca="false">IF(OR(I473="",D473=""),"",D473/I473)</f>
        <v/>
      </c>
      <c r="K473" s="19" t="str">
        <f aca="false">IF(AND(A473&lt;&gt;"",G473&lt;&gt;""),G473+ROW()/1000000,"")</f>
        <v/>
      </c>
    </row>
    <row r="474" customFormat="false" ht="15" hidden="false" customHeight="false" outlineLevel="0" collapsed="false">
      <c r="A474" s="12"/>
      <c r="B474" s="12"/>
      <c r="C474" s="13"/>
      <c r="D474" s="14"/>
      <c r="E474" s="15"/>
      <c r="F474" s="15"/>
      <c r="G474" s="14"/>
      <c r="H474" s="16" t="str">
        <f aca="false">IF(A474="","",IF(F474&lt;&gt;"","Bitti",IF(E474&lt;&gt;"","Okunuyor","Sırada")))</f>
        <v/>
      </c>
      <c r="I474" s="17" t="str">
        <f aca="false">IF(OR(E474="",F474=""),"",F474-E474+1)</f>
        <v/>
      </c>
      <c r="J474" s="18" t="str">
        <f aca="false">IF(OR(I474="",D474=""),"",D474/I474)</f>
        <v/>
      </c>
      <c r="K474" s="19" t="str">
        <f aca="false">IF(AND(A474&lt;&gt;"",G474&lt;&gt;""),G474+ROW()/1000000,"")</f>
        <v/>
      </c>
    </row>
    <row r="475" customFormat="false" ht="15" hidden="false" customHeight="false" outlineLevel="0" collapsed="false">
      <c r="A475" s="12"/>
      <c r="B475" s="12"/>
      <c r="C475" s="13"/>
      <c r="D475" s="14"/>
      <c r="E475" s="15"/>
      <c r="F475" s="15"/>
      <c r="G475" s="14"/>
      <c r="H475" s="16" t="str">
        <f aca="false">IF(A475="","",IF(F475&lt;&gt;"","Bitti",IF(E475&lt;&gt;"","Okunuyor","Sırada")))</f>
        <v/>
      </c>
      <c r="I475" s="17" t="str">
        <f aca="false">IF(OR(E475="",F475=""),"",F475-E475+1)</f>
        <v/>
      </c>
      <c r="J475" s="18" t="str">
        <f aca="false">IF(OR(I475="",D475=""),"",D475/I475)</f>
        <v/>
      </c>
      <c r="K475" s="19" t="str">
        <f aca="false">IF(AND(A475&lt;&gt;"",G475&lt;&gt;""),G475+ROW()/1000000,"")</f>
        <v/>
      </c>
    </row>
    <row r="476" customFormat="false" ht="15" hidden="false" customHeight="false" outlineLevel="0" collapsed="false">
      <c r="A476" s="12"/>
      <c r="B476" s="12"/>
      <c r="C476" s="13"/>
      <c r="D476" s="14"/>
      <c r="E476" s="15"/>
      <c r="F476" s="15"/>
      <c r="G476" s="14"/>
      <c r="H476" s="16" t="str">
        <f aca="false">IF(A476="","",IF(F476&lt;&gt;"","Bitti",IF(E476&lt;&gt;"","Okunuyor","Sırada")))</f>
        <v/>
      </c>
      <c r="I476" s="17" t="str">
        <f aca="false">IF(OR(E476="",F476=""),"",F476-E476+1)</f>
        <v/>
      </c>
      <c r="J476" s="18" t="str">
        <f aca="false">IF(OR(I476="",D476=""),"",D476/I476)</f>
        <v/>
      </c>
      <c r="K476" s="19" t="str">
        <f aca="false">IF(AND(A476&lt;&gt;"",G476&lt;&gt;""),G476+ROW()/1000000,"")</f>
        <v/>
      </c>
    </row>
    <row r="477" customFormat="false" ht="15" hidden="false" customHeight="false" outlineLevel="0" collapsed="false">
      <c r="A477" s="12"/>
      <c r="B477" s="12"/>
      <c r="C477" s="13"/>
      <c r="D477" s="14"/>
      <c r="E477" s="15"/>
      <c r="F477" s="15"/>
      <c r="G477" s="14"/>
      <c r="H477" s="16" t="str">
        <f aca="false">IF(A477="","",IF(F477&lt;&gt;"","Bitti",IF(E477&lt;&gt;"","Okunuyor","Sırada")))</f>
        <v/>
      </c>
      <c r="I477" s="17" t="str">
        <f aca="false">IF(OR(E477="",F477=""),"",F477-E477+1)</f>
        <v/>
      </c>
      <c r="J477" s="18" t="str">
        <f aca="false">IF(OR(I477="",D477=""),"",D477/I477)</f>
        <v/>
      </c>
      <c r="K477" s="19" t="str">
        <f aca="false">IF(AND(A477&lt;&gt;"",G477&lt;&gt;""),G477+ROW()/1000000,"")</f>
        <v/>
      </c>
    </row>
    <row r="478" customFormat="false" ht="15" hidden="false" customHeight="false" outlineLevel="0" collapsed="false">
      <c r="A478" s="12"/>
      <c r="B478" s="12"/>
      <c r="C478" s="13"/>
      <c r="D478" s="14"/>
      <c r="E478" s="15"/>
      <c r="F478" s="15"/>
      <c r="G478" s="14"/>
      <c r="H478" s="16" t="str">
        <f aca="false">IF(A478="","",IF(F478&lt;&gt;"","Bitti",IF(E478&lt;&gt;"","Okunuyor","Sırada")))</f>
        <v/>
      </c>
      <c r="I478" s="17" t="str">
        <f aca="false">IF(OR(E478="",F478=""),"",F478-E478+1)</f>
        <v/>
      </c>
      <c r="J478" s="18" t="str">
        <f aca="false">IF(OR(I478="",D478=""),"",D478/I478)</f>
        <v/>
      </c>
      <c r="K478" s="19" t="str">
        <f aca="false">IF(AND(A478&lt;&gt;"",G478&lt;&gt;""),G478+ROW()/1000000,"")</f>
        <v/>
      </c>
    </row>
    <row r="479" customFormat="false" ht="15" hidden="false" customHeight="false" outlineLevel="0" collapsed="false">
      <c r="A479" s="12"/>
      <c r="B479" s="12"/>
      <c r="C479" s="13"/>
      <c r="D479" s="14"/>
      <c r="E479" s="15"/>
      <c r="F479" s="15"/>
      <c r="G479" s="14"/>
      <c r="H479" s="16" t="str">
        <f aca="false">IF(A479="","",IF(F479&lt;&gt;"","Bitti",IF(E479&lt;&gt;"","Okunuyor","Sırada")))</f>
        <v/>
      </c>
      <c r="I479" s="17" t="str">
        <f aca="false">IF(OR(E479="",F479=""),"",F479-E479+1)</f>
        <v/>
      </c>
      <c r="J479" s="18" t="str">
        <f aca="false">IF(OR(I479="",D479=""),"",D479/I479)</f>
        <v/>
      </c>
      <c r="K479" s="19" t="str">
        <f aca="false">IF(AND(A479&lt;&gt;"",G479&lt;&gt;""),G479+ROW()/1000000,"")</f>
        <v/>
      </c>
    </row>
    <row r="480" customFormat="false" ht="15" hidden="false" customHeight="false" outlineLevel="0" collapsed="false">
      <c r="A480" s="12"/>
      <c r="B480" s="12"/>
      <c r="C480" s="13"/>
      <c r="D480" s="14"/>
      <c r="E480" s="15"/>
      <c r="F480" s="15"/>
      <c r="G480" s="14"/>
      <c r="H480" s="16" t="str">
        <f aca="false">IF(A480="","",IF(F480&lt;&gt;"","Bitti",IF(E480&lt;&gt;"","Okunuyor","Sırada")))</f>
        <v/>
      </c>
      <c r="I480" s="17" t="str">
        <f aca="false">IF(OR(E480="",F480=""),"",F480-E480+1)</f>
        <v/>
      </c>
      <c r="J480" s="18" t="str">
        <f aca="false">IF(OR(I480="",D480=""),"",D480/I480)</f>
        <v/>
      </c>
      <c r="K480" s="19" t="str">
        <f aca="false">IF(AND(A480&lt;&gt;"",G480&lt;&gt;""),G480+ROW()/1000000,"")</f>
        <v/>
      </c>
    </row>
    <row r="481" customFormat="false" ht="15" hidden="false" customHeight="false" outlineLevel="0" collapsed="false">
      <c r="A481" s="12"/>
      <c r="B481" s="12"/>
      <c r="C481" s="13"/>
      <c r="D481" s="14"/>
      <c r="E481" s="15"/>
      <c r="F481" s="15"/>
      <c r="G481" s="14"/>
      <c r="H481" s="16" t="str">
        <f aca="false">IF(A481="","",IF(F481&lt;&gt;"","Bitti",IF(E481&lt;&gt;"","Okunuyor","Sırada")))</f>
        <v/>
      </c>
      <c r="I481" s="17" t="str">
        <f aca="false">IF(OR(E481="",F481=""),"",F481-E481+1)</f>
        <v/>
      </c>
      <c r="J481" s="18" t="str">
        <f aca="false">IF(OR(I481="",D481=""),"",D481/I481)</f>
        <v/>
      </c>
      <c r="K481" s="19" t="str">
        <f aca="false">IF(AND(A481&lt;&gt;"",G481&lt;&gt;""),G481+ROW()/1000000,"")</f>
        <v/>
      </c>
    </row>
    <row r="482" customFormat="false" ht="15" hidden="false" customHeight="false" outlineLevel="0" collapsed="false">
      <c r="A482" s="12"/>
      <c r="B482" s="12"/>
      <c r="C482" s="13"/>
      <c r="D482" s="14"/>
      <c r="E482" s="15"/>
      <c r="F482" s="15"/>
      <c r="G482" s="14"/>
      <c r="H482" s="16" t="str">
        <f aca="false">IF(A482="","",IF(F482&lt;&gt;"","Bitti",IF(E482&lt;&gt;"","Okunuyor","Sırada")))</f>
        <v/>
      </c>
      <c r="I482" s="17" t="str">
        <f aca="false">IF(OR(E482="",F482=""),"",F482-E482+1)</f>
        <v/>
      </c>
      <c r="J482" s="18" t="str">
        <f aca="false">IF(OR(I482="",D482=""),"",D482/I482)</f>
        <v/>
      </c>
      <c r="K482" s="19" t="str">
        <f aca="false">IF(AND(A482&lt;&gt;"",G482&lt;&gt;""),G482+ROW()/1000000,"")</f>
        <v/>
      </c>
    </row>
    <row r="483" customFormat="false" ht="15" hidden="false" customHeight="false" outlineLevel="0" collapsed="false">
      <c r="A483" s="12"/>
      <c r="B483" s="12"/>
      <c r="C483" s="13"/>
      <c r="D483" s="14"/>
      <c r="E483" s="15"/>
      <c r="F483" s="15"/>
      <c r="G483" s="14"/>
      <c r="H483" s="16" t="str">
        <f aca="false">IF(A483="","",IF(F483&lt;&gt;"","Bitti",IF(E483&lt;&gt;"","Okunuyor","Sırada")))</f>
        <v/>
      </c>
      <c r="I483" s="17" t="str">
        <f aca="false">IF(OR(E483="",F483=""),"",F483-E483+1)</f>
        <v/>
      </c>
      <c r="J483" s="18" t="str">
        <f aca="false">IF(OR(I483="",D483=""),"",D483/I483)</f>
        <v/>
      </c>
      <c r="K483" s="19" t="str">
        <f aca="false">IF(AND(A483&lt;&gt;"",G483&lt;&gt;""),G483+ROW()/1000000,"")</f>
        <v/>
      </c>
    </row>
    <row r="484" customFormat="false" ht="15" hidden="false" customHeight="false" outlineLevel="0" collapsed="false">
      <c r="A484" s="12"/>
      <c r="B484" s="12"/>
      <c r="C484" s="13"/>
      <c r="D484" s="14"/>
      <c r="E484" s="15"/>
      <c r="F484" s="15"/>
      <c r="G484" s="14"/>
      <c r="H484" s="16" t="str">
        <f aca="false">IF(A484="","",IF(F484&lt;&gt;"","Bitti",IF(E484&lt;&gt;"","Okunuyor","Sırada")))</f>
        <v/>
      </c>
      <c r="I484" s="17" t="str">
        <f aca="false">IF(OR(E484="",F484=""),"",F484-E484+1)</f>
        <v/>
      </c>
      <c r="J484" s="18" t="str">
        <f aca="false">IF(OR(I484="",D484=""),"",D484/I484)</f>
        <v/>
      </c>
      <c r="K484" s="19" t="str">
        <f aca="false">IF(AND(A484&lt;&gt;"",G484&lt;&gt;""),G484+ROW()/1000000,"")</f>
        <v/>
      </c>
    </row>
    <row r="485" customFormat="false" ht="15" hidden="false" customHeight="false" outlineLevel="0" collapsed="false">
      <c r="A485" s="12"/>
      <c r="B485" s="12"/>
      <c r="C485" s="13"/>
      <c r="D485" s="14"/>
      <c r="E485" s="15"/>
      <c r="F485" s="15"/>
      <c r="G485" s="14"/>
      <c r="H485" s="16" t="str">
        <f aca="false">IF(A485="","",IF(F485&lt;&gt;"","Bitti",IF(E485&lt;&gt;"","Okunuyor","Sırada")))</f>
        <v/>
      </c>
      <c r="I485" s="17" t="str">
        <f aca="false">IF(OR(E485="",F485=""),"",F485-E485+1)</f>
        <v/>
      </c>
      <c r="J485" s="18" t="str">
        <f aca="false">IF(OR(I485="",D485=""),"",D485/I485)</f>
        <v/>
      </c>
      <c r="K485" s="19" t="str">
        <f aca="false">IF(AND(A485&lt;&gt;"",G485&lt;&gt;""),G485+ROW()/1000000,"")</f>
        <v/>
      </c>
    </row>
    <row r="486" customFormat="false" ht="15" hidden="false" customHeight="false" outlineLevel="0" collapsed="false">
      <c r="A486" s="12"/>
      <c r="B486" s="12"/>
      <c r="C486" s="13"/>
      <c r="D486" s="14"/>
      <c r="E486" s="15"/>
      <c r="F486" s="15"/>
      <c r="G486" s="14"/>
      <c r="H486" s="16" t="str">
        <f aca="false">IF(A486="","",IF(F486&lt;&gt;"","Bitti",IF(E486&lt;&gt;"","Okunuyor","Sırada")))</f>
        <v/>
      </c>
      <c r="I486" s="17" t="str">
        <f aca="false">IF(OR(E486="",F486=""),"",F486-E486+1)</f>
        <v/>
      </c>
      <c r="J486" s="18" t="str">
        <f aca="false">IF(OR(I486="",D486=""),"",D486/I486)</f>
        <v/>
      </c>
      <c r="K486" s="19" t="str">
        <f aca="false">IF(AND(A486&lt;&gt;"",G486&lt;&gt;""),G486+ROW()/1000000,"")</f>
        <v/>
      </c>
    </row>
    <row r="487" customFormat="false" ht="15" hidden="false" customHeight="false" outlineLevel="0" collapsed="false">
      <c r="A487" s="12"/>
      <c r="B487" s="12"/>
      <c r="C487" s="13"/>
      <c r="D487" s="14"/>
      <c r="E487" s="15"/>
      <c r="F487" s="15"/>
      <c r="G487" s="14"/>
      <c r="H487" s="16" t="str">
        <f aca="false">IF(A487="","",IF(F487&lt;&gt;"","Bitti",IF(E487&lt;&gt;"","Okunuyor","Sırada")))</f>
        <v/>
      </c>
      <c r="I487" s="17" t="str">
        <f aca="false">IF(OR(E487="",F487=""),"",F487-E487+1)</f>
        <v/>
      </c>
      <c r="J487" s="18" t="str">
        <f aca="false">IF(OR(I487="",D487=""),"",D487/I487)</f>
        <v/>
      </c>
      <c r="K487" s="19" t="str">
        <f aca="false">IF(AND(A487&lt;&gt;"",G487&lt;&gt;""),G487+ROW()/1000000,"")</f>
        <v/>
      </c>
    </row>
    <row r="488" customFormat="false" ht="15" hidden="false" customHeight="false" outlineLevel="0" collapsed="false">
      <c r="A488" s="12"/>
      <c r="B488" s="12"/>
      <c r="C488" s="13"/>
      <c r="D488" s="14"/>
      <c r="E488" s="15"/>
      <c r="F488" s="15"/>
      <c r="G488" s="14"/>
      <c r="H488" s="16" t="str">
        <f aca="false">IF(A488="","",IF(F488&lt;&gt;"","Bitti",IF(E488&lt;&gt;"","Okunuyor","Sırada")))</f>
        <v/>
      </c>
      <c r="I488" s="17" t="str">
        <f aca="false">IF(OR(E488="",F488=""),"",F488-E488+1)</f>
        <v/>
      </c>
      <c r="J488" s="18" t="str">
        <f aca="false">IF(OR(I488="",D488=""),"",D488/I488)</f>
        <v/>
      </c>
      <c r="K488" s="19" t="str">
        <f aca="false">IF(AND(A488&lt;&gt;"",G488&lt;&gt;""),G488+ROW()/1000000,"")</f>
        <v/>
      </c>
    </row>
    <row r="489" customFormat="false" ht="15" hidden="false" customHeight="false" outlineLevel="0" collapsed="false">
      <c r="A489" s="12"/>
      <c r="B489" s="12"/>
      <c r="C489" s="13"/>
      <c r="D489" s="14"/>
      <c r="E489" s="15"/>
      <c r="F489" s="15"/>
      <c r="G489" s="14"/>
      <c r="H489" s="16" t="str">
        <f aca="false">IF(A489="","",IF(F489&lt;&gt;"","Bitti",IF(E489&lt;&gt;"","Okunuyor","Sırada")))</f>
        <v/>
      </c>
      <c r="I489" s="17" t="str">
        <f aca="false">IF(OR(E489="",F489=""),"",F489-E489+1)</f>
        <v/>
      </c>
      <c r="J489" s="18" t="str">
        <f aca="false">IF(OR(I489="",D489=""),"",D489/I489)</f>
        <v/>
      </c>
      <c r="K489" s="19" t="str">
        <f aca="false">IF(AND(A489&lt;&gt;"",G489&lt;&gt;""),G489+ROW()/1000000,"")</f>
        <v/>
      </c>
    </row>
    <row r="490" customFormat="false" ht="15" hidden="false" customHeight="false" outlineLevel="0" collapsed="false">
      <c r="A490" s="12"/>
      <c r="B490" s="12"/>
      <c r="C490" s="13"/>
      <c r="D490" s="14"/>
      <c r="E490" s="15"/>
      <c r="F490" s="15"/>
      <c r="G490" s="14"/>
      <c r="H490" s="16" t="str">
        <f aca="false">IF(A490="","",IF(F490&lt;&gt;"","Bitti",IF(E490&lt;&gt;"","Okunuyor","Sırada")))</f>
        <v/>
      </c>
      <c r="I490" s="17" t="str">
        <f aca="false">IF(OR(E490="",F490=""),"",F490-E490+1)</f>
        <v/>
      </c>
      <c r="J490" s="18" t="str">
        <f aca="false">IF(OR(I490="",D490=""),"",D490/I490)</f>
        <v/>
      </c>
      <c r="K490" s="19" t="str">
        <f aca="false">IF(AND(A490&lt;&gt;"",G490&lt;&gt;""),G490+ROW()/1000000,"")</f>
        <v/>
      </c>
    </row>
    <row r="491" customFormat="false" ht="15" hidden="false" customHeight="false" outlineLevel="0" collapsed="false">
      <c r="A491" s="12"/>
      <c r="B491" s="12"/>
      <c r="C491" s="13"/>
      <c r="D491" s="14"/>
      <c r="E491" s="15"/>
      <c r="F491" s="15"/>
      <c r="G491" s="14"/>
      <c r="H491" s="16" t="str">
        <f aca="false">IF(A491="","",IF(F491&lt;&gt;"","Bitti",IF(E491&lt;&gt;"","Okunuyor","Sırada")))</f>
        <v/>
      </c>
      <c r="I491" s="17" t="str">
        <f aca="false">IF(OR(E491="",F491=""),"",F491-E491+1)</f>
        <v/>
      </c>
      <c r="J491" s="18" t="str">
        <f aca="false">IF(OR(I491="",D491=""),"",D491/I491)</f>
        <v/>
      </c>
      <c r="K491" s="19" t="str">
        <f aca="false">IF(AND(A491&lt;&gt;"",G491&lt;&gt;""),G491+ROW()/1000000,"")</f>
        <v/>
      </c>
    </row>
    <row r="492" customFormat="false" ht="15" hidden="false" customHeight="false" outlineLevel="0" collapsed="false">
      <c r="A492" s="12"/>
      <c r="B492" s="12"/>
      <c r="C492" s="13"/>
      <c r="D492" s="14"/>
      <c r="E492" s="15"/>
      <c r="F492" s="15"/>
      <c r="G492" s="14"/>
      <c r="H492" s="16" t="str">
        <f aca="false">IF(A492="","",IF(F492&lt;&gt;"","Bitti",IF(E492&lt;&gt;"","Okunuyor","Sırada")))</f>
        <v/>
      </c>
      <c r="I492" s="17" t="str">
        <f aca="false">IF(OR(E492="",F492=""),"",F492-E492+1)</f>
        <v/>
      </c>
      <c r="J492" s="18" t="str">
        <f aca="false">IF(OR(I492="",D492=""),"",D492/I492)</f>
        <v/>
      </c>
      <c r="K492" s="19" t="str">
        <f aca="false">IF(AND(A492&lt;&gt;"",G492&lt;&gt;""),G492+ROW()/1000000,"")</f>
        <v/>
      </c>
    </row>
    <row r="493" customFormat="false" ht="15" hidden="false" customHeight="false" outlineLevel="0" collapsed="false">
      <c r="A493" s="12"/>
      <c r="B493" s="12"/>
      <c r="C493" s="13"/>
      <c r="D493" s="14"/>
      <c r="E493" s="15"/>
      <c r="F493" s="15"/>
      <c r="G493" s="14"/>
      <c r="H493" s="16" t="str">
        <f aca="false">IF(A493="","",IF(F493&lt;&gt;"","Bitti",IF(E493&lt;&gt;"","Okunuyor","Sırada")))</f>
        <v/>
      </c>
      <c r="I493" s="17" t="str">
        <f aca="false">IF(OR(E493="",F493=""),"",F493-E493+1)</f>
        <v/>
      </c>
      <c r="J493" s="18" t="str">
        <f aca="false">IF(OR(I493="",D493=""),"",D493/I493)</f>
        <v/>
      </c>
      <c r="K493" s="19" t="str">
        <f aca="false">IF(AND(A493&lt;&gt;"",G493&lt;&gt;""),G493+ROW()/1000000,"")</f>
        <v/>
      </c>
    </row>
    <row r="494" customFormat="false" ht="15" hidden="false" customHeight="false" outlineLevel="0" collapsed="false">
      <c r="A494" s="12"/>
      <c r="B494" s="12"/>
      <c r="C494" s="13"/>
      <c r="D494" s="14"/>
      <c r="E494" s="15"/>
      <c r="F494" s="15"/>
      <c r="G494" s="14"/>
      <c r="H494" s="16" t="str">
        <f aca="false">IF(A494="","",IF(F494&lt;&gt;"","Bitti",IF(E494&lt;&gt;"","Okunuyor","Sırada")))</f>
        <v/>
      </c>
      <c r="I494" s="17" t="str">
        <f aca="false">IF(OR(E494="",F494=""),"",F494-E494+1)</f>
        <v/>
      </c>
      <c r="J494" s="18" t="str">
        <f aca="false">IF(OR(I494="",D494=""),"",D494/I494)</f>
        <v/>
      </c>
      <c r="K494" s="19" t="str">
        <f aca="false">IF(AND(A494&lt;&gt;"",G494&lt;&gt;""),G494+ROW()/1000000,"")</f>
        <v/>
      </c>
    </row>
    <row r="495" customFormat="false" ht="15" hidden="false" customHeight="false" outlineLevel="0" collapsed="false">
      <c r="A495" s="12"/>
      <c r="B495" s="12"/>
      <c r="C495" s="13"/>
      <c r="D495" s="14"/>
      <c r="E495" s="15"/>
      <c r="F495" s="15"/>
      <c r="G495" s="14"/>
      <c r="H495" s="16" t="str">
        <f aca="false">IF(A495="","",IF(F495&lt;&gt;"","Bitti",IF(E495&lt;&gt;"","Okunuyor","Sırada")))</f>
        <v/>
      </c>
      <c r="I495" s="17" t="str">
        <f aca="false">IF(OR(E495="",F495=""),"",F495-E495+1)</f>
        <v/>
      </c>
      <c r="J495" s="18" t="str">
        <f aca="false">IF(OR(I495="",D495=""),"",D495/I495)</f>
        <v/>
      </c>
      <c r="K495" s="19" t="str">
        <f aca="false">IF(AND(A495&lt;&gt;"",G495&lt;&gt;""),G495+ROW()/1000000,"")</f>
        <v/>
      </c>
    </row>
    <row r="496" customFormat="false" ht="15" hidden="false" customHeight="false" outlineLevel="0" collapsed="false">
      <c r="A496" s="12"/>
      <c r="B496" s="12"/>
      <c r="C496" s="13"/>
      <c r="D496" s="14"/>
      <c r="E496" s="15"/>
      <c r="F496" s="15"/>
      <c r="G496" s="14"/>
      <c r="H496" s="16" t="str">
        <f aca="false">IF(A496="","",IF(F496&lt;&gt;"","Bitti",IF(E496&lt;&gt;"","Okunuyor","Sırada")))</f>
        <v/>
      </c>
      <c r="I496" s="17" t="str">
        <f aca="false">IF(OR(E496="",F496=""),"",F496-E496+1)</f>
        <v/>
      </c>
      <c r="J496" s="18" t="str">
        <f aca="false">IF(OR(I496="",D496=""),"",D496/I496)</f>
        <v/>
      </c>
      <c r="K496" s="19" t="str">
        <f aca="false">IF(AND(A496&lt;&gt;"",G496&lt;&gt;""),G496+ROW()/1000000,"")</f>
        <v/>
      </c>
    </row>
    <row r="497" customFormat="false" ht="15" hidden="false" customHeight="false" outlineLevel="0" collapsed="false">
      <c r="A497" s="12"/>
      <c r="B497" s="12"/>
      <c r="C497" s="13"/>
      <c r="D497" s="14"/>
      <c r="E497" s="15"/>
      <c r="F497" s="15"/>
      <c r="G497" s="14"/>
      <c r="H497" s="16" t="str">
        <f aca="false">IF(A497="","",IF(F497&lt;&gt;"","Bitti",IF(E497&lt;&gt;"","Okunuyor","Sırada")))</f>
        <v/>
      </c>
      <c r="I497" s="17" t="str">
        <f aca="false">IF(OR(E497="",F497=""),"",F497-E497+1)</f>
        <v/>
      </c>
      <c r="J497" s="18" t="str">
        <f aca="false">IF(OR(I497="",D497=""),"",D497/I497)</f>
        <v/>
      </c>
      <c r="K497" s="19" t="str">
        <f aca="false">IF(AND(A497&lt;&gt;"",G497&lt;&gt;""),G497+ROW()/1000000,"")</f>
        <v/>
      </c>
    </row>
    <row r="498" customFormat="false" ht="15" hidden="false" customHeight="false" outlineLevel="0" collapsed="false">
      <c r="A498" s="12"/>
      <c r="B498" s="12"/>
      <c r="C498" s="13"/>
      <c r="D498" s="14"/>
      <c r="E498" s="15"/>
      <c r="F498" s="15"/>
      <c r="G498" s="14"/>
      <c r="H498" s="16" t="str">
        <f aca="false">IF(A498="","",IF(F498&lt;&gt;"","Bitti",IF(E498&lt;&gt;"","Okunuyor","Sırada")))</f>
        <v/>
      </c>
      <c r="I498" s="17" t="str">
        <f aca="false">IF(OR(E498="",F498=""),"",F498-E498+1)</f>
        <v/>
      </c>
      <c r="J498" s="18" t="str">
        <f aca="false">IF(OR(I498="",D498=""),"",D498/I498)</f>
        <v/>
      </c>
      <c r="K498" s="19" t="str">
        <f aca="false">IF(AND(A498&lt;&gt;"",G498&lt;&gt;""),G498+ROW()/1000000,"")</f>
        <v/>
      </c>
    </row>
    <row r="499" customFormat="false" ht="15" hidden="false" customHeight="false" outlineLevel="0" collapsed="false">
      <c r="A499" s="12"/>
      <c r="B499" s="12"/>
      <c r="C499" s="13"/>
      <c r="D499" s="14"/>
      <c r="E499" s="15"/>
      <c r="F499" s="15"/>
      <c r="G499" s="14"/>
      <c r="H499" s="16" t="str">
        <f aca="false">IF(A499="","",IF(F499&lt;&gt;"","Bitti",IF(E499&lt;&gt;"","Okunuyor","Sırada")))</f>
        <v/>
      </c>
      <c r="I499" s="17" t="str">
        <f aca="false">IF(OR(E499="",F499=""),"",F499-E499+1)</f>
        <v/>
      </c>
      <c r="J499" s="18" t="str">
        <f aca="false">IF(OR(I499="",D499=""),"",D499/I499)</f>
        <v/>
      </c>
      <c r="K499" s="19" t="str">
        <f aca="false">IF(AND(A499&lt;&gt;"",G499&lt;&gt;""),G499+ROW()/1000000,"")</f>
        <v/>
      </c>
    </row>
    <row r="500" customFormat="false" ht="15" hidden="false" customHeight="false" outlineLevel="0" collapsed="false">
      <c r="A500" s="12"/>
      <c r="B500" s="12"/>
      <c r="C500" s="13"/>
      <c r="D500" s="14"/>
      <c r="E500" s="15"/>
      <c r="F500" s="15"/>
      <c r="G500" s="14"/>
      <c r="H500" s="16" t="str">
        <f aca="false">IF(A500="","",IF(F500&lt;&gt;"","Bitti",IF(E500&lt;&gt;"","Okunuyor","Sırada")))</f>
        <v/>
      </c>
      <c r="I500" s="17" t="str">
        <f aca="false">IF(OR(E500="",F500=""),"",F500-E500+1)</f>
        <v/>
      </c>
      <c r="J500" s="18" t="str">
        <f aca="false">IF(OR(I500="",D500=""),"",D500/I500)</f>
        <v/>
      </c>
      <c r="K500" s="19" t="str">
        <f aca="false">IF(AND(A500&lt;&gt;"",G500&lt;&gt;""),G500+ROW()/1000000,"")</f>
        <v/>
      </c>
    </row>
    <row r="501" customFormat="false" ht="15" hidden="false" customHeight="false" outlineLevel="0" collapsed="false">
      <c r="A501" s="12"/>
      <c r="B501" s="12"/>
      <c r="C501" s="13"/>
      <c r="D501" s="14"/>
      <c r="E501" s="15"/>
      <c r="F501" s="15"/>
      <c r="G501" s="14"/>
      <c r="H501" s="16" t="str">
        <f aca="false">IF(A501="","",IF(F501&lt;&gt;"","Bitti",IF(E501&lt;&gt;"","Okunuyor","Sırada")))</f>
        <v/>
      </c>
      <c r="I501" s="17" t="str">
        <f aca="false">IF(OR(E501="",F501=""),"",F501-E501+1)</f>
        <v/>
      </c>
      <c r="J501" s="18" t="str">
        <f aca="false">IF(OR(I501="",D501=""),"",D501/I501)</f>
        <v/>
      </c>
      <c r="K501" s="19" t="str">
        <f aca="false">IF(AND(A501&lt;&gt;"",G501&lt;&gt;""),G501+ROW()/1000000,"")</f>
        <v/>
      </c>
    </row>
    <row r="502" customFormat="false" ht="15" hidden="false" customHeight="false" outlineLevel="0" collapsed="false">
      <c r="A502" s="12"/>
      <c r="B502" s="12"/>
      <c r="C502" s="13"/>
      <c r="D502" s="14"/>
      <c r="E502" s="15"/>
      <c r="F502" s="15"/>
      <c r="G502" s="14"/>
      <c r="H502" s="16" t="str">
        <f aca="false">IF(A502="","",IF(F502&lt;&gt;"","Bitti",IF(E502&lt;&gt;"","Okunuyor","Sırada")))</f>
        <v/>
      </c>
      <c r="I502" s="17" t="str">
        <f aca="false">IF(OR(E502="",F502=""),"",F502-E502+1)</f>
        <v/>
      </c>
      <c r="J502" s="18" t="str">
        <f aca="false">IF(OR(I502="",D502=""),"",D502/I502)</f>
        <v/>
      </c>
      <c r="K502" s="19" t="str">
        <f aca="false">IF(AND(A502&lt;&gt;"",G502&lt;&gt;""),G502+ROW()/1000000,"")</f>
        <v/>
      </c>
    </row>
    <row r="503" customFormat="false" ht="15" hidden="false" customHeight="false" outlineLevel="0" collapsed="false">
      <c r="A503" s="12"/>
      <c r="B503" s="12"/>
      <c r="C503" s="13"/>
      <c r="D503" s="14"/>
      <c r="E503" s="15"/>
      <c r="F503" s="15"/>
      <c r="G503" s="14"/>
      <c r="H503" s="16" t="str">
        <f aca="false">IF(A503="","",IF(F503&lt;&gt;"","Bitti",IF(E503&lt;&gt;"","Okunuyor","Sırada")))</f>
        <v/>
      </c>
      <c r="I503" s="17" t="str">
        <f aca="false">IF(OR(E503="",F503=""),"",F503-E503+1)</f>
        <v/>
      </c>
      <c r="J503" s="18" t="str">
        <f aca="false">IF(OR(I503="",D503=""),"",D503/I503)</f>
        <v/>
      </c>
      <c r="K503" s="19" t="str">
        <f aca="false">IF(AND(A503&lt;&gt;"",G503&lt;&gt;""),G503+ROW()/1000000,"")</f>
        <v/>
      </c>
    </row>
    <row r="504" customFormat="false" ht="15" hidden="false" customHeight="false" outlineLevel="0" collapsed="false">
      <c r="A504" s="12"/>
      <c r="B504" s="12"/>
      <c r="C504" s="13"/>
      <c r="D504" s="14"/>
      <c r="E504" s="15"/>
      <c r="F504" s="15"/>
      <c r="G504" s="14"/>
      <c r="H504" s="16" t="str">
        <f aca="false">IF(A504="","",IF(F504&lt;&gt;"","Bitti",IF(E504&lt;&gt;"","Okunuyor","Sırada")))</f>
        <v/>
      </c>
      <c r="I504" s="17" t="str">
        <f aca="false">IF(OR(E504="",F504=""),"",F504-E504+1)</f>
        <v/>
      </c>
      <c r="J504" s="18" t="str">
        <f aca="false">IF(OR(I504="",D504=""),"",D504/I504)</f>
        <v/>
      </c>
      <c r="K504" s="19" t="str">
        <f aca="false">IF(AND(A504&lt;&gt;"",G504&lt;&gt;""),G504+ROW()/1000000,"")</f>
        <v/>
      </c>
    </row>
  </sheetData>
  <conditionalFormatting sqref="H5:H504">
    <cfRule type="cellIs" priority="2" operator="equal" aboveAverage="0" equalAverage="0" bottom="0" percent="0" rank="0" text="" dxfId="0">
      <formula>"Bitti"</formula>
    </cfRule>
    <cfRule type="cellIs" priority="3" operator="equal" aboveAverage="0" equalAverage="0" bottom="0" percent="0" rank="0" text="" dxfId="1">
      <formula>"Okunuyor"</formula>
    </cfRule>
  </conditionalFormatting>
  <dataValidations count="3">
    <dataValidation allowBlank="true" error="Listeden seç." errorStyle="stop" errorTitle="Kontrol" operator="between" showDropDown="false" showErrorMessage="true" showInputMessage="false" sqref="C5:C50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D504 G5:G5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E5:F5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45</v>
      </c>
    </row>
    <row r="2" customFormat="false" ht="15" hidden="false" customHeight="false" outlineLevel="0" collapsed="false">
      <c r="A2" s="9" t="s">
        <v>46</v>
      </c>
    </row>
    <row r="3" customFormat="false" ht="15" hidden="false" customHeight="false" outlineLevel="0" collapsed="false">
      <c r="B3" s="20" t="s">
        <v>11</v>
      </c>
      <c r="C3" s="21" t="n">
        <v>2026</v>
      </c>
      <c r="D3" s="22" t="s">
        <v>47</v>
      </c>
      <c r="F3" s="21" t="n">
        <v>24</v>
      </c>
    </row>
    <row r="5" customFormat="false" ht="30" hidden="false" customHeight="true" outlineLevel="0" collapsed="false">
      <c r="B5" s="23" t="s">
        <v>48</v>
      </c>
      <c r="C5" s="23" t="s">
        <v>49</v>
      </c>
      <c r="D5" s="23" t="s">
        <v>50</v>
      </c>
      <c r="E5" s="23" t="s">
        <v>51</v>
      </c>
      <c r="F5" s="23" t="s">
        <v>52</v>
      </c>
      <c r="G5" s="23" t="s">
        <v>53</v>
      </c>
    </row>
    <row r="6" customFormat="false" ht="27.75" hidden="false" customHeight="true" outlineLevel="0" collapsed="false">
      <c r="B6" s="24" t="n">
        <f aca="false">C23</f>
        <v>3</v>
      </c>
      <c r="C6" s="25" t="n">
        <f aca="false">IF(F3=0,0,C23/F3)</f>
        <v>0.125</v>
      </c>
      <c r="D6" s="24" t="n">
        <f aca="false">D23</f>
        <v>1050</v>
      </c>
      <c r="E6" s="26" t="n">
        <f aca="false">IFERROR(AVERAGEIFS(Kitaplar!$G$5:$G$504,Kitaplar!$F$5:$F$504,"&gt;="&amp;DATE($C$3,1,1),Kitaplar!$F$5:$F$504,"&lt;"&amp;DATE($C$3+1,1,1)),0)</f>
        <v>4</v>
      </c>
      <c r="F6" s="24" t="n">
        <f aca="false">COUNTIF(Kitaplar!$H$5:$H$504,"Okunuyor")</f>
        <v>1</v>
      </c>
      <c r="G6" s="24" t="n">
        <f aca="false">COUNTIF(Kitaplar!$H$5:$H$504,"Sırada")</f>
        <v>1</v>
      </c>
    </row>
    <row r="9" customFormat="false" ht="15" hidden="false" customHeight="false" outlineLevel="0" collapsed="false">
      <c r="B9" s="27" t="s">
        <v>54</v>
      </c>
      <c r="F9" s="27" t="s">
        <v>55</v>
      </c>
      <c r="I9" s="27" t="s">
        <v>56</v>
      </c>
    </row>
    <row r="10" customFormat="false" ht="21.75" hidden="false" customHeight="true" outlineLevel="0" collapsed="false">
      <c r="B10" s="10" t="s">
        <v>57</v>
      </c>
      <c r="C10" s="10" t="s">
        <v>48</v>
      </c>
      <c r="D10" s="10" t="s">
        <v>25</v>
      </c>
      <c r="F10" s="10" t="s">
        <v>24</v>
      </c>
      <c r="G10" s="10" t="s">
        <v>22</v>
      </c>
      <c r="I10" s="10" t="s">
        <v>22</v>
      </c>
      <c r="J10" s="10" t="s">
        <v>58</v>
      </c>
    </row>
    <row r="11" customFormat="false" ht="15" hidden="false" customHeight="false" outlineLevel="0" collapsed="false">
      <c r="B11" s="28" t="s">
        <v>59</v>
      </c>
      <c r="C11" s="29" t="n">
        <f aca="false">COUNTIFS(Kitaplar!$F$5:$F$504,"&gt;="&amp;DATE($C$3,1,1),Kitaplar!$F$5:$F$504,"&lt;"&amp;DATE($C$3,2,1))</f>
        <v>0</v>
      </c>
      <c r="D11" s="29" t="n">
        <f aca="false">SUMIFS(Kitaplar!$D$5:$D$504,Kitaplar!$F$5:$F$504,"&gt;="&amp;DATE($C$3,1,1),Kitaplar!$F$5:$F$504,"&lt;"&amp;DATE($C$3,2,1))</f>
        <v>0</v>
      </c>
      <c r="F11" s="28" t="str">
        <f aca="false">IF(Listeler!A5="","",Listeler!A5)</f>
        <v>Roman</v>
      </c>
      <c r="G11" s="29" t="n">
        <f aca="false">IF(F11="","",COUNTIFS(Kitaplar!$C$5:$C$504,F11,Kitaplar!$F$5:$F$504,"&gt;="&amp;DATE($C$3,1,1),Kitaplar!$F$5:$F$504,"&lt;"&amp;DATE($C$3+1,1,1)))</f>
        <v>1</v>
      </c>
      <c r="I11" s="28" t="str">
        <f aca="false">IFERROR(INDEX(Kitaplar!$A$5:$A$504,MATCH(LARGE(Kitaplar!$K$5:$K$504,1),Kitaplar!$K$5:$K$504,0))&amp;"","")</f>
        <v>Örnek Roman 1</v>
      </c>
      <c r="J11" s="29" t="n">
        <f aca="false">IF(I11="","",INDEX(Kitaplar!$G$5:$G$504,MATCH(LARGE(Kitaplar!$K$5:$K$504,1),Kitaplar!$K$5:$K$504,0)))</f>
        <v>5</v>
      </c>
    </row>
    <row r="12" customFormat="false" ht="15" hidden="false" customHeight="false" outlineLevel="0" collapsed="false">
      <c r="B12" s="30" t="s">
        <v>60</v>
      </c>
      <c r="C12" s="31" t="n">
        <f aca="false">COUNTIFS(Kitaplar!$F$5:$F$504,"&gt;="&amp;DATE($C$3,2,1),Kitaplar!$F$5:$F$504,"&lt;"&amp;DATE($C$3,3,1))</f>
        <v>0</v>
      </c>
      <c r="D12" s="31" t="n">
        <f aca="false">SUMIFS(Kitaplar!$D$5:$D$504,Kitaplar!$F$5:$F$504,"&gt;="&amp;DATE($C$3,2,1),Kitaplar!$F$5:$F$504,"&lt;"&amp;DATE($C$3,3,1))</f>
        <v>0</v>
      </c>
      <c r="F12" s="30" t="str">
        <f aca="false">IF(Listeler!A6="","",Listeler!A6)</f>
        <v>Öykü</v>
      </c>
      <c r="G12" s="31" t="n">
        <f aca="false">IF(F12="","",COUNTIFS(Kitaplar!$C$5:$C$504,F12,Kitaplar!$F$5:$F$504,"&gt;="&amp;DATE($C$3,1,1),Kitaplar!$F$5:$F$504,"&lt;"&amp;DATE($C$3+1,1,1)))</f>
        <v>0</v>
      </c>
      <c r="I12" s="30" t="str">
        <f aca="false">IFERROR(INDEX(Kitaplar!$A$5:$A$504,MATCH(LARGE(Kitaplar!$K$5:$K$504,2),Kitaplar!$K$5:$K$504,0))&amp;"","")</f>
        <v>Örnek Tarih Kitabı</v>
      </c>
      <c r="J12" s="31" t="n">
        <f aca="false">IF(I12="","",INDEX(Kitaplar!$G$5:$G$504,MATCH(LARGE(Kitaplar!$K$5:$K$504,2),Kitaplar!$K$5:$K$504,0)))</f>
        <v>4</v>
      </c>
    </row>
    <row r="13" customFormat="false" ht="15" hidden="false" customHeight="false" outlineLevel="0" collapsed="false">
      <c r="B13" s="28" t="s">
        <v>61</v>
      </c>
      <c r="C13" s="29" t="n">
        <f aca="false">COUNTIFS(Kitaplar!$F$5:$F$504,"&gt;="&amp;DATE($C$3,3,1),Kitaplar!$F$5:$F$504,"&lt;"&amp;DATE($C$3,4,1))</f>
        <v>0</v>
      </c>
      <c r="D13" s="29" t="n">
        <f aca="false">SUMIFS(Kitaplar!$D$5:$D$504,Kitaplar!$F$5:$F$504,"&gt;="&amp;DATE($C$3,3,1),Kitaplar!$F$5:$F$504,"&lt;"&amp;DATE($C$3,4,1))</f>
        <v>0</v>
      </c>
      <c r="F13" s="28" t="str">
        <f aca="false">IF(Listeler!A7="","",Listeler!A7)</f>
        <v>Tarih</v>
      </c>
      <c r="G13" s="29" t="n">
        <f aca="false">IF(F13="","",COUNTIFS(Kitaplar!$C$5:$C$504,F13,Kitaplar!$F$5:$F$504,"&gt;="&amp;DATE($C$3,1,1),Kitaplar!$F$5:$F$504,"&lt;"&amp;DATE($C$3+1,1,1)))</f>
        <v>1</v>
      </c>
      <c r="I13" s="28" t="str">
        <f aca="false">IFERROR(INDEX(Kitaplar!$A$5:$A$504,MATCH(LARGE(Kitaplar!$K$5:$K$504,3),Kitaplar!$K$5:$K$504,0))&amp;"","")</f>
        <v>Örnek Bilim Kitabı</v>
      </c>
      <c r="J13" s="29" t="n">
        <f aca="false">IF(I13="","",INDEX(Kitaplar!$G$5:$G$504,MATCH(LARGE(Kitaplar!$K$5:$K$504,3),Kitaplar!$K$5:$K$504,0)))</f>
        <v>3</v>
      </c>
    </row>
    <row r="14" customFormat="false" ht="15" hidden="false" customHeight="false" outlineLevel="0" collapsed="false">
      <c r="B14" s="30" t="s">
        <v>62</v>
      </c>
      <c r="C14" s="31" t="n">
        <f aca="false">COUNTIFS(Kitaplar!$F$5:$F$504,"&gt;="&amp;DATE($C$3,4,1),Kitaplar!$F$5:$F$504,"&lt;"&amp;DATE($C$3,5,1))</f>
        <v>0</v>
      </c>
      <c r="D14" s="31" t="n">
        <f aca="false">SUMIFS(Kitaplar!$D$5:$D$504,Kitaplar!$F$5:$F$504,"&gt;="&amp;DATE($C$3,4,1),Kitaplar!$F$5:$F$504,"&lt;"&amp;DATE($C$3,5,1))</f>
        <v>0</v>
      </c>
      <c r="F14" s="30" t="str">
        <f aca="false">IF(Listeler!A8="","",Listeler!A8)</f>
        <v>Bilim</v>
      </c>
      <c r="G14" s="31" t="n">
        <f aca="false">IF(F14="","",COUNTIFS(Kitaplar!$C$5:$C$504,F14,Kitaplar!$F$5:$F$504,"&gt;="&amp;DATE($C$3,1,1),Kitaplar!$F$5:$F$504,"&lt;"&amp;DATE($C$3+1,1,1)))</f>
        <v>1</v>
      </c>
      <c r="I14" s="30" t="str">
        <f aca="false">IFERROR(INDEX(Kitaplar!$A$5:$A$504,MATCH(LARGE(Kitaplar!$K$5:$K$504,4),Kitaplar!$K$5:$K$504,0))&amp;"","")</f>
        <v/>
      </c>
      <c r="J14" s="31" t="str">
        <f aca="false">IF(I14="","",INDEX(Kitaplar!$G$5:$G$504,MATCH(LARGE(Kitaplar!$K$5:$K$504,4),Kitaplar!$K$5:$K$504,0)))</f>
        <v/>
      </c>
    </row>
    <row r="15" customFormat="false" ht="15" hidden="false" customHeight="false" outlineLevel="0" collapsed="false">
      <c r="B15" s="28" t="s">
        <v>63</v>
      </c>
      <c r="C15" s="29" t="n">
        <f aca="false">COUNTIFS(Kitaplar!$F$5:$F$504,"&gt;="&amp;DATE($C$3,5,1),Kitaplar!$F$5:$F$504,"&lt;"&amp;DATE($C$3,6,1))</f>
        <v>0</v>
      </c>
      <c r="D15" s="29" t="n">
        <f aca="false">SUMIFS(Kitaplar!$D$5:$D$504,Kitaplar!$F$5:$F$504,"&gt;="&amp;DATE($C$3,5,1),Kitaplar!$F$5:$F$504,"&lt;"&amp;DATE($C$3,6,1))</f>
        <v>0</v>
      </c>
      <c r="F15" s="28" t="str">
        <f aca="false">IF(Listeler!A9="","",Listeler!A9)</f>
        <v>Kişisel gelişim</v>
      </c>
      <c r="G15" s="29" t="n">
        <f aca="false">IF(F15="","",COUNTIFS(Kitaplar!$C$5:$C$504,F15,Kitaplar!$F$5:$F$504,"&gt;="&amp;DATE($C$3,1,1),Kitaplar!$F$5:$F$504,"&lt;"&amp;DATE($C$3+1,1,1)))</f>
        <v>0</v>
      </c>
      <c r="I15" s="28" t="str">
        <f aca="false">IFERROR(INDEX(Kitaplar!$A$5:$A$504,MATCH(LARGE(Kitaplar!$K$5:$K$504,5),Kitaplar!$K$5:$K$504,0))&amp;"","")</f>
        <v/>
      </c>
      <c r="J15" s="29" t="str">
        <f aca="false">IF(I15="","",INDEX(Kitaplar!$G$5:$G$504,MATCH(LARGE(Kitaplar!$K$5:$K$504,5),Kitaplar!$K$5:$K$504,0)))</f>
        <v/>
      </c>
    </row>
    <row r="16" customFormat="false" ht="15" hidden="false" customHeight="false" outlineLevel="0" collapsed="false">
      <c r="B16" s="30" t="s">
        <v>64</v>
      </c>
      <c r="C16" s="31" t="n">
        <f aca="false">COUNTIFS(Kitaplar!$F$5:$F$504,"&gt;="&amp;DATE($C$3,6,1),Kitaplar!$F$5:$F$504,"&lt;"&amp;DATE($C$3,7,1))</f>
        <v>0</v>
      </c>
      <c r="D16" s="31" t="n">
        <f aca="false">SUMIFS(Kitaplar!$D$5:$D$504,Kitaplar!$F$5:$F$504,"&gt;="&amp;DATE($C$3,6,1),Kitaplar!$F$5:$F$504,"&lt;"&amp;DATE($C$3,7,1))</f>
        <v>0</v>
      </c>
      <c r="F16" s="30" t="str">
        <f aca="false">IF(Listeler!A10="","",Listeler!A10)</f>
        <v>İş ve ekonomi</v>
      </c>
      <c r="G16" s="31" t="n">
        <f aca="false">IF(F16="","",COUNTIFS(Kitaplar!$C$5:$C$504,F16,Kitaplar!$F$5:$F$504,"&gt;="&amp;DATE($C$3,1,1),Kitaplar!$F$5:$F$504,"&lt;"&amp;DATE($C$3+1,1,1)))</f>
        <v>0</v>
      </c>
    </row>
    <row r="17" customFormat="false" ht="15" hidden="false" customHeight="false" outlineLevel="0" collapsed="false">
      <c r="B17" s="28" t="s">
        <v>65</v>
      </c>
      <c r="C17" s="29" t="n">
        <f aca="false">COUNTIFS(Kitaplar!$F$5:$F$504,"&gt;="&amp;DATE($C$3,7,1),Kitaplar!$F$5:$F$504,"&lt;"&amp;DATE($C$3,8,1))</f>
        <v>0</v>
      </c>
      <c r="D17" s="29" t="n">
        <f aca="false">SUMIFS(Kitaplar!$D$5:$D$504,Kitaplar!$F$5:$F$504,"&gt;="&amp;DATE($C$3,7,1),Kitaplar!$F$5:$F$504,"&lt;"&amp;DATE($C$3,8,1))</f>
        <v>0</v>
      </c>
      <c r="F17" s="28" t="str">
        <f aca="false">IF(Listeler!A11="","",Listeler!A11)</f>
        <v>Biyografi</v>
      </c>
      <c r="G17" s="29" t="n">
        <f aca="false">IF(F17="","",COUNTIFS(Kitaplar!$C$5:$C$504,F17,Kitaplar!$F$5:$F$504,"&gt;="&amp;DATE($C$3,1,1),Kitaplar!$F$5:$F$504,"&lt;"&amp;DATE($C$3+1,1,1)))</f>
        <v>0</v>
      </c>
    </row>
    <row r="18" customFormat="false" ht="15" hidden="false" customHeight="false" outlineLevel="0" collapsed="false">
      <c r="B18" s="30" t="s">
        <v>66</v>
      </c>
      <c r="C18" s="31" t="n">
        <f aca="false">COUNTIFS(Kitaplar!$F$5:$F$504,"&gt;="&amp;DATE($C$3,8,1),Kitaplar!$F$5:$F$504,"&lt;"&amp;DATE($C$3,9,1))</f>
        <v>1</v>
      </c>
      <c r="D18" s="31" t="n">
        <f aca="false">SUMIFS(Kitaplar!$D$5:$D$504,Kitaplar!$F$5:$F$504,"&gt;="&amp;DATE($C$3,8,1),Kitaplar!$F$5:$F$504,"&lt;"&amp;DATE($C$3,9,1))</f>
        <v>320</v>
      </c>
      <c r="F18" s="30" t="str">
        <f aca="false">IF(Listeler!A12="","",Listeler!A12)</f>
        <v>Diğer</v>
      </c>
      <c r="G18" s="31" t="n">
        <f aca="false">IF(F18="","",COUNTIFS(Kitaplar!$C$5:$C$504,F18,Kitaplar!$F$5:$F$504,"&gt;="&amp;DATE($C$3,1,1),Kitaplar!$F$5:$F$504,"&lt;"&amp;DATE($C$3+1,1,1)))</f>
        <v>0</v>
      </c>
    </row>
    <row r="19" customFormat="false" ht="15" hidden="false" customHeight="false" outlineLevel="0" collapsed="false">
      <c r="B19" s="28" t="s">
        <v>67</v>
      </c>
      <c r="C19" s="29" t="n">
        <f aca="false">COUNTIFS(Kitaplar!$F$5:$F$504,"&gt;="&amp;DATE($C$3,9,1),Kitaplar!$F$5:$F$504,"&lt;"&amp;DATE($C$3,10,1))</f>
        <v>1</v>
      </c>
      <c r="D19" s="29" t="n">
        <f aca="false">SUMIFS(Kitaplar!$D$5:$D$504,Kitaplar!$F$5:$F$504,"&gt;="&amp;DATE($C$3,9,1),Kitaplar!$F$5:$F$504,"&lt;"&amp;DATE($C$3,10,1))</f>
        <v>450</v>
      </c>
      <c r="F19" s="28" t="str">
        <f aca="false">IF(Listeler!A13="","",Listeler!A13)</f>
        <v/>
      </c>
      <c r="G19" s="29" t="str">
        <f aca="false">IF(F19="","",COUNTIFS(Kitaplar!$C$5:$C$504,F19,Kitaplar!$F$5:$F$504,"&gt;="&amp;DATE($C$3,1,1),Kitaplar!$F$5:$F$504,"&lt;"&amp;DATE($C$3+1,1,1)))</f>
        <v/>
      </c>
    </row>
    <row r="20" customFormat="false" ht="15" hidden="false" customHeight="false" outlineLevel="0" collapsed="false">
      <c r="B20" s="30" t="s">
        <v>68</v>
      </c>
      <c r="C20" s="31" t="n">
        <f aca="false">COUNTIFS(Kitaplar!$F$5:$F$504,"&gt;="&amp;DATE($C$3,10,1),Kitaplar!$F$5:$F$504,"&lt;"&amp;DATE($C$3,11,1))</f>
        <v>1</v>
      </c>
      <c r="D20" s="31" t="n">
        <f aca="false">SUMIFS(Kitaplar!$D$5:$D$504,Kitaplar!$F$5:$F$504,"&gt;="&amp;DATE($C$3,10,1),Kitaplar!$F$5:$F$504,"&lt;"&amp;DATE($C$3,11,1))</f>
        <v>280</v>
      </c>
      <c r="F20" s="30" t="str">
        <f aca="false">IF(Listeler!A14="","",Listeler!A14)</f>
        <v/>
      </c>
      <c r="G20" s="31" t="str">
        <f aca="false">IF(F20="","",COUNTIFS(Kitaplar!$C$5:$C$504,F20,Kitaplar!$F$5:$F$504,"&gt;="&amp;DATE($C$3,1,1),Kitaplar!$F$5:$F$504,"&lt;"&amp;DATE($C$3+1,1,1)))</f>
        <v/>
      </c>
    </row>
    <row r="21" customFormat="false" ht="15" hidden="false" customHeight="false" outlineLevel="0" collapsed="false">
      <c r="B21" s="28" t="s">
        <v>69</v>
      </c>
      <c r="C21" s="29" t="n">
        <f aca="false">COUNTIFS(Kitaplar!$F$5:$F$504,"&gt;="&amp;DATE($C$3,11,1),Kitaplar!$F$5:$F$504,"&lt;"&amp;DATE($C$3,12,1))</f>
        <v>0</v>
      </c>
      <c r="D21" s="29" t="n">
        <f aca="false">SUMIFS(Kitaplar!$D$5:$D$504,Kitaplar!$F$5:$F$504,"&gt;="&amp;DATE($C$3,11,1),Kitaplar!$F$5:$F$504,"&lt;"&amp;DATE($C$3,12,1))</f>
        <v>0</v>
      </c>
    </row>
    <row r="22" customFormat="false" ht="15" hidden="false" customHeight="false" outlineLevel="0" collapsed="false">
      <c r="B22" s="30" t="s">
        <v>70</v>
      </c>
      <c r="C22" s="31" t="n">
        <f aca="false">COUNTIFS(Kitaplar!$F$5:$F$504,"&gt;="&amp;DATE($C$3,12,1),Kitaplar!$F$5:$F$504,"&lt;"&amp;DATE($C$3,13,1))</f>
        <v>0</v>
      </c>
      <c r="D22" s="31" t="n">
        <f aca="false">SUMIFS(Kitaplar!$D$5:$D$504,Kitaplar!$F$5:$F$504,"&gt;="&amp;DATE($C$3,12,1),Kitaplar!$F$5:$F$504,"&lt;"&amp;DATE($C$3,13,1))</f>
        <v>0</v>
      </c>
    </row>
    <row r="23" customFormat="false" ht="15" hidden="false" customHeight="false" outlineLevel="0" collapsed="false">
      <c r="B23" s="32" t="s">
        <v>71</v>
      </c>
      <c r="C23" s="33" t="n">
        <f aca="false">SUM(C11:C22)</f>
        <v>3</v>
      </c>
      <c r="D23" s="33" t="n">
        <f aca="false">SUM(D11:D22)</f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72</v>
      </c>
    </row>
    <row r="2" customFormat="false" ht="15" hidden="false" customHeight="false" outlineLevel="0" collapsed="false">
      <c r="A2" s="9" t="s">
        <v>73</v>
      </c>
    </row>
    <row r="4" customFormat="false" ht="21.75" hidden="false" customHeight="true" outlineLevel="0" collapsed="false">
      <c r="A4" s="10" t="s">
        <v>24</v>
      </c>
    </row>
    <row r="5" customFormat="false" ht="15" hidden="false" customHeight="false" outlineLevel="0" collapsed="false">
      <c r="A5" s="12" t="s">
        <v>34</v>
      </c>
    </row>
    <row r="6" customFormat="false" ht="15" hidden="false" customHeight="false" outlineLevel="0" collapsed="false">
      <c r="A6" s="12" t="s">
        <v>44</v>
      </c>
    </row>
    <row r="7" customFormat="false" ht="15" hidden="false" customHeight="false" outlineLevel="0" collapsed="false">
      <c r="A7" s="12" t="s">
        <v>37</v>
      </c>
    </row>
    <row r="8" customFormat="false" ht="15" hidden="false" customHeight="false" outlineLevel="0" collapsed="false">
      <c r="A8" s="12" t="s">
        <v>40</v>
      </c>
    </row>
    <row r="9" customFormat="false" ht="15" hidden="false" customHeight="false" outlineLevel="0" collapsed="false">
      <c r="A9" s="12" t="s">
        <v>74</v>
      </c>
    </row>
    <row r="10" customFormat="false" ht="15" hidden="false" customHeight="false" outlineLevel="0" collapsed="false">
      <c r="A10" s="12" t="s">
        <v>75</v>
      </c>
    </row>
    <row r="11" customFormat="false" ht="15" hidden="false" customHeight="false" outlineLevel="0" collapsed="false">
      <c r="A11" s="12" t="s">
        <v>76</v>
      </c>
    </row>
    <row r="12" customFormat="false" ht="15" hidden="false" customHeight="false" outlineLevel="0" collapsed="false">
      <c r="A12" s="12" t="s">
        <v>77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78</v>
      </c>
    </row>
    <row r="2" customFormat="false" ht="30" hidden="false" customHeight="true" outlineLevel="0" collapsed="false">
      <c r="B2" s="34" t="s">
        <v>79</v>
      </c>
      <c r="C2" s="34"/>
    </row>
    <row r="3" customFormat="false" ht="31.5" hidden="false" customHeight="true" outlineLevel="0" collapsed="false">
      <c r="B3" s="35" t="s">
        <v>80</v>
      </c>
      <c r="C3" s="35"/>
    </row>
    <row r="5" customFormat="false" ht="15" hidden="false" customHeight="false" outlineLevel="0" collapsed="false">
      <c r="B5" s="36" t="s">
        <v>81</v>
      </c>
      <c r="C5" s="36" t="s">
        <v>82</v>
      </c>
    </row>
    <row r="6" customFormat="false" ht="31.5" hidden="false" customHeight="true" outlineLevel="0" collapsed="false">
      <c r="B6" s="37" t="s">
        <v>83</v>
      </c>
      <c r="C6" s="38" t="s">
        <v>84</v>
      </c>
    </row>
    <row r="7" customFormat="false" ht="31.5" hidden="false" customHeight="true" outlineLevel="0" collapsed="false">
      <c r="B7" s="39" t="s">
        <v>85</v>
      </c>
      <c r="C7" s="40" t="s">
        <v>86</v>
      </c>
    </row>
    <row r="8" customFormat="false" ht="31.5" hidden="false" customHeight="true" outlineLevel="0" collapsed="false">
      <c r="B8" s="37" t="s">
        <v>87</v>
      </c>
      <c r="C8" s="38" t="s">
        <v>88</v>
      </c>
    </row>
    <row r="9" customFormat="false" ht="31.5" hidden="false" customHeight="true" outlineLevel="0" collapsed="false">
      <c r="B9" s="39" t="s">
        <v>89</v>
      </c>
      <c r="C9" s="40" t="s">
        <v>90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2026-10-04T22:00:02Z</dcterms:created>
  <dc:creator>openpyxl</dc:creator>
  <dc:description/>
  <dc:language>en-US</dc:language>
  <cp:lastModifiedBy/>
  <dcterms:modified xsi:type="dcterms:W3CDTF">2026-10-04T22:00:03Z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