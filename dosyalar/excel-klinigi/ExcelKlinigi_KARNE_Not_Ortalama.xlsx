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Dersler" sheetId="2" state="visible" r:id="rId4"/>
    <sheet name="Özet" sheetId="3" state="visible" r:id="rId5"/>
    <sheet name="Not Tablosu" sheetId="4" state="visible" r:id="rId6"/>
    <sheet name="Listeler" sheetId="5" state="visible" r:id="rId7"/>
    <sheet name="AI Komutları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<sst xmlns="http://schemas.openxmlformats.org/spreadsheetml/2006/main" count="96" uniqueCount="86">
  <si>
    <t xml:space="preserve">EXCEL KLİNİĞİ</t>
  </si>
  <si>
    <t xml:space="preserve">KARNE  |  Ders notu ve ortalama hesaplama</t>
  </si>
  <si>
    <t xml:space="preserve">Vize ve final notlarını gir; ders ortalaması, harf notu, dönem ve genel ortalama çıksın. Finalden kaç alman gerektiğini de söylesin.</t>
  </si>
  <si>
    <t xml:space="preserve">NASIL KULLANILIR</t>
  </si>
  <si>
    <t xml:space="preserve">1. Not Tablosu</t>
  </si>
  <si>
    <t xml:space="preserve">Okulunun harf notu sınırlarını ve katsayılarını yaz.</t>
  </si>
  <si>
    <t xml:space="preserve">2. Dersler</t>
  </si>
  <si>
    <t xml:space="preserve">Derslerini kredi, vize, vize ağırlığı ve final notuyla gir.</t>
  </si>
  <si>
    <t xml:space="preserve">3. Özet</t>
  </si>
  <si>
    <t xml:space="preserve">Genel ortalama ve dönem ortalamaları.</t>
  </si>
  <si>
    <t xml:space="preserve">BİLMEN GEREKENLER</t>
  </si>
  <si>
    <t xml:space="preserve">Finalden gereken</t>
  </si>
  <si>
    <t xml:space="preserve">Final notu boşsa ve hedef ortalama yazdıysan gösterilir. 100'den büyük çıkıyorsa hedef o derste ulaşılamaz demektir.</t>
  </si>
  <si>
    <t xml:space="preserve">Tek vize</t>
  </si>
  <si>
    <t xml:space="preserve">Dosya bir vize ve bir final varsayar. Ödev ya da ikinci vize varsa ağırlıklı ortalamasını vize notu olarak yaz.</t>
  </si>
  <si>
    <t xml:space="preserve">Resmî değildir</t>
  </si>
  <si>
    <t xml:space="preserve">Kesin ortalama için okulunun öğrenci bilgi sistemini esas al.</t>
  </si>
  <si>
    <t xml:space="preserve">Kapasite</t>
  </si>
  <si>
    <t xml:space="preserve">Dersler: 80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</si>
  <si>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</si>
  <si>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</si>
  <si>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</si>
  <si>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</si>
  <si>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</si>
  <si>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Dersler</t>
  </si>
  <si>
    <t xml:space="preserve">Her ders bir satır. Final notu girilmemişse, hedef ortalamaya göre finalden gereken not gösterilir.</t>
  </si>
  <si>
    <t xml:space="preserve">Dönem</t>
  </si>
  <si>
    <t xml:space="preserve">Ders</t>
  </si>
  <si>
    <t xml:space="preserve">Kredi</t>
  </si>
  <si>
    <t xml:space="preserve">Vize</t>
  </si>
  <si>
    <t xml:space="preserve">Vize ağırlığı</t>
  </si>
  <si>
    <t xml:space="preserve">Final</t>
  </si>
  <si>
    <t xml:space="preserve">Hedef ortalama</t>
  </si>
  <si>
    <t xml:space="preserve">Ortalama</t>
  </si>
  <si>
    <t xml:space="preserve">Harf</t>
  </si>
  <si>
    <t xml:space="preserve">Katsayı</t>
  </si>
  <si>
    <t xml:space="preserve">y1</t>
  </si>
  <si>
    <t xml:space="preserve">y2</t>
  </si>
  <si>
    <t xml:space="preserve">1. dönem</t>
  </si>
  <si>
    <t xml:space="preserve">Matematik</t>
  </si>
  <si>
    <t xml:space="preserve">Fizik</t>
  </si>
  <si>
    <t xml:space="preserve">2. dönem</t>
  </si>
  <si>
    <t xml:space="preserve">Programlama</t>
  </si>
  <si>
    <t xml:space="preserve">İstatistik</t>
  </si>
  <si>
    <t xml:space="preserve">Özet</t>
  </si>
  <si>
    <t xml:space="preserve">Bu sayfaya yazma.</t>
  </si>
  <si>
    <t xml:space="preserve">Genel ortalama</t>
  </si>
  <si>
    <t xml:space="preserve">Notu girilen kredi</t>
  </si>
  <si>
    <t xml:space="preserve">Notu girilen ders</t>
  </si>
  <si>
    <t xml:space="preserve">Bekleyen ders</t>
  </si>
  <si>
    <t xml:space="preserve">Döneme göre</t>
  </si>
  <si>
    <t xml:space="preserve">Dönem ortalaması</t>
  </si>
  <si>
    <t xml:space="preserve">Not Tablosu</t>
  </si>
  <si>
    <t xml:space="preserve">Okulunun harf notu sınırlarını yaz. Alt sınırlar küçükten büyüğe sıralı olmalı.</t>
  </si>
  <si>
    <t xml:space="preserve">Alt sınır</t>
  </si>
  <si>
    <t xml:space="preserve">FF</t>
  </si>
  <si>
    <t xml:space="preserve">Bu sınırlar yalnızca örnektir; her okulun yönetmeliği farklıdır. Kendi okulunun tablosunu yaz.</t>
  </si>
  <si>
    <t xml:space="preserve">FD</t>
  </si>
  <si>
    <t xml:space="preserve">DD</t>
  </si>
  <si>
    <t xml:space="preserve">DC</t>
  </si>
  <si>
    <t xml:space="preserve">CC</t>
  </si>
  <si>
    <t xml:space="preserve">CB</t>
  </si>
  <si>
    <t xml:space="preserve">BB</t>
  </si>
  <si>
    <t xml:space="preserve">BA</t>
  </si>
  <si>
    <t xml:space="preserve">AA</t>
  </si>
  <si>
    <t xml:space="preserve">Listeler</t>
  </si>
  <si>
    <t xml:space="preserve">Açılır listelerde çıkan seçenekler. Sarı hücrelere kendi seçeneklerini yaz.</t>
  </si>
  <si>
    <t xml:space="preserve">3. dönem</t>
  </si>
  <si>
    <t xml:space="preserve">4. dönem</t>
  </si>
  <si>
    <t xml:space="preserve">5. dönem</t>
  </si>
  <si>
    <t xml:space="preserve">6. dönem</t>
  </si>
  <si>
    <t xml:space="preserve">7. dönem</t>
  </si>
  <si>
    <t xml:space="preserve">8. dönem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</si>
  <si>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</si>
  <si>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</si>
  <si>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Öğrenci numaranı paylaşma. Yapay zekanın verdiği rakamları dosyadaki özet sayfasıyla karşılaştır.</t>
  </si>
  <si>
    <t xml:space="preserve">Ne için</t>
  </si>
  <si>
    <t xml:space="preserve">Komut (kopyala, yapıştır)</t>
  </si>
  <si>
    <t xml:space="preserve">Çalışma planı</t>
  </si>
  <si>
    <t xml:space="preserve">[Dersler sayfası] Finalden gereken notu en yüksek olan derslere öncelik vererek iki haftalık bir çalışma planı hazırla.</t>
  </si>
  <si>
    <t xml:space="preserve">Ortalama yükseltme</t>
  </si>
  <si>
    <t xml:space="preserve">Genel ortalamamı [hedef] yapmak için kalan derslerden ortalama kaç almalıyım?</t>
  </si>
  <si>
    <t xml:space="preserve">Ders tekrarı</t>
  </si>
  <si>
    <t xml:space="preserve">Hangi dersi tekrar alırsam ortalamama en çok katkı sağlar? Kredi ve mevcut harfe göre sırala.</t>
  </si>
  <si>
    <t xml:space="preserve">Konu özeti</t>
  </si>
  <si>
    <t xml:space="preserve">[ders adı] dersinin final konularını çalışmak için bir kontrol listesi oluştur; konuları ben yazacağım.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</si>
</sst>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[RED]\-#,##0;\-"/>
    <numFmt numFmtId="166" formatCode="0.0"/>
    <numFmt numFmtId="167" formatCode="0%"/>
    <numFmt numFmtId="168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30" hidden="false" customHeight="true" outlineLevel="0" collapsed="false">
      <c r="B12" s="5" t="s">
        <v>11</v>
      </c>
      <c r="C12" s="6" t="s">
        <v>12</v>
      </c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7" customFormat="false" ht="19.5" hidden="false" customHeight="true" outlineLevel="0" collapsed="false">
      <c r="B17" s="4" t="s">
        <v>19</v>
      </c>
      <c r="C17" s="4"/>
    </row>
    <row r="18" customFormat="false" ht="18" hidden="false" customHeight="true" outlineLevel="0" collapsed="false">
      <c r="B18" s="7" t="s">
        <v>20</v>
      </c>
      <c r="C18" s="6" t="s">
        <v>21</v>
      </c>
    </row>
    <row r="19" customFormat="false" ht="18" hidden="false" customHeight="true" outlineLevel="0" collapsed="false">
      <c r="B19" s="5" t="s">
        <v>22</v>
      </c>
      <c r="C19" s="6" t="s">
        <v>23</v>
      </c>
    </row>
  </sheetData>
  <mergeCells count="6">
    <mergeCell ref="B2:C2"/>
    <mergeCell ref="B3:C3"/>
    <mergeCell ref="B4:C4"/>
    <mergeCell ref="B6:C6"/>
    <mergeCell ref="B11:C11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M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10" min="3" style="0" width="14"/>
    <col collapsed="false" customWidth="true" hidden="false" outlineLevel="0" max="11" min="11" style="0" width="15"/>
    <col collapsed="false" customWidth="true" hidden="true" outlineLevel="0" max="13" min="12" style="0" width="14"/>
  </cols>
  <sheetData>
    <row r="1" customFormat="false" ht="19.7" hidden="false" customHeight="false" outlineLevel="0" collapsed="false">
      <c r="A1" s="8" t="s">
        <v>24</v>
      </c>
    </row>
    <row r="2" customFormat="false" ht="15" hidden="false" customHeight="false" outlineLevel="0" collapsed="false">
      <c r="A2" s="9" t="s">
        <v>25</v>
      </c>
    </row>
    <row r="4" customFormat="false" ht="27.75" hidden="false" customHeight="true" outlineLevel="0" collapsed="false">
      <c r="A4" s="10" t="s">
        <v>26</v>
      </c>
      <c r="B4" s="10" t="s">
        <v>27</v>
      </c>
      <c r="C4" s="10" t="s">
        <v>28</v>
      </c>
      <c r="D4" s="10" t="s">
        <v>29</v>
      </c>
      <c r="E4" s="10" t="s">
        <v>30</v>
      </c>
      <c r="F4" s="10" t="s">
        <v>31</v>
      </c>
      <c r="G4" s="10" t="s">
        <v>32</v>
      </c>
      <c r="H4" s="11" t="s">
        <v>33</v>
      </c>
      <c r="I4" s="11" t="s">
        <v>34</v>
      </c>
      <c r="J4" s="11" t="s">
        <v>35</v>
      </c>
      <c r="K4" s="11" t="s">
        <v>11</v>
      </c>
      <c r="L4" s="11" t="s">
        <v>36</v>
      </c>
      <c r="M4" s="11" t="s">
        <v>37</v>
      </c>
    </row>
    <row r="5" customFormat="false" ht="15" hidden="false" customHeight="false" outlineLevel="0" collapsed="false">
      <c r="A5" s="12" t="s">
        <v>38</v>
      </c>
      <c r="B5" s="13" t="s">
        <v>39</v>
      </c>
      <c r="C5" s="14" t="n">
        <v>3</v>
      </c>
      <c r="D5" s="15" t="n">
        <v>70</v>
      </c>
      <c r="E5" s="16" t="n">
        <v>0.4</v>
      </c>
      <c r="F5" s="15" t="n">
        <v>80</v>
      </c>
      <c r="G5" s="15"/>
      <c r="H5" s="17" t="n">
        <f aca="false">IF(OR(B5="",D5="",E5="",F5=""),"",D5*E5+F5*(1-E5))</f>
        <v>76</v>
      </c>
      <c r="I5" s="18" t="str">
        <f aca="false">IF(H5="","",LOOKUP(H5,'Not Tablosu'!$A$5:$A$13,'Not Tablosu'!$B$5:$B$13))</f>
        <v>BB</v>
      </c>
      <c r="J5" s="19" t="n">
        <f aca="false">IF(H5="","",LOOKUP(H5,'Not Tablosu'!$A$5:$A$13,'Not Tablosu'!$C$5:$C$13))</f>
        <v>3</v>
      </c>
      <c r="K5" s="17" t="str">
        <f aca="false">IF(OR(B5="",D5="",E5="",G5="",F5&lt;&gt;"",E5&gt;=1),"",(G5-D5*E5)/(1-E5))</f>
        <v/>
      </c>
      <c r="L5" s="20" t="n">
        <f aca="false">IF(J5="","",C5)</f>
        <v>3</v>
      </c>
      <c r="M5" s="18" t="n">
        <f aca="false">IF(J5="","",C5*J5)</f>
        <v>9</v>
      </c>
    </row>
    <row r="6" customFormat="false" ht="15" hidden="false" customHeight="false" outlineLevel="0" collapsed="false">
      <c r="A6" s="12" t="s">
        <v>38</v>
      </c>
      <c r="B6" s="13" t="s">
        <v>40</v>
      </c>
      <c r="C6" s="14" t="n">
        <v>4</v>
      </c>
      <c r="D6" s="15" t="n">
        <v>50</v>
      </c>
      <c r="E6" s="16" t="n">
        <v>0.4</v>
      </c>
      <c r="F6" s="15" t="n">
        <v>60</v>
      </c>
      <c r="G6" s="15"/>
      <c r="H6" s="17" t="n">
        <f aca="false">IF(OR(B6="",D6="",E6="",F6=""),"",D6*E6+F6*(1-E6))</f>
        <v>56</v>
      </c>
      <c r="I6" s="18" t="str">
        <f aca="false">IF(H6="","",LOOKUP(H6,'Not Tablosu'!$A$5:$A$13,'Not Tablosu'!$B$5:$B$13))</f>
        <v>DC</v>
      </c>
      <c r="J6" s="19" t="n">
        <f aca="false">IF(H6="","",LOOKUP(H6,'Not Tablosu'!$A$5:$A$13,'Not Tablosu'!$C$5:$C$13))</f>
        <v>1.5</v>
      </c>
      <c r="K6" s="17" t="str">
        <f aca="false">IF(OR(B6="",D6="",E6="",G6="",F6&lt;&gt;"",E6&gt;=1),"",(G6-D6*E6)/(1-E6))</f>
        <v/>
      </c>
      <c r="L6" s="20" t="n">
        <f aca="false">IF(J6="","",C6)</f>
        <v>4</v>
      </c>
      <c r="M6" s="18" t="n">
        <f aca="false">IF(J6="","",C6*J6)</f>
        <v>6</v>
      </c>
    </row>
    <row r="7" customFormat="false" ht="15" hidden="false" customHeight="false" outlineLevel="0" collapsed="false">
      <c r="A7" s="12" t="s">
        <v>41</v>
      </c>
      <c r="B7" s="13" t="s">
        <v>42</v>
      </c>
      <c r="C7" s="14" t="n">
        <v>3</v>
      </c>
      <c r="D7" s="15" t="n">
        <v>60</v>
      </c>
      <c r="E7" s="16" t="n">
        <v>0.4</v>
      </c>
      <c r="F7" s="15"/>
      <c r="G7" s="15" t="n">
        <v>70</v>
      </c>
      <c r="H7" s="17" t="str">
        <f aca="false">IF(OR(B7="",D7="",E7="",F7=""),"",D7*E7+F7*(1-E7))</f>
        <v/>
      </c>
      <c r="I7" s="18" t="str">
        <f aca="false">IF(H7="","",LOOKUP(H7,'Not Tablosu'!$A$5:$A$13,'Not Tablosu'!$B$5:$B$13))</f>
        <v/>
      </c>
      <c r="J7" s="19" t="str">
        <f aca="false">IF(H7="","",LOOKUP(H7,'Not Tablosu'!$A$5:$A$13,'Not Tablosu'!$C$5:$C$13))</f>
        <v/>
      </c>
      <c r="K7" s="17" t="n">
        <f aca="false">IF(OR(B7="",D7="",E7="",G7="",F7&lt;&gt;"",E7&gt;=1),"",(G7-D7*E7)/(1-E7))</f>
        <v>76.6666666666667</v>
      </c>
      <c r="L7" s="18" t="str">
        <f aca="false">IF(J7="","",C7)</f>
        <v/>
      </c>
      <c r="M7" s="18" t="str">
        <f aca="false">IF(J7="","",C7*J7)</f>
        <v/>
      </c>
    </row>
    <row r="8" customFormat="false" ht="15" hidden="false" customHeight="false" outlineLevel="0" collapsed="false">
      <c r="A8" s="12" t="s">
        <v>41</v>
      </c>
      <c r="B8" s="13" t="s">
        <v>43</v>
      </c>
      <c r="C8" s="14" t="n">
        <v>3</v>
      </c>
      <c r="D8" s="15" t="n">
        <v>85</v>
      </c>
      <c r="E8" s="16" t="n">
        <v>0.5</v>
      </c>
      <c r="F8" s="15" t="n">
        <v>95</v>
      </c>
      <c r="G8" s="15"/>
      <c r="H8" s="17" t="n">
        <f aca="false">IF(OR(B8="",D8="",E8="",F8=""),"",D8*E8+F8*(1-E8))</f>
        <v>90</v>
      </c>
      <c r="I8" s="18" t="str">
        <f aca="false">IF(H8="","",LOOKUP(H8,'Not Tablosu'!$A$5:$A$13,'Not Tablosu'!$B$5:$B$13))</f>
        <v>AA</v>
      </c>
      <c r="J8" s="19" t="n">
        <f aca="false">IF(H8="","",LOOKUP(H8,'Not Tablosu'!$A$5:$A$13,'Not Tablosu'!$C$5:$C$13))</f>
        <v>4</v>
      </c>
      <c r="K8" s="17" t="str">
        <f aca="false">IF(OR(B8="",D8="",E8="",G8="",F8&lt;&gt;"",E8&gt;=1),"",(G8-D8*E8)/(1-E8))</f>
        <v/>
      </c>
      <c r="L8" s="20" t="n">
        <f aca="false">IF(J8="","",C8)</f>
        <v>3</v>
      </c>
      <c r="M8" s="18" t="n">
        <f aca="false">IF(J8="","",C8*J8)</f>
        <v>12</v>
      </c>
    </row>
    <row r="9" customFormat="false" ht="15" hidden="false" customHeight="false" outlineLevel="0" collapsed="false">
      <c r="A9" s="12"/>
      <c r="B9" s="13"/>
      <c r="C9" s="14"/>
      <c r="D9" s="15"/>
      <c r="E9" s="16"/>
      <c r="F9" s="15"/>
      <c r="G9" s="15"/>
      <c r="H9" s="17" t="str">
        <f aca="false">IF(OR(B9="",D9="",E9="",F9=""),"",D9*E9+F9*(1-E9))</f>
        <v/>
      </c>
      <c r="I9" s="18" t="str">
        <f aca="false">IF(H9="","",LOOKUP(H9,'Not Tablosu'!$A$5:$A$13,'Not Tablosu'!$B$5:$B$13))</f>
        <v/>
      </c>
      <c r="J9" s="19" t="str">
        <f aca="false">IF(H9="","",LOOKUP(H9,'Not Tablosu'!$A$5:$A$13,'Not Tablosu'!$C$5:$C$13))</f>
        <v/>
      </c>
      <c r="K9" s="17" t="str">
        <f aca="false">IF(OR(B9="",D9="",E9="",G9="",F9&lt;&gt;"",E9&gt;=1),"",(G9-D9*E9)/(1-E9))</f>
        <v/>
      </c>
      <c r="L9" s="18" t="str">
        <f aca="false">IF(J9="","",C9)</f>
        <v/>
      </c>
      <c r="M9" s="18" t="str">
        <f aca="false">IF(J9="","",C9*J9)</f>
        <v/>
      </c>
    </row>
    <row r="10" customFormat="false" ht="15" hidden="false" customHeight="false" outlineLevel="0" collapsed="false">
      <c r="A10" s="12"/>
      <c r="B10" s="13"/>
      <c r="C10" s="14"/>
      <c r="D10" s="15"/>
      <c r="E10" s="16"/>
      <c r="F10" s="15"/>
      <c r="G10" s="15"/>
      <c r="H10" s="17" t="str">
        <f aca="false">IF(OR(B10="",D10="",E10="",F10=""),"",D10*E10+F10*(1-E10))</f>
        <v/>
      </c>
      <c r="I10" s="18" t="str">
        <f aca="false">IF(H10="","",LOOKUP(H10,'Not Tablosu'!$A$5:$A$13,'Not Tablosu'!$B$5:$B$13))</f>
        <v/>
      </c>
      <c r="J10" s="19" t="str">
        <f aca="false">IF(H10="","",LOOKUP(H10,'Not Tablosu'!$A$5:$A$13,'Not Tablosu'!$C$5:$C$13))</f>
        <v/>
      </c>
      <c r="K10" s="17" t="str">
        <f aca="false">IF(OR(B10="",D10="",E10="",G10="",F10&lt;&gt;"",E10&gt;=1),"",(G10-D10*E10)/(1-E10))</f>
        <v/>
      </c>
      <c r="L10" s="18" t="str">
        <f aca="false">IF(J10="","",C10)</f>
        <v/>
      </c>
      <c r="M10" s="18" t="str">
        <f aca="false">IF(J10="","",C10*J10)</f>
        <v/>
      </c>
    </row>
    <row r="11" customFormat="false" ht="15" hidden="false" customHeight="false" outlineLevel="0" collapsed="false">
      <c r="A11" s="12"/>
      <c r="B11" s="13"/>
      <c r="C11" s="14"/>
      <c r="D11" s="15"/>
      <c r="E11" s="16"/>
      <c r="F11" s="15"/>
      <c r="G11" s="15"/>
      <c r="H11" s="17" t="str">
        <f aca="false">IF(OR(B11="",D11="",E11="",F11=""),"",D11*E11+F11*(1-E11))</f>
        <v/>
      </c>
      <c r="I11" s="18" t="str">
        <f aca="false">IF(H11="","",LOOKUP(H11,'Not Tablosu'!$A$5:$A$13,'Not Tablosu'!$B$5:$B$13))</f>
        <v/>
      </c>
      <c r="J11" s="19" t="str">
        <f aca="false">IF(H11="","",LOOKUP(H11,'Not Tablosu'!$A$5:$A$13,'Not Tablosu'!$C$5:$C$13))</f>
        <v/>
      </c>
      <c r="K11" s="17" t="str">
        <f aca="false">IF(OR(B11="",D11="",E11="",G11="",F11&lt;&gt;"",E11&gt;=1),"",(G11-D11*E11)/(1-E11))</f>
        <v/>
      </c>
      <c r="L11" s="18" t="str">
        <f aca="false">IF(J11="","",C11)</f>
        <v/>
      </c>
      <c r="M11" s="18" t="str">
        <f aca="false">IF(J11="","",C11*J11)</f>
        <v/>
      </c>
    </row>
    <row r="12" customFormat="false" ht="15" hidden="false" customHeight="false" outlineLevel="0" collapsed="false">
      <c r="A12" s="12"/>
      <c r="B12" s="13"/>
      <c r="C12" s="14"/>
      <c r="D12" s="15"/>
      <c r="E12" s="16"/>
      <c r="F12" s="15"/>
      <c r="G12" s="15"/>
      <c r="H12" s="17" t="str">
        <f aca="false">IF(OR(B12="",D12="",E12="",F12=""),"",D12*E12+F12*(1-E12))</f>
        <v/>
      </c>
      <c r="I12" s="18" t="str">
        <f aca="false">IF(H12="","",LOOKUP(H12,'Not Tablosu'!$A$5:$A$13,'Not Tablosu'!$B$5:$B$13))</f>
        <v/>
      </c>
      <c r="J12" s="19" t="str">
        <f aca="false">IF(H12="","",LOOKUP(H12,'Not Tablosu'!$A$5:$A$13,'Not Tablosu'!$C$5:$C$13))</f>
        <v/>
      </c>
      <c r="K12" s="17" t="str">
        <f aca="false">IF(OR(B12="",D12="",E12="",G12="",F12&lt;&gt;"",E12&gt;=1),"",(G12-D12*E12)/(1-E12))</f>
        <v/>
      </c>
      <c r="L12" s="18" t="str">
        <f aca="false">IF(J12="","",C12)</f>
        <v/>
      </c>
      <c r="M12" s="18" t="str">
        <f aca="false">IF(J12="","",C12*J12)</f>
        <v/>
      </c>
    </row>
    <row r="13" customFormat="false" ht="15" hidden="false" customHeight="false" outlineLevel="0" collapsed="false">
      <c r="A13" s="12"/>
      <c r="B13" s="13"/>
      <c r="C13" s="14"/>
      <c r="D13" s="15"/>
      <c r="E13" s="16"/>
      <c r="F13" s="15"/>
      <c r="G13" s="15"/>
      <c r="H13" s="17" t="str">
        <f aca="false">IF(OR(B13="",D13="",E13="",F13=""),"",D13*E13+F13*(1-E13))</f>
        <v/>
      </c>
      <c r="I13" s="18" t="str">
        <f aca="false">IF(H13="","",LOOKUP(H13,'Not Tablosu'!$A$5:$A$13,'Not Tablosu'!$B$5:$B$13))</f>
        <v/>
      </c>
      <c r="J13" s="19" t="str">
        <f aca="false">IF(H13="","",LOOKUP(H13,'Not Tablosu'!$A$5:$A$13,'Not Tablosu'!$C$5:$C$13))</f>
        <v/>
      </c>
      <c r="K13" s="17" t="str">
        <f aca="false">IF(OR(B13="",D13="",E13="",G13="",F13&lt;&gt;"",E13&gt;=1),"",(G13-D13*E13)/(1-E13))</f>
        <v/>
      </c>
      <c r="L13" s="18" t="str">
        <f aca="false">IF(J13="","",C13)</f>
        <v/>
      </c>
      <c r="M13" s="18" t="str">
        <f aca="false">IF(J13="","",C13*J13)</f>
        <v/>
      </c>
    </row>
    <row r="14" customFormat="false" ht="15" hidden="false" customHeight="false" outlineLevel="0" collapsed="false">
      <c r="A14" s="12"/>
      <c r="B14" s="13"/>
      <c r="C14" s="14"/>
      <c r="D14" s="15"/>
      <c r="E14" s="16"/>
      <c r="F14" s="15"/>
      <c r="G14" s="15"/>
      <c r="H14" s="17" t="str">
        <f aca="false">IF(OR(B14="",D14="",E14="",F14=""),"",D14*E14+F14*(1-E14))</f>
        <v/>
      </c>
      <c r="I14" s="18" t="str">
        <f aca="false">IF(H14="","",LOOKUP(H14,'Not Tablosu'!$A$5:$A$13,'Not Tablosu'!$B$5:$B$13))</f>
        <v/>
      </c>
      <c r="J14" s="19" t="str">
        <f aca="false">IF(H14="","",LOOKUP(H14,'Not Tablosu'!$A$5:$A$13,'Not Tablosu'!$C$5:$C$13))</f>
        <v/>
      </c>
      <c r="K14" s="17" t="str">
        <f aca="false">IF(OR(B14="",D14="",E14="",G14="",F14&lt;&gt;"",E14&gt;=1),"",(G14-D14*E14)/(1-E14))</f>
        <v/>
      </c>
      <c r="L14" s="18" t="str">
        <f aca="false">IF(J14="","",C14)</f>
        <v/>
      </c>
      <c r="M14" s="18" t="str">
        <f aca="false">IF(J14="","",C14*J14)</f>
        <v/>
      </c>
    </row>
    <row r="15" customFormat="false" ht="15" hidden="false" customHeight="false" outlineLevel="0" collapsed="false">
      <c r="A15" s="12"/>
      <c r="B15" s="13"/>
      <c r="C15" s="14"/>
      <c r="D15" s="15"/>
      <c r="E15" s="16"/>
      <c r="F15" s="15"/>
      <c r="G15" s="15"/>
      <c r="H15" s="17" t="str">
        <f aca="false">IF(OR(B15="",D15="",E15="",F15=""),"",D15*E15+F15*(1-E15))</f>
        <v/>
      </c>
      <c r="I15" s="18" t="str">
        <f aca="false">IF(H15="","",LOOKUP(H15,'Not Tablosu'!$A$5:$A$13,'Not Tablosu'!$B$5:$B$13))</f>
        <v/>
      </c>
      <c r="J15" s="19" t="str">
        <f aca="false">IF(H15="","",LOOKUP(H15,'Not Tablosu'!$A$5:$A$13,'Not Tablosu'!$C$5:$C$13))</f>
        <v/>
      </c>
      <c r="K15" s="17" t="str">
        <f aca="false">IF(OR(B15="",D15="",E15="",G15="",F15&lt;&gt;"",E15&gt;=1),"",(G15-D15*E15)/(1-E15))</f>
        <v/>
      </c>
      <c r="L15" s="18" t="str">
        <f aca="false">IF(J15="","",C15)</f>
        <v/>
      </c>
      <c r="M15" s="18" t="str">
        <f aca="false">IF(J15="","",C15*J15)</f>
        <v/>
      </c>
    </row>
    <row r="16" customFormat="false" ht="15" hidden="false" customHeight="false" outlineLevel="0" collapsed="false">
      <c r="A16" s="12"/>
      <c r="B16" s="13"/>
      <c r="C16" s="14"/>
      <c r="D16" s="15"/>
      <c r="E16" s="16"/>
      <c r="F16" s="15"/>
      <c r="G16" s="15"/>
      <c r="H16" s="17" t="str">
        <f aca="false">IF(OR(B16="",D16="",E16="",F16=""),"",D16*E16+F16*(1-E16))</f>
        <v/>
      </c>
      <c r="I16" s="18" t="str">
        <f aca="false">IF(H16="","",LOOKUP(H16,'Not Tablosu'!$A$5:$A$13,'Not Tablosu'!$B$5:$B$13))</f>
        <v/>
      </c>
      <c r="J16" s="19" t="str">
        <f aca="false">IF(H16="","",LOOKUP(H16,'Not Tablosu'!$A$5:$A$13,'Not Tablosu'!$C$5:$C$13))</f>
        <v/>
      </c>
      <c r="K16" s="17" t="str">
        <f aca="false">IF(OR(B16="",D16="",E16="",G16="",F16&lt;&gt;"",E16&gt;=1),"",(G16-D16*E16)/(1-E16))</f>
        <v/>
      </c>
      <c r="L16" s="18" t="str">
        <f aca="false">IF(J16="","",C16)</f>
        <v/>
      </c>
      <c r="M16" s="18" t="str">
        <f aca="false">IF(J16="","",C16*J16)</f>
        <v/>
      </c>
    </row>
    <row r="17" customFormat="false" ht="15" hidden="false" customHeight="false" outlineLevel="0" collapsed="false">
      <c r="A17" s="12"/>
      <c r="B17" s="13"/>
      <c r="C17" s="14"/>
      <c r="D17" s="15"/>
      <c r="E17" s="16"/>
      <c r="F17" s="15"/>
      <c r="G17" s="15"/>
      <c r="H17" s="17" t="str">
        <f aca="false">IF(OR(B17="",D17="",E17="",F17=""),"",D17*E17+F17*(1-E17))</f>
        <v/>
      </c>
      <c r="I17" s="18" t="str">
        <f aca="false">IF(H17="","",LOOKUP(H17,'Not Tablosu'!$A$5:$A$13,'Not Tablosu'!$B$5:$B$13))</f>
        <v/>
      </c>
      <c r="J17" s="19" t="str">
        <f aca="false">IF(H17="","",LOOKUP(H17,'Not Tablosu'!$A$5:$A$13,'Not Tablosu'!$C$5:$C$13))</f>
        <v/>
      </c>
      <c r="K17" s="17" t="str">
        <f aca="false">IF(OR(B17="",D17="",E17="",G17="",F17&lt;&gt;"",E17&gt;=1),"",(G17-D17*E17)/(1-E17))</f>
        <v/>
      </c>
      <c r="L17" s="18" t="str">
        <f aca="false">IF(J17="","",C17)</f>
        <v/>
      </c>
      <c r="M17" s="18" t="str">
        <f aca="false">IF(J17="","",C17*J17)</f>
        <v/>
      </c>
    </row>
    <row r="18" customFormat="false" ht="15" hidden="false" customHeight="false" outlineLevel="0" collapsed="false">
      <c r="A18" s="12"/>
      <c r="B18" s="13"/>
      <c r="C18" s="14"/>
      <c r="D18" s="15"/>
      <c r="E18" s="16"/>
      <c r="F18" s="15"/>
      <c r="G18" s="15"/>
      <c r="H18" s="17" t="str">
        <f aca="false">IF(OR(B18="",D18="",E18="",F18=""),"",D18*E18+F18*(1-E18))</f>
        <v/>
      </c>
      <c r="I18" s="18" t="str">
        <f aca="false">IF(H18="","",LOOKUP(H18,'Not Tablosu'!$A$5:$A$13,'Not Tablosu'!$B$5:$B$13))</f>
        <v/>
      </c>
      <c r="J18" s="19" t="str">
        <f aca="false">IF(H18="","",LOOKUP(H18,'Not Tablosu'!$A$5:$A$13,'Not Tablosu'!$C$5:$C$13))</f>
        <v/>
      </c>
      <c r="K18" s="17" t="str">
        <f aca="false">IF(OR(B18="",D18="",E18="",G18="",F18&lt;&gt;"",E18&gt;=1),"",(G18-D18*E18)/(1-E18))</f>
        <v/>
      </c>
      <c r="L18" s="18" t="str">
        <f aca="false">IF(J18="","",C18)</f>
        <v/>
      </c>
      <c r="M18" s="18" t="str">
        <f aca="false">IF(J18="","",C18*J18)</f>
        <v/>
      </c>
    </row>
    <row r="19" customFormat="false" ht="15" hidden="false" customHeight="false" outlineLevel="0" collapsed="false">
      <c r="A19" s="12"/>
      <c r="B19" s="13"/>
      <c r="C19" s="14"/>
      <c r="D19" s="15"/>
      <c r="E19" s="16"/>
      <c r="F19" s="15"/>
      <c r="G19" s="15"/>
      <c r="H19" s="17" t="str">
        <f aca="false">IF(OR(B19="",D19="",E19="",F19=""),"",D19*E19+F19*(1-E19))</f>
        <v/>
      </c>
      <c r="I19" s="18" t="str">
        <f aca="false">IF(H19="","",LOOKUP(H19,'Not Tablosu'!$A$5:$A$13,'Not Tablosu'!$B$5:$B$13))</f>
        <v/>
      </c>
      <c r="J19" s="19" t="str">
        <f aca="false">IF(H19="","",LOOKUP(H19,'Not Tablosu'!$A$5:$A$13,'Not Tablosu'!$C$5:$C$13))</f>
        <v/>
      </c>
      <c r="K19" s="17" t="str">
        <f aca="false">IF(OR(B19="",D19="",E19="",G19="",F19&lt;&gt;"",E19&gt;=1),"",(G19-D19*E19)/(1-E19))</f>
        <v/>
      </c>
      <c r="L19" s="18" t="str">
        <f aca="false">IF(J19="","",C19)</f>
        <v/>
      </c>
      <c r="M19" s="18" t="str">
        <f aca="false">IF(J19="","",C19*J19)</f>
        <v/>
      </c>
    </row>
    <row r="20" customFormat="false" ht="15" hidden="false" customHeight="false" outlineLevel="0" collapsed="false">
      <c r="A20" s="12"/>
      <c r="B20" s="13"/>
      <c r="C20" s="14"/>
      <c r="D20" s="15"/>
      <c r="E20" s="16"/>
      <c r="F20" s="15"/>
      <c r="G20" s="15"/>
      <c r="H20" s="17" t="str">
        <f aca="false">IF(OR(B20="",D20="",E20="",F20=""),"",D20*E20+F20*(1-E20))</f>
        <v/>
      </c>
      <c r="I20" s="18" t="str">
        <f aca="false">IF(H20="","",LOOKUP(H20,'Not Tablosu'!$A$5:$A$13,'Not Tablosu'!$B$5:$B$13))</f>
        <v/>
      </c>
      <c r="J20" s="19" t="str">
        <f aca="false">IF(H20="","",LOOKUP(H20,'Not Tablosu'!$A$5:$A$13,'Not Tablosu'!$C$5:$C$13))</f>
        <v/>
      </c>
      <c r="K20" s="17" t="str">
        <f aca="false">IF(OR(B20="",D20="",E20="",G20="",F20&lt;&gt;"",E20&gt;=1),"",(G20-D20*E20)/(1-E20))</f>
        <v/>
      </c>
      <c r="L20" s="18" t="str">
        <f aca="false">IF(J20="","",C20)</f>
        <v/>
      </c>
      <c r="M20" s="18" t="str">
        <f aca="false">IF(J20="","",C20*J20)</f>
        <v/>
      </c>
    </row>
    <row r="21" customFormat="false" ht="15" hidden="false" customHeight="false" outlineLevel="0" collapsed="false">
      <c r="A21" s="12"/>
      <c r="B21" s="13"/>
      <c r="C21" s="14"/>
      <c r="D21" s="15"/>
      <c r="E21" s="16"/>
      <c r="F21" s="15"/>
      <c r="G21" s="15"/>
      <c r="H21" s="17" t="str">
        <f aca="false">IF(OR(B21="",D21="",E21="",F21=""),"",D21*E21+F21*(1-E21))</f>
        <v/>
      </c>
      <c r="I21" s="18" t="str">
        <f aca="false">IF(H21="","",LOOKUP(H21,'Not Tablosu'!$A$5:$A$13,'Not Tablosu'!$B$5:$B$13))</f>
        <v/>
      </c>
      <c r="J21" s="19" t="str">
        <f aca="false">IF(H21="","",LOOKUP(H21,'Not Tablosu'!$A$5:$A$13,'Not Tablosu'!$C$5:$C$13))</f>
        <v/>
      </c>
      <c r="K21" s="17" t="str">
        <f aca="false">IF(OR(B21="",D21="",E21="",G21="",F21&lt;&gt;"",E21&gt;=1),"",(G21-D21*E21)/(1-E21))</f>
        <v/>
      </c>
      <c r="L21" s="18" t="str">
        <f aca="false">IF(J21="","",C21)</f>
        <v/>
      </c>
      <c r="M21" s="18" t="str">
        <f aca="false">IF(J21="","",C21*J21)</f>
        <v/>
      </c>
    </row>
    <row r="22" customFormat="false" ht="15" hidden="false" customHeight="false" outlineLevel="0" collapsed="false">
      <c r="A22" s="12"/>
      <c r="B22" s="13"/>
      <c r="C22" s="14"/>
      <c r="D22" s="15"/>
      <c r="E22" s="16"/>
      <c r="F22" s="15"/>
      <c r="G22" s="15"/>
      <c r="H22" s="17" t="str">
        <f aca="false">IF(OR(B22="",D22="",E22="",F22=""),"",D22*E22+F22*(1-E22))</f>
        <v/>
      </c>
      <c r="I22" s="18" t="str">
        <f aca="false">IF(H22="","",LOOKUP(H22,'Not Tablosu'!$A$5:$A$13,'Not Tablosu'!$B$5:$B$13))</f>
        <v/>
      </c>
      <c r="J22" s="19" t="str">
        <f aca="false">IF(H22="","",LOOKUP(H22,'Not Tablosu'!$A$5:$A$13,'Not Tablosu'!$C$5:$C$13))</f>
        <v/>
      </c>
      <c r="K22" s="17" t="str">
        <f aca="false">IF(OR(B22="",D22="",E22="",G22="",F22&lt;&gt;"",E22&gt;=1),"",(G22-D22*E22)/(1-E22))</f>
        <v/>
      </c>
      <c r="L22" s="18" t="str">
        <f aca="false">IF(J22="","",C22)</f>
        <v/>
      </c>
      <c r="M22" s="18" t="str">
        <f aca="false">IF(J22="","",C22*J22)</f>
        <v/>
      </c>
    </row>
    <row r="23" customFormat="false" ht="15" hidden="false" customHeight="false" outlineLevel="0" collapsed="false">
      <c r="A23" s="12"/>
      <c r="B23" s="13"/>
      <c r="C23" s="14"/>
      <c r="D23" s="15"/>
      <c r="E23" s="16"/>
      <c r="F23" s="15"/>
      <c r="G23" s="15"/>
      <c r="H23" s="17" t="str">
        <f aca="false">IF(OR(B23="",D23="",E23="",F23=""),"",D23*E23+F23*(1-E23))</f>
        <v/>
      </c>
      <c r="I23" s="18" t="str">
        <f aca="false">IF(H23="","",LOOKUP(H23,'Not Tablosu'!$A$5:$A$13,'Not Tablosu'!$B$5:$B$13))</f>
        <v/>
      </c>
      <c r="J23" s="19" t="str">
        <f aca="false">IF(H23="","",LOOKUP(H23,'Not Tablosu'!$A$5:$A$13,'Not Tablosu'!$C$5:$C$13))</f>
        <v/>
      </c>
      <c r="K23" s="17" t="str">
        <f aca="false">IF(OR(B23="",D23="",E23="",G23="",F23&lt;&gt;"",E23&gt;=1),"",(G23-D23*E23)/(1-E23))</f>
        <v/>
      </c>
      <c r="L23" s="18" t="str">
        <f aca="false">IF(J23="","",C23)</f>
        <v/>
      </c>
      <c r="M23" s="18" t="str">
        <f aca="false">IF(J23="","",C23*J23)</f>
        <v/>
      </c>
    </row>
    <row r="24" customFormat="false" ht="15" hidden="false" customHeight="false" outlineLevel="0" collapsed="false">
      <c r="A24" s="12"/>
      <c r="B24" s="13"/>
      <c r="C24" s="14"/>
      <c r="D24" s="15"/>
      <c r="E24" s="16"/>
      <c r="F24" s="15"/>
      <c r="G24" s="15"/>
      <c r="H24" s="17" t="str">
        <f aca="false">IF(OR(B24="",D24="",E24="",F24=""),"",D24*E24+F24*(1-E24))</f>
        <v/>
      </c>
      <c r="I24" s="18" t="str">
        <f aca="false">IF(H24="","",LOOKUP(H24,'Not Tablosu'!$A$5:$A$13,'Not Tablosu'!$B$5:$B$13))</f>
        <v/>
      </c>
      <c r="J24" s="19" t="str">
        <f aca="false">IF(H24="","",LOOKUP(H24,'Not Tablosu'!$A$5:$A$13,'Not Tablosu'!$C$5:$C$13))</f>
        <v/>
      </c>
      <c r="K24" s="17" t="str">
        <f aca="false">IF(OR(B24="",D24="",E24="",G24="",F24&lt;&gt;"",E24&gt;=1),"",(G24-D24*E24)/(1-E24))</f>
        <v/>
      </c>
      <c r="L24" s="18" t="str">
        <f aca="false">IF(J24="","",C24)</f>
        <v/>
      </c>
      <c r="M24" s="18" t="str">
        <f aca="false">IF(J24="","",C24*J24)</f>
        <v/>
      </c>
    </row>
    <row r="25" customFormat="false" ht="15" hidden="false" customHeight="false" outlineLevel="0" collapsed="false">
      <c r="A25" s="12"/>
      <c r="B25" s="13"/>
      <c r="C25" s="14"/>
      <c r="D25" s="15"/>
      <c r="E25" s="16"/>
      <c r="F25" s="15"/>
      <c r="G25" s="15"/>
      <c r="H25" s="17" t="str">
        <f aca="false">IF(OR(B25="",D25="",E25="",F25=""),"",D25*E25+F25*(1-E25))</f>
        <v/>
      </c>
      <c r="I25" s="18" t="str">
        <f aca="false">IF(H25="","",LOOKUP(H25,'Not Tablosu'!$A$5:$A$13,'Not Tablosu'!$B$5:$B$13))</f>
        <v/>
      </c>
      <c r="J25" s="19" t="str">
        <f aca="false">IF(H25="","",LOOKUP(H25,'Not Tablosu'!$A$5:$A$13,'Not Tablosu'!$C$5:$C$13))</f>
        <v/>
      </c>
      <c r="K25" s="17" t="str">
        <f aca="false">IF(OR(B25="",D25="",E25="",G25="",F25&lt;&gt;"",E25&gt;=1),"",(G25-D25*E25)/(1-E25))</f>
        <v/>
      </c>
      <c r="L25" s="18" t="str">
        <f aca="false">IF(J25="","",C25)</f>
        <v/>
      </c>
      <c r="M25" s="18" t="str">
        <f aca="false">IF(J25="","",C25*J25)</f>
        <v/>
      </c>
    </row>
    <row r="26" customFormat="false" ht="15" hidden="false" customHeight="false" outlineLevel="0" collapsed="false">
      <c r="A26" s="12"/>
      <c r="B26" s="13"/>
      <c r="C26" s="14"/>
      <c r="D26" s="15"/>
      <c r="E26" s="16"/>
      <c r="F26" s="15"/>
      <c r="G26" s="15"/>
      <c r="H26" s="17" t="str">
        <f aca="false">IF(OR(B26="",D26="",E26="",F26=""),"",D26*E26+F26*(1-E26))</f>
        <v/>
      </c>
      <c r="I26" s="18" t="str">
        <f aca="false">IF(H26="","",LOOKUP(H26,'Not Tablosu'!$A$5:$A$13,'Not Tablosu'!$B$5:$B$13))</f>
        <v/>
      </c>
      <c r="J26" s="19" t="str">
        <f aca="false">IF(H26="","",LOOKUP(H26,'Not Tablosu'!$A$5:$A$13,'Not Tablosu'!$C$5:$C$13))</f>
        <v/>
      </c>
      <c r="K26" s="17" t="str">
        <f aca="false">IF(OR(B26="",D26="",E26="",G26="",F26&lt;&gt;"",E26&gt;=1),"",(G26-D26*E26)/(1-E26))</f>
        <v/>
      </c>
      <c r="L26" s="18" t="str">
        <f aca="false">IF(J26="","",C26)</f>
        <v/>
      </c>
      <c r="M26" s="18" t="str">
        <f aca="false">IF(J26="","",C26*J26)</f>
        <v/>
      </c>
    </row>
    <row r="27" customFormat="false" ht="15" hidden="false" customHeight="false" outlineLevel="0" collapsed="false">
      <c r="A27" s="12"/>
      <c r="B27" s="13"/>
      <c r="C27" s="14"/>
      <c r="D27" s="15"/>
      <c r="E27" s="16"/>
      <c r="F27" s="15"/>
      <c r="G27" s="15"/>
      <c r="H27" s="17" t="str">
        <f aca="false">IF(OR(B27="",D27="",E27="",F27=""),"",D27*E27+F27*(1-E27))</f>
        <v/>
      </c>
      <c r="I27" s="18" t="str">
        <f aca="false">IF(H27="","",LOOKUP(H27,'Not Tablosu'!$A$5:$A$13,'Not Tablosu'!$B$5:$B$13))</f>
        <v/>
      </c>
      <c r="J27" s="19" t="str">
        <f aca="false">IF(H27="","",LOOKUP(H27,'Not Tablosu'!$A$5:$A$13,'Not Tablosu'!$C$5:$C$13))</f>
        <v/>
      </c>
      <c r="K27" s="17" t="str">
        <f aca="false">IF(OR(B27="",D27="",E27="",G27="",F27&lt;&gt;"",E27&gt;=1),"",(G27-D27*E27)/(1-E27))</f>
        <v/>
      </c>
      <c r="L27" s="18" t="str">
        <f aca="false">IF(J27="","",C27)</f>
        <v/>
      </c>
      <c r="M27" s="18" t="str">
        <f aca="false">IF(J27="","",C27*J27)</f>
        <v/>
      </c>
    </row>
    <row r="28" customFormat="false" ht="15" hidden="false" customHeight="false" outlineLevel="0" collapsed="false">
      <c r="A28" s="12"/>
      <c r="B28" s="13"/>
      <c r="C28" s="14"/>
      <c r="D28" s="15"/>
      <c r="E28" s="16"/>
      <c r="F28" s="15"/>
      <c r="G28" s="15"/>
      <c r="H28" s="17" t="str">
        <f aca="false">IF(OR(B28="",D28="",E28="",F28=""),"",D28*E28+F28*(1-E28))</f>
        <v/>
      </c>
      <c r="I28" s="18" t="str">
        <f aca="false">IF(H28="","",LOOKUP(H28,'Not Tablosu'!$A$5:$A$13,'Not Tablosu'!$B$5:$B$13))</f>
        <v/>
      </c>
      <c r="J28" s="19" t="str">
        <f aca="false">IF(H28="","",LOOKUP(H28,'Not Tablosu'!$A$5:$A$13,'Not Tablosu'!$C$5:$C$13))</f>
        <v/>
      </c>
      <c r="K28" s="17" t="str">
        <f aca="false">IF(OR(B28="",D28="",E28="",G28="",F28&lt;&gt;"",E28&gt;=1),"",(G28-D28*E28)/(1-E28))</f>
        <v/>
      </c>
      <c r="L28" s="18" t="str">
        <f aca="false">IF(J28="","",C28)</f>
        <v/>
      </c>
      <c r="M28" s="18" t="str">
        <f aca="false">IF(J28="","",C28*J28)</f>
        <v/>
      </c>
    </row>
    <row r="29" customFormat="false" ht="15" hidden="false" customHeight="false" outlineLevel="0" collapsed="false">
      <c r="A29" s="12"/>
      <c r="B29" s="13"/>
      <c r="C29" s="14"/>
      <c r="D29" s="15"/>
      <c r="E29" s="16"/>
      <c r="F29" s="15"/>
      <c r="G29" s="15"/>
      <c r="H29" s="17" t="str">
        <f aca="false">IF(OR(B29="",D29="",E29="",F29=""),"",D29*E29+F29*(1-E29))</f>
        <v/>
      </c>
      <c r="I29" s="18" t="str">
        <f aca="false">IF(H29="","",LOOKUP(H29,'Not Tablosu'!$A$5:$A$13,'Not Tablosu'!$B$5:$B$13))</f>
        <v/>
      </c>
      <c r="J29" s="19" t="str">
        <f aca="false">IF(H29="","",LOOKUP(H29,'Not Tablosu'!$A$5:$A$13,'Not Tablosu'!$C$5:$C$13))</f>
        <v/>
      </c>
      <c r="K29" s="17" t="str">
        <f aca="false">IF(OR(B29="",D29="",E29="",G29="",F29&lt;&gt;"",E29&gt;=1),"",(G29-D29*E29)/(1-E29))</f>
        <v/>
      </c>
      <c r="L29" s="18" t="str">
        <f aca="false">IF(J29="","",C29)</f>
        <v/>
      </c>
      <c r="M29" s="18" t="str">
        <f aca="false">IF(J29="","",C29*J29)</f>
        <v/>
      </c>
    </row>
    <row r="30" customFormat="false" ht="15" hidden="false" customHeight="false" outlineLevel="0" collapsed="false">
      <c r="A30" s="12"/>
      <c r="B30" s="13"/>
      <c r="C30" s="14"/>
      <c r="D30" s="15"/>
      <c r="E30" s="16"/>
      <c r="F30" s="15"/>
      <c r="G30" s="15"/>
      <c r="H30" s="17" t="str">
        <f aca="false">IF(OR(B30="",D30="",E30="",F30=""),"",D30*E30+F30*(1-E30))</f>
        <v/>
      </c>
      <c r="I30" s="18" t="str">
        <f aca="false">IF(H30="","",LOOKUP(H30,'Not Tablosu'!$A$5:$A$13,'Not Tablosu'!$B$5:$B$13))</f>
        <v/>
      </c>
      <c r="J30" s="19" t="str">
        <f aca="false">IF(H30="","",LOOKUP(H30,'Not Tablosu'!$A$5:$A$13,'Not Tablosu'!$C$5:$C$13))</f>
        <v/>
      </c>
      <c r="K30" s="17" t="str">
        <f aca="false">IF(OR(B30="",D30="",E30="",G30="",F30&lt;&gt;"",E30&gt;=1),"",(G30-D30*E30)/(1-E30))</f>
        <v/>
      </c>
      <c r="L30" s="18" t="str">
        <f aca="false">IF(J30="","",C30)</f>
        <v/>
      </c>
      <c r="M30" s="18" t="str">
        <f aca="false">IF(J30="","",C30*J30)</f>
        <v/>
      </c>
    </row>
    <row r="31" customFormat="false" ht="15" hidden="false" customHeight="false" outlineLevel="0" collapsed="false">
      <c r="A31" s="12"/>
      <c r="B31" s="13"/>
      <c r="C31" s="14"/>
      <c r="D31" s="15"/>
      <c r="E31" s="16"/>
      <c r="F31" s="15"/>
      <c r="G31" s="15"/>
      <c r="H31" s="17" t="str">
        <f aca="false">IF(OR(B31="",D31="",E31="",F31=""),"",D31*E31+F31*(1-E31))</f>
        <v/>
      </c>
      <c r="I31" s="18" t="str">
        <f aca="false">IF(H31="","",LOOKUP(H31,'Not Tablosu'!$A$5:$A$13,'Not Tablosu'!$B$5:$B$13))</f>
        <v/>
      </c>
      <c r="J31" s="19" t="str">
        <f aca="false">IF(H31="","",LOOKUP(H31,'Not Tablosu'!$A$5:$A$13,'Not Tablosu'!$C$5:$C$13))</f>
        <v/>
      </c>
      <c r="K31" s="17" t="str">
        <f aca="false">IF(OR(B31="",D31="",E31="",G31="",F31&lt;&gt;"",E31&gt;=1),"",(G31-D31*E31)/(1-E31))</f>
        <v/>
      </c>
      <c r="L31" s="18" t="str">
        <f aca="false">IF(J31="","",C31)</f>
        <v/>
      </c>
      <c r="M31" s="18" t="str">
        <f aca="false">IF(J31="","",C31*J31)</f>
        <v/>
      </c>
    </row>
    <row r="32" customFormat="false" ht="15" hidden="false" customHeight="false" outlineLevel="0" collapsed="false">
      <c r="A32" s="12"/>
      <c r="B32" s="13"/>
      <c r="C32" s="14"/>
      <c r="D32" s="15"/>
      <c r="E32" s="16"/>
      <c r="F32" s="15"/>
      <c r="G32" s="15"/>
      <c r="H32" s="17" t="str">
        <f aca="false">IF(OR(B32="",D32="",E32="",F32=""),"",D32*E32+F32*(1-E32))</f>
        <v/>
      </c>
      <c r="I32" s="18" t="str">
        <f aca="false">IF(H32="","",LOOKUP(H32,'Not Tablosu'!$A$5:$A$13,'Not Tablosu'!$B$5:$B$13))</f>
        <v/>
      </c>
      <c r="J32" s="19" t="str">
        <f aca="false">IF(H32="","",LOOKUP(H32,'Not Tablosu'!$A$5:$A$13,'Not Tablosu'!$C$5:$C$13))</f>
        <v/>
      </c>
      <c r="K32" s="17" t="str">
        <f aca="false">IF(OR(B32="",D32="",E32="",G32="",F32&lt;&gt;"",E32&gt;=1),"",(G32-D32*E32)/(1-E32))</f>
        <v/>
      </c>
      <c r="L32" s="18" t="str">
        <f aca="false">IF(J32="","",C32)</f>
        <v/>
      </c>
      <c r="M32" s="18" t="str">
        <f aca="false">IF(J32="","",C32*J32)</f>
        <v/>
      </c>
    </row>
    <row r="33" customFormat="false" ht="15" hidden="false" customHeight="false" outlineLevel="0" collapsed="false">
      <c r="A33" s="12"/>
      <c r="B33" s="13"/>
      <c r="C33" s="14"/>
      <c r="D33" s="15"/>
      <c r="E33" s="16"/>
      <c r="F33" s="15"/>
      <c r="G33" s="15"/>
      <c r="H33" s="17" t="str">
        <f aca="false">IF(OR(B33="",D33="",E33="",F33=""),"",D33*E33+F33*(1-E33))</f>
        <v/>
      </c>
      <c r="I33" s="18" t="str">
        <f aca="false">IF(H33="","",LOOKUP(H33,'Not Tablosu'!$A$5:$A$13,'Not Tablosu'!$B$5:$B$13))</f>
        <v/>
      </c>
      <c r="J33" s="19" t="str">
        <f aca="false">IF(H33="","",LOOKUP(H33,'Not Tablosu'!$A$5:$A$13,'Not Tablosu'!$C$5:$C$13))</f>
        <v/>
      </c>
      <c r="K33" s="17" t="str">
        <f aca="false">IF(OR(B33="",D33="",E33="",G33="",F33&lt;&gt;"",E33&gt;=1),"",(G33-D33*E33)/(1-E33))</f>
        <v/>
      </c>
      <c r="L33" s="18" t="str">
        <f aca="false">IF(J33="","",C33)</f>
        <v/>
      </c>
      <c r="M33" s="18" t="str">
        <f aca="false">IF(J33="","",C33*J33)</f>
        <v/>
      </c>
    </row>
    <row r="34" customFormat="false" ht="15" hidden="false" customHeight="false" outlineLevel="0" collapsed="false">
      <c r="A34" s="12"/>
      <c r="B34" s="13"/>
      <c r="C34" s="14"/>
      <c r="D34" s="15"/>
      <c r="E34" s="16"/>
      <c r="F34" s="15"/>
      <c r="G34" s="15"/>
      <c r="H34" s="17" t="str">
        <f aca="false">IF(OR(B34="",D34="",E34="",F34=""),"",D34*E34+F34*(1-E34))</f>
        <v/>
      </c>
      <c r="I34" s="18" t="str">
        <f aca="false">IF(H34="","",LOOKUP(H34,'Not Tablosu'!$A$5:$A$13,'Not Tablosu'!$B$5:$B$13))</f>
        <v/>
      </c>
      <c r="J34" s="19" t="str">
        <f aca="false">IF(H34="","",LOOKUP(H34,'Not Tablosu'!$A$5:$A$13,'Not Tablosu'!$C$5:$C$13))</f>
        <v/>
      </c>
      <c r="K34" s="17" t="str">
        <f aca="false">IF(OR(B34="",D34="",E34="",G34="",F34&lt;&gt;"",E34&gt;=1),"",(G34-D34*E34)/(1-E34))</f>
        <v/>
      </c>
      <c r="L34" s="18" t="str">
        <f aca="false">IF(J34="","",C34)</f>
        <v/>
      </c>
      <c r="M34" s="18" t="str">
        <f aca="false">IF(J34="","",C34*J34)</f>
        <v/>
      </c>
    </row>
    <row r="35" customFormat="false" ht="15" hidden="false" customHeight="false" outlineLevel="0" collapsed="false">
      <c r="A35" s="12"/>
      <c r="B35" s="13"/>
      <c r="C35" s="14"/>
      <c r="D35" s="15"/>
      <c r="E35" s="16"/>
      <c r="F35" s="15"/>
      <c r="G35" s="15"/>
      <c r="H35" s="17" t="str">
        <f aca="false">IF(OR(B35="",D35="",E35="",F35=""),"",D35*E35+F35*(1-E35))</f>
        <v/>
      </c>
      <c r="I35" s="18" t="str">
        <f aca="false">IF(H35="","",LOOKUP(H35,'Not Tablosu'!$A$5:$A$13,'Not Tablosu'!$B$5:$B$13))</f>
        <v/>
      </c>
      <c r="J35" s="19" t="str">
        <f aca="false">IF(H35="","",LOOKUP(H35,'Not Tablosu'!$A$5:$A$13,'Not Tablosu'!$C$5:$C$13))</f>
        <v/>
      </c>
      <c r="K35" s="17" t="str">
        <f aca="false">IF(OR(B35="",D35="",E35="",G35="",F35&lt;&gt;"",E35&gt;=1),"",(G35-D35*E35)/(1-E35))</f>
        <v/>
      </c>
      <c r="L35" s="18" t="str">
        <f aca="false">IF(J35="","",C35)</f>
        <v/>
      </c>
      <c r="M35" s="18" t="str">
        <f aca="false">IF(J35="","",C35*J35)</f>
        <v/>
      </c>
    </row>
    <row r="36" customFormat="false" ht="15" hidden="false" customHeight="false" outlineLevel="0" collapsed="false">
      <c r="A36" s="12"/>
      <c r="B36" s="13"/>
      <c r="C36" s="14"/>
      <c r="D36" s="15"/>
      <c r="E36" s="16"/>
      <c r="F36" s="15"/>
      <c r="G36" s="15"/>
      <c r="H36" s="17" t="str">
        <f aca="false">IF(OR(B36="",D36="",E36="",F36=""),"",D36*E36+F36*(1-E36))</f>
        <v/>
      </c>
      <c r="I36" s="18" t="str">
        <f aca="false">IF(H36="","",LOOKUP(H36,'Not Tablosu'!$A$5:$A$13,'Not Tablosu'!$B$5:$B$13))</f>
        <v/>
      </c>
      <c r="J36" s="19" t="str">
        <f aca="false">IF(H36="","",LOOKUP(H36,'Not Tablosu'!$A$5:$A$13,'Not Tablosu'!$C$5:$C$13))</f>
        <v/>
      </c>
      <c r="K36" s="17" t="str">
        <f aca="false">IF(OR(B36="",D36="",E36="",G36="",F36&lt;&gt;"",E36&gt;=1),"",(G36-D36*E36)/(1-E36))</f>
        <v/>
      </c>
      <c r="L36" s="18" t="str">
        <f aca="false">IF(J36="","",C36)</f>
        <v/>
      </c>
      <c r="M36" s="18" t="str">
        <f aca="false">IF(J36="","",C36*J36)</f>
        <v/>
      </c>
    </row>
    <row r="37" customFormat="false" ht="15" hidden="false" customHeight="false" outlineLevel="0" collapsed="false">
      <c r="A37" s="12"/>
      <c r="B37" s="13"/>
      <c r="C37" s="14"/>
      <c r="D37" s="15"/>
      <c r="E37" s="16"/>
      <c r="F37" s="15"/>
      <c r="G37" s="15"/>
      <c r="H37" s="17" t="str">
        <f aca="false">IF(OR(B37="",D37="",E37="",F37=""),"",D37*E37+F37*(1-E37))</f>
        <v/>
      </c>
      <c r="I37" s="18" t="str">
        <f aca="false">IF(H37="","",LOOKUP(H37,'Not Tablosu'!$A$5:$A$13,'Not Tablosu'!$B$5:$B$13))</f>
        <v/>
      </c>
      <c r="J37" s="19" t="str">
        <f aca="false">IF(H37="","",LOOKUP(H37,'Not Tablosu'!$A$5:$A$13,'Not Tablosu'!$C$5:$C$13))</f>
        <v/>
      </c>
      <c r="K37" s="17" t="str">
        <f aca="false">IF(OR(B37="",D37="",E37="",G37="",F37&lt;&gt;"",E37&gt;=1),"",(G37-D37*E37)/(1-E37))</f>
        <v/>
      </c>
      <c r="L37" s="18" t="str">
        <f aca="false">IF(J37="","",C37)</f>
        <v/>
      </c>
      <c r="M37" s="18" t="str">
        <f aca="false">IF(J37="","",C37*J37)</f>
        <v/>
      </c>
    </row>
    <row r="38" customFormat="false" ht="15" hidden="false" customHeight="false" outlineLevel="0" collapsed="false">
      <c r="A38" s="12"/>
      <c r="B38" s="13"/>
      <c r="C38" s="14"/>
      <c r="D38" s="15"/>
      <c r="E38" s="16"/>
      <c r="F38" s="15"/>
      <c r="G38" s="15"/>
      <c r="H38" s="17" t="str">
        <f aca="false">IF(OR(B38="",D38="",E38="",F38=""),"",D38*E38+F38*(1-E38))</f>
        <v/>
      </c>
      <c r="I38" s="18" t="str">
        <f aca="false">IF(H38="","",LOOKUP(H38,'Not Tablosu'!$A$5:$A$13,'Not Tablosu'!$B$5:$B$13))</f>
        <v/>
      </c>
      <c r="J38" s="19" t="str">
        <f aca="false">IF(H38="","",LOOKUP(H38,'Not Tablosu'!$A$5:$A$13,'Not Tablosu'!$C$5:$C$13))</f>
        <v/>
      </c>
      <c r="K38" s="17" t="str">
        <f aca="false">IF(OR(B38="",D38="",E38="",G38="",F38&lt;&gt;"",E38&gt;=1),"",(G38-D38*E38)/(1-E38))</f>
        <v/>
      </c>
      <c r="L38" s="18" t="str">
        <f aca="false">IF(J38="","",C38)</f>
        <v/>
      </c>
      <c r="M38" s="18" t="str">
        <f aca="false">IF(J38="","",C38*J38)</f>
        <v/>
      </c>
    </row>
    <row r="39" customFormat="false" ht="15" hidden="false" customHeight="false" outlineLevel="0" collapsed="false">
      <c r="A39" s="12"/>
      <c r="B39" s="13"/>
      <c r="C39" s="14"/>
      <c r="D39" s="15"/>
      <c r="E39" s="16"/>
      <c r="F39" s="15"/>
      <c r="G39" s="15"/>
      <c r="H39" s="17" t="str">
        <f aca="false">IF(OR(B39="",D39="",E39="",F39=""),"",D39*E39+F39*(1-E39))</f>
        <v/>
      </c>
      <c r="I39" s="18" t="str">
        <f aca="false">IF(H39="","",LOOKUP(H39,'Not Tablosu'!$A$5:$A$13,'Not Tablosu'!$B$5:$B$13))</f>
        <v/>
      </c>
      <c r="J39" s="19" t="str">
        <f aca="false">IF(H39="","",LOOKUP(H39,'Not Tablosu'!$A$5:$A$13,'Not Tablosu'!$C$5:$C$13))</f>
        <v/>
      </c>
      <c r="K39" s="17" t="str">
        <f aca="false">IF(OR(B39="",D39="",E39="",G39="",F39&lt;&gt;"",E39&gt;=1),"",(G39-D39*E39)/(1-E39))</f>
        <v/>
      </c>
      <c r="L39" s="18" t="str">
        <f aca="false">IF(J39="","",C39)</f>
        <v/>
      </c>
      <c r="M39" s="18" t="str">
        <f aca="false">IF(J39="","",C39*J39)</f>
        <v/>
      </c>
    </row>
    <row r="40" customFormat="false" ht="15" hidden="false" customHeight="false" outlineLevel="0" collapsed="false">
      <c r="A40" s="12"/>
      <c r="B40" s="13"/>
      <c r="C40" s="14"/>
      <c r="D40" s="15"/>
      <c r="E40" s="16"/>
      <c r="F40" s="15"/>
      <c r="G40" s="15"/>
      <c r="H40" s="17" t="str">
        <f aca="false">IF(OR(B40="",D40="",E40="",F40=""),"",D40*E40+F40*(1-E40))</f>
        <v/>
      </c>
      <c r="I40" s="18" t="str">
        <f aca="false">IF(H40="","",LOOKUP(H40,'Not Tablosu'!$A$5:$A$13,'Not Tablosu'!$B$5:$B$13))</f>
        <v/>
      </c>
      <c r="J40" s="19" t="str">
        <f aca="false">IF(H40="","",LOOKUP(H40,'Not Tablosu'!$A$5:$A$13,'Not Tablosu'!$C$5:$C$13))</f>
        <v/>
      </c>
      <c r="K40" s="17" t="str">
        <f aca="false">IF(OR(B40="",D40="",E40="",G40="",F40&lt;&gt;"",E40&gt;=1),"",(G40-D40*E40)/(1-E40))</f>
        <v/>
      </c>
      <c r="L40" s="18" t="str">
        <f aca="false">IF(J40="","",C40)</f>
        <v/>
      </c>
      <c r="M40" s="18" t="str">
        <f aca="false">IF(J40="","",C40*J40)</f>
        <v/>
      </c>
    </row>
    <row r="41" customFormat="false" ht="15" hidden="false" customHeight="false" outlineLevel="0" collapsed="false">
      <c r="A41" s="12"/>
      <c r="B41" s="13"/>
      <c r="C41" s="14"/>
      <c r="D41" s="15"/>
      <c r="E41" s="16"/>
      <c r="F41" s="15"/>
      <c r="G41" s="15"/>
      <c r="H41" s="17" t="str">
        <f aca="false">IF(OR(B41="",D41="",E41="",F41=""),"",D41*E41+F41*(1-E41))</f>
        <v/>
      </c>
      <c r="I41" s="18" t="str">
        <f aca="false">IF(H41="","",LOOKUP(H41,'Not Tablosu'!$A$5:$A$13,'Not Tablosu'!$B$5:$B$13))</f>
        <v/>
      </c>
      <c r="J41" s="19" t="str">
        <f aca="false">IF(H41="","",LOOKUP(H41,'Not Tablosu'!$A$5:$A$13,'Not Tablosu'!$C$5:$C$13))</f>
        <v/>
      </c>
      <c r="K41" s="17" t="str">
        <f aca="false">IF(OR(B41="",D41="",E41="",G41="",F41&lt;&gt;"",E41&gt;=1),"",(G41-D41*E41)/(1-E41))</f>
        <v/>
      </c>
      <c r="L41" s="18" t="str">
        <f aca="false">IF(J41="","",C41)</f>
        <v/>
      </c>
      <c r="M41" s="18" t="str">
        <f aca="false">IF(J41="","",C41*J41)</f>
        <v/>
      </c>
    </row>
    <row r="42" customFormat="false" ht="15" hidden="false" customHeight="false" outlineLevel="0" collapsed="false">
      <c r="A42" s="12"/>
      <c r="B42" s="13"/>
      <c r="C42" s="14"/>
      <c r="D42" s="15"/>
      <c r="E42" s="16"/>
      <c r="F42" s="15"/>
      <c r="G42" s="15"/>
      <c r="H42" s="17" t="str">
        <f aca="false">IF(OR(B42="",D42="",E42="",F42=""),"",D42*E42+F42*(1-E42))</f>
        <v/>
      </c>
      <c r="I42" s="18" t="str">
        <f aca="false">IF(H42="","",LOOKUP(H42,'Not Tablosu'!$A$5:$A$13,'Not Tablosu'!$B$5:$B$13))</f>
        <v/>
      </c>
      <c r="J42" s="19" t="str">
        <f aca="false">IF(H42="","",LOOKUP(H42,'Not Tablosu'!$A$5:$A$13,'Not Tablosu'!$C$5:$C$13))</f>
        <v/>
      </c>
      <c r="K42" s="17" t="str">
        <f aca="false">IF(OR(B42="",D42="",E42="",G42="",F42&lt;&gt;"",E42&gt;=1),"",(G42-D42*E42)/(1-E42))</f>
        <v/>
      </c>
      <c r="L42" s="18" t="str">
        <f aca="false">IF(J42="","",C42)</f>
        <v/>
      </c>
      <c r="M42" s="18" t="str">
        <f aca="false">IF(J42="","",C42*J42)</f>
        <v/>
      </c>
    </row>
    <row r="43" customFormat="false" ht="15" hidden="false" customHeight="false" outlineLevel="0" collapsed="false">
      <c r="A43" s="12"/>
      <c r="B43" s="13"/>
      <c r="C43" s="14"/>
      <c r="D43" s="15"/>
      <c r="E43" s="16"/>
      <c r="F43" s="15"/>
      <c r="G43" s="15"/>
      <c r="H43" s="17" t="str">
        <f aca="false">IF(OR(B43="",D43="",E43="",F43=""),"",D43*E43+F43*(1-E43))</f>
        <v/>
      </c>
      <c r="I43" s="18" t="str">
        <f aca="false">IF(H43="","",LOOKUP(H43,'Not Tablosu'!$A$5:$A$13,'Not Tablosu'!$B$5:$B$13))</f>
        <v/>
      </c>
      <c r="J43" s="19" t="str">
        <f aca="false">IF(H43="","",LOOKUP(H43,'Not Tablosu'!$A$5:$A$13,'Not Tablosu'!$C$5:$C$13))</f>
        <v/>
      </c>
      <c r="K43" s="17" t="str">
        <f aca="false">IF(OR(B43="",D43="",E43="",G43="",F43&lt;&gt;"",E43&gt;=1),"",(G43-D43*E43)/(1-E43))</f>
        <v/>
      </c>
      <c r="L43" s="18" t="str">
        <f aca="false">IF(J43="","",C43)</f>
        <v/>
      </c>
      <c r="M43" s="18" t="str">
        <f aca="false">IF(J43="","",C43*J43)</f>
        <v/>
      </c>
    </row>
    <row r="44" customFormat="false" ht="15" hidden="false" customHeight="false" outlineLevel="0" collapsed="false">
      <c r="A44" s="12"/>
      <c r="B44" s="13"/>
      <c r="C44" s="14"/>
      <c r="D44" s="15"/>
      <c r="E44" s="16"/>
      <c r="F44" s="15"/>
      <c r="G44" s="15"/>
      <c r="H44" s="17" t="str">
        <f aca="false">IF(OR(B44="",D44="",E44="",F44=""),"",D44*E44+F44*(1-E44))</f>
        <v/>
      </c>
      <c r="I44" s="18" t="str">
        <f aca="false">IF(H44="","",LOOKUP(H44,'Not Tablosu'!$A$5:$A$13,'Not Tablosu'!$B$5:$B$13))</f>
        <v/>
      </c>
      <c r="J44" s="19" t="str">
        <f aca="false">IF(H44="","",LOOKUP(H44,'Not Tablosu'!$A$5:$A$13,'Not Tablosu'!$C$5:$C$13))</f>
        <v/>
      </c>
      <c r="K44" s="17" t="str">
        <f aca="false">IF(OR(B44="",D44="",E44="",G44="",F44&lt;&gt;"",E44&gt;=1),"",(G44-D44*E44)/(1-E44))</f>
        <v/>
      </c>
      <c r="L44" s="18" t="str">
        <f aca="false">IF(J44="","",C44)</f>
        <v/>
      </c>
      <c r="M44" s="18" t="str">
        <f aca="false">IF(J44="","",C44*J44)</f>
        <v/>
      </c>
    </row>
    <row r="45" customFormat="false" ht="15" hidden="false" customHeight="false" outlineLevel="0" collapsed="false">
      <c r="A45" s="12"/>
      <c r="B45" s="13"/>
      <c r="C45" s="14"/>
      <c r="D45" s="15"/>
      <c r="E45" s="16"/>
      <c r="F45" s="15"/>
      <c r="G45" s="15"/>
      <c r="H45" s="17" t="str">
        <f aca="false">IF(OR(B45="",D45="",E45="",F45=""),"",D45*E45+F45*(1-E45))</f>
        <v/>
      </c>
      <c r="I45" s="18" t="str">
        <f aca="false">IF(H45="","",LOOKUP(H45,'Not Tablosu'!$A$5:$A$13,'Not Tablosu'!$B$5:$B$13))</f>
        <v/>
      </c>
      <c r="J45" s="19" t="str">
        <f aca="false">IF(H45="","",LOOKUP(H45,'Not Tablosu'!$A$5:$A$13,'Not Tablosu'!$C$5:$C$13))</f>
        <v/>
      </c>
      <c r="K45" s="17" t="str">
        <f aca="false">IF(OR(B45="",D45="",E45="",G45="",F45&lt;&gt;"",E45&gt;=1),"",(G45-D45*E45)/(1-E45))</f>
        <v/>
      </c>
      <c r="L45" s="18" t="str">
        <f aca="false">IF(J45="","",C45)</f>
        <v/>
      </c>
      <c r="M45" s="18" t="str">
        <f aca="false">IF(J45="","",C45*J45)</f>
        <v/>
      </c>
    </row>
    <row r="46" customFormat="false" ht="15" hidden="false" customHeight="false" outlineLevel="0" collapsed="false">
      <c r="A46" s="12"/>
      <c r="B46" s="13"/>
      <c r="C46" s="14"/>
      <c r="D46" s="15"/>
      <c r="E46" s="16"/>
      <c r="F46" s="15"/>
      <c r="G46" s="15"/>
      <c r="H46" s="17" t="str">
        <f aca="false">IF(OR(B46="",D46="",E46="",F46=""),"",D46*E46+F46*(1-E46))</f>
        <v/>
      </c>
      <c r="I46" s="18" t="str">
        <f aca="false">IF(H46="","",LOOKUP(H46,'Not Tablosu'!$A$5:$A$13,'Not Tablosu'!$B$5:$B$13))</f>
        <v/>
      </c>
      <c r="J46" s="19" t="str">
        <f aca="false">IF(H46="","",LOOKUP(H46,'Not Tablosu'!$A$5:$A$13,'Not Tablosu'!$C$5:$C$13))</f>
        <v/>
      </c>
      <c r="K46" s="17" t="str">
        <f aca="false">IF(OR(B46="",D46="",E46="",G46="",F46&lt;&gt;"",E46&gt;=1),"",(G46-D46*E46)/(1-E46))</f>
        <v/>
      </c>
      <c r="L46" s="18" t="str">
        <f aca="false">IF(J46="","",C46)</f>
        <v/>
      </c>
      <c r="M46" s="18" t="str">
        <f aca="false">IF(J46="","",C46*J46)</f>
        <v/>
      </c>
    </row>
    <row r="47" customFormat="false" ht="15" hidden="false" customHeight="false" outlineLevel="0" collapsed="false">
      <c r="A47" s="12"/>
      <c r="B47" s="13"/>
      <c r="C47" s="14"/>
      <c r="D47" s="15"/>
      <c r="E47" s="16"/>
      <c r="F47" s="15"/>
      <c r="G47" s="15"/>
      <c r="H47" s="17" t="str">
        <f aca="false">IF(OR(B47="",D47="",E47="",F47=""),"",D47*E47+F47*(1-E47))</f>
        <v/>
      </c>
      <c r="I47" s="18" t="str">
        <f aca="false">IF(H47="","",LOOKUP(H47,'Not Tablosu'!$A$5:$A$13,'Not Tablosu'!$B$5:$B$13))</f>
        <v/>
      </c>
      <c r="J47" s="19" t="str">
        <f aca="false">IF(H47="","",LOOKUP(H47,'Not Tablosu'!$A$5:$A$13,'Not Tablosu'!$C$5:$C$13))</f>
        <v/>
      </c>
      <c r="K47" s="17" t="str">
        <f aca="false">IF(OR(B47="",D47="",E47="",G47="",F47&lt;&gt;"",E47&gt;=1),"",(G47-D47*E47)/(1-E47))</f>
        <v/>
      </c>
      <c r="L47" s="18" t="str">
        <f aca="false">IF(J47="","",C47)</f>
        <v/>
      </c>
      <c r="M47" s="18" t="str">
        <f aca="false">IF(J47="","",C47*J47)</f>
        <v/>
      </c>
    </row>
    <row r="48" customFormat="false" ht="15" hidden="false" customHeight="false" outlineLevel="0" collapsed="false">
      <c r="A48" s="12"/>
      <c r="B48" s="13"/>
      <c r="C48" s="14"/>
      <c r="D48" s="15"/>
      <c r="E48" s="16"/>
      <c r="F48" s="15"/>
      <c r="G48" s="15"/>
      <c r="H48" s="17" t="str">
        <f aca="false">IF(OR(B48="",D48="",E48="",F48=""),"",D48*E48+F48*(1-E48))</f>
        <v/>
      </c>
      <c r="I48" s="18" t="str">
        <f aca="false">IF(H48="","",LOOKUP(H48,'Not Tablosu'!$A$5:$A$13,'Not Tablosu'!$B$5:$B$13))</f>
        <v/>
      </c>
      <c r="J48" s="19" t="str">
        <f aca="false">IF(H48="","",LOOKUP(H48,'Not Tablosu'!$A$5:$A$13,'Not Tablosu'!$C$5:$C$13))</f>
        <v/>
      </c>
      <c r="K48" s="17" t="str">
        <f aca="false">IF(OR(B48="",D48="",E48="",G48="",F48&lt;&gt;"",E48&gt;=1),"",(G48-D48*E48)/(1-E48))</f>
        <v/>
      </c>
      <c r="L48" s="18" t="str">
        <f aca="false">IF(J48="","",C48)</f>
        <v/>
      </c>
      <c r="M48" s="18" t="str">
        <f aca="false">IF(J48="","",C48*J48)</f>
        <v/>
      </c>
    </row>
    <row r="49" customFormat="false" ht="15" hidden="false" customHeight="false" outlineLevel="0" collapsed="false">
      <c r="A49" s="12"/>
      <c r="B49" s="13"/>
      <c r="C49" s="14"/>
      <c r="D49" s="15"/>
      <c r="E49" s="16"/>
      <c r="F49" s="15"/>
      <c r="G49" s="15"/>
      <c r="H49" s="17" t="str">
        <f aca="false">IF(OR(B49="",D49="",E49="",F49=""),"",D49*E49+F49*(1-E49))</f>
        <v/>
      </c>
      <c r="I49" s="18" t="str">
        <f aca="false">IF(H49="","",LOOKUP(H49,'Not Tablosu'!$A$5:$A$13,'Not Tablosu'!$B$5:$B$13))</f>
        <v/>
      </c>
      <c r="J49" s="19" t="str">
        <f aca="false">IF(H49="","",LOOKUP(H49,'Not Tablosu'!$A$5:$A$13,'Not Tablosu'!$C$5:$C$13))</f>
        <v/>
      </c>
      <c r="K49" s="17" t="str">
        <f aca="false">IF(OR(B49="",D49="",E49="",G49="",F49&lt;&gt;"",E49&gt;=1),"",(G49-D49*E49)/(1-E49))</f>
        <v/>
      </c>
      <c r="L49" s="18" t="str">
        <f aca="false">IF(J49="","",C49)</f>
        <v/>
      </c>
      <c r="M49" s="18" t="str">
        <f aca="false">IF(J49="","",C49*J49)</f>
        <v/>
      </c>
    </row>
    <row r="50" customFormat="false" ht="15" hidden="false" customHeight="false" outlineLevel="0" collapsed="false">
      <c r="A50" s="12"/>
      <c r="B50" s="13"/>
      <c r="C50" s="14"/>
      <c r="D50" s="15"/>
      <c r="E50" s="16"/>
      <c r="F50" s="15"/>
      <c r="G50" s="15"/>
      <c r="H50" s="17" t="str">
        <f aca="false">IF(OR(B50="",D50="",E50="",F50=""),"",D50*E50+F50*(1-E50))</f>
        <v/>
      </c>
      <c r="I50" s="18" t="str">
        <f aca="false">IF(H50="","",LOOKUP(H50,'Not Tablosu'!$A$5:$A$13,'Not Tablosu'!$B$5:$B$13))</f>
        <v/>
      </c>
      <c r="J50" s="19" t="str">
        <f aca="false">IF(H50="","",LOOKUP(H50,'Not Tablosu'!$A$5:$A$13,'Not Tablosu'!$C$5:$C$13))</f>
        <v/>
      </c>
      <c r="K50" s="17" t="str">
        <f aca="false">IF(OR(B50="",D50="",E50="",G50="",F50&lt;&gt;"",E50&gt;=1),"",(G50-D50*E50)/(1-E50))</f>
        <v/>
      </c>
      <c r="L50" s="18" t="str">
        <f aca="false">IF(J50="","",C50)</f>
        <v/>
      </c>
      <c r="M50" s="18" t="str">
        <f aca="false">IF(J50="","",C50*J50)</f>
        <v/>
      </c>
    </row>
    <row r="51" customFormat="false" ht="15" hidden="false" customHeight="false" outlineLevel="0" collapsed="false">
      <c r="A51" s="12"/>
      <c r="B51" s="13"/>
      <c r="C51" s="14"/>
      <c r="D51" s="15"/>
      <c r="E51" s="16"/>
      <c r="F51" s="15"/>
      <c r="G51" s="15"/>
      <c r="H51" s="17" t="str">
        <f aca="false">IF(OR(B51="",D51="",E51="",F51=""),"",D51*E51+F51*(1-E51))</f>
        <v/>
      </c>
      <c r="I51" s="18" t="str">
        <f aca="false">IF(H51="","",LOOKUP(H51,'Not Tablosu'!$A$5:$A$13,'Not Tablosu'!$B$5:$B$13))</f>
        <v/>
      </c>
      <c r="J51" s="19" t="str">
        <f aca="false">IF(H51="","",LOOKUP(H51,'Not Tablosu'!$A$5:$A$13,'Not Tablosu'!$C$5:$C$13))</f>
        <v/>
      </c>
      <c r="K51" s="17" t="str">
        <f aca="false">IF(OR(B51="",D51="",E51="",G51="",F51&lt;&gt;"",E51&gt;=1),"",(G51-D51*E51)/(1-E51))</f>
        <v/>
      </c>
      <c r="L51" s="18" t="str">
        <f aca="false">IF(J51="","",C51)</f>
        <v/>
      </c>
      <c r="M51" s="18" t="str">
        <f aca="false">IF(J51="","",C51*J51)</f>
        <v/>
      </c>
    </row>
    <row r="52" customFormat="false" ht="15" hidden="false" customHeight="false" outlineLevel="0" collapsed="false">
      <c r="A52" s="12"/>
      <c r="B52" s="13"/>
      <c r="C52" s="14"/>
      <c r="D52" s="15"/>
      <c r="E52" s="16"/>
      <c r="F52" s="15"/>
      <c r="G52" s="15"/>
      <c r="H52" s="17" t="str">
        <f aca="false">IF(OR(B52="",D52="",E52="",F52=""),"",D52*E52+F52*(1-E52))</f>
        <v/>
      </c>
      <c r="I52" s="18" t="str">
        <f aca="false">IF(H52="","",LOOKUP(H52,'Not Tablosu'!$A$5:$A$13,'Not Tablosu'!$B$5:$B$13))</f>
        <v/>
      </c>
      <c r="J52" s="19" t="str">
        <f aca="false">IF(H52="","",LOOKUP(H52,'Not Tablosu'!$A$5:$A$13,'Not Tablosu'!$C$5:$C$13))</f>
        <v/>
      </c>
      <c r="K52" s="17" t="str">
        <f aca="false">IF(OR(B52="",D52="",E52="",G52="",F52&lt;&gt;"",E52&gt;=1),"",(G52-D52*E52)/(1-E52))</f>
        <v/>
      </c>
      <c r="L52" s="18" t="str">
        <f aca="false">IF(J52="","",C52)</f>
        <v/>
      </c>
      <c r="M52" s="18" t="str">
        <f aca="false">IF(J52="","",C52*J52)</f>
        <v/>
      </c>
    </row>
    <row r="53" customFormat="false" ht="15" hidden="false" customHeight="false" outlineLevel="0" collapsed="false">
      <c r="A53" s="12"/>
      <c r="B53" s="13"/>
      <c r="C53" s="14"/>
      <c r="D53" s="15"/>
      <c r="E53" s="16"/>
      <c r="F53" s="15"/>
      <c r="G53" s="15"/>
      <c r="H53" s="17" t="str">
        <f aca="false">IF(OR(B53="",D53="",E53="",F53=""),"",D53*E53+F53*(1-E53))</f>
        <v/>
      </c>
      <c r="I53" s="18" t="str">
        <f aca="false">IF(H53="","",LOOKUP(H53,'Not Tablosu'!$A$5:$A$13,'Not Tablosu'!$B$5:$B$13))</f>
        <v/>
      </c>
      <c r="J53" s="19" t="str">
        <f aca="false">IF(H53="","",LOOKUP(H53,'Not Tablosu'!$A$5:$A$13,'Not Tablosu'!$C$5:$C$13))</f>
        <v/>
      </c>
      <c r="K53" s="17" t="str">
        <f aca="false">IF(OR(B53="",D53="",E53="",G53="",F53&lt;&gt;"",E53&gt;=1),"",(G53-D53*E53)/(1-E53))</f>
        <v/>
      </c>
      <c r="L53" s="18" t="str">
        <f aca="false">IF(J53="","",C53)</f>
        <v/>
      </c>
      <c r="M53" s="18" t="str">
        <f aca="false">IF(J53="","",C53*J53)</f>
        <v/>
      </c>
    </row>
    <row r="54" customFormat="false" ht="15" hidden="false" customHeight="false" outlineLevel="0" collapsed="false">
      <c r="A54" s="12"/>
      <c r="B54" s="13"/>
      <c r="C54" s="14"/>
      <c r="D54" s="15"/>
      <c r="E54" s="16"/>
      <c r="F54" s="15"/>
      <c r="G54" s="15"/>
      <c r="H54" s="17" t="str">
        <f aca="false">IF(OR(B54="",D54="",E54="",F54=""),"",D54*E54+F54*(1-E54))</f>
        <v/>
      </c>
      <c r="I54" s="18" t="str">
        <f aca="false">IF(H54="","",LOOKUP(H54,'Not Tablosu'!$A$5:$A$13,'Not Tablosu'!$B$5:$B$13))</f>
        <v/>
      </c>
      <c r="J54" s="19" t="str">
        <f aca="false">IF(H54="","",LOOKUP(H54,'Not Tablosu'!$A$5:$A$13,'Not Tablosu'!$C$5:$C$13))</f>
        <v/>
      </c>
      <c r="K54" s="17" t="str">
        <f aca="false">IF(OR(B54="",D54="",E54="",G54="",F54&lt;&gt;"",E54&gt;=1),"",(G54-D54*E54)/(1-E54))</f>
        <v/>
      </c>
      <c r="L54" s="18" t="str">
        <f aca="false">IF(J54="","",C54)</f>
        <v/>
      </c>
      <c r="M54" s="18" t="str">
        <f aca="false">IF(J54="","",C54*J54)</f>
        <v/>
      </c>
    </row>
    <row r="55" customFormat="false" ht="15" hidden="false" customHeight="false" outlineLevel="0" collapsed="false">
      <c r="A55" s="12"/>
      <c r="B55" s="13"/>
      <c r="C55" s="14"/>
      <c r="D55" s="15"/>
      <c r="E55" s="16"/>
      <c r="F55" s="15"/>
      <c r="G55" s="15"/>
      <c r="H55" s="17" t="str">
        <f aca="false">IF(OR(B55="",D55="",E55="",F55=""),"",D55*E55+F55*(1-E55))</f>
        <v/>
      </c>
      <c r="I55" s="18" t="str">
        <f aca="false">IF(H55="","",LOOKUP(H55,'Not Tablosu'!$A$5:$A$13,'Not Tablosu'!$B$5:$B$13))</f>
        <v/>
      </c>
      <c r="J55" s="19" t="str">
        <f aca="false">IF(H55="","",LOOKUP(H55,'Not Tablosu'!$A$5:$A$13,'Not Tablosu'!$C$5:$C$13))</f>
        <v/>
      </c>
      <c r="K55" s="17" t="str">
        <f aca="false">IF(OR(B55="",D55="",E55="",G55="",F55&lt;&gt;"",E55&gt;=1),"",(G55-D55*E55)/(1-E55))</f>
        <v/>
      </c>
      <c r="L55" s="18" t="str">
        <f aca="false">IF(J55="","",C55)</f>
        <v/>
      </c>
      <c r="M55" s="18" t="str">
        <f aca="false">IF(J55="","",C55*J55)</f>
        <v/>
      </c>
    </row>
    <row r="56" customFormat="false" ht="15" hidden="false" customHeight="false" outlineLevel="0" collapsed="false">
      <c r="A56" s="12"/>
      <c r="B56" s="13"/>
      <c r="C56" s="14"/>
      <c r="D56" s="15"/>
      <c r="E56" s="16"/>
      <c r="F56" s="15"/>
      <c r="G56" s="15"/>
      <c r="H56" s="17" t="str">
        <f aca="false">IF(OR(B56="",D56="",E56="",F56=""),"",D56*E56+F56*(1-E56))</f>
        <v/>
      </c>
      <c r="I56" s="18" t="str">
        <f aca="false">IF(H56="","",LOOKUP(H56,'Not Tablosu'!$A$5:$A$13,'Not Tablosu'!$B$5:$B$13))</f>
        <v/>
      </c>
      <c r="J56" s="19" t="str">
        <f aca="false">IF(H56="","",LOOKUP(H56,'Not Tablosu'!$A$5:$A$13,'Not Tablosu'!$C$5:$C$13))</f>
        <v/>
      </c>
      <c r="K56" s="17" t="str">
        <f aca="false">IF(OR(B56="",D56="",E56="",G56="",F56&lt;&gt;"",E56&gt;=1),"",(G56-D56*E56)/(1-E56))</f>
        <v/>
      </c>
      <c r="L56" s="18" t="str">
        <f aca="false">IF(J56="","",C56)</f>
        <v/>
      </c>
      <c r="M56" s="18" t="str">
        <f aca="false">IF(J56="","",C56*J56)</f>
        <v/>
      </c>
    </row>
    <row r="57" customFormat="false" ht="15" hidden="false" customHeight="false" outlineLevel="0" collapsed="false">
      <c r="A57" s="12"/>
      <c r="B57" s="13"/>
      <c r="C57" s="14"/>
      <c r="D57" s="15"/>
      <c r="E57" s="16"/>
      <c r="F57" s="15"/>
      <c r="G57" s="15"/>
      <c r="H57" s="17" t="str">
        <f aca="false">IF(OR(B57="",D57="",E57="",F57=""),"",D57*E57+F57*(1-E57))</f>
        <v/>
      </c>
      <c r="I57" s="18" t="str">
        <f aca="false">IF(H57="","",LOOKUP(H57,'Not Tablosu'!$A$5:$A$13,'Not Tablosu'!$B$5:$B$13))</f>
        <v/>
      </c>
      <c r="J57" s="19" t="str">
        <f aca="false">IF(H57="","",LOOKUP(H57,'Not Tablosu'!$A$5:$A$13,'Not Tablosu'!$C$5:$C$13))</f>
        <v/>
      </c>
      <c r="K57" s="17" t="str">
        <f aca="false">IF(OR(B57="",D57="",E57="",G57="",F57&lt;&gt;"",E57&gt;=1),"",(G57-D57*E57)/(1-E57))</f>
        <v/>
      </c>
      <c r="L57" s="18" t="str">
        <f aca="false">IF(J57="","",C57)</f>
        <v/>
      </c>
      <c r="M57" s="18" t="str">
        <f aca="false">IF(J57="","",C57*J57)</f>
        <v/>
      </c>
    </row>
    <row r="58" customFormat="false" ht="15" hidden="false" customHeight="false" outlineLevel="0" collapsed="false">
      <c r="A58" s="12"/>
      <c r="B58" s="13"/>
      <c r="C58" s="14"/>
      <c r="D58" s="15"/>
      <c r="E58" s="16"/>
      <c r="F58" s="15"/>
      <c r="G58" s="15"/>
      <c r="H58" s="17" t="str">
        <f aca="false">IF(OR(B58="",D58="",E58="",F58=""),"",D58*E58+F58*(1-E58))</f>
        <v/>
      </c>
      <c r="I58" s="18" t="str">
        <f aca="false">IF(H58="","",LOOKUP(H58,'Not Tablosu'!$A$5:$A$13,'Not Tablosu'!$B$5:$B$13))</f>
        <v/>
      </c>
      <c r="J58" s="19" t="str">
        <f aca="false">IF(H58="","",LOOKUP(H58,'Not Tablosu'!$A$5:$A$13,'Not Tablosu'!$C$5:$C$13))</f>
        <v/>
      </c>
      <c r="K58" s="17" t="str">
        <f aca="false">IF(OR(B58="",D58="",E58="",G58="",F58&lt;&gt;"",E58&gt;=1),"",(G58-D58*E58)/(1-E58))</f>
        <v/>
      </c>
      <c r="L58" s="18" t="str">
        <f aca="false">IF(J58="","",C58)</f>
        <v/>
      </c>
      <c r="M58" s="18" t="str">
        <f aca="false">IF(J58="","",C58*J58)</f>
        <v/>
      </c>
    </row>
    <row r="59" customFormat="false" ht="15" hidden="false" customHeight="false" outlineLevel="0" collapsed="false">
      <c r="A59" s="12"/>
      <c r="B59" s="13"/>
      <c r="C59" s="14"/>
      <c r="D59" s="15"/>
      <c r="E59" s="16"/>
      <c r="F59" s="15"/>
      <c r="G59" s="15"/>
      <c r="H59" s="17" t="str">
        <f aca="false">IF(OR(B59="",D59="",E59="",F59=""),"",D59*E59+F59*(1-E59))</f>
        <v/>
      </c>
      <c r="I59" s="18" t="str">
        <f aca="false">IF(H59="","",LOOKUP(H59,'Not Tablosu'!$A$5:$A$13,'Not Tablosu'!$B$5:$B$13))</f>
        <v/>
      </c>
      <c r="J59" s="19" t="str">
        <f aca="false">IF(H59="","",LOOKUP(H59,'Not Tablosu'!$A$5:$A$13,'Not Tablosu'!$C$5:$C$13))</f>
        <v/>
      </c>
      <c r="K59" s="17" t="str">
        <f aca="false">IF(OR(B59="",D59="",E59="",G59="",F59&lt;&gt;"",E59&gt;=1),"",(G59-D59*E59)/(1-E59))</f>
        <v/>
      </c>
      <c r="L59" s="18" t="str">
        <f aca="false">IF(J59="","",C59)</f>
        <v/>
      </c>
      <c r="M59" s="18" t="str">
        <f aca="false">IF(J59="","",C59*J59)</f>
        <v/>
      </c>
    </row>
    <row r="60" customFormat="false" ht="15" hidden="false" customHeight="false" outlineLevel="0" collapsed="false">
      <c r="A60" s="12"/>
      <c r="B60" s="13"/>
      <c r="C60" s="14"/>
      <c r="D60" s="15"/>
      <c r="E60" s="16"/>
      <c r="F60" s="15"/>
      <c r="G60" s="15"/>
      <c r="H60" s="17" t="str">
        <f aca="false">IF(OR(B60="",D60="",E60="",F60=""),"",D60*E60+F60*(1-E60))</f>
        <v/>
      </c>
      <c r="I60" s="18" t="str">
        <f aca="false">IF(H60="","",LOOKUP(H60,'Not Tablosu'!$A$5:$A$13,'Not Tablosu'!$B$5:$B$13))</f>
        <v/>
      </c>
      <c r="J60" s="19" t="str">
        <f aca="false">IF(H60="","",LOOKUP(H60,'Not Tablosu'!$A$5:$A$13,'Not Tablosu'!$C$5:$C$13))</f>
        <v/>
      </c>
      <c r="K60" s="17" t="str">
        <f aca="false">IF(OR(B60="",D60="",E60="",G60="",F60&lt;&gt;"",E60&gt;=1),"",(G60-D60*E60)/(1-E60))</f>
        <v/>
      </c>
      <c r="L60" s="18" t="str">
        <f aca="false">IF(J60="","",C60)</f>
        <v/>
      </c>
      <c r="M60" s="18" t="str">
        <f aca="false">IF(J60="","",C60*J60)</f>
        <v/>
      </c>
    </row>
    <row r="61" customFormat="false" ht="15" hidden="false" customHeight="false" outlineLevel="0" collapsed="false">
      <c r="A61" s="12"/>
      <c r="B61" s="13"/>
      <c r="C61" s="14"/>
      <c r="D61" s="15"/>
      <c r="E61" s="16"/>
      <c r="F61" s="15"/>
      <c r="G61" s="15"/>
      <c r="H61" s="17" t="str">
        <f aca="false">IF(OR(B61="",D61="",E61="",F61=""),"",D61*E61+F61*(1-E61))</f>
        <v/>
      </c>
      <c r="I61" s="18" t="str">
        <f aca="false">IF(H61="","",LOOKUP(H61,'Not Tablosu'!$A$5:$A$13,'Not Tablosu'!$B$5:$B$13))</f>
        <v/>
      </c>
      <c r="J61" s="19" t="str">
        <f aca="false">IF(H61="","",LOOKUP(H61,'Not Tablosu'!$A$5:$A$13,'Not Tablosu'!$C$5:$C$13))</f>
        <v/>
      </c>
      <c r="K61" s="17" t="str">
        <f aca="false">IF(OR(B61="",D61="",E61="",G61="",F61&lt;&gt;"",E61&gt;=1),"",(G61-D61*E61)/(1-E61))</f>
        <v/>
      </c>
      <c r="L61" s="18" t="str">
        <f aca="false">IF(J61="","",C61)</f>
        <v/>
      </c>
      <c r="M61" s="18" t="str">
        <f aca="false">IF(J61="","",C61*J61)</f>
        <v/>
      </c>
    </row>
    <row r="62" customFormat="false" ht="15" hidden="false" customHeight="false" outlineLevel="0" collapsed="false">
      <c r="A62" s="12"/>
      <c r="B62" s="13"/>
      <c r="C62" s="14"/>
      <c r="D62" s="15"/>
      <c r="E62" s="16"/>
      <c r="F62" s="15"/>
      <c r="G62" s="15"/>
      <c r="H62" s="17" t="str">
        <f aca="false">IF(OR(B62="",D62="",E62="",F62=""),"",D62*E62+F62*(1-E62))</f>
        <v/>
      </c>
      <c r="I62" s="18" t="str">
        <f aca="false">IF(H62="","",LOOKUP(H62,'Not Tablosu'!$A$5:$A$13,'Not Tablosu'!$B$5:$B$13))</f>
        <v/>
      </c>
      <c r="J62" s="19" t="str">
        <f aca="false">IF(H62="","",LOOKUP(H62,'Not Tablosu'!$A$5:$A$13,'Not Tablosu'!$C$5:$C$13))</f>
        <v/>
      </c>
      <c r="K62" s="17" t="str">
        <f aca="false">IF(OR(B62="",D62="",E62="",G62="",F62&lt;&gt;"",E62&gt;=1),"",(G62-D62*E62)/(1-E62))</f>
        <v/>
      </c>
      <c r="L62" s="18" t="str">
        <f aca="false">IF(J62="","",C62)</f>
        <v/>
      </c>
      <c r="M62" s="18" t="str">
        <f aca="false">IF(J62="","",C62*J62)</f>
        <v/>
      </c>
    </row>
    <row r="63" customFormat="false" ht="15" hidden="false" customHeight="false" outlineLevel="0" collapsed="false">
      <c r="A63" s="12"/>
      <c r="B63" s="13"/>
      <c r="C63" s="14"/>
      <c r="D63" s="15"/>
      <c r="E63" s="16"/>
      <c r="F63" s="15"/>
      <c r="G63" s="15"/>
      <c r="H63" s="17" t="str">
        <f aca="false">IF(OR(B63="",D63="",E63="",F63=""),"",D63*E63+F63*(1-E63))</f>
        <v/>
      </c>
      <c r="I63" s="18" t="str">
        <f aca="false">IF(H63="","",LOOKUP(H63,'Not Tablosu'!$A$5:$A$13,'Not Tablosu'!$B$5:$B$13))</f>
        <v/>
      </c>
      <c r="J63" s="19" t="str">
        <f aca="false">IF(H63="","",LOOKUP(H63,'Not Tablosu'!$A$5:$A$13,'Not Tablosu'!$C$5:$C$13))</f>
        <v/>
      </c>
      <c r="K63" s="17" t="str">
        <f aca="false">IF(OR(B63="",D63="",E63="",G63="",F63&lt;&gt;"",E63&gt;=1),"",(G63-D63*E63)/(1-E63))</f>
        <v/>
      </c>
      <c r="L63" s="18" t="str">
        <f aca="false">IF(J63="","",C63)</f>
        <v/>
      </c>
      <c r="M63" s="18" t="str">
        <f aca="false">IF(J63="","",C63*J63)</f>
        <v/>
      </c>
    </row>
    <row r="64" customFormat="false" ht="15" hidden="false" customHeight="false" outlineLevel="0" collapsed="false">
      <c r="A64" s="12"/>
      <c r="B64" s="13"/>
      <c r="C64" s="14"/>
      <c r="D64" s="15"/>
      <c r="E64" s="16"/>
      <c r="F64" s="15"/>
      <c r="G64" s="15"/>
      <c r="H64" s="17" t="str">
        <f aca="false">IF(OR(B64="",D64="",E64="",F64=""),"",D64*E64+F64*(1-E64))</f>
        <v/>
      </c>
      <c r="I64" s="18" t="str">
        <f aca="false">IF(H64="","",LOOKUP(H64,'Not Tablosu'!$A$5:$A$13,'Not Tablosu'!$B$5:$B$13))</f>
        <v/>
      </c>
      <c r="J64" s="19" t="str">
        <f aca="false">IF(H64="","",LOOKUP(H64,'Not Tablosu'!$A$5:$A$13,'Not Tablosu'!$C$5:$C$13))</f>
        <v/>
      </c>
      <c r="K64" s="17" t="str">
        <f aca="false">IF(OR(B64="",D64="",E64="",G64="",F64&lt;&gt;"",E64&gt;=1),"",(G64-D64*E64)/(1-E64))</f>
        <v/>
      </c>
      <c r="L64" s="18" t="str">
        <f aca="false">IF(J64="","",C64)</f>
        <v/>
      </c>
      <c r="M64" s="18" t="str">
        <f aca="false">IF(J64="","",C64*J64)</f>
        <v/>
      </c>
    </row>
    <row r="65" customFormat="false" ht="15" hidden="false" customHeight="false" outlineLevel="0" collapsed="false">
      <c r="A65" s="12"/>
      <c r="B65" s="13"/>
      <c r="C65" s="14"/>
      <c r="D65" s="15"/>
      <c r="E65" s="16"/>
      <c r="F65" s="15"/>
      <c r="G65" s="15"/>
      <c r="H65" s="17" t="str">
        <f aca="false">IF(OR(B65="",D65="",E65="",F65=""),"",D65*E65+F65*(1-E65))</f>
        <v/>
      </c>
      <c r="I65" s="18" t="str">
        <f aca="false">IF(H65="","",LOOKUP(H65,'Not Tablosu'!$A$5:$A$13,'Not Tablosu'!$B$5:$B$13))</f>
        <v/>
      </c>
      <c r="J65" s="19" t="str">
        <f aca="false">IF(H65="","",LOOKUP(H65,'Not Tablosu'!$A$5:$A$13,'Not Tablosu'!$C$5:$C$13))</f>
        <v/>
      </c>
      <c r="K65" s="17" t="str">
        <f aca="false">IF(OR(B65="",D65="",E65="",G65="",F65&lt;&gt;"",E65&gt;=1),"",(G65-D65*E65)/(1-E65))</f>
        <v/>
      </c>
      <c r="L65" s="18" t="str">
        <f aca="false">IF(J65="","",C65)</f>
        <v/>
      </c>
      <c r="M65" s="18" t="str">
        <f aca="false">IF(J65="","",C65*J65)</f>
        <v/>
      </c>
    </row>
    <row r="66" customFormat="false" ht="15" hidden="false" customHeight="false" outlineLevel="0" collapsed="false">
      <c r="A66" s="12"/>
      <c r="B66" s="13"/>
      <c r="C66" s="14"/>
      <c r="D66" s="15"/>
      <c r="E66" s="16"/>
      <c r="F66" s="15"/>
      <c r="G66" s="15"/>
      <c r="H66" s="17" t="str">
        <f aca="false">IF(OR(B66="",D66="",E66="",F66=""),"",D66*E66+F66*(1-E66))</f>
        <v/>
      </c>
      <c r="I66" s="18" t="str">
        <f aca="false">IF(H66="","",LOOKUP(H66,'Not Tablosu'!$A$5:$A$13,'Not Tablosu'!$B$5:$B$13))</f>
        <v/>
      </c>
      <c r="J66" s="19" t="str">
        <f aca="false">IF(H66="","",LOOKUP(H66,'Not Tablosu'!$A$5:$A$13,'Not Tablosu'!$C$5:$C$13))</f>
        <v/>
      </c>
      <c r="K66" s="17" t="str">
        <f aca="false">IF(OR(B66="",D66="",E66="",G66="",F66&lt;&gt;"",E66&gt;=1),"",(G66-D66*E66)/(1-E66))</f>
        <v/>
      </c>
      <c r="L66" s="18" t="str">
        <f aca="false">IF(J66="","",C66)</f>
        <v/>
      </c>
      <c r="M66" s="18" t="str">
        <f aca="false">IF(J66="","",C66*J66)</f>
        <v/>
      </c>
    </row>
    <row r="67" customFormat="false" ht="15" hidden="false" customHeight="false" outlineLevel="0" collapsed="false">
      <c r="A67" s="12"/>
      <c r="B67" s="13"/>
      <c r="C67" s="14"/>
      <c r="D67" s="15"/>
      <c r="E67" s="16"/>
      <c r="F67" s="15"/>
      <c r="G67" s="15"/>
      <c r="H67" s="17" t="str">
        <f aca="false">IF(OR(B67="",D67="",E67="",F67=""),"",D67*E67+F67*(1-E67))</f>
        <v/>
      </c>
      <c r="I67" s="18" t="str">
        <f aca="false">IF(H67="","",LOOKUP(H67,'Not Tablosu'!$A$5:$A$13,'Not Tablosu'!$B$5:$B$13))</f>
        <v/>
      </c>
      <c r="J67" s="19" t="str">
        <f aca="false">IF(H67="","",LOOKUP(H67,'Not Tablosu'!$A$5:$A$13,'Not Tablosu'!$C$5:$C$13))</f>
        <v/>
      </c>
      <c r="K67" s="17" t="str">
        <f aca="false">IF(OR(B67="",D67="",E67="",G67="",F67&lt;&gt;"",E67&gt;=1),"",(G67-D67*E67)/(1-E67))</f>
        <v/>
      </c>
      <c r="L67" s="18" t="str">
        <f aca="false">IF(J67="","",C67)</f>
        <v/>
      </c>
      <c r="M67" s="18" t="str">
        <f aca="false">IF(J67="","",C67*J67)</f>
        <v/>
      </c>
    </row>
    <row r="68" customFormat="false" ht="15" hidden="false" customHeight="false" outlineLevel="0" collapsed="false">
      <c r="A68" s="12"/>
      <c r="B68" s="13"/>
      <c r="C68" s="14"/>
      <c r="D68" s="15"/>
      <c r="E68" s="16"/>
      <c r="F68" s="15"/>
      <c r="G68" s="15"/>
      <c r="H68" s="17" t="str">
        <f aca="false">IF(OR(B68="",D68="",E68="",F68=""),"",D68*E68+F68*(1-E68))</f>
        <v/>
      </c>
      <c r="I68" s="18" t="str">
        <f aca="false">IF(H68="","",LOOKUP(H68,'Not Tablosu'!$A$5:$A$13,'Not Tablosu'!$B$5:$B$13))</f>
        <v/>
      </c>
      <c r="J68" s="19" t="str">
        <f aca="false">IF(H68="","",LOOKUP(H68,'Not Tablosu'!$A$5:$A$13,'Not Tablosu'!$C$5:$C$13))</f>
        <v/>
      </c>
      <c r="K68" s="17" t="str">
        <f aca="false">IF(OR(B68="",D68="",E68="",G68="",F68&lt;&gt;"",E68&gt;=1),"",(G68-D68*E68)/(1-E68))</f>
        <v/>
      </c>
      <c r="L68" s="18" t="str">
        <f aca="false">IF(J68="","",C68)</f>
        <v/>
      </c>
      <c r="M68" s="18" t="str">
        <f aca="false">IF(J68="","",C68*J68)</f>
        <v/>
      </c>
    </row>
    <row r="69" customFormat="false" ht="15" hidden="false" customHeight="false" outlineLevel="0" collapsed="false">
      <c r="A69" s="12"/>
      <c r="B69" s="13"/>
      <c r="C69" s="14"/>
      <c r="D69" s="15"/>
      <c r="E69" s="16"/>
      <c r="F69" s="15"/>
      <c r="G69" s="15"/>
      <c r="H69" s="17" t="str">
        <f aca="false">IF(OR(B69="",D69="",E69="",F69=""),"",D69*E69+F69*(1-E69))</f>
        <v/>
      </c>
      <c r="I69" s="18" t="str">
        <f aca="false">IF(H69="","",LOOKUP(H69,'Not Tablosu'!$A$5:$A$13,'Not Tablosu'!$B$5:$B$13))</f>
        <v/>
      </c>
      <c r="J69" s="19" t="str">
        <f aca="false">IF(H69="","",LOOKUP(H69,'Not Tablosu'!$A$5:$A$13,'Not Tablosu'!$C$5:$C$13))</f>
        <v/>
      </c>
      <c r="K69" s="17" t="str">
        <f aca="false">IF(OR(B69="",D69="",E69="",G69="",F69&lt;&gt;"",E69&gt;=1),"",(G69-D69*E69)/(1-E69))</f>
        <v/>
      </c>
      <c r="L69" s="18" t="str">
        <f aca="false">IF(J69="","",C69)</f>
        <v/>
      </c>
      <c r="M69" s="18" t="str">
        <f aca="false">IF(J69="","",C69*J69)</f>
        <v/>
      </c>
    </row>
    <row r="70" customFormat="false" ht="15" hidden="false" customHeight="false" outlineLevel="0" collapsed="false">
      <c r="A70" s="12"/>
      <c r="B70" s="13"/>
      <c r="C70" s="14"/>
      <c r="D70" s="15"/>
      <c r="E70" s="16"/>
      <c r="F70" s="15"/>
      <c r="G70" s="15"/>
      <c r="H70" s="17" t="str">
        <f aca="false">IF(OR(B70="",D70="",E70="",F70=""),"",D70*E70+F70*(1-E70))</f>
        <v/>
      </c>
      <c r="I70" s="18" t="str">
        <f aca="false">IF(H70="","",LOOKUP(H70,'Not Tablosu'!$A$5:$A$13,'Not Tablosu'!$B$5:$B$13))</f>
        <v/>
      </c>
      <c r="J70" s="19" t="str">
        <f aca="false">IF(H70="","",LOOKUP(H70,'Not Tablosu'!$A$5:$A$13,'Not Tablosu'!$C$5:$C$13))</f>
        <v/>
      </c>
      <c r="K70" s="17" t="str">
        <f aca="false">IF(OR(B70="",D70="",E70="",G70="",F70&lt;&gt;"",E70&gt;=1),"",(G70-D70*E70)/(1-E70))</f>
        <v/>
      </c>
      <c r="L70" s="18" t="str">
        <f aca="false">IF(J70="","",C70)</f>
        <v/>
      </c>
      <c r="M70" s="18" t="str">
        <f aca="false">IF(J70="","",C70*J70)</f>
        <v/>
      </c>
    </row>
    <row r="71" customFormat="false" ht="15" hidden="false" customHeight="false" outlineLevel="0" collapsed="false">
      <c r="A71" s="12"/>
      <c r="B71" s="13"/>
      <c r="C71" s="14"/>
      <c r="D71" s="15"/>
      <c r="E71" s="16"/>
      <c r="F71" s="15"/>
      <c r="G71" s="15"/>
      <c r="H71" s="17" t="str">
        <f aca="false">IF(OR(B71="",D71="",E71="",F71=""),"",D71*E71+F71*(1-E71))</f>
        <v/>
      </c>
      <c r="I71" s="18" t="str">
        <f aca="false">IF(H71="","",LOOKUP(H71,'Not Tablosu'!$A$5:$A$13,'Not Tablosu'!$B$5:$B$13))</f>
        <v/>
      </c>
      <c r="J71" s="19" t="str">
        <f aca="false">IF(H71="","",LOOKUP(H71,'Not Tablosu'!$A$5:$A$13,'Not Tablosu'!$C$5:$C$13))</f>
        <v/>
      </c>
      <c r="K71" s="17" t="str">
        <f aca="false">IF(OR(B71="",D71="",E71="",G71="",F71&lt;&gt;"",E71&gt;=1),"",(G71-D71*E71)/(1-E71))</f>
        <v/>
      </c>
      <c r="L71" s="18" t="str">
        <f aca="false">IF(J71="","",C71)</f>
        <v/>
      </c>
      <c r="M71" s="18" t="str">
        <f aca="false">IF(J71="","",C71*J71)</f>
        <v/>
      </c>
    </row>
    <row r="72" customFormat="false" ht="15" hidden="false" customHeight="false" outlineLevel="0" collapsed="false">
      <c r="A72" s="12"/>
      <c r="B72" s="13"/>
      <c r="C72" s="14"/>
      <c r="D72" s="15"/>
      <c r="E72" s="16"/>
      <c r="F72" s="15"/>
      <c r="G72" s="15"/>
      <c r="H72" s="17" t="str">
        <f aca="false">IF(OR(B72="",D72="",E72="",F72=""),"",D72*E72+F72*(1-E72))</f>
        <v/>
      </c>
      <c r="I72" s="18" t="str">
        <f aca="false">IF(H72="","",LOOKUP(H72,'Not Tablosu'!$A$5:$A$13,'Not Tablosu'!$B$5:$B$13))</f>
        <v/>
      </c>
      <c r="J72" s="19" t="str">
        <f aca="false">IF(H72="","",LOOKUP(H72,'Not Tablosu'!$A$5:$A$13,'Not Tablosu'!$C$5:$C$13))</f>
        <v/>
      </c>
      <c r="K72" s="17" t="str">
        <f aca="false">IF(OR(B72="",D72="",E72="",G72="",F72&lt;&gt;"",E72&gt;=1),"",(G72-D72*E72)/(1-E72))</f>
        <v/>
      </c>
      <c r="L72" s="18" t="str">
        <f aca="false">IF(J72="","",C72)</f>
        <v/>
      </c>
      <c r="M72" s="18" t="str">
        <f aca="false">IF(J72="","",C72*J72)</f>
        <v/>
      </c>
    </row>
    <row r="73" customFormat="false" ht="15" hidden="false" customHeight="false" outlineLevel="0" collapsed="false">
      <c r="A73" s="12"/>
      <c r="B73" s="13"/>
      <c r="C73" s="14"/>
      <c r="D73" s="15"/>
      <c r="E73" s="16"/>
      <c r="F73" s="15"/>
      <c r="G73" s="15"/>
      <c r="H73" s="17" t="str">
        <f aca="false">IF(OR(B73="",D73="",E73="",F73=""),"",D73*E73+F73*(1-E73))</f>
        <v/>
      </c>
      <c r="I73" s="18" t="str">
        <f aca="false">IF(H73="","",LOOKUP(H73,'Not Tablosu'!$A$5:$A$13,'Not Tablosu'!$B$5:$B$13))</f>
        <v/>
      </c>
      <c r="J73" s="19" t="str">
        <f aca="false">IF(H73="","",LOOKUP(H73,'Not Tablosu'!$A$5:$A$13,'Not Tablosu'!$C$5:$C$13))</f>
        <v/>
      </c>
      <c r="K73" s="17" t="str">
        <f aca="false">IF(OR(B73="",D73="",E73="",G73="",F73&lt;&gt;"",E73&gt;=1),"",(G73-D73*E73)/(1-E73))</f>
        <v/>
      </c>
      <c r="L73" s="18" t="str">
        <f aca="false">IF(J73="","",C73)</f>
        <v/>
      </c>
      <c r="M73" s="18" t="str">
        <f aca="false">IF(J73="","",C73*J73)</f>
        <v/>
      </c>
    </row>
    <row r="74" customFormat="false" ht="15" hidden="false" customHeight="false" outlineLevel="0" collapsed="false">
      <c r="A74" s="12"/>
      <c r="B74" s="13"/>
      <c r="C74" s="14"/>
      <c r="D74" s="15"/>
      <c r="E74" s="16"/>
      <c r="F74" s="15"/>
      <c r="G74" s="15"/>
      <c r="H74" s="17" t="str">
        <f aca="false">IF(OR(B74="",D74="",E74="",F74=""),"",D74*E74+F74*(1-E74))</f>
        <v/>
      </c>
      <c r="I74" s="18" t="str">
        <f aca="false">IF(H74="","",LOOKUP(H74,'Not Tablosu'!$A$5:$A$13,'Not Tablosu'!$B$5:$B$13))</f>
        <v/>
      </c>
      <c r="J74" s="19" t="str">
        <f aca="false">IF(H74="","",LOOKUP(H74,'Not Tablosu'!$A$5:$A$13,'Not Tablosu'!$C$5:$C$13))</f>
        <v/>
      </c>
      <c r="K74" s="17" t="str">
        <f aca="false">IF(OR(B74="",D74="",E74="",G74="",F74&lt;&gt;"",E74&gt;=1),"",(G74-D74*E74)/(1-E74))</f>
        <v/>
      </c>
      <c r="L74" s="18" t="str">
        <f aca="false">IF(J74="","",C74)</f>
        <v/>
      </c>
      <c r="M74" s="18" t="str">
        <f aca="false">IF(J74="","",C74*J74)</f>
        <v/>
      </c>
    </row>
    <row r="75" customFormat="false" ht="15" hidden="false" customHeight="false" outlineLevel="0" collapsed="false">
      <c r="A75" s="12"/>
      <c r="B75" s="13"/>
      <c r="C75" s="14"/>
      <c r="D75" s="15"/>
      <c r="E75" s="16"/>
      <c r="F75" s="15"/>
      <c r="G75" s="15"/>
      <c r="H75" s="17" t="str">
        <f aca="false">IF(OR(B75="",D75="",E75="",F75=""),"",D75*E75+F75*(1-E75))</f>
        <v/>
      </c>
      <c r="I75" s="18" t="str">
        <f aca="false">IF(H75="","",LOOKUP(H75,'Not Tablosu'!$A$5:$A$13,'Not Tablosu'!$B$5:$B$13))</f>
        <v/>
      </c>
      <c r="J75" s="19" t="str">
        <f aca="false">IF(H75="","",LOOKUP(H75,'Not Tablosu'!$A$5:$A$13,'Not Tablosu'!$C$5:$C$13))</f>
        <v/>
      </c>
      <c r="K75" s="17" t="str">
        <f aca="false">IF(OR(B75="",D75="",E75="",G75="",F75&lt;&gt;"",E75&gt;=1),"",(G75-D75*E75)/(1-E75))</f>
        <v/>
      </c>
      <c r="L75" s="18" t="str">
        <f aca="false">IF(J75="","",C75)</f>
        <v/>
      </c>
      <c r="M75" s="18" t="str">
        <f aca="false">IF(J75="","",C75*J75)</f>
        <v/>
      </c>
    </row>
    <row r="76" customFormat="false" ht="15" hidden="false" customHeight="false" outlineLevel="0" collapsed="false">
      <c r="A76" s="12"/>
      <c r="B76" s="13"/>
      <c r="C76" s="14"/>
      <c r="D76" s="15"/>
      <c r="E76" s="16"/>
      <c r="F76" s="15"/>
      <c r="G76" s="15"/>
      <c r="H76" s="17" t="str">
        <f aca="false">IF(OR(B76="",D76="",E76="",F76=""),"",D76*E76+F76*(1-E76))</f>
        <v/>
      </c>
      <c r="I76" s="18" t="str">
        <f aca="false">IF(H76="","",LOOKUP(H76,'Not Tablosu'!$A$5:$A$13,'Not Tablosu'!$B$5:$B$13))</f>
        <v/>
      </c>
      <c r="J76" s="19" t="str">
        <f aca="false">IF(H76="","",LOOKUP(H76,'Not Tablosu'!$A$5:$A$13,'Not Tablosu'!$C$5:$C$13))</f>
        <v/>
      </c>
      <c r="K76" s="17" t="str">
        <f aca="false">IF(OR(B76="",D76="",E76="",G76="",F76&lt;&gt;"",E76&gt;=1),"",(G76-D76*E76)/(1-E76))</f>
        <v/>
      </c>
      <c r="L76" s="18" t="str">
        <f aca="false">IF(J76="","",C76)</f>
        <v/>
      </c>
      <c r="M76" s="18" t="str">
        <f aca="false">IF(J76="","",C76*J76)</f>
        <v/>
      </c>
    </row>
    <row r="77" customFormat="false" ht="15" hidden="false" customHeight="false" outlineLevel="0" collapsed="false">
      <c r="A77" s="12"/>
      <c r="B77" s="13"/>
      <c r="C77" s="14"/>
      <c r="D77" s="15"/>
      <c r="E77" s="16"/>
      <c r="F77" s="15"/>
      <c r="G77" s="15"/>
      <c r="H77" s="17" t="str">
        <f aca="false">IF(OR(B77="",D77="",E77="",F77=""),"",D77*E77+F77*(1-E77))</f>
        <v/>
      </c>
      <c r="I77" s="18" t="str">
        <f aca="false">IF(H77="","",LOOKUP(H77,'Not Tablosu'!$A$5:$A$13,'Not Tablosu'!$B$5:$B$13))</f>
        <v/>
      </c>
      <c r="J77" s="19" t="str">
        <f aca="false">IF(H77="","",LOOKUP(H77,'Not Tablosu'!$A$5:$A$13,'Not Tablosu'!$C$5:$C$13))</f>
        <v/>
      </c>
      <c r="K77" s="17" t="str">
        <f aca="false">IF(OR(B77="",D77="",E77="",G77="",F77&lt;&gt;"",E77&gt;=1),"",(G77-D77*E77)/(1-E77))</f>
        <v/>
      </c>
      <c r="L77" s="18" t="str">
        <f aca="false">IF(J77="","",C77)</f>
        <v/>
      </c>
      <c r="M77" s="18" t="str">
        <f aca="false">IF(J77="","",C77*J77)</f>
        <v/>
      </c>
    </row>
    <row r="78" customFormat="false" ht="15" hidden="false" customHeight="false" outlineLevel="0" collapsed="false">
      <c r="A78" s="12"/>
      <c r="B78" s="13"/>
      <c r="C78" s="14"/>
      <c r="D78" s="15"/>
      <c r="E78" s="16"/>
      <c r="F78" s="15"/>
      <c r="G78" s="15"/>
      <c r="H78" s="17" t="str">
        <f aca="false">IF(OR(B78="",D78="",E78="",F78=""),"",D78*E78+F78*(1-E78))</f>
        <v/>
      </c>
      <c r="I78" s="18" t="str">
        <f aca="false">IF(H78="","",LOOKUP(H78,'Not Tablosu'!$A$5:$A$13,'Not Tablosu'!$B$5:$B$13))</f>
        <v/>
      </c>
      <c r="J78" s="19" t="str">
        <f aca="false">IF(H78="","",LOOKUP(H78,'Not Tablosu'!$A$5:$A$13,'Not Tablosu'!$C$5:$C$13))</f>
        <v/>
      </c>
      <c r="K78" s="17" t="str">
        <f aca="false">IF(OR(B78="",D78="",E78="",G78="",F78&lt;&gt;"",E78&gt;=1),"",(G78-D78*E78)/(1-E78))</f>
        <v/>
      </c>
      <c r="L78" s="18" t="str">
        <f aca="false">IF(J78="","",C78)</f>
        <v/>
      </c>
      <c r="M78" s="18" t="str">
        <f aca="false">IF(J78="","",C78*J78)</f>
        <v/>
      </c>
    </row>
    <row r="79" customFormat="false" ht="15" hidden="false" customHeight="false" outlineLevel="0" collapsed="false">
      <c r="A79" s="12"/>
      <c r="B79" s="13"/>
      <c r="C79" s="14"/>
      <c r="D79" s="15"/>
      <c r="E79" s="16"/>
      <c r="F79" s="15"/>
      <c r="G79" s="15"/>
      <c r="H79" s="17" t="str">
        <f aca="false">IF(OR(B79="",D79="",E79="",F79=""),"",D79*E79+F79*(1-E79))</f>
        <v/>
      </c>
      <c r="I79" s="18" t="str">
        <f aca="false">IF(H79="","",LOOKUP(H79,'Not Tablosu'!$A$5:$A$13,'Not Tablosu'!$B$5:$B$13))</f>
        <v/>
      </c>
      <c r="J79" s="19" t="str">
        <f aca="false">IF(H79="","",LOOKUP(H79,'Not Tablosu'!$A$5:$A$13,'Not Tablosu'!$C$5:$C$13))</f>
        <v/>
      </c>
      <c r="K79" s="17" t="str">
        <f aca="false">IF(OR(B79="",D79="",E79="",G79="",F79&lt;&gt;"",E79&gt;=1),"",(G79-D79*E79)/(1-E79))</f>
        <v/>
      </c>
      <c r="L79" s="18" t="str">
        <f aca="false">IF(J79="","",C79)</f>
        <v/>
      </c>
      <c r="M79" s="18" t="str">
        <f aca="false">IF(J79="","",C79*J79)</f>
        <v/>
      </c>
    </row>
    <row r="80" customFormat="false" ht="15" hidden="false" customHeight="false" outlineLevel="0" collapsed="false">
      <c r="A80" s="12"/>
      <c r="B80" s="13"/>
      <c r="C80" s="14"/>
      <c r="D80" s="15"/>
      <c r="E80" s="16"/>
      <c r="F80" s="15"/>
      <c r="G80" s="15"/>
      <c r="H80" s="17" t="str">
        <f aca="false">IF(OR(B80="",D80="",E80="",F80=""),"",D80*E80+F80*(1-E80))</f>
        <v/>
      </c>
      <c r="I80" s="18" t="str">
        <f aca="false">IF(H80="","",LOOKUP(H80,'Not Tablosu'!$A$5:$A$13,'Not Tablosu'!$B$5:$B$13))</f>
        <v/>
      </c>
      <c r="J80" s="19" t="str">
        <f aca="false">IF(H80="","",LOOKUP(H80,'Not Tablosu'!$A$5:$A$13,'Not Tablosu'!$C$5:$C$13))</f>
        <v/>
      </c>
      <c r="K80" s="17" t="str">
        <f aca="false">IF(OR(B80="",D80="",E80="",G80="",F80&lt;&gt;"",E80&gt;=1),"",(G80-D80*E80)/(1-E80))</f>
        <v/>
      </c>
      <c r="L80" s="18" t="str">
        <f aca="false">IF(J80="","",C80)</f>
        <v/>
      </c>
      <c r="M80" s="18" t="str">
        <f aca="false">IF(J80="","",C80*J80)</f>
        <v/>
      </c>
    </row>
    <row r="81" customFormat="false" ht="15" hidden="false" customHeight="false" outlineLevel="0" collapsed="false">
      <c r="A81" s="12"/>
      <c r="B81" s="13"/>
      <c r="C81" s="14"/>
      <c r="D81" s="15"/>
      <c r="E81" s="16"/>
      <c r="F81" s="15"/>
      <c r="G81" s="15"/>
      <c r="H81" s="17" t="str">
        <f aca="false">IF(OR(B81="",D81="",E81="",F81=""),"",D81*E81+F81*(1-E81))</f>
        <v/>
      </c>
      <c r="I81" s="18" t="str">
        <f aca="false">IF(H81="","",LOOKUP(H81,'Not Tablosu'!$A$5:$A$13,'Not Tablosu'!$B$5:$B$13))</f>
        <v/>
      </c>
      <c r="J81" s="19" t="str">
        <f aca="false">IF(H81="","",LOOKUP(H81,'Not Tablosu'!$A$5:$A$13,'Not Tablosu'!$C$5:$C$13))</f>
        <v/>
      </c>
      <c r="K81" s="17" t="str">
        <f aca="false">IF(OR(B81="",D81="",E81="",G81="",F81&lt;&gt;"",E81&gt;=1),"",(G81-D81*E81)/(1-E81))</f>
        <v/>
      </c>
      <c r="L81" s="18" t="str">
        <f aca="false">IF(J81="","",C81)</f>
        <v/>
      </c>
      <c r="M81" s="18" t="str">
        <f aca="false">IF(J81="","",C81*J81)</f>
        <v/>
      </c>
    </row>
    <row r="82" customFormat="false" ht="15" hidden="false" customHeight="false" outlineLevel="0" collapsed="false">
      <c r="A82" s="12"/>
      <c r="B82" s="13"/>
      <c r="C82" s="14"/>
      <c r="D82" s="15"/>
      <c r="E82" s="16"/>
      <c r="F82" s="15"/>
      <c r="G82" s="15"/>
      <c r="H82" s="17" t="str">
        <f aca="false">IF(OR(B82="",D82="",E82="",F82=""),"",D82*E82+F82*(1-E82))</f>
        <v/>
      </c>
      <c r="I82" s="18" t="str">
        <f aca="false">IF(H82="","",LOOKUP(H82,'Not Tablosu'!$A$5:$A$13,'Not Tablosu'!$B$5:$B$13))</f>
        <v/>
      </c>
      <c r="J82" s="19" t="str">
        <f aca="false">IF(H82="","",LOOKUP(H82,'Not Tablosu'!$A$5:$A$13,'Not Tablosu'!$C$5:$C$13))</f>
        <v/>
      </c>
      <c r="K82" s="17" t="str">
        <f aca="false">IF(OR(B82="",D82="",E82="",G82="",F82&lt;&gt;"",E82&gt;=1),"",(G82-D82*E82)/(1-E82))</f>
        <v/>
      </c>
      <c r="L82" s="18" t="str">
        <f aca="false">IF(J82="","",C82)</f>
        <v/>
      </c>
      <c r="M82" s="18" t="str">
        <f aca="false">IF(J82="","",C82*J82)</f>
        <v/>
      </c>
    </row>
    <row r="83" customFormat="false" ht="15" hidden="false" customHeight="false" outlineLevel="0" collapsed="false">
      <c r="A83" s="12"/>
      <c r="B83" s="13"/>
      <c r="C83" s="14"/>
      <c r="D83" s="15"/>
      <c r="E83" s="16"/>
      <c r="F83" s="15"/>
      <c r="G83" s="15"/>
      <c r="H83" s="17" t="str">
        <f aca="false">IF(OR(B83="",D83="",E83="",F83=""),"",D83*E83+F83*(1-E83))</f>
        <v/>
      </c>
      <c r="I83" s="18" t="str">
        <f aca="false">IF(H83="","",LOOKUP(H83,'Not Tablosu'!$A$5:$A$13,'Not Tablosu'!$B$5:$B$13))</f>
        <v/>
      </c>
      <c r="J83" s="19" t="str">
        <f aca="false">IF(H83="","",LOOKUP(H83,'Not Tablosu'!$A$5:$A$13,'Not Tablosu'!$C$5:$C$13))</f>
        <v/>
      </c>
      <c r="K83" s="17" t="str">
        <f aca="false">IF(OR(B83="",D83="",E83="",G83="",F83&lt;&gt;"",E83&gt;=1),"",(G83-D83*E83)/(1-E83))</f>
        <v/>
      </c>
      <c r="L83" s="18" t="str">
        <f aca="false">IF(J83="","",C83)</f>
        <v/>
      </c>
      <c r="M83" s="18" t="str">
        <f aca="false">IF(J83="","",C83*J83)</f>
        <v/>
      </c>
    </row>
    <row r="84" customFormat="false" ht="15" hidden="false" customHeight="false" outlineLevel="0" collapsed="false">
      <c r="A84" s="12"/>
      <c r="B84" s="13"/>
      <c r="C84" s="14"/>
      <c r="D84" s="15"/>
      <c r="E84" s="16"/>
      <c r="F84" s="15"/>
      <c r="G84" s="15"/>
      <c r="H84" s="17" t="str">
        <f aca="false">IF(OR(B84="",D84="",E84="",F84=""),"",D84*E84+F84*(1-E84))</f>
        <v/>
      </c>
      <c r="I84" s="18" t="str">
        <f aca="false">IF(H84="","",LOOKUP(H84,'Not Tablosu'!$A$5:$A$13,'Not Tablosu'!$B$5:$B$13))</f>
        <v/>
      </c>
      <c r="J84" s="19" t="str">
        <f aca="false">IF(H84="","",LOOKUP(H84,'Not Tablosu'!$A$5:$A$13,'Not Tablosu'!$C$5:$C$13))</f>
        <v/>
      </c>
      <c r="K84" s="17" t="str">
        <f aca="false">IF(OR(B84="",D84="",E84="",G84="",F84&lt;&gt;"",E84&gt;=1),"",(G84-D84*E84)/(1-E84))</f>
        <v/>
      </c>
      <c r="L84" s="18" t="str">
        <f aca="false">IF(J84="","",C84)</f>
        <v/>
      </c>
      <c r="M84" s="18" t="str">
        <f aca="false">IF(J84="","",C84*J84)</f>
        <v/>
      </c>
    </row>
  </sheetData>
  <conditionalFormatting sqref="K5:K84">
    <cfRule type="expression" priority="2" aboveAverage="0" equalAverage="0" bottom="0" percent="0" rank="0" text="" dxfId="0">
      <formula>AND(ISNUMBER(K5),K5&gt;100)</formula>
    </cfRule>
  </conditionalFormatting>
  <dataValidations count="3">
    <dataValidation allowBlank="true" error="Listeden seç." errorStyle="stop" errorTitle="Kontrol" operator="between" showDropDown="false" showErrorMessage="true" showInputMessage="false" sqref="A5:A84" type="list">
      <formula1>Listeler!$A$5:$A$34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C5:D84 F5:G84" type="decimal">
      <formula1>0</formula1>
      <formula2>0</formula2>
    </dataValidation>
    <dataValidation allowBlank="true" error="0 ile 1 arasında bir oran gir (örnek: yüzde 20 için 0,2)." errorStyle="stop" errorTitle="Kontrol" operator="between" showDropDown="false" showErrorMessage="true" showInputMessage="false" sqref="E5:E84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44</v>
      </c>
    </row>
    <row r="2" customFormat="false" ht="15" hidden="false" customHeight="false" outlineLevel="0" collapsed="false">
      <c r="A2" s="9" t="s">
        <v>45</v>
      </c>
    </row>
    <row r="5" customFormat="false" ht="30" hidden="false" customHeight="true" outlineLevel="0" collapsed="false">
      <c r="B5" s="21" t="s">
        <v>46</v>
      </c>
      <c r="C5" s="21" t="s">
        <v>47</v>
      </c>
      <c r="D5" s="21" t="s">
        <v>48</v>
      </c>
      <c r="E5" s="21" t="s">
        <v>49</v>
      </c>
    </row>
    <row r="6" customFormat="false" ht="27.75" hidden="false" customHeight="true" outlineLevel="0" collapsed="false">
      <c r="B6" s="22" t="n">
        <f aca="false">IF(SUM(Dersler!$L$5:$L$84)=0,0,SUM(Dersler!$M$5:$M$84)/SUM(Dersler!$L$5:$L$84))</f>
        <v>2.7</v>
      </c>
      <c r="C6" s="23" t="n">
        <f aca="false">SUM(Dersler!$L$5:$L$84)</f>
        <v>10</v>
      </c>
      <c r="D6" s="23" t="n">
        <f aca="false">COUNT(Dersler!$L$5:$L$84)</f>
        <v>3</v>
      </c>
      <c r="E6" s="23" t="n">
        <f aca="false">COUNTA(Dersler!$B$5:$B$84)-COUNT(Dersler!$L$5:$L$84)</f>
        <v>1</v>
      </c>
    </row>
    <row r="8" customFormat="false" ht="15" hidden="false" customHeight="false" outlineLevel="0" collapsed="false">
      <c r="B8" s="24" t="s">
        <v>50</v>
      </c>
    </row>
    <row r="9" customFormat="false" ht="21.75" hidden="false" customHeight="true" outlineLevel="0" collapsed="false">
      <c r="B9" s="10" t="s">
        <v>26</v>
      </c>
      <c r="C9" s="10" t="s">
        <v>28</v>
      </c>
      <c r="D9" s="10" t="s">
        <v>51</v>
      </c>
    </row>
    <row r="10" customFormat="false" ht="15" hidden="false" customHeight="false" outlineLevel="0" collapsed="false">
      <c r="B10" s="25" t="str">
        <f aca="false">IF(Listeler!A5="","",Listeler!A5)</f>
        <v>1. dönem</v>
      </c>
      <c r="C10" s="26" t="n">
        <f aca="false">IF(B10="","",SUMIFS(Dersler!$L$5:$L$84,Dersler!$A$5:$A$84,B10))</f>
        <v>7</v>
      </c>
      <c r="D10" s="27" t="n">
        <f aca="false">IF(B10="","",IF(SUMIFS(Dersler!$L$5:$L$84,Dersler!$A$5:$A$84,B10)=0,"",SUMIFS(Dersler!$M$5:$M$84,Dersler!$A$5:$A$84,B10)/SUMIFS(Dersler!$L$5:$L$84,Dersler!$A$5:$A$84,B10)))</f>
        <v>2.14285714285714</v>
      </c>
    </row>
    <row r="11" customFormat="false" ht="15" hidden="false" customHeight="false" outlineLevel="0" collapsed="false">
      <c r="B11" s="28" t="str">
        <f aca="false">IF(Listeler!A6="","",Listeler!A6)</f>
        <v>2. dönem</v>
      </c>
      <c r="C11" s="29" t="n">
        <f aca="false">IF(B11="","",SUMIFS(Dersler!$L$5:$L$84,Dersler!$A$5:$A$84,B11))</f>
        <v>3</v>
      </c>
      <c r="D11" s="30" t="n">
        <f aca="false">IF(B11="","",IF(SUMIFS(Dersler!$L$5:$L$84,Dersler!$A$5:$A$84,B11)=0,"",SUMIFS(Dersler!$M$5:$M$84,Dersler!$A$5:$A$84,B11)/SUMIFS(Dersler!$L$5:$L$84,Dersler!$A$5:$A$84,B11)))</f>
        <v>4</v>
      </c>
    </row>
    <row r="12" customFormat="false" ht="15" hidden="false" customHeight="false" outlineLevel="0" collapsed="false">
      <c r="B12" s="25" t="str">
        <f aca="false">IF(Listeler!A7="","",Listeler!A7)</f>
        <v>3. dönem</v>
      </c>
      <c r="C12" s="26" t="n">
        <f aca="false">IF(B12="","",SUMIFS(Dersler!$L$5:$L$84,Dersler!$A$5:$A$84,B12))</f>
        <v>0</v>
      </c>
      <c r="D12" s="27" t="str">
        <f aca="false">IF(B12="","",IF(SUMIFS(Dersler!$L$5:$L$84,Dersler!$A$5:$A$84,B12)=0,"",SUMIFS(Dersler!$M$5:$M$84,Dersler!$A$5:$A$84,B12)/SUMIFS(Dersler!$L$5:$L$84,Dersler!$A$5:$A$84,B12)))</f>
        <v/>
      </c>
    </row>
    <row r="13" customFormat="false" ht="15" hidden="false" customHeight="false" outlineLevel="0" collapsed="false">
      <c r="B13" s="28" t="str">
        <f aca="false">IF(Listeler!A8="","",Listeler!A8)</f>
        <v>4. dönem</v>
      </c>
      <c r="C13" s="29" t="n">
        <f aca="false">IF(B13="","",SUMIFS(Dersler!$L$5:$L$84,Dersler!$A$5:$A$84,B13))</f>
        <v>0</v>
      </c>
      <c r="D13" s="30" t="str">
        <f aca="false">IF(B13="","",IF(SUMIFS(Dersler!$L$5:$L$84,Dersler!$A$5:$A$84,B13)=0,"",SUMIFS(Dersler!$M$5:$M$84,Dersler!$A$5:$A$84,B13)/SUMIFS(Dersler!$L$5:$L$84,Dersler!$A$5:$A$84,B13)))</f>
        <v/>
      </c>
    </row>
    <row r="14" customFormat="false" ht="15" hidden="false" customHeight="false" outlineLevel="0" collapsed="false">
      <c r="B14" s="25" t="str">
        <f aca="false">IF(Listeler!A9="","",Listeler!A9)</f>
        <v>5. dönem</v>
      </c>
      <c r="C14" s="26" t="n">
        <f aca="false">IF(B14="","",SUMIFS(Dersler!$L$5:$L$84,Dersler!$A$5:$A$84,B14))</f>
        <v>0</v>
      </c>
      <c r="D14" s="27" t="str">
        <f aca="false">IF(B14="","",IF(SUMIFS(Dersler!$L$5:$L$84,Dersler!$A$5:$A$84,B14)=0,"",SUMIFS(Dersler!$M$5:$M$84,Dersler!$A$5:$A$84,B14)/SUMIFS(Dersler!$L$5:$L$84,Dersler!$A$5:$A$84,B14)))</f>
        <v/>
      </c>
    </row>
    <row r="15" customFormat="false" ht="15" hidden="false" customHeight="false" outlineLevel="0" collapsed="false">
      <c r="B15" s="28" t="str">
        <f aca="false">IF(Listeler!A10="","",Listeler!A10)</f>
        <v>6. dönem</v>
      </c>
      <c r="C15" s="29" t="n">
        <f aca="false">IF(B15="","",SUMIFS(Dersler!$L$5:$L$84,Dersler!$A$5:$A$84,B15))</f>
        <v>0</v>
      </c>
      <c r="D15" s="30" t="str">
        <f aca="false">IF(B15="","",IF(SUMIFS(Dersler!$L$5:$L$84,Dersler!$A$5:$A$84,B15)=0,"",SUMIFS(Dersler!$M$5:$M$84,Dersler!$A$5:$A$84,B15)/SUMIFS(Dersler!$L$5:$L$84,Dersler!$A$5:$A$84,B15)))</f>
        <v/>
      </c>
    </row>
    <row r="16" customFormat="false" ht="15" hidden="false" customHeight="false" outlineLevel="0" collapsed="false">
      <c r="B16" s="25" t="str">
        <f aca="false">IF(Listeler!A11="","",Listeler!A11)</f>
        <v>7. dönem</v>
      </c>
      <c r="C16" s="26" t="n">
        <f aca="false">IF(B16="","",SUMIFS(Dersler!$L$5:$L$84,Dersler!$A$5:$A$84,B16))</f>
        <v>0</v>
      </c>
      <c r="D16" s="27" t="str">
        <f aca="false">IF(B16="","",IF(SUMIFS(Dersler!$L$5:$L$84,Dersler!$A$5:$A$84,B16)=0,"",SUMIFS(Dersler!$M$5:$M$84,Dersler!$A$5:$A$84,B16)/SUMIFS(Dersler!$L$5:$L$84,Dersler!$A$5:$A$84,B16)))</f>
        <v/>
      </c>
    </row>
    <row r="17" customFormat="false" ht="15" hidden="false" customHeight="false" outlineLevel="0" collapsed="false">
      <c r="B17" s="28" t="str">
        <f aca="false">IF(Listeler!A12="","",Listeler!A12)</f>
        <v>8. dönem</v>
      </c>
      <c r="C17" s="29" t="n">
        <f aca="false">IF(B17="","",SUMIFS(Dersler!$L$5:$L$84,Dersler!$A$5:$A$84,B17))</f>
        <v>0</v>
      </c>
      <c r="D17" s="30" t="str">
        <f aca="false">IF(B17="","",IF(SUMIFS(Dersler!$L$5:$L$84,Dersler!$A$5:$A$84,B17)=0,"",SUMIFS(Dersler!$M$5:$M$84,Dersler!$A$5:$A$84,B17)/SUMIFS(Dersler!$L$5:$L$84,Dersler!$A$5:$A$84,B17)))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</cols>
  <sheetData>
    <row r="1" customFormat="false" ht="19.7" hidden="false" customHeight="false" outlineLevel="0" collapsed="false">
      <c r="A1" s="8" t="s">
        <v>52</v>
      </c>
    </row>
    <row r="2" customFormat="false" ht="15" hidden="false" customHeight="false" outlineLevel="0" collapsed="false">
      <c r="A2" s="9" t="s">
        <v>53</v>
      </c>
    </row>
    <row r="4" customFormat="false" ht="27.75" hidden="false" customHeight="true" outlineLevel="0" collapsed="false">
      <c r="A4" s="10" t="s">
        <v>54</v>
      </c>
      <c r="B4" s="10" t="s">
        <v>34</v>
      </c>
      <c r="C4" s="10" t="s">
        <v>35</v>
      </c>
    </row>
    <row r="5" customFormat="false" ht="15" hidden="false" customHeight="false" outlineLevel="0" collapsed="false">
      <c r="A5" s="12" t="n">
        <v>0</v>
      </c>
      <c r="B5" s="12" t="s">
        <v>55</v>
      </c>
      <c r="C5" s="31" t="n">
        <v>0</v>
      </c>
      <c r="E5" s="9" t="s">
        <v>56</v>
      </c>
    </row>
    <row r="6" customFormat="false" ht="15" hidden="false" customHeight="false" outlineLevel="0" collapsed="false">
      <c r="A6" s="12" t="n">
        <v>40</v>
      </c>
      <c r="B6" s="12" t="s">
        <v>57</v>
      </c>
      <c r="C6" s="31" t="n">
        <v>0.5</v>
      </c>
    </row>
    <row r="7" customFormat="false" ht="15" hidden="false" customHeight="false" outlineLevel="0" collapsed="false">
      <c r="A7" s="12" t="n">
        <v>50</v>
      </c>
      <c r="B7" s="12" t="s">
        <v>58</v>
      </c>
      <c r="C7" s="31" t="n">
        <v>1</v>
      </c>
    </row>
    <row r="8" customFormat="false" ht="15" hidden="false" customHeight="false" outlineLevel="0" collapsed="false">
      <c r="A8" s="12" t="n">
        <v>55</v>
      </c>
      <c r="B8" s="12" t="s">
        <v>59</v>
      </c>
      <c r="C8" s="31" t="n">
        <v>1.5</v>
      </c>
    </row>
    <row r="9" customFormat="false" ht="15" hidden="false" customHeight="false" outlineLevel="0" collapsed="false">
      <c r="A9" s="12" t="n">
        <v>60</v>
      </c>
      <c r="B9" s="12" t="s">
        <v>60</v>
      </c>
      <c r="C9" s="31" t="n">
        <v>2</v>
      </c>
    </row>
    <row r="10" customFormat="false" ht="15" hidden="false" customHeight="false" outlineLevel="0" collapsed="false">
      <c r="A10" s="12" t="n">
        <v>70</v>
      </c>
      <c r="B10" s="12" t="s">
        <v>61</v>
      </c>
      <c r="C10" s="31" t="n">
        <v>2.5</v>
      </c>
    </row>
    <row r="11" customFormat="false" ht="15" hidden="false" customHeight="false" outlineLevel="0" collapsed="false">
      <c r="A11" s="12" t="n">
        <v>75</v>
      </c>
      <c r="B11" s="12" t="s">
        <v>62</v>
      </c>
      <c r="C11" s="31" t="n">
        <v>3</v>
      </c>
    </row>
    <row r="12" customFormat="false" ht="15" hidden="false" customHeight="false" outlineLevel="0" collapsed="false">
      <c r="A12" s="12" t="n">
        <v>85</v>
      </c>
      <c r="B12" s="12" t="s">
        <v>63</v>
      </c>
      <c r="C12" s="31" t="n">
        <v>3.5</v>
      </c>
    </row>
    <row r="13" customFormat="false" ht="15" hidden="false" customHeight="false" outlineLevel="0" collapsed="false">
      <c r="A13" s="12" t="n">
        <v>90</v>
      </c>
      <c r="B13" s="12" t="s">
        <v>64</v>
      </c>
      <c r="C13" s="31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9.7" hidden="false" customHeight="false" outlineLevel="0" collapsed="false">
      <c r="A1" s="8" t="s">
        <v>65</v>
      </c>
    </row>
    <row r="2" customFormat="false" ht="15" hidden="false" customHeight="false" outlineLevel="0" collapsed="false">
      <c r="A2" s="9" t="s">
        <v>66</v>
      </c>
    </row>
    <row r="4" customFormat="false" ht="21.75" hidden="false" customHeight="true" outlineLevel="0" collapsed="false">
      <c r="A4" s="10" t="s">
        <v>26</v>
      </c>
    </row>
    <row r="5" customFormat="false" ht="15" hidden="false" customHeight="false" outlineLevel="0" collapsed="false">
      <c r="A5" s="13" t="s">
        <v>38</v>
      </c>
    </row>
    <row r="6" customFormat="false" ht="15" hidden="false" customHeight="false" outlineLevel="0" collapsed="false">
      <c r="A6" s="13" t="s">
        <v>41</v>
      </c>
    </row>
    <row r="7" customFormat="false" ht="15" hidden="false" customHeight="false" outlineLevel="0" collapsed="false">
      <c r="A7" s="13" t="s">
        <v>67</v>
      </c>
    </row>
    <row r="8" customFormat="false" ht="15" hidden="false" customHeight="false" outlineLevel="0" collapsed="false">
      <c r="A8" s="13" t="s">
        <v>68</v>
      </c>
    </row>
    <row r="9" customFormat="false" ht="15" hidden="false" customHeight="false" outlineLevel="0" collapsed="false">
      <c r="A9" s="13" t="s">
        <v>69</v>
      </c>
    </row>
    <row r="10" customFormat="false" ht="15" hidden="false" customHeight="false" outlineLevel="0" collapsed="false">
      <c r="A10" s="13" t="s">
        <v>70</v>
      </c>
    </row>
    <row r="11" customFormat="false" ht="15" hidden="false" customHeight="false" outlineLevel="0" collapsed="false">
      <c r="A11" s="13" t="s">
        <v>71</v>
      </c>
    </row>
    <row r="12" customFormat="false" ht="15" hidden="false" customHeight="false" outlineLevel="0" collapsed="false">
      <c r="A12" s="13" t="s">
        <v>72</v>
      </c>
    </row>
    <row r="13" customFormat="false" ht="15" hidden="false" customHeight="false" outlineLevel="0" collapsed="false">
      <c r="A13" s="13"/>
    </row>
    <row r="14" customFormat="false" ht="15" hidden="false" customHeight="false" outlineLevel="0" collapsed="false">
      <c r="A14" s="13"/>
    </row>
    <row r="15" customFormat="false" ht="15" hidden="false" customHeight="false" outlineLevel="0" collapsed="false">
      <c r="A15" s="13"/>
    </row>
    <row r="16" customFormat="false" ht="15" hidden="false" customHeight="false" outlineLevel="0" collapsed="false">
      <c r="A16" s="13"/>
    </row>
    <row r="17" customFormat="false" ht="15" hidden="false" customHeight="false" outlineLevel="0" collapsed="false">
      <c r="A17" s="13"/>
    </row>
    <row r="18" customFormat="false" ht="15" hidden="false" customHeight="false" outlineLevel="0" collapsed="false">
      <c r="A18" s="13"/>
    </row>
    <row r="19" customFormat="false" ht="15" hidden="false" customHeight="false" outlineLevel="0" collapsed="false">
      <c r="A19" s="13"/>
    </row>
    <row r="20" customFormat="false" ht="15" hidden="false" customHeight="false" outlineLevel="0" collapsed="false">
      <c r="A20" s="13"/>
    </row>
    <row r="21" customFormat="false" ht="15" hidden="false" customHeight="false" outlineLevel="0" collapsed="false">
      <c r="A21" s="13"/>
    </row>
    <row r="22" customFormat="false" ht="15" hidden="false" customHeight="false" outlineLevel="0" collapsed="false">
      <c r="A22" s="13"/>
    </row>
    <row r="23" customFormat="false" ht="15" hidden="false" customHeight="false" outlineLevel="0" collapsed="false">
      <c r="A23" s="13"/>
    </row>
    <row r="24" customFormat="false" ht="15" hidden="false" customHeight="false" outlineLevel="0" collapsed="false">
      <c r="A24" s="13"/>
    </row>
    <row r="25" customFormat="false" ht="15" hidden="false" customHeight="false" outlineLevel="0" collapsed="false">
      <c r="A25" s="13"/>
    </row>
    <row r="26" customFormat="false" ht="15" hidden="false" customHeight="false" outlineLevel="0" collapsed="false">
      <c r="A26" s="13"/>
    </row>
    <row r="27" customFormat="false" ht="15" hidden="false" customHeight="false" outlineLevel="0" collapsed="false">
      <c r="A27" s="13"/>
    </row>
    <row r="28" customFormat="false" ht="15" hidden="false" customHeight="false" outlineLevel="0" collapsed="false">
      <c r="A28" s="13"/>
    </row>
    <row r="29" customFormat="false" ht="15" hidden="false" customHeight="false" outlineLevel="0" collapsed="false">
      <c r="A29" s="13"/>
    </row>
    <row r="30" customFormat="false" ht="15" hidden="false" customHeight="false" outlineLevel="0" collapsed="false">
      <c r="A30" s="13"/>
    </row>
    <row r="31" customFormat="false" ht="15" hidden="false" customHeight="false" outlineLevel="0" collapsed="false">
      <c r="A31" s="13"/>
    </row>
    <row r="32" customFormat="false" ht="15" hidden="false" customHeight="false" outlineLevel="0" collapsed="false">
      <c r="A32" s="13"/>
    </row>
    <row r="33" customFormat="false" ht="15" hidden="false" customHeight="false" outlineLevel="0" collapsed="false">
      <c r="A33" s="13"/>
    </row>
    <row r="34" customFormat="false" ht="15" hidden="false" customHeight="false" outlineLevel="0" collapsed="false">
      <c r="A34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73</v>
      </c>
    </row>
    <row r="2" customFormat="false" ht="30" hidden="false" customHeight="true" outlineLevel="0" collapsed="false">
      <c r="B2" s="32" t="s">
        <v>74</v>
      </c>
      <c r="C2" s="32"/>
    </row>
    <row r="3" customFormat="false" ht="31.5" hidden="false" customHeight="true" outlineLevel="0" collapsed="false">
      <c r="B3" s="33" t="s">
        <v>75</v>
      </c>
      <c r="C3" s="33"/>
    </row>
    <row r="5" customFormat="false" ht="15" hidden="false" customHeight="false" outlineLevel="0" collapsed="false">
      <c r="B5" s="34" t="s">
        <v>76</v>
      </c>
      <c r="C5" s="34" t="s">
        <v>77</v>
      </c>
    </row>
    <row r="6" customFormat="false" ht="31.5" hidden="false" customHeight="true" outlineLevel="0" collapsed="false">
      <c r="B6" s="35" t="s">
        <v>78</v>
      </c>
      <c r="C6" s="36" t="s">
        <v>79</v>
      </c>
    </row>
    <row r="7" customFormat="false" ht="31.5" hidden="false" customHeight="true" outlineLevel="0" collapsed="false">
      <c r="B7" s="37" t="s">
        <v>80</v>
      </c>
      <c r="C7" s="38" t="s">
        <v>81</v>
      </c>
    </row>
    <row r="8" customFormat="false" ht="31.5" hidden="false" customHeight="true" outlineLevel="0" collapsed="false">
      <c r="B8" s="35" t="s">
        <v>82</v>
      </c>
      <c r="C8" s="36" t="s">
        <v>83</v>
      </c>
    </row>
    <row r="9" customFormat="false" ht="31.5" hidden="false" customHeight="true" outlineLevel="0" collapsed="false">
      <c r="B9" s="37" t="s">
        <v>84</v>
      </c>
      <c r="C9" s="38" t="s">
        <v>85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2026-10-04T22:00:07Z</dcterms:created>
  <dc:creator>openpyxl</dc:creator>
  <dc:description/>
  <dc:language>en-US</dc:language>
  <cp:lastModifiedBy/>
  <dcterms:modified xsi:type="dcterms:W3CDTF">2026-10-04T22:00:07Z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