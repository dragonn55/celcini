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Kredi" sheetId="2" state="visible" r:id="rId4"/>
    <sheet name="Teklifler" sheetId="3" state="visible" r:id="rId5"/>
    <sheet name="AI Komutlar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<sst xmlns="http://schemas.openxmlformats.org/spreadsheetml/2006/main" count="80" uniqueCount="78">
  <si>
    <t xml:space="preserve">EXCEL KLİNİĞİ</t>
  </si>
  <si>
    <t xml:space="preserve">KREDİ  |  Kredi taksit ve teklif karşılaştırma</t>
  </si>
  <si>
    <t xml:space="preserve">Taksit ne kadar, toplamda ne ödeyeceksin, erken ödeme yaparsan ne kazanırsın, hangi banka teklifi gerçekten daha ucuz.</t>
  </si>
  <si>
    <t xml:space="preserve">NASIL KULLANILIR</t>
  </si>
  <si>
    <t xml:space="preserve">1. Kredi</t>
  </si>
  <si>
    <t xml:space="preserve">Tutarı, aylık faizi, vergi oranını, vadeyi ve ilk taksit tarihini yaz. Taksit ve ödeme planı çıkar.</t>
  </si>
  <si>
    <t xml:space="preserve">2. Erken ödeme</t>
  </si>
  <si>
    <t xml:space="preserve">Bir taksitte fazladan ödeme yapmayı düşünüyorsan taksit numarasını ve tutarı yaz; kazancını ve kısalan vadeyi gör.</t>
  </si>
  <si>
    <t xml:space="preserve">3. Teklifler</t>
  </si>
  <si>
    <t xml:space="preserve">Farklı bankaların tekliflerini yan yana yaz; toplam maliyete göre sıralanır.</t>
  </si>
  <si>
    <t xml:space="preserve">BİLMEN GEREKENLER</t>
  </si>
  <si>
    <t xml:space="preserve">Vergili oran</t>
  </si>
  <si>
    <t xml:space="preserve">Faiz oranı, yazdığın vergi ve fon oranıyla büyütülür. Varsayılan yüzde 30 bir kullanıcı girişidir; kredi türüne göre değişir.</t>
  </si>
  <si>
    <t xml:space="preserve">Erken ödeme</t>
  </si>
  <si>
    <t xml:space="preserve">Fazladan ödenen tutar anaparadan düşer, taksit aynı kalır, vade kısalır. Bankalar erken ödeme ücreti alabilir; dosya bunu hesaba katmaz.</t>
  </si>
  <si>
    <t xml:space="preserve">Banka tablosuyla fark</t>
  </si>
  <si>
    <t xml:space="preserve">Bankanın ödeme planı gün hesabı ve yuvarlama nedeniyle birkaç lira farklı olabilir. Bağlayıcı olan bankanın verdiği plandır.</t>
  </si>
  <si>
    <t xml:space="preserve">Finansal tavsiye değildir</t>
  </si>
  <si>
    <t xml:space="preserve">Dosya hesap yapar; kredi kullanıp kullanmama kararını vermez.</t>
  </si>
  <si>
    <t xml:space="preserve">Kapasite</t>
  </si>
  <si>
    <t xml:space="preserve">Teklifler: 10 satır; 120 aya kadar vade.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</si>
  <si>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</si>
  <si>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</si>
  <si>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</si>
  <si>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</si>
  <si>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</si>
  <si>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Kredi Hesabı</t>
  </si>
  <si>
    <t xml:space="preserve">Sarı hücreleri doldur. Ödeme planı aşağıda kendiliğinden çıkar.</t>
  </si>
  <si>
    <t xml:space="preserve">Kredi tutarı (₺)</t>
  </si>
  <si>
    <t xml:space="preserve">Aylık faiz oranı (vergiler hariç)</t>
  </si>
  <si>
    <t xml:space="preserve">Faiz üzerinden vergi ve fon oranı</t>
  </si>
  <si>
    <t xml:space="preserve">Kullanıcı girişi. Kredi türüne göre değişir; bankandan doğrula.</t>
  </si>
  <si>
    <t xml:space="preserve">Vade (ay)</t>
  </si>
  <si>
    <t xml:space="preserve">İlk taksit tarihi</t>
  </si>
  <si>
    <t xml:space="preserve">Tek seferlik masraflar (₺)</t>
  </si>
  <si>
    <t xml:space="preserve">Erken ödeme yapılacak taksit no (istersen)</t>
  </si>
  <si>
    <t xml:space="preserve">Erken ödeme tutarı (₺)</t>
  </si>
  <si>
    <t xml:space="preserve">Vergili aylık oran</t>
  </si>
  <si>
    <t xml:space="preserve">Aylık taksit (₺)</t>
  </si>
  <si>
    <t xml:space="preserve">Aylık taksit</t>
  </si>
  <si>
    <t xml:space="preserve">Toplam geri ödeme</t>
  </si>
  <si>
    <t xml:space="preserve">Toplam faiz ve vergi</t>
  </si>
  <si>
    <t xml:space="preserve">Son taksit</t>
  </si>
  <si>
    <t xml:space="preserve">Taksit sayısı</t>
  </si>
  <si>
    <t xml:space="preserve">Erken ödeme yapmasaydın toplam faiz ve vergi (₺)</t>
  </si>
  <si>
    <t xml:space="preserve">Erken ödemenin kazandırdığı (₺)</t>
  </si>
  <si>
    <t xml:space="preserve">Kısalan vade (ay)</t>
  </si>
  <si>
    <t xml:space="preserve">Taksit no</t>
  </si>
  <si>
    <t xml:space="preserve">Tarih</t>
  </si>
  <si>
    <t xml:space="preserve">Ödeme (₺)</t>
  </si>
  <si>
    <t xml:space="preserve">Faiz ve vergi (₺)</t>
  </si>
  <si>
    <t xml:space="preserve">Anapara (₺)</t>
  </si>
  <si>
    <t xml:space="preserve">Kalan borç (₺)</t>
  </si>
  <si>
    <t xml:space="preserve">Teklif Karşılaştırma</t>
  </si>
  <si>
    <t xml:space="preserve">Farklı bankaların tekliflerini yaz; en ucuzu toplam maliyete göre sıralanır.</t>
  </si>
  <si>
    <t xml:space="preserve">Banka</t>
  </si>
  <si>
    <t xml:space="preserve">Tutar (₺)</t>
  </si>
  <si>
    <t xml:space="preserve">Aylık faiz oranı</t>
  </si>
  <si>
    <t xml:space="preserve">Masraf (₺)</t>
  </si>
  <si>
    <t xml:space="preserve">Toplam geri ödeme (₺)</t>
  </si>
  <si>
    <t xml:space="preserve">Toplam maliyet (₺)</t>
  </si>
  <si>
    <t xml:space="preserve">Sıra</t>
  </si>
  <si>
    <t xml:space="preserve">Banka Alfa</t>
  </si>
  <si>
    <t xml:space="preserve">Banka Beta</t>
  </si>
  <si>
    <t xml:space="preserve">Banka Gama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</si>
  <si>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</si>
  <si>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</si>
  <si>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Banka adı dışında kişisel bilgi yazma; kimlik ve hesap numarası paylaşma. Yapay zekanın verdiği rakamları dosyadaki özet sayfasıyla karşılaştır.</t>
  </si>
  <si>
    <t xml:space="preserve">Ne için</t>
  </si>
  <si>
    <t xml:space="preserve">Komut (kopyala, yapıştır)</t>
  </si>
  <si>
    <t xml:space="preserve">Teklif yorumu</t>
  </si>
  <si>
    <t xml:space="preserve">[Teklifler sayfası] Tekliflerin farkını taksit, toplam maliyet ve vade açısından yorumla.</t>
  </si>
  <si>
    <t xml:space="preserve">Bütçe uyumu</t>
  </si>
  <si>
    <t xml:space="preserve">Aylık gelirim [tutar], sabit giderim [tutar]. Bu taksit bütçeme ne kadar yük getirir?</t>
  </si>
  <si>
    <t xml:space="preserve">Sorular</t>
  </si>
  <si>
    <t xml:space="preserve">Bankaya kredi öncesinde sormam gereken soruları listele: masraflar, sigorta, erken ödeme.</t>
  </si>
  <si>
    <t xml:space="preserve">Erken ödeme zamanı</t>
  </si>
  <si>
    <t xml:space="preserve">Elimde [tutar] var. Erken ödemeyi şimdi mi yapmalıyım, yoksa acil durum için mi tutmalıyım? Artı ve eksileri yaz.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</si>
</sst>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₺&quot;"/>
    <numFmt numFmtId="166" formatCode="0.00%"/>
    <numFmt numFmtId="167" formatCode="0%"/>
    <numFmt numFmtId="168" formatCode="0"/>
    <numFmt numFmtId="169" formatCode="dd\.mm\.yyyy"/>
    <numFmt numFmtId="170" formatCode="0.000%"/>
    <numFmt numFmtId="171" formatCode="#,##0.00&quot; ₺&quot;;[RED]\-#,##0.00&quot; ₺&quot;;\-"/>
    <numFmt numFmtId="172" formatCode="mmmm\ yyyy"/>
    <numFmt numFmtId="173" formatCode="#,##0;[RED]\-#,##0;\-"/>
    <numFmt numFmtId="17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12"/>
      <color rgb="FF1F6F4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</font>
      <fill>
        <patternFill>
          <bgColor rgb="FF1F6F4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1:C11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7" min="4" style="0" width="16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3" customFormat="false" ht="15" hidden="false" customHeight="false" outlineLevel="0" collapsed="false">
      <c r="B3" s="10" t="s">
        <v>28</v>
      </c>
      <c r="C3" s="11" t="n">
        <v>200000</v>
      </c>
    </row>
    <row r="4" customFormat="false" ht="15" hidden="false" customHeight="false" outlineLevel="0" collapsed="false">
      <c r="B4" s="10" t="s">
        <v>29</v>
      </c>
      <c r="C4" s="12" t="n">
        <v>0.035</v>
      </c>
    </row>
    <row r="5" customFormat="false" ht="15" hidden="false" customHeight="false" outlineLevel="0" collapsed="false">
      <c r="B5" s="10" t="s">
        <v>30</v>
      </c>
      <c r="C5" s="13" t="n">
        <v>0.3</v>
      </c>
      <c r="D5" s="9" t="s">
        <v>31</v>
      </c>
    </row>
    <row r="6" customFormat="false" ht="15" hidden="false" customHeight="false" outlineLevel="0" collapsed="false">
      <c r="B6" s="10" t="s">
        <v>32</v>
      </c>
      <c r="C6" s="14" t="n">
        <v>24</v>
      </c>
    </row>
    <row r="7" customFormat="false" ht="15" hidden="false" customHeight="false" outlineLevel="0" collapsed="false">
      <c r="B7" s="10" t="s">
        <v>33</v>
      </c>
      <c r="C7" s="15" t="n">
        <v>46331</v>
      </c>
    </row>
    <row r="8" customFormat="false" ht="15" hidden="false" customHeight="false" outlineLevel="0" collapsed="false">
      <c r="B8" s="10" t="s">
        <v>34</v>
      </c>
      <c r="C8" s="11" t="n">
        <v>2000</v>
      </c>
    </row>
    <row r="9" customFormat="false" ht="15" hidden="false" customHeight="false" outlineLevel="0" collapsed="false">
      <c r="B9" s="10" t="s">
        <v>35</v>
      </c>
      <c r="C9" s="14" t="n">
        <v>6</v>
      </c>
    </row>
    <row r="10" customFormat="false" ht="15" hidden="false" customHeight="false" outlineLevel="0" collapsed="false">
      <c r="B10" s="10" t="s">
        <v>36</v>
      </c>
      <c r="C10" s="11" t="n">
        <v>40000</v>
      </c>
    </row>
    <row r="12" customFormat="false" ht="15" hidden="false" customHeight="false" outlineLevel="0" collapsed="false">
      <c r="B12" s="10" t="s">
        <v>37</v>
      </c>
      <c r="C12" s="16" t="n">
        <f aca="false">C4*(1+C5)</f>
        <v>0.0455</v>
      </c>
    </row>
    <row r="13" customFormat="false" ht="15" hidden="false" customHeight="false" outlineLevel="0" collapsed="false">
      <c r="B13" s="10" t="s">
        <v>38</v>
      </c>
      <c r="C13" s="17" t="n">
        <f aca="false">IF(OR(C3="",C6="",C6=0),0,IF(C12=0,C3/C6,-PMT(C12,C6,C3)))</f>
        <v>13866.3389002</v>
      </c>
    </row>
    <row r="15" customFormat="false" ht="30" hidden="false" customHeight="true" outlineLevel="0" collapsed="false">
      <c r="B15" s="18" t="s">
        <v>39</v>
      </c>
      <c r="C15" s="18" t="s">
        <v>40</v>
      </c>
      <c r="D15" s="18" t="s">
        <v>41</v>
      </c>
      <c r="E15" s="18" t="s">
        <v>42</v>
      </c>
      <c r="F15" s="18" t="s">
        <v>43</v>
      </c>
    </row>
    <row r="16" customFormat="false" ht="27.75" hidden="false" customHeight="true" outlineLevel="0" collapsed="false">
      <c r="B16" s="19" t="n">
        <f aca="false">C13</f>
        <v>13866.3389002</v>
      </c>
      <c r="C16" s="19" t="n">
        <f aca="false">SUM(D23:D142)+C8</f>
        <v>294918.530203599</v>
      </c>
      <c r="D16" s="20" t="n">
        <f aca="false">SUM(E23:E142)</f>
        <v>92918.55</v>
      </c>
      <c r="E16" s="21" t="n">
        <f aca="false">IF(COUNT(B23:B142)=0,"",INDEX(C23:C142,COUNT(B23:B142)))</f>
        <v>46878</v>
      </c>
      <c r="F16" s="22" t="n">
        <f aca="false">COUNT(B23:B142)</f>
        <v>19</v>
      </c>
    </row>
    <row r="18" customFormat="false" ht="15" hidden="false" customHeight="false" outlineLevel="0" collapsed="false">
      <c r="B18" s="10" t="s">
        <v>44</v>
      </c>
      <c r="E18" s="23" t="n">
        <f aca="false">C13*C6-C3</f>
        <v>132792.133604799</v>
      </c>
    </row>
    <row r="19" customFormat="false" ht="15" hidden="false" customHeight="false" outlineLevel="0" collapsed="false">
      <c r="B19" s="10" t="s">
        <v>45</v>
      </c>
      <c r="E19" s="24" t="n">
        <f aca="false">E18-D16</f>
        <v>39873.5836047988</v>
      </c>
    </row>
    <row r="20" customFormat="false" ht="15" hidden="false" customHeight="false" outlineLevel="0" collapsed="false">
      <c r="B20" s="10" t="s">
        <v>46</v>
      </c>
      <c r="E20" s="25" t="n">
        <f aca="false">C6-F16</f>
        <v>5</v>
      </c>
    </row>
    <row r="22" customFormat="false" ht="21.75" hidden="false" customHeight="true" outlineLevel="0" collapsed="false">
      <c r="B22" s="26" t="s">
        <v>47</v>
      </c>
      <c r="C22" s="26" t="s">
        <v>48</v>
      </c>
      <c r="D22" s="26" t="s">
        <v>49</v>
      </c>
      <c r="E22" s="26" t="s">
        <v>50</v>
      </c>
      <c r="F22" s="26" t="s">
        <v>51</v>
      </c>
      <c r="G22" s="26" t="s">
        <v>52</v>
      </c>
    </row>
    <row r="23" customFormat="false" ht="15" hidden="false" customHeight="false" outlineLevel="0" collapsed="false">
      <c r="B23" s="27" t="n">
        <f aca="false">IF(OR(1&gt;$C$6,$C$3&lt;=0.005),"",1)</f>
        <v>1</v>
      </c>
      <c r="C23" s="28" t="n">
        <f aca="false">IF(B23="","",EDATE($C$7,0))</f>
        <v>46331</v>
      </c>
      <c r="D23" s="29" t="n">
        <f aca="false">IF(B23="","",MIN($C$3+E23,$C$13+IF(1=$C$9,$C$10,0)))</f>
        <v>13866.3389002</v>
      </c>
      <c r="E23" s="29" t="n">
        <f aca="false">IF(B23="","",ROUND($C$3*$C$12,2))</f>
        <v>9100</v>
      </c>
      <c r="F23" s="29" t="n">
        <f aca="false">IF(B23="","",D23-E23)</f>
        <v>4766.33890019995</v>
      </c>
      <c r="G23" s="29" t="n">
        <f aca="false">IF(B23="",0,ROUND($C$3-F23,2))</f>
        <v>195233.66</v>
      </c>
    </row>
    <row r="24" customFormat="false" ht="15" hidden="false" customHeight="false" outlineLevel="0" collapsed="false">
      <c r="B24" s="30" t="n">
        <f aca="false">IF(OR(2&gt;$C$6,G23&lt;=0.005),"",2)</f>
        <v>2</v>
      </c>
      <c r="C24" s="31" t="n">
        <f aca="false">IF(B24="","",EDATE($C$7,1))</f>
        <v>46361</v>
      </c>
      <c r="D24" s="32" t="n">
        <f aca="false">IF(B24="","",MIN(G23+E24,$C$13+IF(2=$C$9,$C$10,0)))</f>
        <v>13866.3389002</v>
      </c>
      <c r="E24" s="32" t="n">
        <f aca="false">IF(B24="","",ROUND(G23*$C$12,2))</f>
        <v>8883.13</v>
      </c>
      <c r="F24" s="32" t="n">
        <f aca="false">IF(B24="","",D24-E24)</f>
        <v>4983.20890019995</v>
      </c>
      <c r="G24" s="32" t="n">
        <f aca="false">IF(B24="",0,ROUND(G23-F24,2))</f>
        <v>190250.45</v>
      </c>
    </row>
    <row r="25" customFormat="false" ht="15" hidden="false" customHeight="false" outlineLevel="0" collapsed="false">
      <c r="B25" s="27" t="n">
        <f aca="false">IF(OR(3&gt;$C$6,G24&lt;=0.005),"",3)</f>
        <v>3</v>
      </c>
      <c r="C25" s="28" t="n">
        <f aca="false">IF(B25="","",EDATE($C$7,2))</f>
        <v>46392</v>
      </c>
      <c r="D25" s="29" t="n">
        <f aca="false">IF(B25="","",MIN(G24+E25,$C$13+IF(3=$C$9,$C$10,0)))</f>
        <v>13866.3389002</v>
      </c>
      <c r="E25" s="29" t="n">
        <f aca="false">IF(B25="","",ROUND(G24*$C$12,2))</f>
        <v>8656.4</v>
      </c>
      <c r="F25" s="29" t="n">
        <f aca="false">IF(B25="","",D25-E25)</f>
        <v>5209.93890019995</v>
      </c>
      <c r="G25" s="29" t="n">
        <f aca="false">IF(B25="",0,ROUND(G24-F25,2))</f>
        <v>185040.51</v>
      </c>
    </row>
    <row r="26" customFormat="false" ht="15" hidden="false" customHeight="false" outlineLevel="0" collapsed="false">
      <c r="B26" s="30" t="n">
        <f aca="false">IF(OR(4&gt;$C$6,G25&lt;=0.005),"",4)</f>
        <v>4</v>
      </c>
      <c r="C26" s="31" t="n">
        <f aca="false">IF(B26="","",EDATE($C$7,3))</f>
        <v>46423</v>
      </c>
      <c r="D26" s="32" t="n">
        <f aca="false">IF(B26="","",MIN(G25+E26,$C$13+IF(4=$C$9,$C$10,0)))</f>
        <v>13866.3389002</v>
      </c>
      <c r="E26" s="32" t="n">
        <f aca="false">IF(B26="","",ROUND(G25*$C$12,2))</f>
        <v>8419.34</v>
      </c>
      <c r="F26" s="32" t="n">
        <f aca="false">IF(B26="","",D26-E26)</f>
        <v>5446.99890019995</v>
      </c>
      <c r="G26" s="32" t="n">
        <f aca="false">IF(B26="",0,ROUND(G25-F26,2))</f>
        <v>179593.51</v>
      </c>
    </row>
    <row r="27" customFormat="false" ht="15" hidden="false" customHeight="false" outlineLevel="0" collapsed="false">
      <c r="B27" s="27" t="n">
        <f aca="false">IF(OR(5&gt;$C$6,G26&lt;=0.005),"",5)</f>
        <v>5</v>
      </c>
      <c r="C27" s="28" t="n">
        <f aca="false">IF(B27="","",EDATE($C$7,4))</f>
        <v>46451</v>
      </c>
      <c r="D27" s="29" t="n">
        <f aca="false">IF(B27="","",MIN(G26+E27,$C$13+IF(5=$C$9,$C$10,0)))</f>
        <v>13866.3389002</v>
      </c>
      <c r="E27" s="29" t="n">
        <f aca="false">IF(B27="","",ROUND(G26*$C$12,2))</f>
        <v>8171.5</v>
      </c>
      <c r="F27" s="29" t="n">
        <f aca="false">IF(B27="","",D27-E27)</f>
        <v>5694.83890019995</v>
      </c>
      <c r="G27" s="29" t="n">
        <f aca="false">IF(B27="",0,ROUND(G26-F27,2))</f>
        <v>173898.67</v>
      </c>
    </row>
    <row r="28" customFormat="false" ht="15" hidden="false" customHeight="false" outlineLevel="0" collapsed="false">
      <c r="B28" s="30" t="n">
        <f aca="false">IF(OR(6&gt;$C$6,G27&lt;=0.005),"",6)</f>
        <v>6</v>
      </c>
      <c r="C28" s="31" t="n">
        <f aca="false">IF(B28="","",EDATE($C$7,5))</f>
        <v>46482</v>
      </c>
      <c r="D28" s="32" t="n">
        <f aca="false">IF(B28="","",MIN(G27+E28,$C$13+IF(6=$C$9,$C$10,0)))</f>
        <v>53866.3389001999</v>
      </c>
      <c r="E28" s="32" t="n">
        <f aca="false">IF(B28="","",ROUND(G27*$C$12,2))</f>
        <v>7912.39</v>
      </c>
      <c r="F28" s="32" t="n">
        <f aca="false">IF(B28="","",D28-E28)</f>
        <v>45953.9489002</v>
      </c>
      <c r="G28" s="32" t="n">
        <f aca="false">IF(B28="",0,ROUND(G27-F28,2))</f>
        <v>127944.72</v>
      </c>
    </row>
    <row r="29" customFormat="false" ht="15" hidden="false" customHeight="false" outlineLevel="0" collapsed="false">
      <c r="B29" s="27" t="n">
        <f aca="false">IF(OR(7&gt;$C$6,G28&lt;=0.005),"",7)</f>
        <v>7</v>
      </c>
      <c r="C29" s="28" t="n">
        <f aca="false">IF(B29="","",EDATE($C$7,6))</f>
        <v>46512</v>
      </c>
      <c r="D29" s="29" t="n">
        <f aca="false">IF(B29="","",MIN(G28+E29,$C$13+IF(7=$C$9,$C$10,0)))</f>
        <v>13866.3389002</v>
      </c>
      <c r="E29" s="29" t="n">
        <f aca="false">IF(B29="","",ROUND(G28*$C$12,2))</f>
        <v>5821.48</v>
      </c>
      <c r="F29" s="29" t="n">
        <f aca="false">IF(B29="","",D29-E29)</f>
        <v>8044.85890019995</v>
      </c>
      <c r="G29" s="29" t="n">
        <f aca="false">IF(B29="",0,ROUND(G28-F29,2))</f>
        <v>119899.86</v>
      </c>
    </row>
    <row r="30" customFormat="false" ht="15" hidden="false" customHeight="false" outlineLevel="0" collapsed="false">
      <c r="B30" s="30" t="n">
        <f aca="false">IF(OR(8&gt;$C$6,G29&lt;=0.005),"",8)</f>
        <v>8</v>
      </c>
      <c r="C30" s="31" t="n">
        <f aca="false">IF(B30="","",EDATE($C$7,7))</f>
        <v>46543</v>
      </c>
      <c r="D30" s="32" t="n">
        <f aca="false">IF(B30="","",MIN(G29+E30,$C$13+IF(8=$C$9,$C$10,0)))</f>
        <v>13866.3389002</v>
      </c>
      <c r="E30" s="32" t="n">
        <f aca="false">IF(B30="","",ROUND(G29*$C$12,2))</f>
        <v>5455.44</v>
      </c>
      <c r="F30" s="32" t="n">
        <f aca="false">IF(B30="","",D30-E30)</f>
        <v>8410.89890019995</v>
      </c>
      <c r="G30" s="32" t="n">
        <f aca="false">IF(B30="",0,ROUND(G29-F30,2))</f>
        <v>111488.96</v>
      </c>
    </row>
    <row r="31" customFormat="false" ht="15" hidden="false" customHeight="false" outlineLevel="0" collapsed="false">
      <c r="B31" s="27" t="n">
        <f aca="false">IF(OR(9&gt;$C$6,G30&lt;=0.005),"",9)</f>
        <v>9</v>
      </c>
      <c r="C31" s="28" t="n">
        <f aca="false">IF(B31="","",EDATE($C$7,8))</f>
        <v>46573</v>
      </c>
      <c r="D31" s="29" t="n">
        <f aca="false">IF(B31="","",MIN(G30+E31,$C$13+IF(9=$C$9,$C$10,0)))</f>
        <v>13866.3389002</v>
      </c>
      <c r="E31" s="29" t="n">
        <f aca="false">IF(B31="","",ROUND(G30*$C$12,2))</f>
        <v>5072.75</v>
      </c>
      <c r="F31" s="29" t="n">
        <f aca="false">IF(B31="","",D31-E31)</f>
        <v>8793.58890019995</v>
      </c>
      <c r="G31" s="29" t="n">
        <f aca="false">IF(B31="",0,ROUND(G30-F31,2))</f>
        <v>102695.37</v>
      </c>
    </row>
    <row r="32" customFormat="false" ht="15" hidden="false" customHeight="false" outlineLevel="0" collapsed="false">
      <c r="B32" s="30" t="n">
        <f aca="false">IF(OR(10&gt;$C$6,G31&lt;=0.005),"",10)</f>
        <v>10</v>
      </c>
      <c r="C32" s="31" t="n">
        <f aca="false">IF(B32="","",EDATE($C$7,9))</f>
        <v>46604</v>
      </c>
      <c r="D32" s="32" t="n">
        <f aca="false">IF(B32="","",MIN(G31+E32,$C$13+IF(10=$C$9,$C$10,0)))</f>
        <v>13866.3389002</v>
      </c>
      <c r="E32" s="32" t="n">
        <f aca="false">IF(B32="","",ROUND(G31*$C$12,2))</f>
        <v>4672.64</v>
      </c>
      <c r="F32" s="32" t="n">
        <f aca="false">IF(B32="","",D32-E32)</f>
        <v>9193.69890019995</v>
      </c>
      <c r="G32" s="32" t="n">
        <f aca="false">IF(B32="",0,ROUND(G31-F32,2))</f>
        <v>93501.67</v>
      </c>
    </row>
    <row r="33" customFormat="false" ht="15" hidden="false" customHeight="false" outlineLevel="0" collapsed="false">
      <c r="B33" s="27" t="n">
        <f aca="false">IF(OR(11&gt;$C$6,G32&lt;=0.005),"",11)</f>
        <v>11</v>
      </c>
      <c r="C33" s="28" t="n">
        <f aca="false">IF(B33="","",EDATE($C$7,10))</f>
        <v>46635</v>
      </c>
      <c r="D33" s="29" t="n">
        <f aca="false">IF(B33="","",MIN(G32+E33,$C$13+IF(11=$C$9,$C$10,0)))</f>
        <v>13866.3389002</v>
      </c>
      <c r="E33" s="29" t="n">
        <f aca="false">IF(B33="","",ROUND(G32*$C$12,2))</f>
        <v>4254.33</v>
      </c>
      <c r="F33" s="29" t="n">
        <f aca="false">IF(B33="","",D33-E33)</f>
        <v>9612.00890019995</v>
      </c>
      <c r="G33" s="29" t="n">
        <f aca="false">IF(B33="",0,ROUND(G32-F33,2))</f>
        <v>83889.66</v>
      </c>
    </row>
    <row r="34" customFormat="false" ht="15" hidden="false" customHeight="false" outlineLevel="0" collapsed="false">
      <c r="B34" s="30" t="n">
        <f aca="false">IF(OR(12&gt;$C$6,G33&lt;=0.005),"",12)</f>
        <v>12</v>
      </c>
      <c r="C34" s="31" t="n">
        <f aca="false">IF(B34="","",EDATE($C$7,11))</f>
        <v>46665</v>
      </c>
      <c r="D34" s="32" t="n">
        <f aca="false">IF(B34="","",MIN(G33+E34,$C$13+IF(12=$C$9,$C$10,0)))</f>
        <v>13866.3389002</v>
      </c>
      <c r="E34" s="32" t="n">
        <f aca="false">IF(B34="","",ROUND(G33*$C$12,2))</f>
        <v>3816.98</v>
      </c>
      <c r="F34" s="32" t="n">
        <f aca="false">IF(B34="","",D34-E34)</f>
        <v>10049.3589002</v>
      </c>
      <c r="G34" s="32" t="n">
        <f aca="false">IF(B34="",0,ROUND(G33-F34,2))</f>
        <v>73840.3</v>
      </c>
    </row>
    <row r="35" customFormat="false" ht="15" hidden="false" customHeight="false" outlineLevel="0" collapsed="false">
      <c r="B35" s="27" t="n">
        <f aca="false">IF(OR(13&gt;$C$6,G34&lt;=0.005),"",13)</f>
        <v>13</v>
      </c>
      <c r="C35" s="28" t="n">
        <f aca="false">IF(B35="","",EDATE($C$7,12))</f>
        <v>46696</v>
      </c>
      <c r="D35" s="29" t="n">
        <f aca="false">IF(B35="","",MIN(G34+E35,$C$13+IF(13=$C$9,$C$10,0)))</f>
        <v>13866.3389002</v>
      </c>
      <c r="E35" s="29" t="n">
        <f aca="false">IF(B35="","",ROUND(G34*$C$12,2))</f>
        <v>3359.73</v>
      </c>
      <c r="F35" s="29" t="n">
        <f aca="false">IF(B35="","",D35-E35)</f>
        <v>10506.6089002</v>
      </c>
      <c r="G35" s="29" t="n">
        <f aca="false">IF(B35="",0,ROUND(G34-F35,2))</f>
        <v>63333.69</v>
      </c>
    </row>
    <row r="36" customFormat="false" ht="15" hidden="false" customHeight="false" outlineLevel="0" collapsed="false">
      <c r="B36" s="30" t="n">
        <f aca="false">IF(OR(14&gt;$C$6,G35&lt;=0.005),"",14)</f>
        <v>14</v>
      </c>
      <c r="C36" s="31" t="n">
        <f aca="false">IF(B36="","",EDATE($C$7,13))</f>
        <v>46726</v>
      </c>
      <c r="D36" s="32" t="n">
        <f aca="false">IF(B36="","",MIN(G35+E36,$C$13+IF(14=$C$9,$C$10,0)))</f>
        <v>13866.3389002</v>
      </c>
      <c r="E36" s="32" t="n">
        <f aca="false">IF(B36="","",ROUND(G35*$C$12,2))</f>
        <v>2881.68</v>
      </c>
      <c r="F36" s="32" t="n">
        <f aca="false">IF(B36="","",D36-E36)</f>
        <v>10984.6589002</v>
      </c>
      <c r="G36" s="32" t="n">
        <f aca="false">IF(B36="",0,ROUND(G35-F36,2))</f>
        <v>52349.03</v>
      </c>
    </row>
    <row r="37" customFormat="false" ht="15" hidden="false" customHeight="false" outlineLevel="0" collapsed="false">
      <c r="B37" s="27" t="n">
        <f aca="false">IF(OR(15&gt;$C$6,G36&lt;=0.005),"",15)</f>
        <v>15</v>
      </c>
      <c r="C37" s="28" t="n">
        <f aca="false">IF(B37="","",EDATE($C$7,14))</f>
        <v>46757</v>
      </c>
      <c r="D37" s="29" t="n">
        <f aca="false">IF(B37="","",MIN(G36+E37,$C$13+IF(15=$C$9,$C$10,0)))</f>
        <v>13866.3389002</v>
      </c>
      <c r="E37" s="29" t="n">
        <f aca="false">IF(B37="","",ROUND(G36*$C$12,2))</f>
        <v>2381.88</v>
      </c>
      <c r="F37" s="29" t="n">
        <f aca="false">IF(B37="","",D37-E37)</f>
        <v>11484.4589001999</v>
      </c>
      <c r="G37" s="29" t="n">
        <f aca="false">IF(B37="",0,ROUND(G36-F37,2))</f>
        <v>40864.57</v>
      </c>
    </row>
    <row r="38" customFormat="false" ht="15" hidden="false" customHeight="false" outlineLevel="0" collapsed="false">
      <c r="B38" s="30" t="n">
        <f aca="false">IF(OR(16&gt;$C$6,G37&lt;=0.005),"",16)</f>
        <v>16</v>
      </c>
      <c r="C38" s="31" t="n">
        <f aca="false">IF(B38="","",EDATE($C$7,15))</f>
        <v>46788</v>
      </c>
      <c r="D38" s="32" t="n">
        <f aca="false">IF(B38="","",MIN(G37+E38,$C$13+IF(16=$C$9,$C$10,0)))</f>
        <v>13866.3389002</v>
      </c>
      <c r="E38" s="32" t="n">
        <f aca="false">IF(B38="","",ROUND(G37*$C$12,2))</f>
        <v>1859.34</v>
      </c>
      <c r="F38" s="32" t="n">
        <f aca="false">IF(B38="","",D38-E38)</f>
        <v>12006.9989002</v>
      </c>
      <c r="G38" s="32" t="n">
        <f aca="false">IF(B38="",0,ROUND(G37-F38,2))</f>
        <v>28857.57</v>
      </c>
    </row>
    <row r="39" customFormat="false" ht="15" hidden="false" customHeight="false" outlineLevel="0" collapsed="false">
      <c r="B39" s="27" t="n">
        <f aca="false">IF(OR(17&gt;$C$6,G38&lt;=0.005),"",17)</f>
        <v>17</v>
      </c>
      <c r="C39" s="28" t="n">
        <f aca="false">IF(B39="","",EDATE($C$7,16))</f>
        <v>46817</v>
      </c>
      <c r="D39" s="29" t="n">
        <f aca="false">IF(B39="","",MIN(G38+E39,$C$13+IF(17=$C$9,$C$10,0)))</f>
        <v>13866.3389002</v>
      </c>
      <c r="E39" s="29" t="n">
        <f aca="false">IF(B39="","",ROUND(G38*$C$12,2))</f>
        <v>1313.02</v>
      </c>
      <c r="F39" s="29" t="n">
        <f aca="false">IF(B39="","",D39-E39)</f>
        <v>12553.3189001999</v>
      </c>
      <c r="G39" s="29" t="n">
        <f aca="false">IF(B39="",0,ROUND(G38-F39,2))</f>
        <v>16304.25</v>
      </c>
    </row>
    <row r="40" customFormat="false" ht="15" hidden="false" customHeight="false" outlineLevel="0" collapsed="false">
      <c r="B40" s="30" t="n">
        <f aca="false">IF(OR(18&gt;$C$6,G39&lt;=0.005),"",18)</f>
        <v>18</v>
      </c>
      <c r="C40" s="31" t="n">
        <f aca="false">IF(B40="","",EDATE($C$7,17))</f>
        <v>46848</v>
      </c>
      <c r="D40" s="32" t="n">
        <f aca="false">IF(B40="","",MIN(G39+E40,$C$13+IF(18=$C$9,$C$10,0)))</f>
        <v>13866.3389002</v>
      </c>
      <c r="E40" s="32" t="n">
        <f aca="false">IF(B40="","",ROUND(G39*$C$12,2))</f>
        <v>741.84</v>
      </c>
      <c r="F40" s="32" t="n">
        <f aca="false">IF(B40="","",D40-E40)</f>
        <v>13124.4989002</v>
      </c>
      <c r="G40" s="32" t="n">
        <f aca="false">IF(B40="",0,ROUND(G39-F40,2))</f>
        <v>3179.75</v>
      </c>
    </row>
    <row r="41" customFormat="false" ht="15" hidden="false" customHeight="false" outlineLevel="0" collapsed="false">
      <c r="B41" s="27" t="n">
        <f aca="false">IF(OR(19&gt;$C$6,G40&lt;=0.005),"",19)</f>
        <v>19</v>
      </c>
      <c r="C41" s="28" t="n">
        <f aca="false">IF(B41="","",EDATE($C$7,18))</f>
        <v>46878</v>
      </c>
      <c r="D41" s="29" t="n">
        <f aca="false">IF(B41="","",MIN(G40+E41,$C$13+IF(19=$C$9,$C$10,0)))</f>
        <v>3324.43</v>
      </c>
      <c r="E41" s="29" t="n">
        <f aca="false">IF(B41="","",ROUND(G40*$C$12,2))</f>
        <v>144.68</v>
      </c>
      <c r="F41" s="29" t="n">
        <f aca="false">IF(B41="","",D41-E41)</f>
        <v>3179.75</v>
      </c>
      <c r="G41" s="29" t="n">
        <f aca="false">IF(B41="",0,ROUND(G40-F41,2))</f>
        <v>0</v>
      </c>
    </row>
    <row r="42" customFormat="false" ht="15" hidden="false" customHeight="false" outlineLevel="0" collapsed="false">
      <c r="B42" s="30" t="str">
        <f aca="false">IF(OR(20&gt;$C$6,G41&lt;=0.005),"",20)</f>
        <v/>
      </c>
      <c r="C42" s="31" t="str">
        <f aca="false">IF(B42="","",EDATE($C$7,19))</f>
        <v/>
      </c>
      <c r="D42" s="32" t="str">
        <f aca="false">IF(B42="","",MIN(G41+E42,$C$13+IF(20=$C$9,$C$10,0)))</f>
        <v/>
      </c>
      <c r="E42" s="32" t="str">
        <f aca="false">IF(B42="","",ROUND(G41*$C$12,2))</f>
        <v/>
      </c>
      <c r="F42" s="32" t="str">
        <f aca="false">IF(B42="","",D42-E42)</f>
        <v/>
      </c>
      <c r="G42" s="32" t="n">
        <f aca="false">IF(B42="",0,ROUND(G41-F42,2))</f>
        <v>0</v>
      </c>
    </row>
    <row r="43" customFormat="false" ht="15" hidden="false" customHeight="false" outlineLevel="0" collapsed="false">
      <c r="B43" s="27" t="str">
        <f aca="false">IF(OR(21&gt;$C$6,G42&lt;=0.005),"",21)</f>
        <v/>
      </c>
      <c r="C43" s="28" t="str">
        <f aca="false">IF(B43="","",EDATE($C$7,20))</f>
        <v/>
      </c>
      <c r="D43" s="29" t="str">
        <f aca="false">IF(B43="","",MIN(G42+E43,$C$13+IF(21=$C$9,$C$10,0)))</f>
        <v/>
      </c>
      <c r="E43" s="29" t="str">
        <f aca="false">IF(B43="","",ROUND(G42*$C$12,2))</f>
        <v/>
      </c>
      <c r="F43" s="29" t="str">
        <f aca="false">IF(B43="","",D43-E43)</f>
        <v/>
      </c>
      <c r="G43" s="29" t="n">
        <f aca="false">IF(B43="",0,ROUND(G42-F43,2))</f>
        <v>0</v>
      </c>
    </row>
    <row r="44" customFormat="false" ht="15" hidden="false" customHeight="false" outlineLevel="0" collapsed="false">
      <c r="B44" s="30" t="str">
        <f aca="false">IF(OR(22&gt;$C$6,G43&lt;=0.005),"",22)</f>
        <v/>
      </c>
      <c r="C44" s="31" t="str">
        <f aca="false">IF(B44="","",EDATE($C$7,21))</f>
        <v/>
      </c>
      <c r="D44" s="32" t="str">
        <f aca="false">IF(B44="","",MIN(G43+E44,$C$13+IF(22=$C$9,$C$10,0)))</f>
        <v/>
      </c>
      <c r="E44" s="32" t="str">
        <f aca="false">IF(B44="","",ROUND(G43*$C$12,2))</f>
        <v/>
      </c>
      <c r="F44" s="32" t="str">
        <f aca="false">IF(B44="","",D44-E44)</f>
        <v/>
      </c>
      <c r="G44" s="32" t="n">
        <f aca="false">IF(B44="",0,ROUND(G43-F44,2))</f>
        <v>0</v>
      </c>
    </row>
    <row r="45" customFormat="false" ht="15" hidden="false" customHeight="false" outlineLevel="0" collapsed="false">
      <c r="B45" s="27" t="str">
        <f aca="false">IF(OR(23&gt;$C$6,G44&lt;=0.005),"",23)</f>
        <v/>
      </c>
      <c r="C45" s="28" t="str">
        <f aca="false">IF(B45="","",EDATE($C$7,22))</f>
        <v/>
      </c>
      <c r="D45" s="29" t="str">
        <f aca="false">IF(B45="","",MIN(G44+E45,$C$13+IF(23=$C$9,$C$10,0)))</f>
        <v/>
      </c>
      <c r="E45" s="29" t="str">
        <f aca="false">IF(B45="","",ROUND(G44*$C$12,2))</f>
        <v/>
      </c>
      <c r="F45" s="29" t="str">
        <f aca="false">IF(B45="","",D45-E45)</f>
        <v/>
      </c>
      <c r="G45" s="29" t="n">
        <f aca="false">IF(B45="",0,ROUND(G44-F45,2))</f>
        <v>0</v>
      </c>
    </row>
    <row r="46" customFormat="false" ht="15" hidden="false" customHeight="false" outlineLevel="0" collapsed="false">
      <c r="B46" s="30" t="str">
        <f aca="false">IF(OR(24&gt;$C$6,G45&lt;=0.005),"",24)</f>
        <v/>
      </c>
      <c r="C46" s="31" t="str">
        <f aca="false">IF(B46="","",EDATE($C$7,23))</f>
        <v/>
      </c>
      <c r="D46" s="32" t="str">
        <f aca="false">IF(B46="","",MIN(G45+E46,$C$13+IF(24=$C$9,$C$10,0)))</f>
        <v/>
      </c>
      <c r="E46" s="32" t="str">
        <f aca="false">IF(B46="","",ROUND(G45*$C$12,2))</f>
        <v/>
      </c>
      <c r="F46" s="32" t="str">
        <f aca="false">IF(B46="","",D46-E46)</f>
        <v/>
      </c>
      <c r="G46" s="32" t="n">
        <f aca="false">IF(B46="",0,ROUND(G45-F46,2))</f>
        <v>0</v>
      </c>
    </row>
    <row r="47" customFormat="false" ht="15" hidden="false" customHeight="false" outlineLevel="0" collapsed="false">
      <c r="B47" s="27" t="str">
        <f aca="false">IF(OR(25&gt;$C$6,G46&lt;=0.005),"",25)</f>
        <v/>
      </c>
      <c r="C47" s="28" t="str">
        <f aca="false">IF(B47="","",EDATE($C$7,24))</f>
        <v/>
      </c>
      <c r="D47" s="29" t="str">
        <f aca="false">IF(B47="","",MIN(G46+E47,$C$13+IF(25=$C$9,$C$10,0)))</f>
        <v/>
      </c>
      <c r="E47" s="29" t="str">
        <f aca="false">IF(B47="","",ROUND(G46*$C$12,2))</f>
        <v/>
      </c>
      <c r="F47" s="29" t="str">
        <f aca="false">IF(B47="","",D47-E47)</f>
        <v/>
      </c>
      <c r="G47" s="29" t="n">
        <f aca="false">IF(B47="",0,ROUND(G46-F47,2))</f>
        <v>0</v>
      </c>
    </row>
    <row r="48" customFormat="false" ht="15" hidden="false" customHeight="false" outlineLevel="0" collapsed="false">
      <c r="B48" s="30" t="str">
        <f aca="false">IF(OR(26&gt;$C$6,G47&lt;=0.005),"",26)</f>
        <v/>
      </c>
      <c r="C48" s="31" t="str">
        <f aca="false">IF(B48="","",EDATE($C$7,25))</f>
        <v/>
      </c>
      <c r="D48" s="32" t="str">
        <f aca="false">IF(B48="","",MIN(G47+E48,$C$13+IF(26=$C$9,$C$10,0)))</f>
        <v/>
      </c>
      <c r="E48" s="32" t="str">
        <f aca="false">IF(B48="","",ROUND(G47*$C$12,2))</f>
        <v/>
      </c>
      <c r="F48" s="32" t="str">
        <f aca="false">IF(B48="","",D48-E48)</f>
        <v/>
      </c>
      <c r="G48" s="32" t="n">
        <f aca="false">IF(B48="",0,ROUND(G47-F48,2))</f>
        <v>0</v>
      </c>
    </row>
    <row r="49" customFormat="false" ht="15" hidden="false" customHeight="false" outlineLevel="0" collapsed="false">
      <c r="B49" s="27" t="str">
        <f aca="false">IF(OR(27&gt;$C$6,G48&lt;=0.005),"",27)</f>
        <v/>
      </c>
      <c r="C49" s="28" t="str">
        <f aca="false">IF(B49="","",EDATE($C$7,26))</f>
        <v/>
      </c>
      <c r="D49" s="29" t="str">
        <f aca="false">IF(B49="","",MIN(G48+E49,$C$13+IF(27=$C$9,$C$10,0)))</f>
        <v/>
      </c>
      <c r="E49" s="29" t="str">
        <f aca="false">IF(B49="","",ROUND(G48*$C$12,2))</f>
        <v/>
      </c>
      <c r="F49" s="29" t="str">
        <f aca="false">IF(B49="","",D49-E49)</f>
        <v/>
      </c>
      <c r="G49" s="29" t="n">
        <f aca="false">IF(B49="",0,ROUND(G48-F49,2))</f>
        <v>0</v>
      </c>
    </row>
    <row r="50" customFormat="false" ht="15" hidden="false" customHeight="false" outlineLevel="0" collapsed="false">
      <c r="B50" s="30" t="str">
        <f aca="false">IF(OR(28&gt;$C$6,G49&lt;=0.005),"",28)</f>
        <v/>
      </c>
      <c r="C50" s="31" t="str">
        <f aca="false">IF(B50="","",EDATE($C$7,27))</f>
        <v/>
      </c>
      <c r="D50" s="32" t="str">
        <f aca="false">IF(B50="","",MIN(G49+E50,$C$13+IF(28=$C$9,$C$10,0)))</f>
        <v/>
      </c>
      <c r="E50" s="32" t="str">
        <f aca="false">IF(B50="","",ROUND(G49*$C$12,2))</f>
        <v/>
      </c>
      <c r="F50" s="32" t="str">
        <f aca="false">IF(B50="","",D50-E50)</f>
        <v/>
      </c>
      <c r="G50" s="32" t="n">
        <f aca="false">IF(B50="",0,ROUND(G49-F50,2))</f>
        <v>0</v>
      </c>
    </row>
    <row r="51" customFormat="false" ht="15" hidden="false" customHeight="false" outlineLevel="0" collapsed="false">
      <c r="B51" s="27" t="str">
        <f aca="false">IF(OR(29&gt;$C$6,G50&lt;=0.005),"",29)</f>
        <v/>
      </c>
      <c r="C51" s="28" t="str">
        <f aca="false">IF(B51="","",EDATE($C$7,28))</f>
        <v/>
      </c>
      <c r="D51" s="29" t="str">
        <f aca="false">IF(B51="","",MIN(G50+E51,$C$13+IF(29=$C$9,$C$10,0)))</f>
        <v/>
      </c>
      <c r="E51" s="29" t="str">
        <f aca="false">IF(B51="","",ROUND(G50*$C$12,2))</f>
        <v/>
      </c>
      <c r="F51" s="29" t="str">
        <f aca="false">IF(B51="","",D51-E51)</f>
        <v/>
      </c>
      <c r="G51" s="29" t="n">
        <f aca="false">IF(B51="",0,ROUND(G50-F51,2))</f>
        <v>0</v>
      </c>
    </row>
    <row r="52" customFormat="false" ht="15" hidden="false" customHeight="false" outlineLevel="0" collapsed="false">
      <c r="B52" s="30" t="str">
        <f aca="false">IF(OR(30&gt;$C$6,G51&lt;=0.005),"",30)</f>
        <v/>
      </c>
      <c r="C52" s="31" t="str">
        <f aca="false">IF(B52="","",EDATE($C$7,29))</f>
        <v/>
      </c>
      <c r="D52" s="32" t="str">
        <f aca="false">IF(B52="","",MIN(G51+E52,$C$13+IF(30=$C$9,$C$10,0)))</f>
        <v/>
      </c>
      <c r="E52" s="32" t="str">
        <f aca="false">IF(B52="","",ROUND(G51*$C$12,2))</f>
        <v/>
      </c>
      <c r="F52" s="32" t="str">
        <f aca="false">IF(B52="","",D52-E52)</f>
        <v/>
      </c>
      <c r="G52" s="32" t="n">
        <f aca="false">IF(B52="",0,ROUND(G51-F52,2))</f>
        <v>0</v>
      </c>
    </row>
    <row r="53" customFormat="false" ht="15" hidden="false" customHeight="false" outlineLevel="0" collapsed="false">
      <c r="B53" s="27" t="str">
        <f aca="false">IF(OR(31&gt;$C$6,G52&lt;=0.005),"",31)</f>
        <v/>
      </c>
      <c r="C53" s="28" t="str">
        <f aca="false">IF(B53="","",EDATE($C$7,30))</f>
        <v/>
      </c>
      <c r="D53" s="29" t="str">
        <f aca="false">IF(B53="","",MIN(G52+E53,$C$13+IF(31=$C$9,$C$10,0)))</f>
        <v/>
      </c>
      <c r="E53" s="29" t="str">
        <f aca="false">IF(B53="","",ROUND(G52*$C$12,2))</f>
        <v/>
      </c>
      <c r="F53" s="29" t="str">
        <f aca="false">IF(B53="","",D53-E53)</f>
        <v/>
      </c>
      <c r="G53" s="29" t="n">
        <f aca="false">IF(B53="",0,ROUND(G52-F53,2))</f>
        <v>0</v>
      </c>
    </row>
    <row r="54" customFormat="false" ht="15" hidden="false" customHeight="false" outlineLevel="0" collapsed="false">
      <c r="B54" s="30" t="str">
        <f aca="false">IF(OR(32&gt;$C$6,G53&lt;=0.005),"",32)</f>
        <v/>
      </c>
      <c r="C54" s="31" t="str">
        <f aca="false">IF(B54="","",EDATE($C$7,31))</f>
        <v/>
      </c>
      <c r="D54" s="32" t="str">
        <f aca="false">IF(B54="","",MIN(G53+E54,$C$13+IF(32=$C$9,$C$10,0)))</f>
        <v/>
      </c>
      <c r="E54" s="32" t="str">
        <f aca="false">IF(B54="","",ROUND(G53*$C$12,2))</f>
        <v/>
      </c>
      <c r="F54" s="32" t="str">
        <f aca="false">IF(B54="","",D54-E54)</f>
        <v/>
      </c>
      <c r="G54" s="32" t="n">
        <f aca="false">IF(B54="",0,ROUND(G53-F54,2))</f>
        <v>0</v>
      </c>
    </row>
    <row r="55" customFormat="false" ht="15" hidden="false" customHeight="false" outlineLevel="0" collapsed="false">
      <c r="B55" s="27" t="str">
        <f aca="false">IF(OR(33&gt;$C$6,G54&lt;=0.005),"",33)</f>
        <v/>
      </c>
      <c r="C55" s="28" t="str">
        <f aca="false">IF(B55="","",EDATE($C$7,32))</f>
        <v/>
      </c>
      <c r="D55" s="29" t="str">
        <f aca="false">IF(B55="","",MIN(G54+E55,$C$13+IF(33=$C$9,$C$10,0)))</f>
        <v/>
      </c>
      <c r="E55" s="29" t="str">
        <f aca="false">IF(B55="","",ROUND(G54*$C$12,2))</f>
        <v/>
      </c>
      <c r="F55" s="29" t="str">
        <f aca="false">IF(B55="","",D55-E55)</f>
        <v/>
      </c>
      <c r="G55" s="29" t="n">
        <f aca="false">IF(B55="",0,ROUND(G54-F55,2))</f>
        <v>0</v>
      </c>
    </row>
    <row r="56" customFormat="false" ht="15" hidden="false" customHeight="false" outlineLevel="0" collapsed="false">
      <c r="B56" s="30" t="str">
        <f aca="false">IF(OR(34&gt;$C$6,G55&lt;=0.005),"",34)</f>
        <v/>
      </c>
      <c r="C56" s="31" t="str">
        <f aca="false">IF(B56="","",EDATE($C$7,33))</f>
        <v/>
      </c>
      <c r="D56" s="32" t="str">
        <f aca="false">IF(B56="","",MIN(G55+E56,$C$13+IF(34=$C$9,$C$10,0)))</f>
        <v/>
      </c>
      <c r="E56" s="32" t="str">
        <f aca="false">IF(B56="","",ROUND(G55*$C$12,2))</f>
        <v/>
      </c>
      <c r="F56" s="32" t="str">
        <f aca="false">IF(B56="","",D56-E56)</f>
        <v/>
      </c>
      <c r="G56" s="32" t="n">
        <f aca="false">IF(B56="",0,ROUND(G55-F56,2))</f>
        <v>0</v>
      </c>
    </row>
    <row r="57" customFormat="false" ht="15" hidden="false" customHeight="false" outlineLevel="0" collapsed="false">
      <c r="B57" s="27" t="str">
        <f aca="false">IF(OR(35&gt;$C$6,G56&lt;=0.005),"",35)</f>
        <v/>
      </c>
      <c r="C57" s="28" t="str">
        <f aca="false">IF(B57="","",EDATE($C$7,34))</f>
        <v/>
      </c>
      <c r="D57" s="29" t="str">
        <f aca="false">IF(B57="","",MIN(G56+E57,$C$13+IF(35=$C$9,$C$10,0)))</f>
        <v/>
      </c>
      <c r="E57" s="29" t="str">
        <f aca="false">IF(B57="","",ROUND(G56*$C$12,2))</f>
        <v/>
      </c>
      <c r="F57" s="29" t="str">
        <f aca="false">IF(B57="","",D57-E57)</f>
        <v/>
      </c>
      <c r="G57" s="29" t="n">
        <f aca="false">IF(B57="",0,ROUND(G56-F57,2))</f>
        <v>0</v>
      </c>
    </row>
    <row r="58" customFormat="false" ht="15" hidden="false" customHeight="false" outlineLevel="0" collapsed="false">
      <c r="B58" s="30" t="str">
        <f aca="false">IF(OR(36&gt;$C$6,G57&lt;=0.005),"",36)</f>
        <v/>
      </c>
      <c r="C58" s="31" t="str">
        <f aca="false">IF(B58="","",EDATE($C$7,35))</f>
        <v/>
      </c>
      <c r="D58" s="32" t="str">
        <f aca="false">IF(B58="","",MIN(G57+E58,$C$13+IF(36=$C$9,$C$10,0)))</f>
        <v/>
      </c>
      <c r="E58" s="32" t="str">
        <f aca="false">IF(B58="","",ROUND(G57*$C$12,2))</f>
        <v/>
      </c>
      <c r="F58" s="32" t="str">
        <f aca="false">IF(B58="","",D58-E58)</f>
        <v/>
      </c>
      <c r="G58" s="32" t="n">
        <f aca="false">IF(B58="",0,ROUND(G57-F58,2))</f>
        <v>0</v>
      </c>
    </row>
    <row r="59" customFormat="false" ht="15" hidden="false" customHeight="false" outlineLevel="0" collapsed="false">
      <c r="B59" s="27" t="str">
        <f aca="false">IF(OR(37&gt;$C$6,G58&lt;=0.005),"",37)</f>
        <v/>
      </c>
      <c r="C59" s="28" t="str">
        <f aca="false">IF(B59="","",EDATE($C$7,36))</f>
        <v/>
      </c>
      <c r="D59" s="29" t="str">
        <f aca="false">IF(B59="","",MIN(G58+E59,$C$13+IF(37=$C$9,$C$10,0)))</f>
        <v/>
      </c>
      <c r="E59" s="29" t="str">
        <f aca="false">IF(B59="","",ROUND(G58*$C$12,2))</f>
        <v/>
      </c>
      <c r="F59" s="29" t="str">
        <f aca="false">IF(B59="","",D59-E59)</f>
        <v/>
      </c>
      <c r="G59" s="29" t="n">
        <f aca="false">IF(B59="",0,ROUND(G58-F59,2))</f>
        <v>0</v>
      </c>
    </row>
    <row r="60" customFormat="false" ht="15" hidden="false" customHeight="false" outlineLevel="0" collapsed="false">
      <c r="B60" s="30" t="str">
        <f aca="false">IF(OR(38&gt;$C$6,G59&lt;=0.005),"",38)</f>
        <v/>
      </c>
      <c r="C60" s="31" t="str">
        <f aca="false">IF(B60="","",EDATE($C$7,37))</f>
        <v/>
      </c>
      <c r="D60" s="32" t="str">
        <f aca="false">IF(B60="","",MIN(G59+E60,$C$13+IF(38=$C$9,$C$10,0)))</f>
        <v/>
      </c>
      <c r="E60" s="32" t="str">
        <f aca="false">IF(B60="","",ROUND(G59*$C$12,2))</f>
        <v/>
      </c>
      <c r="F60" s="32" t="str">
        <f aca="false">IF(B60="","",D60-E60)</f>
        <v/>
      </c>
      <c r="G60" s="32" t="n">
        <f aca="false">IF(B60="",0,ROUND(G59-F60,2))</f>
        <v>0</v>
      </c>
    </row>
    <row r="61" customFormat="false" ht="15" hidden="false" customHeight="false" outlineLevel="0" collapsed="false">
      <c r="B61" s="27" t="str">
        <f aca="false">IF(OR(39&gt;$C$6,G60&lt;=0.005),"",39)</f>
        <v/>
      </c>
      <c r="C61" s="28" t="str">
        <f aca="false">IF(B61="","",EDATE($C$7,38))</f>
        <v/>
      </c>
      <c r="D61" s="29" t="str">
        <f aca="false">IF(B61="","",MIN(G60+E61,$C$13+IF(39=$C$9,$C$10,0)))</f>
        <v/>
      </c>
      <c r="E61" s="29" t="str">
        <f aca="false">IF(B61="","",ROUND(G60*$C$12,2))</f>
        <v/>
      </c>
      <c r="F61" s="29" t="str">
        <f aca="false">IF(B61="","",D61-E61)</f>
        <v/>
      </c>
      <c r="G61" s="29" t="n">
        <f aca="false">IF(B61="",0,ROUND(G60-F61,2))</f>
        <v>0</v>
      </c>
    </row>
    <row r="62" customFormat="false" ht="15" hidden="false" customHeight="false" outlineLevel="0" collapsed="false">
      <c r="B62" s="30" t="str">
        <f aca="false">IF(OR(40&gt;$C$6,G61&lt;=0.005),"",40)</f>
        <v/>
      </c>
      <c r="C62" s="31" t="str">
        <f aca="false">IF(B62="","",EDATE($C$7,39))</f>
        <v/>
      </c>
      <c r="D62" s="32" t="str">
        <f aca="false">IF(B62="","",MIN(G61+E62,$C$13+IF(40=$C$9,$C$10,0)))</f>
        <v/>
      </c>
      <c r="E62" s="32" t="str">
        <f aca="false">IF(B62="","",ROUND(G61*$C$12,2))</f>
        <v/>
      </c>
      <c r="F62" s="32" t="str">
        <f aca="false">IF(B62="","",D62-E62)</f>
        <v/>
      </c>
      <c r="G62" s="32" t="n">
        <f aca="false">IF(B62="",0,ROUND(G61-F62,2))</f>
        <v>0</v>
      </c>
    </row>
    <row r="63" customFormat="false" ht="15" hidden="false" customHeight="false" outlineLevel="0" collapsed="false">
      <c r="B63" s="27" t="str">
        <f aca="false">IF(OR(41&gt;$C$6,G62&lt;=0.005),"",41)</f>
        <v/>
      </c>
      <c r="C63" s="28" t="str">
        <f aca="false">IF(B63="","",EDATE($C$7,40))</f>
        <v/>
      </c>
      <c r="D63" s="29" t="str">
        <f aca="false">IF(B63="","",MIN(G62+E63,$C$13+IF(41=$C$9,$C$10,0)))</f>
        <v/>
      </c>
      <c r="E63" s="29" t="str">
        <f aca="false">IF(B63="","",ROUND(G62*$C$12,2))</f>
        <v/>
      </c>
      <c r="F63" s="29" t="str">
        <f aca="false">IF(B63="","",D63-E63)</f>
        <v/>
      </c>
      <c r="G63" s="29" t="n">
        <f aca="false">IF(B63="",0,ROUND(G62-F63,2))</f>
        <v>0</v>
      </c>
    </row>
    <row r="64" customFormat="false" ht="15" hidden="false" customHeight="false" outlineLevel="0" collapsed="false">
      <c r="B64" s="30" t="str">
        <f aca="false">IF(OR(42&gt;$C$6,G63&lt;=0.005),"",42)</f>
        <v/>
      </c>
      <c r="C64" s="31" t="str">
        <f aca="false">IF(B64="","",EDATE($C$7,41))</f>
        <v/>
      </c>
      <c r="D64" s="32" t="str">
        <f aca="false">IF(B64="","",MIN(G63+E64,$C$13+IF(42=$C$9,$C$10,0)))</f>
        <v/>
      </c>
      <c r="E64" s="32" t="str">
        <f aca="false">IF(B64="","",ROUND(G63*$C$12,2))</f>
        <v/>
      </c>
      <c r="F64" s="32" t="str">
        <f aca="false">IF(B64="","",D64-E64)</f>
        <v/>
      </c>
      <c r="G64" s="32" t="n">
        <f aca="false">IF(B64="",0,ROUND(G63-F64,2))</f>
        <v>0</v>
      </c>
    </row>
    <row r="65" customFormat="false" ht="15" hidden="false" customHeight="false" outlineLevel="0" collapsed="false">
      <c r="B65" s="27" t="str">
        <f aca="false">IF(OR(43&gt;$C$6,G64&lt;=0.005),"",43)</f>
        <v/>
      </c>
      <c r="C65" s="28" t="str">
        <f aca="false">IF(B65="","",EDATE($C$7,42))</f>
        <v/>
      </c>
      <c r="D65" s="29" t="str">
        <f aca="false">IF(B65="","",MIN(G64+E65,$C$13+IF(43=$C$9,$C$10,0)))</f>
        <v/>
      </c>
      <c r="E65" s="29" t="str">
        <f aca="false">IF(B65="","",ROUND(G64*$C$12,2))</f>
        <v/>
      </c>
      <c r="F65" s="29" t="str">
        <f aca="false">IF(B65="","",D65-E65)</f>
        <v/>
      </c>
      <c r="G65" s="29" t="n">
        <f aca="false">IF(B65="",0,ROUND(G64-F65,2))</f>
        <v>0</v>
      </c>
    </row>
    <row r="66" customFormat="false" ht="15" hidden="false" customHeight="false" outlineLevel="0" collapsed="false">
      <c r="B66" s="30" t="str">
        <f aca="false">IF(OR(44&gt;$C$6,G65&lt;=0.005),"",44)</f>
        <v/>
      </c>
      <c r="C66" s="31" t="str">
        <f aca="false">IF(B66="","",EDATE($C$7,43))</f>
        <v/>
      </c>
      <c r="D66" s="32" t="str">
        <f aca="false">IF(B66="","",MIN(G65+E66,$C$13+IF(44=$C$9,$C$10,0)))</f>
        <v/>
      </c>
      <c r="E66" s="32" t="str">
        <f aca="false">IF(B66="","",ROUND(G65*$C$12,2))</f>
        <v/>
      </c>
      <c r="F66" s="32" t="str">
        <f aca="false">IF(B66="","",D66-E66)</f>
        <v/>
      </c>
      <c r="G66" s="32" t="n">
        <f aca="false">IF(B66="",0,ROUND(G65-F66,2))</f>
        <v>0</v>
      </c>
    </row>
    <row r="67" customFormat="false" ht="15" hidden="false" customHeight="false" outlineLevel="0" collapsed="false">
      <c r="B67" s="27" t="str">
        <f aca="false">IF(OR(45&gt;$C$6,G66&lt;=0.005),"",45)</f>
        <v/>
      </c>
      <c r="C67" s="28" t="str">
        <f aca="false">IF(B67="","",EDATE($C$7,44))</f>
        <v/>
      </c>
      <c r="D67" s="29" t="str">
        <f aca="false">IF(B67="","",MIN(G66+E67,$C$13+IF(45=$C$9,$C$10,0)))</f>
        <v/>
      </c>
      <c r="E67" s="29" t="str">
        <f aca="false">IF(B67="","",ROUND(G66*$C$12,2))</f>
        <v/>
      </c>
      <c r="F67" s="29" t="str">
        <f aca="false">IF(B67="","",D67-E67)</f>
        <v/>
      </c>
      <c r="G67" s="29" t="n">
        <f aca="false">IF(B67="",0,ROUND(G66-F67,2))</f>
        <v>0</v>
      </c>
    </row>
    <row r="68" customFormat="false" ht="15" hidden="false" customHeight="false" outlineLevel="0" collapsed="false">
      <c r="B68" s="30" t="str">
        <f aca="false">IF(OR(46&gt;$C$6,G67&lt;=0.005),"",46)</f>
        <v/>
      </c>
      <c r="C68" s="31" t="str">
        <f aca="false">IF(B68="","",EDATE($C$7,45))</f>
        <v/>
      </c>
      <c r="D68" s="32" t="str">
        <f aca="false">IF(B68="","",MIN(G67+E68,$C$13+IF(46=$C$9,$C$10,0)))</f>
        <v/>
      </c>
      <c r="E68" s="32" t="str">
        <f aca="false">IF(B68="","",ROUND(G67*$C$12,2))</f>
        <v/>
      </c>
      <c r="F68" s="32" t="str">
        <f aca="false">IF(B68="","",D68-E68)</f>
        <v/>
      </c>
      <c r="G68" s="32" t="n">
        <f aca="false">IF(B68="",0,ROUND(G67-F68,2))</f>
        <v>0</v>
      </c>
    </row>
    <row r="69" customFormat="false" ht="15" hidden="false" customHeight="false" outlineLevel="0" collapsed="false">
      <c r="B69" s="27" t="str">
        <f aca="false">IF(OR(47&gt;$C$6,G68&lt;=0.005),"",47)</f>
        <v/>
      </c>
      <c r="C69" s="28" t="str">
        <f aca="false">IF(B69="","",EDATE($C$7,46))</f>
        <v/>
      </c>
      <c r="D69" s="29" t="str">
        <f aca="false">IF(B69="","",MIN(G68+E69,$C$13+IF(47=$C$9,$C$10,0)))</f>
        <v/>
      </c>
      <c r="E69" s="29" t="str">
        <f aca="false">IF(B69="","",ROUND(G68*$C$12,2))</f>
        <v/>
      </c>
      <c r="F69" s="29" t="str">
        <f aca="false">IF(B69="","",D69-E69)</f>
        <v/>
      </c>
      <c r="G69" s="29" t="n">
        <f aca="false">IF(B69="",0,ROUND(G68-F69,2))</f>
        <v>0</v>
      </c>
    </row>
    <row r="70" customFormat="false" ht="15" hidden="false" customHeight="false" outlineLevel="0" collapsed="false">
      <c r="B70" s="30" t="str">
        <f aca="false">IF(OR(48&gt;$C$6,G69&lt;=0.005),"",48)</f>
        <v/>
      </c>
      <c r="C70" s="31" t="str">
        <f aca="false">IF(B70="","",EDATE($C$7,47))</f>
        <v/>
      </c>
      <c r="D70" s="32" t="str">
        <f aca="false">IF(B70="","",MIN(G69+E70,$C$13+IF(48=$C$9,$C$10,0)))</f>
        <v/>
      </c>
      <c r="E70" s="32" t="str">
        <f aca="false">IF(B70="","",ROUND(G69*$C$12,2))</f>
        <v/>
      </c>
      <c r="F70" s="32" t="str">
        <f aca="false">IF(B70="","",D70-E70)</f>
        <v/>
      </c>
      <c r="G70" s="32" t="n">
        <f aca="false">IF(B70="",0,ROUND(G69-F70,2))</f>
        <v>0</v>
      </c>
    </row>
    <row r="71" customFormat="false" ht="15" hidden="false" customHeight="false" outlineLevel="0" collapsed="false">
      <c r="B71" s="27" t="str">
        <f aca="false">IF(OR(49&gt;$C$6,G70&lt;=0.005),"",49)</f>
        <v/>
      </c>
      <c r="C71" s="28" t="str">
        <f aca="false">IF(B71="","",EDATE($C$7,48))</f>
        <v/>
      </c>
      <c r="D71" s="29" t="str">
        <f aca="false">IF(B71="","",MIN(G70+E71,$C$13+IF(49=$C$9,$C$10,0)))</f>
        <v/>
      </c>
      <c r="E71" s="29" t="str">
        <f aca="false">IF(B71="","",ROUND(G70*$C$12,2))</f>
        <v/>
      </c>
      <c r="F71" s="29" t="str">
        <f aca="false">IF(B71="","",D71-E71)</f>
        <v/>
      </c>
      <c r="G71" s="29" t="n">
        <f aca="false">IF(B71="",0,ROUND(G70-F71,2))</f>
        <v>0</v>
      </c>
    </row>
    <row r="72" customFormat="false" ht="15" hidden="false" customHeight="false" outlineLevel="0" collapsed="false">
      <c r="B72" s="30" t="str">
        <f aca="false">IF(OR(50&gt;$C$6,G71&lt;=0.005),"",50)</f>
        <v/>
      </c>
      <c r="C72" s="31" t="str">
        <f aca="false">IF(B72="","",EDATE($C$7,49))</f>
        <v/>
      </c>
      <c r="D72" s="32" t="str">
        <f aca="false">IF(B72="","",MIN(G71+E72,$C$13+IF(50=$C$9,$C$10,0)))</f>
        <v/>
      </c>
      <c r="E72" s="32" t="str">
        <f aca="false">IF(B72="","",ROUND(G71*$C$12,2))</f>
        <v/>
      </c>
      <c r="F72" s="32" t="str">
        <f aca="false">IF(B72="","",D72-E72)</f>
        <v/>
      </c>
      <c r="G72" s="32" t="n">
        <f aca="false">IF(B72="",0,ROUND(G71-F72,2))</f>
        <v>0</v>
      </c>
    </row>
    <row r="73" customFormat="false" ht="15" hidden="false" customHeight="false" outlineLevel="0" collapsed="false">
      <c r="B73" s="27" t="str">
        <f aca="false">IF(OR(51&gt;$C$6,G72&lt;=0.005),"",51)</f>
        <v/>
      </c>
      <c r="C73" s="28" t="str">
        <f aca="false">IF(B73="","",EDATE($C$7,50))</f>
        <v/>
      </c>
      <c r="D73" s="29" t="str">
        <f aca="false">IF(B73="","",MIN(G72+E73,$C$13+IF(51=$C$9,$C$10,0)))</f>
        <v/>
      </c>
      <c r="E73" s="29" t="str">
        <f aca="false">IF(B73="","",ROUND(G72*$C$12,2))</f>
        <v/>
      </c>
      <c r="F73" s="29" t="str">
        <f aca="false">IF(B73="","",D73-E73)</f>
        <v/>
      </c>
      <c r="G73" s="29" t="n">
        <f aca="false">IF(B73="",0,ROUND(G72-F73,2))</f>
        <v>0</v>
      </c>
    </row>
    <row r="74" customFormat="false" ht="15" hidden="false" customHeight="false" outlineLevel="0" collapsed="false">
      <c r="B74" s="30" t="str">
        <f aca="false">IF(OR(52&gt;$C$6,G73&lt;=0.005),"",52)</f>
        <v/>
      </c>
      <c r="C74" s="31" t="str">
        <f aca="false">IF(B74="","",EDATE($C$7,51))</f>
        <v/>
      </c>
      <c r="D74" s="32" t="str">
        <f aca="false">IF(B74="","",MIN(G73+E74,$C$13+IF(52=$C$9,$C$10,0)))</f>
        <v/>
      </c>
      <c r="E74" s="32" t="str">
        <f aca="false">IF(B74="","",ROUND(G73*$C$12,2))</f>
        <v/>
      </c>
      <c r="F74" s="32" t="str">
        <f aca="false">IF(B74="","",D74-E74)</f>
        <v/>
      </c>
      <c r="G74" s="32" t="n">
        <f aca="false">IF(B74="",0,ROUND(G73-F74,2))</f>
        <v>0</v>
      </c>
    </row>
    <row r="75" customFormat="false" ht="15" hidden="false" customHeight="false" outlineLevel="0" collapsed="false">
      <c r="B75" s="27" t="str">
        <f aca="false">IF(OR(53&gt;$C$6,G74&lt;=0.005),"",53)</f>
        <v/>
      </c>
      <c r="C75" s="28" t="str">
        <f aca="false">IF(B75="","",EDATE($C$7,52))</f>
        <v/>
      </c>
      <c r="D75" s="29" t="str">
        <f aca="false">IF(B75="","",MIN(G74+E75,$C$13+IF(53=$C$9,$C$10,0)))</f>
        <v/>
      </c>
      <c r="E75" s="29" t="str">
        <f aca="false">IF(B75="","",ROUND(G74*$C$12,2))</f>
        <v/>
      </c>
      <c r="F75" s="29" t="str">
        <f aca="false">IF(B75="","",D75-E75)</f>
        <v/>
      </c>
      <c r="G75" s="29" t="n">
        <f aca="false">IF(B75="",0,ROUND(G74-F75,2))</f>
        <v>0</v>
      </c>
    </row>
    <row r="76" customFormat="false" ht="15" hidden="false" customHeight="false" outlineLevel="0" collapsed="false">
      <c r="B76" s="30" t="str">
        <f aca="false">IF(OR(54&gt;$C$6,G75&lt;=0.005),"",54)</f>
        <v/>
      </c>
      <c r="C76" s="31" t="str">
        <f aca="false">IF(B76="","",EDATE($C$7,53))</f>
        <v/>
      </c>
      <c r="D76" s="32" t="str">
        <f aca="false">IF(B76="","",MIN(G75+E76,$C$13+IF(54=$C$9,$C$10,0)))</f>
        <v/>
      </c>
      <c r="E76" s="32" t="str">
        <f aca="false">IF(B76="","",ROUND(G75*$C$12,2))</f>
        <v/>
      </c>
      <c r="F76" s="32" t="str">
        <f aca="false">IF(B76="","",D76-E76)</f>
        <v/>
      </c>
      <c r="G76" s="32" t="n">
        <f aca="false">IF(B76="",0,ROUND(G75-F76,2))</f>
        <v>0</v>
      </c>
    </row>
    <row r="77" customFormat="false" ht="15" hidden="false" customHeight="false" outlineLevel="0" collapsed="false">
      <c r="B77" s="27" t="str">
        <f aca="false">IF(OR(55&gt;$C$6,G76&lt;=0.005),"",55)</f>
        <v/>
      </c>
      <c r="C77" s="28" t="str">
        <f aca="false">IF(B77="","",EDATE($C$7,54))</f>
        <v/>
      </c>
      <c r="D77" s="29" t="str">
        <f aca="false">IF(B77="","",MIN(G76+E77,$C$13+IF(55=$C$9,$C$10,0)))</f>
        <v/>
      </c>
      <c r="E77" s="29" t="str">
        <f aca="false">IF(B77="","",ROUND(G76*$C$12,2))</f>
        <v/>
      </c>
      <c r="F77" s="29" t="str">
        <f aca="false">IF(B77="","",D77-E77)</f>
        <v/>
      </c>
      <c r="G77" s="29" t="n">
        <f aca="false">IF(B77="",0,ROUND(G76-F77,2))</f>
        <v>0</v>
      </c>
    </row>
    <row r="78" customFormat="false" ht="15" hidden="false" customHeight="false" outlineLevel="0" collapsed="false">
      <c r="B78" s="30" t="str">
        <f aca="false">IF(OR(56&gt;$C$6,G77&lt;=0.005),"",56)</f>
        <v/>
      </c>
      <c r="C78" s="31" t="str">
        <f aca="false">IF(B78="","",EDATE($C$7,55))</f>
        <v/>
      </c>
      <c r="D78" s="32" t="str">
        <f aca="false">IF(B78="","",MIN(G77+E78,$C$13+IF(56=$C$9,$C$10,0)))</f>
        <v/>
      </c>
      <c r="E78" s="32" t="str">
        <f aca="false">IF(B78="","",ROUND(G77*$C$12,2))</f>
        <v/>
      </c>
      <c r="F78" s="32" t="str">
        <f aca="false">IF(B78="","",D78-E78)</f>
        <v/>
      </c>
      <c r="G78" s="32" t="n">
        <f aca="false">IF(B78="",0,ROUND(G77-F78,2))</f>
        <v>0</v>
      </c>
    </row>
    <row r="79" customFormat="false" ht="15" hidden="false" customHeight="false" outlineLevel="0" collapsed="false">
      <c r="B79" s="27" t="str">
        <f aca="false">IF(OR(57&gt;$C$6,G78&lt;=0.005),"",57)</f>
        <v/>
      </c>
      <c r="C79" s="28" t="str">
        <f aca="false">IF(B79="","",EDATE($C$7,56))</f>
        <v/>
      </c>
      <c r="D79" s="29" t="str">
        <f aca="false">IF(B79="","",MIN(G78+E79,$C$13+IF(57=$C$9,$C$10,0)))</f>
        <v/>
      </c>
      <c r="E79" s="29" t="str">
        <f aca="false">IF(B79="","",ROUND(G78*$C$12,2))</f>
        <v/>
      </c>
      <c r="F79" s="29" t="str">
        <f aca="false">IF(B79="","",D79-E79)</f>
        <v/>
      </c>
      <c r="G79" s="29" t="n">
        <f aca="false">IF(B79="",0,ROUND(G78-F79,2))</f>
        <v>0</v>
      </c>
    </row>
    <row r="80" customFormat="false" ht="15" hidden="false" customHeight="false" outlineLevel="0" collapsed="false">
      <c r="B80" s="30" t="str">
        <f aca="false">IF(OR(58&gt;$C$6,G79&lt;=0.005),"",58)</f>
        <v/>
      </c>
      <c r="C80" s="31" t="str">
        <f aca="false">IF(B80="","",EDATE($C$7,57))</f>
        <v/>
      </c>
      <c r="D80" s="32" t="str">
        <f aca="false">IF(B80="","",MIN(G79+E80,$C$13+IF(58=$C$9,$C$10,0)))</f>
        <v/>
      </c>
      <c r="E80" s="32" t="str">
        <f aca="false">IF(B80="","",ROUND(G79*$C$12,2))</f>
        <v/>
      </c>
      <c r="F80" s="32" t="str">
        <f aca="false">IF(B80="","",D80-E80)</f>
        <v/>
      </c>
      <c r="G80" s="32" t="n">
        <f aca="false">IF(B80="",0,ROUND(G79-F80,2))</f>
        <v>0</v>
      </c>
    </row>
    <row r="81" customFormat="false" ht="15" hidden="false" customHeight="false" outlineLevel="0" collapsed="false">
      <c r="B81" s="27" t="str">
        <f aca="false">IF(OR(59&gt;$C$6,G80&lt;=0.005),"",59)</f>
        <v/>
      </c>
      <c r="C81" s="28" t="str">
        <f aca="false">IF(B81="","",EDATE($C$7,58))</f>
        <v/>
      </c>
      <c r="D81" s="29" t="str">
        <f aca="false">IF(B81="","",MIN(G80+E81,$C$13+IF(59=$C$9,$C$10,0)))</f>
        <v/>
      </c>
      <c r="E81" s="29" t="str">
        <f aca="false">IF(B81="","",ROUND(G80*$C$12,2))</f>
        <v/>
      </c>
      <c r="F81" s="29" t="str">
        <f aca="false">IF(B81="","",D81-E81)</f>
        <v/>
      </c>
      <c r="G81" s="29" t="n">
        <f aca="false">IF(B81="",0,ROUND(G80-F81,2))</f>
        <v>0</v>
      </c>
    </row>
    <row r="82" customFormat="false" ht="15" hidden="false" customHeight="false" outlineLevel="0" collapsed="false">
      <c r="B82" s="30" t="str">
        <f aca="false">IF(OR(60&gt;$C$6,G81&lt;=0.005),"",60)</f>
        <v/>
      </c>
      <c r="C82" s="31" t="str">
        <f aca="false">IF(B82="","",EDATE($C$7,59))</f>
        <v/>
      </c>
      <c r="D82" s="32" t="str">
        <f aca="false">IF(B82="","",MIN(G81+E82,$C$13+IF(60=$C$9,$C$10,0)))</f>
        <v/>
      </c>
      <c r="E82" s="32" t="str">
        <f aca="false">IF(B82="","",ROUND(G81*$C$12,2))</f>
        <v/>
      </c>
      <c r="F82" s="32" t="str">
        <f aca="false">IF(B82="","",D82-E82)</f>
        <v/>
      </c>
      <c r="G82" s="32" t="n">
        <f aca="false">IF(B82="",0,ROUND(G81-F82,2))</f>
        <v>0</v>
      </c>
    </row>
    <row r="83" customFormat="false" ht="15" hidden="false" customHeight="false" outlineLevel="0" collapsed="false">
      <c r="B83" s="27" t="str">
        <f aca="false">IF(OR(61&gt;$C$6,G82&lt;=0.005),"",61)</f>
        <v/>
      </c>
      <c r="C83" s="28" t="str">
        <f aca="false">IF(B83="","",EDATE($C$7,60))</f>
        <v/>
      </c>
      <c r="D83" s="29" t="str">
        <f aca="false">IF(B83="","",MIN(G82+E83,$C$13+IF(61=$C$9,$C$10,0)))</f>
        <v/>
      </c>
      <c r="E83" s="29" t="str">
        <f aca="false">IF(B83="","",ROUND(G82*$C$12,2))</f>
        <v/>
      </c>
      <c r="F83" s="29" t="str">
        <f aca="false">IF(B83="","",D83-E83)</f>
        <v/>
      </c>
      <c r="G83" s="29" t="n">
        <f aca="false">IF(B83="",0,ROUND(G82-F83,2))</f>
        <v>0</v>
      </c>
    </row>
    <row r="84" customFormat="false" ht="15" hidden="false" customHeight="false" outlineLevel="0" collapsed="false">
      <c r="B84" s="30" t="str">
        <f aca="false">IF(OR(62&gt;$C$6,G83&lt;=0.005),"",62)</f>
        <v/>
      </c>
      <c r="C84" s="31" t="str">
        <f aca="false">IF(B84="","",EDATE($C$7,61))</f>
        <v/>
      </c>
      <c r="D84" s="32" t="str">
        <f aca="false">IF(B84="","",MIN(G83+E84,$C$13+IF(62=$C$9,$C$10,0)))</f>
        <v/>
      </c>
      <c r="E84" s="32" t="str">
        <f aca="false">IF(B84="","",ROUND(G83*$C$12,2))</f>
        <v/>
      </c>
      <c r="F84" s="32" t="str">
        <f aca="false">IF(B84="","",D84-E84)</f>
        <v/>
      </c>
      <c r="G84" s="32" t="n">
        <f aca="false">IF(B84="",0,ROUND(G83-F84,2))</f>
        <v>0</v>
      </c>
    </row>
    <row r="85" customFormat="false" ht="15" hidden="false" customHeight="false" outlineLevel="0" collapsed="false">
      <c r="B85" s="27" t="str">
        <f aca="false">IF(OR(63&gt;$C$6,G84&lt;=0.005),"",63)</f>
        <v/>
      </c>
      <c r="C85" s="28" t="str">
        <f aca="false">IF(B85="","",EDATE($C$7,62))</f>
        <v/>
      </c>
      <c r="D85" s="29" t="str">
        <f aca="false">IF(B85="","",MIN(G84+E85,$C$13+IF(63=$C$9,$C$10,0)))</f>
        <v/>
      </c>
      <c r="E85" s="29" t="str">
        <f aca="false">IF(B85="","",ROUND(G84*$C$12,2))</f>
        <v/>
      </c>
      <c r="F85" s="29" t="str">
        <f aca="false">IF(B85="","",D85-E85)</f>
        <v/>
      </c>
      <c r="G85" s="29" t="n">
        <f aca="false">IF(B85="",0,ROUND(G84-F85,2))</f>
        <v>0</v>
      </c>
    </row>
    <row r="86" customFormat="false" ht="15" hidden="false" customHeight="false" outlineLevel="0" collapsed="false">
      <c r="B86" s="30" t="str">
        <f aca="false">IF(OR(64&gt;$C$6,G85&lt;=0.005),"",64)</f>
        <v/>
      </c>
      <c r="C86" s="31" t="str">
        <f aca="false">IF(B86="","",EDATE($C$7,63))</f>
        <v/>
      </c>
      <c r="D86" s="32" t="str">
        <f aca="false">IF(B86="","",MIN(G85+E86,$C$13+IF(64=$C$9,$C$10,0)))</f>
        <v/>
      </c>
      <c r="E86" s="32" t="str">
        <f aca="false">IF(B86="","",ROUND(G85*$C$12,2))</f>
        <v/>
      </c>
      <c r="F86" s="32" t="str">
        <f aca="false">IF(B86="","",D86-E86)</f>
        <v/>
      </c>
      <c r="G86" s="32" t="n">
        <f aca="false">IF(B86="",0,ROUND(G85-F86,2))</f>
        <v>0</v>
      </c>
    </row>
    <row r="87" customFormat="false" ht="15" hidden="false" customHeight="false" outlineLevel="0" collapsed="false">
      <c r="B87" s="27" t="str">
        <f aca="false">IF(OR(65&gt;$C$6,G86&lt;=0.005),"",65)</f>
        <v/>
      </c>
      <c r="C87" s="28" t="str">
        <f aca="false">IF(B87="","",EDATE($C$7,64))</f>
        <v/>
      </c>
      <c r="D87" s="29" t="str">
        <f aca="false">IF(B87="","",MIN(G86+E87,$C$13+IF(65=$C$9,$C$10,0)))</f>
        <v/>
      </c>
      <c r="E87" s="29" t="str">
        <f aca="false">IF(B87="","",ROUND(G86*$C$12,2))</f>
        <v/>
      </c>
      <c r="F87" s="29" t="str">
        <f aca="false">IF(B87="","",D87-E87)</f>
        <v/>
      </c>
      <c r="G87" s="29" t="n">
        <f aca="false">IF(B87="",0,ROUND(G86-F87,2))</f>
        <v>0</v>
      </c>
    </row>
    <row r="88" customFormat="false" ht="15" hidden="false" customHeight="false" outlineLevel="0" collapsed="false">
      <c r="B88" s="30" t="str">
        <f aca="false">IF(OR(66&gt;$C$6,G87&lt;=0.005),"",66)</f>
        <v/>
      </c>
      <c r="C88" s="31" t="str">
        <f aca="false">IF(B88="","",EDATE($C$7,65))</f>
        <v/>
      </c>
      <c r="D88" s="32" t="str">
        <f aca="false">IF(B88="","",MIN(G87+E88,$C$13+IF(66=$C$9,$C$10,0)))</f>
        <v/>
      </c>
      <c r="E88" s="32" t="str">
        <f aca="false">IF(B88="","",ROUND(G87*$C$12,2))</f>
        <v/>
      </c>
      <c r="F88" s="32" t="str">
        <f aca="false">IF(B88="","",D88-E88)</f>
        <v/>
      </c>
      <c r="G88" s="32" t="n">
        <f aca="false">IF(B88="",0,ROUND(G87-F88,2))</f>
        <v>0</v>
      </c>
    </row>
    <row r="89" customFormat="false" ht="15" hidden="false" customHeight="false" outlineLevel="0" collapsed="false">
      <c r="B89" s="27" t="str">
        <f aca="false">IF(OR(67&gt;$C$6,G88&lt;=0.005),"",67)</f>
        <v/>
      </c>
      <c r="C89" s="28" t="str">
        <f aca="false">IF(B89="","",EDATE($C$7,66))</f>
        <v/>
      </c>
      <c r="D89" s="29" t="str">
        <f aca="false">IF(B89="","",MIN(G88+E89,$C$13+IF(67=$C$9,$C$10,0)))</f>
        <v/>
      </c>
      <c r="E89" s="29" t="str">
        <f aca="false">IF(B89="","",ROUND(G88*$C$12,2))</f>
        <v/>
      </c>
      <c r="F89" s="29" t="str">
        <f aca="false">IF(B89="","",D89-E89)</f>
        <v/>
      </c>
      <c r="G89" s="29" t="n">
        <f aca="false">IF(B89="",0,ROUND(G88-F89,2))</f>
        <v>0</v>
      </c>
    </row>
    <row r="90" customFormat="false" ht="15" hidden="false" customHeight="false" outlineLevel="0" collapsed="false">
      <c r="B90" s="30" t="str">
        <f aca="false">IF(OR(68&gt;$C$6,G89&lt;=0.005),"",68)</f>
        <v/>
      </c>
      <c r="C90" s="31" t="str">
        <f aca="false">IF(B90="","",EDATE($C$7,67))</f>
        <v/>
      </c>
      <c r="D90" s="32" t="str">
        <f aca="false">IF(B90="","",MIN(G89+E90,$C$13+IF(68=$C$9,$C$10,0)))</f>
        <v/>
      </c>
      <c r="E90" s="32" t="str">
        <f aca="false">IF(B90="","",ROUND(G89*$C$12,2))</f>
        <v/>
      </c>
      <c r="F90" s="32" t="str">
        <f aca="false">IF(B90="","",D90-E90)</f>
        <v/>
      </c>
      <c r="G90" s="32" t="n">
        <f aca="false">IF(B90="",0,ROUND(G89-F90,2))</f>
        <v>0</v>
      </c>
    </row>
    <row r="91" customFormat="false" ht="15" hidden="false" customHeight="false" outlineLevel="0" collapsed="false">
      <c r="B91" s="27" t="str">
        <f aca="false">IF(OR(69&gt;$C$6,G90&lt;=0.005),"",69)</f>
        <v/>
      </c>
      <c r="C91" s="28" t="str">
        <f aca="false">IF(B91="","",EDATE($C$7,68))</f>
        <v/>
      </c>
      <c r="D91" s="29" t="str">
        <f aca="false">IF(B91="","",MIN(G90+E91,$C$13+IF(69=$C$9,$C$10,0)))</f>
        <v/>
      </c>
      <c r="E91" s="29" t="str">
        <f aca="false">IF(B91="","",ROUND(G90*$C$12,2))</f>
        <v/>
      </c>
      <c r="F91" s="29" t="str">
        <f aca="false">IF(B91="","",D91-E91)</f>
        <v/>
      </c>
      <c r="G91" s="29" t="n">
        <f aca="false">IF(B91="",0,ROUND(G90-F91,2))</f>
        <v>0</v>
      </c>
    </row>
    <row r="92" customFormat="false" ht="15" hidden="false" customHeight="false" outlineLevel="0" collapsed="false">
      <c r="B92" s="30" t="str">
        <f aca="false">IF(OR(70&gt;$C$6,G91&lt;=0.005),"",70)</f>
        <v/>
      </c>
      <c r="C92" s="31" t="str">
        <f aca="false">IF(B92="","",EDATE($C$7,69))</f>
        <v/>
      </c>
      <c r="D92" s="32" t="str">
        <f aca="false">IF(B92="","",MIN(G91+E92,$C$13+IF(70=$C$9,$C$10,0)))</f>
        <v/>
      </c>
      <c r="E92" s="32" t="str">
        <f aca="false">IF(B92="","",ROUND(G91*$C$12,2))</f>
        <v/>
      </c>
      <c r="F92" s="32" t="str">
        <f aca="false">IF(B92="","",D92-E92)</f>
        <v/>
      </c>
      <c r="G92" s="32" t="n">
        <f aca="false">IF(B92="",0,ROUND(G91-F92,2))</f>
        <v>0</v>
      </c>
    </row>
    <row r="93" customFormat="false" ht="15" hidden="false" customHeight="false" outlineLevel="0" collapsed="false">
      <c r="B93" s="27" t="str">
        <f aca="false">IF(OR(71&gt;$C$6,G92&lt;=0.005),"",71)</f>
        <v/>
      </c>
      <c r="C93" s="28" t="str">
        <f aca="false">IF(B93="","",EDATE($C$7,70))</f>
        <v/>
      </c>
      <c r="D93" s="29" t="str">
        <f aca="false">IF(B93="","",MIN(G92+E93,$C$13+IF(71=$C$9,$C$10,0)))</f>
        <v/>
      </c>
      <c r="E93" s="29" t="str">
        <f aca="false">IF(B93="","",ROUND(G92*$C$12,2))</f>
        <v/>
      </c>
      <c r="F93" s="29" t="str">
        <f aca="false">IF(B93="","",D93-E93)</f>
        <v/>
      </c>
      <c r="G93" s="29" t="n">
        <f aca="false">IF(B93="",0,ROUND(G92-F93,2))</f>
        <v>0</v>
      </c>
    </row>
    <row r="94" customFormat="false" ht="15" hidden="false" customHeight="false" outlineLevel="0" collapsed="false">
      <c r="B94" s="30" t="str">
        <f aca="false">IF(OR(72&gt;$C$6,G93&lt;=0.005),"",72)</f>
        <v/>
      </c>
      <c r="C94" s="31" t="str">
        <f aca="false">IF(B94="","",EDATE($C$7,71))</f>
        <v/>
      </c>
      <c r="D94" s="32" t="str">
        <f aca="false">IF(B94="","",MIN(G93+E94,$C$13+IF(72=$C$9,$C$10,0)))</f>
        <v/>
      </c>
      <c r="E94" s="32" t="str">
        <f aca="false">IF(B94="","",ROUND(G93*$C$12,2))</f>
        <v/>
      </c>
      <c r="F94" s="32" t="str">
        <f aca="false">IF(B94="","",D94-E94)</f>
        <v/>
      </c>
      <c r="G94" s="32" t="n">
        <f aca="false">IF(B94="",0,ROUND(G93-F94,2))</f>
        <v>0</v>
      </c>
    </row>
    <row r="95" customFormat="false" ht="15" hidden="false" customHeight="false" outlineLevel="0" collapsed="false">
      <c r="B95" s="27" t="str">
        <f aca="false">IF(OR(73&gt;$C$6,G94&lt;=0.005),"",73)</f>
        <v/>
      </c>
      <c r="C95" s="28" t="str">
        <f aca="false">IF(B95="","",EDATE($C$7,72))</f>
        <v/>
      </c>
      <c r="D95" s="29" t="str">
        <f aca="false">IF(B95="","",MIN(G94+E95,$C$13+IF(73=$C$9,$C$10,0)))</f>
        <v/>
      </c>
      <c r="E95" s="29" t="str">
        <f aca="false">IF(B95="","",ROUND(G94*$C$12,2))</f>
        <v/>
      </c>
      <c r="F95" s="29" t="str">
        <f aca="false">IF(B95="","",D95-E95)</f>
        <v/>
      </c>
      <c r="G95" s="29" t="n">
        <f aca="false">IF(B95="",0,ROUND(G94-F95,2))</f>
        <v>0</v>
      </c>
    </row>
    <row r="96" customFormat="false" ht="15" hidden="false" customHeight="false" outlineLevel="0" collapsed="false">
      <c r="B96" s="30" t="str">
        <f aca="false">IF(OR(74&gt;$C$6,G95&lt;=0.005),"",74)</f>
        <v/>
      </c>
      <c r="C96" s="31" t="str">
        <f aca="false">IF(B96="","",EDATE($C$7,73))</f>
        <v/>
      </c>
      <c r="D96" s="32" t="str">
        <f aca="false">IF(B96="","",MIN(G95+E96,$C$13+IF(74=$C$9,$C$10,0)))</f>
        <v/>
      </c>
      <c r="E96" s="32" t="str">
        <f aca="false">IF(B96="","",ROUND(G95*$C$12,2))</f>
        <v/>
      </c>
      <c r="F96" s="32" t="str">
        <f aca="false">IF(B96="","",D96-E96)</f>
        <v/>
      </c>
      <c r="G96" s="32" t="n">
        <f aca="false">IF(B96="",0,ROUND(G95-F96,2))</f>
        <v>0</v>
      </c>
    </row>
    <row r="97" customFormat="false" ht="15" hidden="false" customHeight="false" outlineLevel="0" collapsed="false">
      <c r="B97" s="27" t="str">
        <f aca="false">IF(OR(75&gt;$C$6,G96&lt;=0.005),"",75)</f>
        <v/>
      </c>
      <c r="C97" s="28" t="str">
        <f aca="false">IF(B97="","",EDATE($C$7,74))</f>
        <v/>
      </c>
      <c r="D97" s="29" t="str">
        <f aca="false">IF(B97="","",MIN(G96+E97,$C$13+IF(75=$C$9,$C$10,0)))</f>
        <v/>
      </c>
      <c r="E97" s="29" t="str">
        <f aca="false">IF(B97="","",ROUND(G96*$C$12,2))</f>
        <v/>
      </c>
      <c r="F97" s="29" t="str">
        <f aca="false">IF(B97="","",D97-E97)</f>
        <v/>
      </c>
      <c r="G97" s="29" t="n">
        <f aca="false">IF(B97="",0,ROUND(G96-F97,2))</f>
        <v>0</v>
      </c>
    </row>
    <row r="98" customFormat="false" ht="15" hidden="false" customHeight="false" outlineLevel="0" collapsed="false">
      <c r="B98" s="30" t="str">
        <f aca="false">IF(OR(76&gt;$C$6,G97&lt;=0.005),"",76)</f>
        <v/>
      </c>
      <c r="C98" s="31" t="str">
        <f aca="false">IF(B98="","",EDATE($C$7,75))</f>
        <v/>
      </c>
      <c r="D98" s="32" t="str">
        <f aca="false">IF(B98="","",MIN(G97+E98,$C$13+IF(76=$C$9,$C$10,0)))</f>
        <v/>
      </c>
      <c r="E98" s="32" t="str">
        <f aca="false">IF(B98="","",ROUND(G97*$C$12,2))</f>
        <v/>
      </c>
      <c r="F98" s="32" t="str">
        <f aca="false">IF(B98="","",D98-E98)</f>
        <v/>
      </c>
      <c r="G98" s="32" t="n">
        <f aca="false">IF(B98="",0,ROUND(G97-F98,2))</f>
        <v>0</v>
      </c>
    </row>
    <row r="99" customFormat="false" ht="15" hidden="false" customHeight="false" outlineLevel="0" collapsed="false">
      <c r="B99" s="27" t="str">
        <f aca="false">IF(OR(77&gt;$C$6,G98&lt;=0.005),"",77)</f>
        <v/>
      </c>
      <c r="C99" s="28" t="str">
        <f aca="false">IF(B99="","",EDATE($C$7,76))</f>
        <v/>
      </c>
      <c r="D99" s="29" t="str">
        <f aca="false">IF(B99="","",MIN(G98+E99,$C$13+IF(77=$C$9,$C$10,0)))</f>
        <v/>
      </c>
      <c r="E99" s="29" t="str">
        <f aca="false">IF(B99="","",ROUND(G98*$C$12,2))</f>
        <v/>
      </c>
      <c r="F99" s="29" t="str">
        <f aca="false">IF(B99="","",D99-E99)</f>
        <v/>
      </c>
      <c r="G99" s="29" t="n">
        <f aca="false">IF(B99="",0,ROUND(G98-F99,2))</f>
        <v>0</v>
      </c>
    </row>
    <row r="100" customFormat="false" ht="15" hidden="false" customHeight="false" outlineLevel="0" collapsed="false">
      <c r="B100" s="30" t="str">
        <f aca="false">IF(OR(78&gt;$C$6,G99&lt;=0.005),"",78)</f>
        <v/>
      </c>
      <c r="C100" s="31" t="str">
        <f aca="false">IF(B100="","",EDATE($C$7,77))</f>
        <v/>
      </c>
      <c r="D100" s="32" t="str">
        <f aca="false">IF(B100="","",MIN(G99+E100,$C$13+IF(78=$C$9,$C$10,0)))</f>
        <v/>
      </c>
      <c r="E100" s="32" t="str">
        <f aca="false">IF(B100="","",ROUND(G99*$C$12,2))</f>
        <v/>
      </c>
      <c r="F100" s="32" t="str">
        <f aca="false">IF(B100="","",D100-E100)</f>
        <v/>
      </c>
      <c r="G100" s="32" t="n">
        <f aca="false">IF(B100="",0,ROUND(G99-F100,2))</f>
        <v>0</v>
      </c>
    </row>
    <row r="101" customFormat="false" ht="15" hidden="false" customHeight="false" outlineLevel="0" collapsed="false">
      <c r="B101" s="27" t="str">
        <f aca="false">IF(OR(79&gt;$C$6,G100&lt;=0.005),"",79)</f>
        <v/>
      </c>
      <c r="C101" s="28" t="str">
        <f aca="false">IF(B101="","",EDATE($C$7,78))</f>
        <v/>
      </c>
      <c r="D101" s="29" t="str">
        <f aca="false">IF(B101="","",MIN(G100+E101,$C$13+IF(79=$C$9,$C$10,0)))</f>
        <v/>
      </c>
      <c r="E101" s="29" t="str">
        <f aca="false">IF(B101="","",ROUND(G100*$C$12,2))</f>
        <v/>
      </c>
      <c r="F101" s="29" t="str">
        <f aca="false">IF(B101="","",D101-E101)</f>
        <v/>
      </c>
      <c r="G101" s="29" t="n">
        <f aca="false">IF(B101="",0,ROUND(G100-F101,2))</f>
        <v>0</v>
      </c>
    </row>
    <row r="102" customFormat="false" ht="15" hidden="false" customHeight="false" outlineLevel="0" collapsed="false">
      <c r="B102" s="30" t="str">
        <f aca="false">IF(OR(80&gt;$C$6,G101&lt;=0.005),"",80)</f>
        <v/>
      </c>
      <c r="C102" s="31" t="str">
        <f aca="false">IF(B102="","",EDATE($C$7,79))</f>
        <v/>
      </c>
      <c r="D102" s="32" t="str">
        <f aca="false">IF(B102="","",MIN(G101+E102,$C$13+IF(80=$C$9,$C$10,0)))</f>
        <v/>
      </c>
      <c r="E102" s="32" t="str">
        <f aca="false">IF(B102="","",ROUND(G101*$C$12,2))</f>
        <v/>
      </c>
      <c r="F102" s="32" t="str">
        <f aca="false">IF(B102="","",D102-E102)</f>
        <v/>
      </c>
      <c r="G102" s="32" t="n">
        <f aca="false">IF(B102="",0,ROUND(G101-F102,2))</f>
        <v>0</v>
      </c>
    </row>
    <row r="103" customFormat="false" ht="15" hidden="false" customHeight="false" outlineLevel="0" collapsed="false">
      <c r="B103" s="27" t="str">
        <f aca="false">IF(OR(81&gt;$C$6,G102&lt;=0.005),"",81)</f>
        <v/>
      </c>
      <c r="C103" s="28" t="str">
        <f aca="false">IF(B103="","",EDATE($C$7,80))</f>
        <v/>
      </c>
      <c r="D103" s="29" t="str">
        <f aca="false">IF(B103="","",MIN(G102+E103,$C$13+IF(81=$C$9,$C$10,0)))</f>
        <v/>
      </c>
      <c r="E103" s="29" t="str">
        <f aca="false">IF(B103="","",ROUND(G102*$C$12,2))</f>
        <v/>
      </c>
      <c r="F103" s="29" t="str">
        <f aca="false">IF(B103="","",D103-E103)</f>
        <v/>
      </c>
      <c r="G103" s="29" t="n">
        <f aca="false">IF(B103="",0,ROUND(G102-F103,2))</f>
        <v>0</v>
      </c>
    </row>
    <row r="104" customFormat="false" ht="15" hidden="false" customHeight="false" outlineLevel="0" collapsed="false">
      <c r="B104" s="30" t="str">
        <f aca="false">IF(OR(82&gt;$C$6,G103&lt;=0.005),"",82)</f>
        <v/>
      </c>
      <c r="C104" s="31" t="str">
        <f aca="false">IF(B104="","",EDATE($C$7,81))</f>
        <v/>
      </c>
      <c r="D104" s="32" t="str">
        <f aca="false">IF(B104="","",MIN(G103+E104,$C$13+IF(82=$C$9,$C$10,0)))</f>
        <v/>
      </c>
      <c r="E104" s="32" t="str">
        <f aca="false">IF(B104="","",ROUND(G103*$C$12,2))</f>
        <v/>
      </c>
      <c r="F104" s="32" t="str">
        <f aca="false">IF(B104="","",D104-E104)</f>
        <v/>
      </c>
      <c r="G104" s="32" t="n">
        <f aca="false">IF(B104="",0,ROUND(G103-F104,2))</f>
        <v>0</v>
      </c>
    </row>
    <row r="105" customFormat="false" ht="15" hidden="false" customHeight="false" outlineLevel="0" collapsed="false">
      <c r="B105" s="27" t="str">
        <f aca="false">IF(OR(83&gt;$C$6,G104&lt;=0.005),"",83)</f>
        <v/>
      </c>
      <c r="C105" s="28" t="str">
        <f aca="false">IF(B105="","",EDATE($C$7,82))</f>
        <v/>
      </c>
      <c r="D105" s="29" t="str">
        <f aca="false">IF(B105="","",MIN(G104+E105,$C$13+IF(83=$C$9,$C$10,0)))</f>
        <v/>
      </c>
      <c r="E105" s="29" t="str">
        <f aca="false">IF(B105="","",ROUND(G104*$C$12,2))</f>
        <v/>
      </c>
      <c r="F105" s="29" t="str">
        <f aca="false">IF(B105="","",D105-E105)</f>
        <v/>
      </c>
      <c r="G105" s="29" t="n">
        <f aca="false">IF(B105="",0,ROUND(G104-F105,2))</f>
        <v>0</v>
      </c>
    </row>
    <row r="106" customFormat="false" ht="15" hidden="false" customHeight="false" outlineLevel="0" collapsed="false">
      <c r="B106" s="30" t="str">
        <f aca="false">IF(OR(84&gt;$C$6,G105&lt;=0.005),"",84)</f>
        <v/>
      </c>
      <c r="C106" s="31" t="str">
        <f aca="false">IF(B106="","",EDATE($C$7,83))</f>
        <v/>
      </c>
      <c r="D106" s="32" t="str">
        <f aca="false">IF(B106="","",MIN(G105+E106,$C$13+IF(84=$C$9,$C$10,0)))</f>
        <v/>
      </c>
      <c r="E106" s="32" t="str">
        <f aca="false">IF(B106="","",ROUND(G105*$C$12,2))</f>
        <v/>
      </c>
      <c r="F106" s="32" t="str">
        <f aca="false">IF(B106="","",D106-E106)</f>
        <v/>
      </c>
      <c r="G106" s="32" t="n">
        <f aca="false">IF(B106="",0,ROUND(G105-F106,2))</f>
        <v>0</v>
      </c>
    </row>
    <row r="107" customFormat="false" ht="15" hidden="false" customHeight="false" outlineLevel="0" collapsed="false">
      <c r="B107" s="27" t="str">
        <f aca="false">IF(OR(85&gt;$C$6,G106&lt;=0.005),"",85)</f>
        <v/>
      </c>
      <c r="C107" s="28" t="str">
        <f aca="false">IF(B107="","",EDATE($C$7,84))</f>
        <v/>
      </c>
      <c r="D107" s="29" t="str">
        <f aca="false">IF(B107="","",MIN(G106+E107,$C$13+IF(85=$C$9,$C$10,0)))</f>
        <v/>
      </c>
      <c r="E107" s="29" t="str">
        <f aca="false">IF(B107="","",ROUND(G106*$C$12,2))</f>
        <v/>
      </c>
      <c r="F107" s="29" t="str">
        <f aca="false">IF(B107="","",D107-E107)</f>
        <v/>
      </c>
      <c r="G107" s="29" t="n">
        <f aca="false">IF(B107="",0,ROUND(G106-F107,2))</f>
        <v>0</v>
      </c>
    </row>
    <row r="108" customFormat="false" ht="15" hidden="false" customHeight="false" outlineLevel="0" collapsed="false">
      <c r="B108" s="30" t="str">
        <f aca="false">IF(OR(86&gt;$C$6,G107&lt;=0.005),"",86)</f>
        <v/>
      </c>
      <c r="C108" s="31" t="str">
        <f aca="false">IF(B108="","",EDATE($C$7,85))</f>
        <v/>
      </c>
      <c r="D108" s="32" t="str">
        <f aca="false">IF(B108="","",MIN(G107+E108,$C$13+IF(86=$C$9,$C$10,0)))</f>
        <v/>
      </c>
      <c r="E108" s="32" t="str">
        <f aca="false">IF(B108="","",ROUND(G107*$C$12,2))</f>
        <v/>
      </c>
      <c r="F108" s="32" t="str">
        <f aca="false">IF(B108="","",D108-E108)</f>
        <v/>
      </c>
      <c r="G108" s="32" t="n">
        <f aca="false">IF(B108="",0,ROUND(G107-F108,2))</f>
        <v>0</v>
      </c>
    </row>
    <row r="109" customFormat="false" ht="15" hidden="false" customHeight="false" outlineLevel="0" collapsed="false">
      <c r="B109" s="27" t="str">
        <f aca="false">IF(OR(87&gt;$C$6,G108&lt;=0.005),"",87)</f>
        <v/>
      </c>
      <c r="C109" s="28" t="str">
        <f aca="false">IF(B109="","",EDATE($C$7,86))</f>
        <v/>
      </c>
      <c r="D109" s="29" t="str">
        <f aca="false">IF(B109="","",MIN(G108+E109,$C$13+IF(87=$C$9,$C$10,0)))</f>
        <v/>
      </c>
      <c r="E109" s="29" t="str">
        <f aca="false">IF(B109="","",ROUND(G108*$C$12,2))</f>
        <v/>
      </c>
      <c r="F109" s="29" t="str">
        <f aca="false">IF(B109="","",D109-E109)</f>
        <v/>
      </c>
      <c r="G109" s="29" t="n">
        <f aca="false">IF(B109="",0,ROUND(G108-F109,2))</f>
        <v>0</v>
      </c>
    </row>
    <row r="110" customFormat="false" ht="15" hidden="false" customHeight="false" outlineLevel="0" collapsed="false">
      <c r="B110" s="30" t="str">
        <f aca="false">IF(OR(88&gt;$C$6,G109&lt;=0.005),"",88)</f>
        <v/>
      </c>
      <c r="C110" s="31" t="str">
        <f aca="false">IF(B110="","",EDATE($C$7,87))</f>
        <v/>
      </c>
      <c r="D110" s="32" t="str">
        <f aca="false">IF(B110="","",MIN(G109+E110,$C$13+IF(88=$C$9,$C$10,0)))</f>
        <v/>
      </c>
      <c r="E110" s="32" t="str">
        <f aca="false">IF(B110="","",ROUND(G109*$C$12,2))</f>
        <v/>
      </c>
      <c r="F110" s="32" t="str">
        <f aca="false">IF(B110="","",D110-E110)</f>
        <v/>
      </c>
      <c r="G110" s="32" t="n">
        <f aca="false">IF(B110="",0,ROUND(G109-F110,2))</f>
        <v>0</v>
      </c>
    </row>
    <row r="111" customFormat="false" ht="15" hidden="false" customHeight="false" outlineLevel="0" collapsed="false">
      <c r="B111" s="27" t="str">
        <f aca="false">IF(OR(89&gt;$C$6,G110&lt;=0.005),"",89)</f>
        <v/>
      </c>
      <c r="C111" s="28" t="str">
        <f aca="false">IF(B111="","",EDATE($C$7,88))</f>
        <v/>
      </c>
      <c r="D111" s="29" t="str">
        <f aca="false">IF(B111="","",MIN(G110+E111,$C$13+IF(89=$C$9,$C$10,0)))</f>
        <v/>
      </c>
      <c r="E111" s="29" t="str">
        <f aca="false">IF(B111="","",ROUND(G110*$C$12,2))</f>
        <v/>
      </c>
      <c r="F111" s="29" t="str">
        <f aca="false">IF(B111="","",D111-E111)</f>
        <v/>
      </c>
      <c r="G111" s="29" t="n">
        <f aca="false">IF(B111="",0,ROUND(G110-F111,2))</f>
        <v>0</v>
      </c>
    </row>
    <row r="112" customFormat="false" ht="15" hidden="false" customHeight="false" outlineLevel="0" collapsed="false">
      <c r="B112" s="30" t="str">
        <f aca="false">IF(OR(90&gt;$C$6,G111&lt;=0.005),"",90)</f>
        <v/>
      </c>
      <c r="C112" s="31" t="str">
        <f aca="false">IF(B112="","",EDATE($C$7,89))</f>
        <v/>
      </c>
      <c r="D112" s="32" t="str">
        <f aca="false">IF(B112="","",MIN(G111+E112,$C$13+IF(90=$C$9,$C$10,0)))</f>
        <v/>
      </c>
      <c r="E112" s="32" t="str">
        <f aca="false">IF(B112="","",ROUND(G111*$C$12,2))</f>
        <v/>
      </c>
      <c r="F112" s="32" t="str">
        <f aca="false">IF(B112="","",D112-E112)</f>
        <v/>
      </c>
      <c r="G112" s="32" t="n">
        <f aca="false">IF(B112="",0,ROUND(G111-F112,2))</f>
        <v>0</v>
      </c>
    </row>
    <row r="113" customFormat="false" ht="15" hidden="false" customHeight="false" outlineLevel="0" collapsed="false">
      <c r="B113" s="27" t="str">
        <f aca="false">IF(OR(91&gt;$C$6,G112&lt;=0.005),"",91)</f>
        <v/>
      </c>
      <c r="C113" s="28" t="str">
        <f aca="false">IF(B113="","",EDATE($C$7,90))</f>
        <v/>
      </c>
      <c r="D113" s="29" t="str">
        <f aca="false">IF(B113="","",MIN(G112+E113,$C$13+IF(91=$C$9,$C$10,0)))</f>
        <v/>
      </c>
      <c r="E113" s="29" t="str">
        <f aca="false">IF(B113="","",ROUND(G112*$C$12,2))</f>
        <v/>
      </c>
      <c r="F113" s="29" t="str">
        <f aca="false">IF(B113="","",D113-E113)</f>
        <v/>
      </c>
      <c r="G113" s="29" t="n">
        <f aca="false">IF(B113="",0,ROUND(G112-F113,2))</f>
        <v>0</v>
      </c>
    </row>
    <row r="114" customFormat="false" ht="15" hidden="false" customHeight="false" outlineLevel="0" collapsed="false">
      <c r="B114" s="30" t="str">
        <f aca="false">IF(OR(92&gt;$C$6,G113&lt;=0.005),"",92)</f>
        <v/>
      </c>
      <c r="C114" s="31" t="str">
        <f aca="false">IF(B114="","",EDATE($C$7,91))</f>
        <v/>
      </c>
      <c r="D114" s="32" t="str">
        <f aca="false">IF(B114="","",MIN(G113+E114,$C$13+IF(92=$C$9,$C$10,0)))</f>
        <v/>
      </c>
      <c r="E114" s="32" t="str">
        <f aca="false">IF(B114="","",ROUND(G113*$C$12,2))</f>
        <v/>
      </c>
      <c r="F114" s="32" t="str">
        <f aca="false">IF(B114="","",D114-E114)</f>
        <v/>
      </c>
      <c r="G114" s="32" t="n">
        <f aca="false">IF(B114="",0,ROUND(G113-F114,2))</f>
        <v>0</v>
      </c>
    </row>
    <row r="115" customFormat="false" ht="15" hidden="false" customHeight="false" outlineLevel="0" collapsed="false">
      <c r="B115" s="27" t="str">
        <f aca="false">IF(OR(93&gt;$C$6,G114&lt;=0.005),"",93)</f>
        <v/>
      </c>
      <c r="C115" s="28" t="str">
        <f aca="false">IF(B115="","",EDATE($C$7,92))</f>
        <v/>
      </c>
      <c r="D115" s="29" t="str">
        <f aca="false">IF(B115="","",MIN(G114+E115,$C$13+IF(93=$C$9,$C$10,0)))</f>
        <v/>
      </c>
      <c r="E115" s="29" t="str">
        <f aca="false">IF(B115="","",ROUND(G114*$C$12,2))</f>
        <v/>
      </c>
      <c r="F115" s="29" t="str">
        <f aca="false">IF(B115="","",D115-E115)</f>
        <v/>
      </c>
      <c r="G115" s="29" t="n">
        <f aca="false">IF(B115="",0,ROUND(G114-F115,2))</f>
        <v>0</v>
      </c>
    </row>
    <row r="116" customFormat="false" ht="15" hidden="false" customHeight="false" outlineLevel="0" collapsed="false">
      <c r="B116" s="30" t="str">
        <f aca="false">IF(OR(94&gt;$C$6,G115&lt;=0.005),"",94)</f>
        <v/>
      </c>
      <c r="C116" s="31" t="str">
        <f aca="false">IF(B116="","",EDATE($C$7,93))</f>
        <v/>
      </c>
      <c r="D116" s="32" t="str">
        <f aca="false">IF(B116="","",MIN(G115+E116,$C$13+IF(94=$C$9,$C$10,0)))</f>
        <v/>
      </c>
      <c r="E116" s="32" t="str">
        <f aca="false">IF(B116="","",ROUND(G115*$C$12,2))</f>
        <v/>
      </c>
      <c r="F116" s="32" t="str">
        <f aca="false">IF(B116="","",D116-E116)</f>
        <v/>
      </c>
      <c r="G116" s="32" t="n">
        <f aca="false">IF(B116="",0,ROUND(G115-F116,2))</f>
        <v>0</v>
      </c>
    </row>
    <row r="117" customFormat="false" ht="15" hidden="false" customHeight="false" outlineLevel="0" collapsed="false">
      <c r="B117" s="27" t="str">
        <f aca="false">IF(OR(95&gt;$C$6,G116&lt;=0.005),"",95)</f>
        <v/>
      </c>
      <c r="C117" s="28" t="str">
        <f aca="false">IF(B117="","",EDATE($C$7,94))</f>
        <v/>
      </c>
      <c r="D117" s="29" t="str">
        <f aca="false">IF(B117="","",MIN(G116+E117,$C$13+IF(95=$C$9,$C$10,0)))</f>
        <v/>
      </c>
      <c r="E117" s="29" t="str">
        <f aca="false">IF(B117="","",ROUND(G116*$C$12,2))</f>
        <v/>
      </c>
      <c r="F117" s="29" t="str">
        <f aca="false">IF(B117="","",D117-E117)</f>
        <v/>
      </c>
      <c r="G117" s="29" t="n">
        <f aca="false">IF(B117="",0,ROUND(G116-F117,2))</f>
        <v>0</v>
      </c>
    </row>
    <row r="118" customFormat="false" ht="15" hidden="false" customHeight="false" outlineLevel="0" collapsed="false">
      <c r="B118" s="30" t="str">
        <f aca="false">IF(OR(96&gt;$C$6,G117&lt;=0.005),"",96)</f>
        <v/>
      </c>
      <c r="C118" s="31" t="str">
        <f aca="false">IF(B118="","",EDATE($C$7,95))</f>
        <v/>
      </c>
      <c r="D118" s="32" t="str">
        <f aca="false">IF(B118="","",MIN(G117+E118,$C$13+IF(96=$C$9,$C$10,0)))</f>
        <v/>
      </c>
      <c r="E118" s="32" t="str">
        <f aca="false">IF(B118="","",ROUND(G117*$C$12,2))</f>
        <v/>
      </c>
      <c r="F118" s="32" t="str">
        <f aca="false">IF(B118="","",D118-E118)</f>
        <v/>
      </c>
      <c r="G118" s="32" t="n">
        <f aca="false">IF(B118="",0,ROUND(G117-F118,2))</f>
        <v>0</v>
      </c>
    </row>
    <row r="119" customFormat="false" ht="15" hidden="false" customHeight="false" outlineLevel="0" collapsed="false">
      <c r="B119" s="27" t="str">
        <f aca="false">IF(OR(97&gt;$C$6,G118&lt;=0.005),"",97)</f>
        <v/>
      </c>
      <c r="C119" s="28" t="str">
        <f aca="false">IF(B119="","",EDATE($C$7,96))</f>
        <v/>
      </c>
      <c r="D119" s="29" t="str">
        <f aca="false">IF(B119="","",MIN(G118+E119,$C$13+IF(97=$C$9,$C$10,0)))</f>
        <v/>
      </c>
      <c r="E119" s="29" t="str">
        <f aca="false">IF(B119="","",ROUND(G118*$C$12,2))</f>
        <v/>
      </c>
      <c r="F119" s="29" t="str">
        <f aca="false">IF(B119="","",D119-E119)</f>
        <v/>
      </c>
      <c r="G119" s="29" t="n">
        <f aca="false">IF(B119="",0,ROUND(G118-F119,2))</f>
        <v>0</v>
      </c>
    </row>
    <row r="120" customFormat="false" ht="15" hidden="false" customHeight="false" outlineLevel="0" collapsed="false">
      <c r="B120" s="30" t="str">
        <f aca="false">IF(OR(98&gt;$C$6,G119&lt;=0.005),"",98)</f>
        <v/>
      </c>
      <c r="C120" s="31" t="str">
        <f aca="false">IF(B120="","",EDATE($C$7,97))</f>
        <v/>
      </c>
      <c r="D120" s="32" t="str">
        <f aca="false">IF(B120="","",MIN(G119+E120,$C$13+IF(98=$C$9,$C$10,0)))</f>
        <v/>
      </c>
      <c r="E120" s="32" t="str">
        <f aca="false">IF(B120="","",ROUND(G119*$C$12,2))</f>
        <v/>
      </c>
      <c r="F120" s="32" t="str">
        <f aca="false">IF(B120="","",D120-E120)</f>
        <v/>
      </c>
      <c r="G120" s="32" t="n">
        <f aca="false">IF(B120="",0,ROUND(G119-F120,2))</f>
        <v>0</v>
      </c>
    </row>
    <row r="121" customFormat="false" ht="15" hidden="false" customHeight="false" outlineLevel="0" collapsed="false">
      <c r="B121" s="27" t="str">
        <f aca="false">IF(OR(99&gt;$C$6,G120&lt;=0.005),"",99)</f>
        <v/>
      </c>
      <c r="C121" s="28" t="str">
        <f aca="false">IF(B121="","",EDATE($C$7,98))</f>
        <v/>
      </c>
      <c r="D121" s="29" t="str">
        <f aca="false">IF(B121="","",MIN(G120+E121,$C$13+IF(99=$C$9,$C$10,0)))</f>
        <v/>
      </c>
      <c r="E121" s="29" t="str">
        <f aca="false">IF(B121="","",ROUND(G120*$C$12,2))</f>
        <v/>
      </c>
      <c r="F121" s="29" t="str">
        <f aca="false">IF(B121="","",D121-E121)</f>
        <v/>
      </c>
      <c r="G121" s="29" t="n">
        <f aca="false">IF(B121="",0,ROUND(G120-F121,2))</f>
        <v>0</v>
      </c>
    </row>
    <row r="122" customFormat="false" ht="15" hidden="false" customHeight="false" outlineLevel="0" collapsed="false">
      <c r="B122" s="30" t="str">
        <f aca="false">IF(OR(100&gt;$C$6,G121&lt;=0.005),"",100)</f>
        <v/>
      </c>
      <c r="C122" s="31" t="str">
        <f aca="false">IF(B122="","",EDATE($C$7,99))</f>
        <v/>
      </c>
      <c r="D122" s="32" t="str">
        <f aca="false">IF(B122="","",MIN(G121+E122,$C$13+IF(100=$C$9,$C$10,0)))</f>
        <v/>
      </c>
      <c r="E122" s="32" t="str">
        <f aca="false">IF(B122="","",ROUND(G121*$C$12,2))</f>
        <v/>
      </c>
      <c r="F122" s="32" t="str">
        <f aca="false">IF(B122="","",D122-E122)</f>
        <v/>
      </c>
      <c r="G122" s="32" t="n">
        <f aca="false">IF(B122="",0,ROUND(G121-F122,2))</f>
        <v>0</v>
      </c>
    </row>
    <row r="123" customFormat="false" ht="15" hidden="false" customHeight="false" outlineLevel="0" collapsed="false">
      <c r="B123" s="27" t="str">
        <f aca="false">IF(OR(101&gt;$C$6,G122&lt;=0.005),"",101)</f>
        <v/>
      </c>
      <c r="C123" s="28" t="str">
        <f aca="false">IF(B123="","",EDATE($C$7,100))</f>
        <v/>
      </c>
      <c r="D123" s="29" t="str">
        <f aca="false">IF(B123="","",MIN(G122+E123,$C$13+IF(101=$C$9,$C$10,0)))</f>
        <v/>
      </c>
      <c r="E123" s="29" t="str">
        <f aca="false">IF(B123="","",ROUND(G122*$C$12,2))</f>
        <v/>
      </c>
      <c r="F123" s="29" t="str">
        <f aca="false">IF(B123="","",D123-E123)</f>
        <v/>
      </c>
      <c r="G123" s="29" t="n">
        <f aca="false">IF(B123="",0,ROUND(G122-F123,2))</f>
        <v>0</v>
      </c>
    </row>
    <row r="124" customFormat="false" ht="15" hidden="false" customHeight="false" outlineLevel="0" collapsed="false">
      <c r="B124" s="30" t="str">
        <f aca="false">IF(OR(102&gt;$C$6,G123&lt;=0.005),"",102)</f>
        <v/>
      </c>
      <c r="C124" s="31" t="str">
        <f aca="false">IF(B124="","",EDATE($C$7,101))</f>
        <v/>
      </c>
      <c r="D124" s="32" t="str">
        <f aca="false">IF(B124="","",MIN(G123+E124,$C$13+IF(102=$C$9,$C$10,0)))</f>
        <v/>
      </c>
      <c r="E124" s="32" t="str">
        <f aca="false">IF(B124="","",ROUND(G123*$C$12,2))</f>
        <v/>
      </c>
      <c r="F124" s="32" t="str">
        <f aca="false">IF(B124="","",D124-E124)</f>
        <v/>
      </c>
      <c r="G124" s="32" t="n">
        <f aca="false">IF(B124="",0,ROUND(G123-F124,2))</f>
        <v>0</v>
      </c>
    </row>
    <row r="125" customFormat="false" ht="15" hidden="false" customHeight="false" outlineLevel="0" collapsed="false">
      <c r="B125" s="27" t="str">
        <f aca="false">IF(OR(103&gt;$C$6,G124&lt;=0.005),"",103)</f>
        <v/>
      </c>
      <c r="C125" s="28" t="str">
        <f aca="false">IF(B125="","",EDATE($C$7,102))</f>
        <v/>
      </c>
      <c r="D125" s="29" t="str">
        <f aca="false">IF(B125="","",MIN(G124+E125,$C$13+IF(103=$C$9,$C$10,0)))</f>
        <v/>
      </c>
      <c r="E125" s="29" t="str">
        <f aca="false">IF(B125="","",ROUND(G124*$C$12,2))</f>
        <v/>
      </c>
      <c r="F125" s="29" t="str">
        <f aca="false">IF(B125="","",D125-E125)</f>
        <v/>
      </c>
      <c r="G125" s="29" t="n">
        <f aca="false">IF(B125="",0,ROUND(G124-F125,2))</f>
        <v>0</v>
      </c>
    </row>
    <row r="126" customFormat="false" ht="15" hidden="false" customHeight="false" outlineLevel="0" collapsed="false">
      <c r="B126" s="30" t="str">
        <f aca="false">IF(OR(104&gt;$C$6,G125&lt;=0.005),"",104)</f>
        <v/>
      </c>
      <c r="C126" s="31" t="str">
        <f aca="false">IF(B126="","",EDATE($C$7,103))</f>
        <v/>
      </c>
      <c r="D126" s="32" t="str">
        <f aca="false">IF(B126="","",MIN(G125+E126,$C$13+IF(104=$C$9,$C$10,0)))</f>
        <v/>
      </c>
      <c r="E126" s="32" t="str">
        <f aca="false">IF(B126="","",ROUND(G125*$C$12,2))</f>
        <v/>
      </c>
      <c r="F126" s="32" t="str">
        <f aca="false">IF(B126="","",D126-E126)</f>
        <v/>
      </c>
      <c r="G126" s="32" t="n">
        <f aca="false">IF(B126="",0,ROUND(G125-F126,2))</f>
        <v>0</v>
      </c>
    </row>
    <row r="127" customFormat="false" ht="15" hidden="false" customHeight="false" outlineLevel="0" collapsed="false">
      <c r="B127" s="27" t="str">
        <f aca="false">IF(OR(105&gt;$C$6,G126&lt;=0.005),"",105)</f>
        <v/>
      </c>
      <c r="C127" s="28" t="str">
        <f aca="false">IF(B127="","",EDATE($C$7,104))</f>
        <v/>
      </c>
      <c r="D127" s="29" t="str">
        <f aca="false">IF(B127="","",MIN(G126+E127,$C$13+IF(105=$C$9,$C$10,0)))</f>
        <v/>
      </c>
      <c r="E127" s="29" t="str">
        <f aca="false">IF(B127="","",ROUND(G126*$C$12,2))</f>
        <v/>
      </c>
      <c r="F127" s="29" t="str">
        <f aca="false">IF(B127="","",D127-E127)</f>
        <v/>
      </c>
      <c r="G127" s="29" t="n">
        <f aca="false">IF(B127="",0,ROUND(G126-F127,2))</f>
        <v>0</v>
      </c>
    </row>
    <row r="128" customFormat="false" ht="15" hidden="false" customHeight="false" outlineLevel="0" collapsed="false">
      <c r="B128" s="30" t="str">
        <f aca="false">IF(OR(106&gt;$C$6,G127&lt;=0.005),"",106)</f>
        <v/>
      </c>
      <c r="C128" s="31" t="str">
        <f aca="false">IF(B128="","",EDATE($C$7,105))</f>
        <v/>
      </c>
      <c r="D128" s="32" t="str">
        <f aca="false">IF(B128="","",MIN(G127+E128,$C$13+IF(106=$C$9,$C$10,0)))</f>
        <v/>
      </c>
      <c r="E128" s="32" t="str">
        <f aca="false">IF(B128="","",ROUND(G127*$C$12,2))</f>
        <v/>
      </c>
      <c r="F128" s="32" t="str">
        <f aca="false">IF(B128="","",D128-E128)</f>
        <v/>
      </c>
      <c r="G128" s="32" t="n">
        <f aca="false">IF(B128="",0,ROUND(G127-F128,2))</f>
        <v>0</v>
      </c>
    </row>
    <row r="129" customFormat="false" ht="15" hidden="false" customHeight="false" outlineLevel="0" collapsed="false">
      <c r="B129" s="27" t="str">
        <f aca="false">IF(OR(107&gt;$C$6,G128&lt;=0.005),"",107)</f>
        <v/>
      </c>
      <c r="C129" s="28" t="str">
        <f aca="false">IF(B129="","",EDATE($C$7,106))</f>
        <v/>
      </c>
      <c r="D129" s="29" t="str">
        <f aca="false">IF(B129="","",MIN(G128+E129,$C$13+IF(107=$C$9,$C$10,0)))</f>
        <v/>
      </c>
      <c r="E129" s="29" t="str">
        <f aca="false">IF(B129="","",ROUND(G128*$C$12,2))</f>
        <v/>
      </c>
      <c r="F129" s="29" t="str">
        <f aca="false">IF(B129="","",D129-E129)</f>
        <v/>
      </c>
      <c r="G129" s="29" t="n">
        <f aca="false">IF(B129="",0,ROUND(G128-F129,2))</f>
        <v>0</v>
      </c>
    </row>
    <row r="130" customFormat="false" ht="15" hidden="false" customHeight="false" outlineLevel="0" collapsed="false">
      <c r="B130" s="30" t="str">
        <f aca="false">IF(OR(108&gt;$C$6,G129&lt;=0.005),"",108)</f>
        <v/>
      </c>
      <c r="C130" s="31" t="str">
        <f aca="false">IF(B130="","",EDATE($C$7,107))</f>
        <v/>
      </c>
      <c r="D130" s="32" t="str">
        <f aca="false">IF(B130="","",MIN(G129+E130,$C$13+IF(108=$C$9,$C$10,0)))</f>
        <v/>
      </c>
      <c r="E130" s="32" t="str">
        <f aca="false">IF(B130="","",ROUND(G129*$C$12,2))</f>
        <v/>
      </c>
      <c r="F130" s="32" t="str">
        <f aca="false">IF(B130="","",D130-E130)</f>
        <v/>
      </c>
      <c r="G130" s="32" t="n">
        <f aca="false">IF(B130="",0,ROUND(G129-F130,2))</f>
        <v>0</v>
      </c>
    </row>
    <row r="131" customFormat="false" ht="15" hidden="false" customHeight="false" outlineLevel="0" collapsed="false">
      <c r="B131" s="27" t="str">
        <f aca="false">IF(OR(109&gt;$C$6,G130&lt;=0.005),"",109)</f>
        <v/>
      </c>
      <c r="C131" s="28" t="str">
        <f aca="false">IF(B131="","",EDATE($C$7,108))</f>
        <v/>
      </c>
      <c r="D131" s="29" t="str">
        <f aca="false">IF(B131="","",MIN(G130+E131,$C$13+IF(109=$C$9,$C$10,0)))</f>
        <v/>
      </c>
      <c r="E131" s="29" t="str">
        <f aca="false">IF(B131="","",ROUND(G130*$C$12,2))</f>
        <v/>
      </c>
      <c r="F131" s="29" t="str">
        <f aca="false">IF(B131="","",D131-E131)</f>
        <v/>
      </c>
      <c r="G131" s="29" t="n">
        <f aca="false">IF(B131="",0,ROUND(G130-F131,2))</f>
        <v>0</v>
      </c>
    </row>
    <row r="132" customFormat="false" ht="15" hidden="false" customHeight="false" outlineLevel="0" collapsed="false">
      <c r="B132" s="30" t="str">
        <f aca="false">IF(OR(110&gt;$C$6,G131&lt;=0.005),"",110)</f>
        <v/>
      </c>
      <c r="C132" s="31" t="str">
        <f aca="false">IF(B132="","",EDATE($C$7,109))</f>
        <v/>
      </c>
      <c r="D132" s="32" t="str">
        <f aca="false">IF(B132="","",MIN(G131+E132,$C$13+IF(110=$C$9,$C$10,0)))</f>
        <v/>
      </c>
      <c r="E132" s="32" t="str">
        <f aca="false">IF(B132="","",ROUND(G131*$C$12,2))</f>
        <v/>
      </c>
      <c r="F132" s="32" t="str">
        <f aca="false">IF(B132="","",D132-E132)</f>
        <v/>
      </c>
      <c r="G132" s="32" t="n">
        <f aca="false">IF(B132="",0,ROUND(G131-F132,2))</f>
        <v>0</v>
      </c>
    </row>
    <row r="133" customFormat="false" ht="15" hidden="false" customHeight="false" outlineLevel="0" collapsed="false">
      <c r="B133" s="27" t="str">
        <f aca="false">IF(OR(111&gt;$C$6,G132&lt;=0.005),"",111)</f>
        <v/>
      </c>
      <c r="C133" s="28" t="str">
        <f aca="false">IF(B133="","",EDATE($C$7,110))</f>
        <v/>
      </c>
      <c r="D133" s="29" t="str">
        <f aca="false">IF(B133="","",MIN(G132+E133,$C$13+IF(111=$C$9,$C$10,0)))</f>
        <v/>
      </c>
      <c r="E133" s="29" t="str">
        <f aca="false">IF(B133="","",ROUND(G132*$C$12,2))</f>
        <v/>
      </c>
      <c r="F133" s="29" t="str">
        <f aca="false">IF(B133="","",D133-E133)</f>
        <v/>
      </c>
      <c r="G133" s="29" t="n">
        <f aca="false">IF(B133="",0,ROUND(G132-F133,2))</f>
        <v>0</v>
      </c>
    </row>
    <row r="134" customFormat="false" ht="15" hidden="false" customHeight="false" outlineLevel="0" collapsed="false">
      <c r="B134" s="30" t="str">
        <f aca="false">IF(OR(112&gt;$C$6,G133&lt;=0.005),"",112)</f>
        <v/>
      </c>
      <c r="C134" s="31" t="str">
        <f aca="false">IF(B134="","",EDATE($C$7,111))</f>
        <v/>
      </c>
      <c r="D134" s="32" t="str">
        <f aca="false">IF(B134="","",MIN(G133+E134,$C$13+IF(112=$C$9,$C$10,0)))</f>
        <v/>
      </c>
      <c r="E134" s="32" t="str">
        <f aca="false">IF(B134="","",ROUND(G133*$C$12,2))</f>
        <v/>
      </c>
      <c r="F134" s="32" t="str">
        <f aca="false">IF(B134="","",D134-E134)</f>
        <v/>
      </c>
      <c r="G134" s="32" t="n">
        <f aca="false">IF(B134="",0,ROUND(G133-F134,2))</f>
        <v>0</v>
      </c>
    </row>
    <row r="135" customFormat="false" ht="15" hidden="false" customHeight="false" outlineLevel="0" collapsed="false">
      <c r="B135" s="27" t="str">
        <f aca="false">IF(OR(113&gt;$C$6,G134&lt;=0.005),"",113)</f>
        <v/>
      </c>
      <c r="C135" s="28" t="str">
        <f aca="false">IF(B135="","",EDATE($C$7,112))</f>
        <v/>
      </c>
      <c r="D135" s="29" t="str">
        <f aca="false">IF(B135="","",MIN(G134+E135,$C$13+IF(113=$C$9,$C$10,0)))</f>
        <v/>
      </c>
      <c r="E135" s="29" t="str">
        <f aca="false">IF(B135="","",ROUND(G134*$C$12,2))</f>
        <v/>
      </c>
      <c r="F135" s="29" t="str">
        <f aca="false">IF(B135="","",D135-E135)</f>
        <v/>
      </c>
      <c r="G135" s="29" t="n">
        <f aca="false">IF(B135="",0,ROUND(G134-F135,2))</f>
        <v>0</v>
      </c>
    </row>
    <row r="136" customFormat="false" ht="15" hidden="false" customHeight="false" outlineLevel="0" collapsed="false">
      <c r="B136" s="30" t="str">
        <f aca="false">IF(OR(114&gt;$C$6,G135&lt;=0.005),"",114)</f>
        <v/>
      </c>
      <c r="C136" s="31" t="str">
        <f aca="false">IF(B136="","",EDATE($C$7,113))</f>
        <v/>
      </c>
      <c r="D136" s="32" t="str">
        <f aca="false">IF(B136="","",MIN(G135+E136,$C$13+IF(114=$C$9,$C$10,0)))</f>
        <v/>
      </c>
      <c r="E136" s="32" t="str">
        <f aca="false">IF(B136="","",ROUND(G135*$C$12,2))</f>
        <v/>
      </c>
      <c r="F136" s="32" t="str">
        <f aca="false">IF(B136="","",D136-E136)</f>
        <v/>
      </c>
      <c r="G136" s="32" t="n">
        <f aca="false">IF(B136="",0,ROUND(G135-F136,2))</f>
        <v>0</v>
      </c>
    </row>
    <row r="137" customFormat="false" ht="15" hidden="false" customHeight="false" outlineLevel="0" collapsed="false">
      <c r="B137" s="27" t="str">
        <f aca="false">IF(OR(115&gt;$C$6,G136&lt;=0.005),"",115)</f>
        <v/>
      </c>
      <c r="C137" s="28" t="str">
        <f aca="false">IF(B137="","",EDATE($C$7,114))</f>
        <v/>
      </c>
      <c r="D137" s="29" t="str">
        <f aca="false">IF(B137="","",MIN(G136+E137,$C$13+IF(115=$C$9,$C$10,0)))</f>
        <v/>
      </c>
      <c r="E137" s="29" t="str">
        <f aca="false">IF(B137="","",ROUND(G136*$C$12,2))</f>
        <v/>
      </c>
      <c r="F137" s="29" t="str">
        <f aca="false">IF(B137="","",D137-E137)</f>
        <v/>
      </c>
      <c r="G137" s="29" t="n">
        <f aca="false">IF(B137="",0,ROUND(G136-F137,2))</f>
        <v>0</v>
      </c>
    </row>
    <row r="138" customFormat="false" ht="15" hidden="false" customHeight="false" outlineLevel="0" collapsed="false">
      <c r="B138" s="30" t="str">
        <f aca="false">IF(OR(116&gt;$C$6,G137&lt;=0.005),"",116)</f>
        <v/>
      </c>
      <c r="C138" s="31" t="str">
        <f aca="false">IF(B138="","",EDATE($C$7,115))</f>
        <v/>
      </c>
      <c r="D138" s="32" t="str">
        <f aca="false">IF(B138="","",MIN(G137+E138,$C$13+IF(116=$C$9,$C$10,0)))</f>
        <v/>
      </c>
      <c r="E138" s="32" t="str">
        <f aca="false">IF(B138="","",ROUND(G137*$C$12,2))</f>
        <v/>
      </c>
      <c r="F138" s="32" t="str">
        <f aca="false">IF(B138="","",D138-E138)</f>
        <v/>
      </c>
      <c r="G138" s="32" t="n">
        <f aca="false">IF(B138="",0,ROUND(G137-F138,2))</f>
        <v>0</v>
      </c>
    </row>
    <row r="139" customFormat="false" ht="15" hidden="false" customHeight="false" outlineLevel="0" collapsed="false">
      <c r="B139" s="27" t="str">
        <f aca="false">IF(OR(117&gt;$C$6,G138&lt;=0.005),"",117)</f>
        <v/>
      </c>
      <c r="C139" s="28" t="str">
        <f aca="false">IF(B139="","",EDATE($C$7,116))</f>
        <v/>
      </c>
      <c r="D139" s="29" t="str">
        <f aca="false">IF(B139="","",MIN(G138+E139,$C$13+IF(117=$C$9,$C$10,0)))</f>
        <v/>
      </c>
      <c r="E139" s="29" t="str">
        <f aca="false">IF(B139="","",ROUND(G138*$C$12,2))</f>
        <v/>
      </c>
      <c r="F139" s="29" t="str">
        <f aca="false">IF(B139="","",D139-E139)</f>
        <v/>
      </c>
      <c r="G139" s="29" t="n">
        <f aca="false">IF(B139="",0,ROUND(G138-F139,2))</f>
        <v>0</v>
      </c>
    </row>
    <row r="140" customFormat="false" ht="15" hidden="false" customHeight="false" outlineLevel="0" collapsed="false">
      <c r="B140" s="30" t="str">
        <f aca="false">IF(OR(118&gt;$C$6,G139&lt;=0.005),"",118)</f>
        <v/>
      </c>
      <c r="C140" s="31" t="str">
        <f aca="false">IF(B140="","",EDATE($C$7,117))</f>
        <v/>
      </c>
      <c r="D140" s="32" t="str">
        <f aca="false">IF(B140="","",MIN(G139+E140,$C$13+IF(118=$C$9,$C$10,0)))</f>
        <v/>
      </c>
      <c r="E140" s="32" t="str">
        <f aca="false">IF(B140="","",ROUND(G139*$C$12,2))</f>
        <v/>
      </c>
      <c r="F140" s="32" t="str">
        <f aca="false">IF(B140="","",D140-E140)</f>
        <v/>
      </c>
      <c r="G140" s="32" t="n">
        <f aca="false">IF(B140="",0,ROUND(G139-F140,2))</f>
        <v>0</v>
      </c>
    </row>
    <row r="141" customFormat="false" ht="15" hidden="false" customHeight="false" outlineLevel="0" collapsed="false">
      <c r="B141" s="27" t="str">
        <f aca="false">IF(OR(119&gt;$C$6,G140&lt;=0.005),"",119)</f>
        <v/>
      </c>
      <c r="C141" s="28" t="str">
        <f aca="false">IF(B141="","",EDATE($C$7,118))</f>
        <v/>
      </c>
      <c r="D141" s="29" t="str">
        <f aca="false">IF(B141="","",MIN(G140+E141,$C$13+IF(119=$C$9,$C$10,0)))</f>
        <v/>
      </c>
      <c r="E141" s="29" t="str">
        <f aca="false">IF(B141="","",ROUND(G140*$C$12,2))</f>
        <v/>
      </c>
      <c r="F141" s="29" t="str">
        <f aca="false">IF(B141="","",D141-E141)</f>
        <v/>
      </c>
      <c r="G141" s="29" t="n">
        <f aca="false">IF(B141="",0,ROUND(G140-F141,2))</f>
        <v>0</v>
      </c>
    </row>
    <row r="142" customFormat="false" ht="15" hidden="false" customHeight="false" outlineLevel="0" collapsed="false">
      <c r="B142" s="30" t="str">
        <f aca="false">IF(OR(120&gt;$C$6,G141&lt;=0.005),"",120)</f>
        <v/>
      </c>
      <c r="C142" s="31" t="str">
        <f aca="false">IF(B142="","",EDATE($C$7,119))</f>
        <v/>
      </c>
      <c r="D142" s="32" t="str">
        <f aca="false">IF(B142="","",MIN(G141+E142,$C$13+IF(120=$C$9,$C$10,0)))</f>
        <v/>
      </c>
      <c r="E142" s="32" t="str">
        <f aca="false">IF(B142="","",ROUND(G141*$C$12,2))</f>
        <v/>
      </c>
      <c r="F142" s="32" t="str">
        <f aca="false">IF(B142="","",D142-E142)</f>
        <v/>
      </c>
      <c r="G142" s="32" t="n">
        <f aca="false">IF(B142="",0,ROUND(G141-F142,2))</f>
        <v>0</v>
      </c>
    </row>
  </sheetData>
  <dataValidations count="5">
    <dataValidation allowBlank="true" error="Sıfırdan büyük bir sayı gir." errorStyle="stop" errorTitle="Kontrol" operator="greaterThan" showDropDown="false" showErrorMessage="true" showInputMessage="false" sqref="C3" type="decimal">
      <formula1>0</formula1>
      <formula2>0</formula2>
    </dataValidation>
    <dataValidation allowBlank="true" error="0 ile 1 arasında bir oran gir (örnek: yüzde 20 için 0,2)." errorStyle="stop" errorTitle="Kontrol" operator="between" showDropDown="false" showErrorMessage="true" showInputMessage="false" sqref="C4:C5" type="decimal">
      <formula1>0</formula1>
      <formula2>1</formula2>
    </dataValidation>
    <dataValidation allowBlank="true" error="1 ile 120 arasında bir tam sayı gir." errorStyle="stop" errorTitle="Kontrol" operator="between" showDropDown="false" showErrorMessage="true" showInputMessage="false" sqref="C6" type="whole">
      <formula1>1</formula1>
      <formula2>120</formula2>
    </dataValidation>
    <dataValidation allowBlank="true" error="Geçerli bir tarih gir (örnek: 05.10.2026)." errorStyle="stop" errorTitle="Kontrol" operator="greaterThan" showDropDown="false" showErrorMessage="true" showInputMessage="false" sqref="C7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8 C1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8" t="s">
        <v>53</v>
      </c>
    </row>
    <row r="2" customFormat="false" ht="15" hidden="false" customHeight="false" outlineLevel="0" collapsed="false">
      <c r="A2" s="9" t="s">
        <v>54</v>
      </c>
    </row>
    <row r="4" customFormat="false" ht="27.75" hidden="false" customHeight="true" outlineLevel="0" collapsed="false">
      <c r="A4" s="33" t="s">
        <v>55</v>
      </c>
      <c r="B4" s="33" t="s">
        <v>56</v>
      </c>
      <c r="C4" s="33" t="s">
        <v>57</v>
      </c>
      <c r="D4" s="33" t="s">
        <v>32</v>
      </c>
      <c r="E4" s="33" t="s">
        <v>58</v>
      </c>
      <c r="F4" s="26" t="s">
        <v>38</v>
      </c>
      <c r="G4" s="26" t="s">
        <v>59</v>
      </c>
      <c r="H4" s="26" t="s">
        <v>60</v>
      </c>
      <c r="I4" s="26" t="s">
        <v>61</v>
      </c>
    </row>
    <row r="5" customFormat="false" ht="15" hidden="false" customHeight="false" outlineLevel="0" collapsed="false">
      <c r="A5" s="34" t="s">
        <v>62</v>
      </c>
      <c r="B5" s="35" t="n">
        <v>200000</v>
      </c>
      <c r="C5" s="36" t="n">
        <v>0.035</v>
      </c>
      <c r="D5" s="37" t="n">
        <v>24</v>
      </c>
      <c r="E5" s="35" t="n">
        <v>2000</v>
      </c>
      <c r="F5" s="29" t="n">
        <f aca="false">IF(OR(A5="",B5="",D5="",D5=0),"",IF(C5*(1+Kredi!$C$5)=0,B5/D5,-PMT(C5*(1+Kredi!$C$5),D5,B5)))</f>
        <v>13866.3389002</v>
      </c>
      <c r="G5" s="29" t="n">
        <f aca="false">IF(F5="","",F5*D5+E5)</f>
        <v>334792.133604799</v>
      </c>
      <c r="H5" s="29" t="n">
        <f aca="false">IF(G5="","",G5-B5)</f>
        <v>134792.133604799</v>
      </c>
      <c r="I5" s="38" t="n">
        <f aca="false">IF(H5="","",RANK(H5,$H$5:$H$14,1))</f>
        <v>3</v>
      </c>
    </row>
    <row r="6" customFormat="false" ht="15" hidden="false" customHeight="false" outlineLevel="0" collapsed="false">
      <c r="A6" s="34" t="s">
        <v>63</v>
      </c>
      <c r="B6" s="35" t="n">
        <v>200000</v>
      </c>
      <c r="C6" s="36" t="n">
        <v>0.033</v>
      </c>
      <c r="D6" s="37" t="n">
        <v>24</v>
      </c>
      <c r="E6" s="35" t="n">
        <v>6000</v>
      </c>
      <c r="F6" s="29" t="n">
        <f aca="false">IF(OR(A6="",B6="",D6="",D6=0),"",IF(C6*(1+Kredi!$C$5)=0,B6/D6,-PMT(C6*(1+Kredi!$C$5),D6,B6)))</f>
        <v>13509.721362862</v>
      </c>
      <c r="G6" s="29" t="n">
        <f aca="false">IF(F6="","",F6*D6+E6)</f>
        <v>330233.312708689</v>
      </c>
      <c r="H6" s="29" t="n">
        <f aca="false">IF(G6="","",G6-B6)</f>
        <v>130233.312708689</v>
      </c>
      <c r="I6" s="38" t="n">
        <f aca="false">IF(H6="","",RANK(H6,$H$5:$H$14,1))</f>
        <v>2</v>
      </c>
    </row>
    <row r="7" customFormat="false" ht="15" hidden="false" customHeight="false" outlineLevel="0" collapsed="false">
      <c r="A7" s="34" t="s">
        <v>64</v>
      </c>
      <c r="B7" s="35" t="n">
        <v>200000</v>
      </c>
      <c r="C7" s="36" t="n">
        <v>0.036</v>
      </c>
      <c r="D7" s="37" t="n">
        <v>18</v>
      </c>
      <c r="E7" s="35" t="n">
        <v>0</v>
      </c>
      <c r="F7" s="29" t="n">
        <f aca="false">IF(OR(A7="",B7="",D7="",D7=0),"",IF(C7*(1+Kredi!$C$5)=0,B7/D7,-PMT(C7*(1+Kredi!$C$5),D7,B7)))</f>
        <v>16684.1501253359</v>
      </c>
      <c r="G7" s="29" t="n">
        <f aca="false">IF(F7="","",F7*D7+E7)</f>
        <v>300314.702256046</v>
      </c>
      <c r="H7" s="29" t="n">
        <f aca="false">IF(G7="","",G7-B7)</f>
        <v>100314.702256046</v>
      </c>
      <c r="I7" s="38" t="n">
        <f aca="false">IF(H7="","",RANK(H7,$H$5:$H$14,1))</f>
        <v>1</v>
      </c>
    </row>
    <row r="8" customFormat="false" ht="15" hidden="false" customHeight="false" outlineLevel="0" collapsed="false">
      <c r="A8" s="34"/>
      <c r="B8" s="35"/>
      <c r="C8" s="36"/>
      <c r="D8" s="37"/>
      <c r="E8" s="35"/>
      <c r="F8" s="29" t="str">
        <f aca="false">IF(OR(A8="",B8="",D8="",D8=0),"",IF(C8*(1+Kredi!$C$5)=0,B8/D8,-PMT(C8*(1+Kredi!$C$5),D8,B8)))</f>
        <v/>
      </c>
      <c r="G8" s="29" t="str">
        <f aca="false">IF(F8="","",F8*D8+E8)</f>
        <v/>
      </c>
      <c r="H8" s="29" t="str">
        <f aca="false">IF(G8="","",G8-B8)</f>
        <v/>
      </c>
      <c r="I8" s="38" t="str">
        <f aca="false">IF(H8="","",RANK(H8,$H$5:$H$14,1))</f>
        <v/>
      </c>
    </row>
    <row r="9" customFormat="false" ht="15" hidden="false" customHeight="false" outlineLevel="0" collapsed="false">
      <c r="A9" s="34"/>
      <c r="B9" s="35"/>
      <c r="C9" s="36"/>
      <c r="D9" s="37"/>
      <c r="E9" s="35"/>
      <c r="F9" s="29" t="str">
        <f aca="false">IF(OR(A9="",B9="",D9="",D9=0),"",IF(C9*(1+Kredi!$C$5)=0,B9/D9,-PMT(C9*(1+Kredi!$C$5),D9,B9)))</f>
        <v/>
      </c>
      <c r="G9" s="29" t="str">
        <f aca="false">IF(F9="","",F9*D9+E9)</f>
        <v/>
      </c>
      <c r="H9" s="29" t="str">
        <f aca="false">IF(G9="","",G9-B9)</f>
        <v/>
      </c>
      <c r="I9" s="38" t="str">
        <f aca="false">IF(H9="","",RANK(H9,$H$5:$H$14,1))</f>
        <v/>
      </c>
    </row>
    <row r="10" customFormat="false" ht="15" hidden="false" customHeight="false" outlineLevel="0" collapsed="false">
      <c r="A10" s="34"/>
      <c r="B10" s="35"/>
      <c r="C10" s="36"/>
      <c r="D10" s="37"/>
      <c r="E10" s="35"/>
      <c r="F10" s="29" t="str">
        <f aca="false">IF(OR(A10="",B10="",D10="",D10=0),"",IF(C10*(1+Kredi!$C$5)=0,B10/D10,-PMT(C10*(1+Kredi!$C$5),D10,B10)))</f>
        <v/>
      </c>
      <c r="G10" s="29" t="str">
        <f aca="false">IF(F10="","",F10*D10+E10)</f>
        <v/>
      </c>
      <c r="H10" s="29" t="str">
        <f aca="false">IF(G10="","",G10-B10)</f>
        <v/>
      </c>
      <c r="I10" s="38" t="str">
        <f aca="false">IF(H10="","",RANK(H10,$H$5:$H$14,1))</f>
        <v/>
      </c>
    </row>
    <row r="11" customFormat="false" ht="15" hidden="false" customHeight="false" outlineLevel="0" collapsed="false">
      <c r="A11" s="34"/>
      <c r="B11" s="35"/>
      <c r="C11" s="36"/>
      <c r="D11" s="37"/>
      <c r="E11" s="35"/>
      <c r="F11" s="29" t="str">
        <f aca="false">IF(OR(A11="",B11="",D11="",D11=0),"",IF(C11*(1+Kredi!$C$5)=0,B11/D11,-PMT(C11*(1+Kredi!$C$5),D11,B11)))</f>
        <v/>
      </c>
      <c r="G11" s="29" t="str">
        <f aca="false">IF(F11="","",F11*D11+E11)</f>
        <v/>
      </c>
      <c r="H11" s="29" t="str">
        <f aca="false">IF(G11="","",G11-B11)</f>
        <v/>
      </c>
      <c r="I11" s="38" t="str">
        <f aca="false">IF(H11="","",RANK(H11,$H$5:$H$14,1))</f>
        <v/>
      </c>
    </row>
    <row r="12" customFormat="false" ht="15" hidden="false" customHeight="false" outlineLevel="0" collapsed="false">
      <c r="A12" s="34"/>
      <c r="B12" s="35"/>
      <c r="C12" s="36"/>
      <c r="D12" s="37"/>
      <c r="E12" s="35"/>
      <c r="F12" s="29" t="str">
        <f aca="false">IF(OR(A12="",B12="",D12="",D12=0),"",IF(C12*(1+Kredi!$C$5)=0,B12/D12,-PMT(C12*(1+Kredi!$C$5),D12,B12)))</f>
        <v/>
      </c>
      <c r="G12" s="29" t="str">
        <f aca="false">IF(F12="","",F12*D12+E12)</f>
        <v/>
      </c>
      <c r="H12" s="29" t="str">
        <f aca="false">IF(G12="","",G12-B12)</f>
        <v/>
      </c>
      <c r="I12" s="38" t="str">
        <f aca="false">IF(H12="","",RANK(H12,$H$5:$H$14,1))</f>
        <v/>
      </c>
    </row>
    <row r="13" customFormat="false" ht="15" hidden="false" customHeight="false" outlineLevel="0" collapsed="false">
      <c r="A13" s="34"/>
      <c r="B13" s="35"/>
      <c r="C13" s="36"/>
      <c r="D13" s="37"/>
      <c r="E13" s="35"/>
      <c r="F13" s="29" t="str">
        <f aca="false">IF(OR(A13="",B13="",D13="",D13=0),"",IF(C13*(1+Kredi!$C$5)=0,B13/D13,-PMT(C13*(1+Kredi!$C$5),D13,B13)))</f>
        <v/>
      </c>
      <c r="G13" s="29" t="str">
        <f aca="false">IF(F13="","",F13*D13+E13)</f>
        <v/>
      </c>
      <c r="H13" s="29" t="str">
        <f aca="false">IF(G13="","",G13-B13)</f>
        <v/>
      </c>
      <c r="I13" s="38" t="str">
        <f aca="false">IF(H13="","",RANK(H13,$H$5:$H$14,1))</f>
        <v/>
      </c>
    </row>
    <row r="14" customFormat="false" ht="15" hidden="false" customHeight="false" outlineLevel="0" collapsed="false">
      <c r="A14" s="34"/>
      <c r="B14" s="35"/>
      <c r="C14" s="36"/>
      <c r="D14" s="37"/>
      <c r="E14" s="35"/>
      <c r="F14" s="29" t="str">
        <f aca="false">IF(OR(A14="",B14="",D14="",D14=0),"",IF(C14*(1+Kredi!$C$5)=0,B14/D14,-PMT(C14*(1+Kredi!$C$5),D14,B14)))</f>
        <v/>
      </c>
      <c r="G14" s="29" t="str">
        <f aca="false">IF(F14="","",F14*D14+E14)</f>
        <v/>
      </c>
      <c r="H14" s="29" t="str">
        <f aca="false">IF(G14="","",G14-B14)</f>
        <v/>
      </c>
      <c r="I14" s="38" t="str">
        <f aca="false">IF(H14="","",RANK(H14,$H$5:$H$14,1))</f>
        <v/>
      </c>
    </row>
  </sheetData>
  <conditionalFormatting sqref="I5:I14">
    <cfRule type="expression" priority="2" aboveAverage="0" equalAverage="0" bottom="0" percent="0" rank="0" text="" dxfId="0">
      <formula>I5=1</formula>
    </cfRule>
  </conditionalFormatting>
  <dataValidations count="1">
    <dataValidation allowBlank="true" error="Sıfır ya da daha büyük bir sayı gir." errorStyle="stop" errorTitle="Kontrol" operator="greaterThanOrEqual" showDropDown="false" showErrorMessage="true" showInputMessage="false" sqref="B5:E1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65</v>
      </c>
    </row>
    <row r="2" customFormat="false" ht="30" hidden="false" customHeight="true" outlineLevel="0" collapsed="false">
      <c r="B2" s="39" t="s">
        <v>66</v>
      </c>
      <c r="C2" s="39"/>
    </row>
    <row r="3" customFormat="false" ht="31.5" hidden="false" customHeight="true" outlineLevel="0" collapsed="false">
      <c r="B3" s="40" t="s">
        <v>67</v>
      </c>
      <c r="C3" s="40"/>
    </row>
    <row r="5" customFormat="false" ht="15" hidden="false" customHeight="false" outlineLevel="0" collapsed="false">
      <c r="B5" s="41" t="s">
        <v>68</v>
      </c>
      <c r="C5" s="41" t="s">
        <v>69</v>
      </c>
    </row>
    <row r="6" customFormat="false" ht="31.5" hidden="false" customHeight="true" outlineLevel="0" collapsed="false">
      <c r="B6" s="42" t="s">
        <v>70</v>
      </c>
      <c r="C6" s="43" t="s">
        <v>71</v>
      </c>
    </row>
    <row r="7" customFormat="false" ht="31.5" hidden="false" customHeight="true" outlineLevel="0" collapsed="false">
      <c r="B7" s="44" t="s">
        <v>72</v>
      </c>
      <c r="C7" s="45" t="s">
        <v>73</v>
      </c>
    </row>
    <row r="8" customFormat="false" ht="31.5" hidden="false" customHeight="true" outlineLevel="0" collapsed="false">
      <c r="B8" s="42" t="s">
        <v>74</v>
      </c>
      <c r="C8" s="43" t="s">
        <v>75</v>
      </c>
    </row>
    <row r="9" customFormat="false" ht="31.5" hidden="false" customHeight="true" outlineLevel="0" collapsed="false">
      <c r="B9" s="44" t="s">
        <v>76</v>
      </c>
      <c r="C9" s="45" t="s">
        <v>77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