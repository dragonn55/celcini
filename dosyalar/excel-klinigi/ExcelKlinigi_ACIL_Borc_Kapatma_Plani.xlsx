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Borçlar" sheetId="2" state="visible" r:id="rId4"/>
    <sheet name="Özet" sheetId="3" state="visible" r:id="rId5"/>
    <sheet name="Plan" sheetId="4" state="visible" r:id="rId6"/>
    <sheet name="Yalnız Asgari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<sst xmlns="http://schemas.openxmlformats.org/spreadsheetml/2006/main" count="173" uniqueCount="98">
  <si>
    <t xml:space="preserve">EXCEL KLİNİĞİ</t>
  </si>
  <si>
    <t xml:space="preserve">ACİL  |  Borç kapatma planı</t>
  </si>
  <si>
    <t xml:space="preserve">Borçlarını yaz, her ay ayırabileceğin tutarı gir; hangi borcu önce kapatacağını, ne zaman borçsuz kalacağını ve ne kadar faiz ödeyeceğini gör.</t>
  </si>
  <si>
    <t xml:space="preserve">NASIL KULLANILIR</t>
  </si>
  <si>
    <t xml:space="preserve">1. Borçlar</t>
  </si>
  <si>
    <t xml:space="preserve">Her borcun kalan tutarını, aylık faiz oranını ve asgari aylık ödemesini yaz. Faizsiz borçta oranı 0 gir.</t>
  </si>
  <si>
    <t xml:space="preserve">2. Ödeme gücü</t>
  </si>
  <si>
    <t xml:space="preserve">Asgari ödemelerin üstüne her ay ne kadar ayırabileceğini ve yöntemi (Çığ ya da Kartopu) seç.</t>
  </si>
  <si>
    <t xml:space="preserve">3. Özet</t>
  </si>
  <si>
    <t xml:space="preserve">Ne zaman borçsuz kalacağını, toplam faizi ve yalnız asgari ödeseydin ne olacağını gör.</t>
  </si>
  <si>
    <t xml:space="preserve">4. Borçlar sayfasına dön</t>
  </si>
  <si>
    <t xml:space="preserve">Her borcun öncelik sırası, kapanış ayı ve ödenecek faizi yazılır.</t>
  </si>
  <si>
    <t xml:space="preserve">NASIL HESAPLANIR</t>
  </si>
  <si>
    <t xml:space="preserve">Aylık akış</t>
  </si>
  <si>
    <t xml:space="preserve">Her ay önce bütün borçların faizi işler ve asgari ödemeleri yapılır. Kalan tutar öncelik sırasındaki ilk borca gider; o kapanınca sıradakine geçer. Kapanan borcun asgari ödemesi de sıradaki borca eklenir.</t>
  </si>
  <si>
    <t xml:space="preserve">Faiz oranı</t>
  </si>
  <si>
    <t xml:space="preserve">Aylık oranı vergiler dahil gir. Yıllık oran biliyorsan kabaca 12'ye böl; bankanın kendi hesabı küçük farklarla çıkabilir.</t>
  </si>
  <si>
    <t xml:space="preserve">BİLMEN GEREKENLER</t>
  </si>
  <si>
    <t xml:space="preserve">Banka hesabıyla birebir tutmaz</t>
  </si>
  <si>
    <t xml:space="preserve">Gecikme faizi, dönem içi harcama, vergi ve masraf ayrıntıları hesaba katılmaz. Plan bir yol haritasıdır, ödeme tablosu değildir.</t>
  </si>
  <si>
    <t xml:space="preserve">Yeni borç yok varsayımı</t>
  </si>
  <si>
    <t xml:space="preserve">Plan, kartla yeni harcama yapmadığını ve her ay aynı tutarı ödediğini varsayar.</t>
  </si>
  <si>
    <t xml:space="preserve">Finansal tavsiye değildir</t>
  </si>
  <si>
    <t xml:space="preserve">Yapılandırma, borç birleştirme gibi kararlar için bankanla ya da bir uzmanla görüş.</t>
  </si>
  <si>
    <t xml:space="preserve">Kapasite</t>
  </si>
  <si>
    <t xml:space="preserve">10 borç, 120 ay.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</si>
  <si>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</si>
  <si>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</si>
  <si>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</si>
  <si>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</si>
  <si>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</si>
  <si>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Borçlar</t>
  </si>
  <si>
    <t xml:space="preserve">Her borcun kalan tutarını, aylık faiz oranını ve asgari aylık ödemesini yaz.</t>
  </si>
  <si>
    <t xml:space="preserve">Borç</t>
  </si>
  <si>
    <t xml:space="preserve">Kalan borç (₺)</t>
  </si>
  <si>
    <t xml:space="preserve">Aylık faiz oranı</t>
  </si>
  <si>
    <t xml:space="preserve">Asgari aylık ödeme (₺)</t>
  </si>
  <si>
    <t xml:space="preserve">Öncelik</t>
  </si>
  <si>
    <t xml:space="preserve">Kapanış ayı</t>
  </si>
  <si>
    <t xml:space="preserve">Ödenecek faiz (₺)</t>
  </si>
  <si>
    <t xml:space="preserve">Kontrol</t>
  </si>
  <si>
    <t xml:space="preserve">y</t>
  </si>
  <si>
    <t xml:space="preserve">Kredi kartı</t>
  </si>
  <si>
    <t xml:space="preserve">Asgarilerin üstüne ayırabileceğin aylık tutar (₺)</t>
  </si>
  <si>
    <t xml:space="preserve">İhtiyaç kredisi</t>
  </si>
  <si>
    <t xml:space="preserve">Yöntem</t>
  </si>
  <si>
    <t xml:space="preserve">Çığ</t>
  </si>
  <si>
    <t xml:space="preserve">Kredili hesap</t>
  </si>
  <si>
    <t xml:space="preserve">Planın başladığı ay</t>
  </si>
  <si>
    <t xml:space="preserve">Aileden borç</t>
  </si>
  <si>
    <t xml:space="preserve">Toplam aylık ödeme gücün (₺)</t>
  </si>
  <si>
    <t xml:space="preserve">Çığ: faizi en yüksek borca yüklenir, toplamda en az faizi ödetir.</t>
  </si>
  <si>
    <t xml:space="preserve">Kartopu: en küçük borca yüklenir, ilk borç daha çabuk kapanır.</t>
  </si>
  <si>
    <t xml:space="preserve">Özet</t>
  </si>
  <si>
    <t xml:space="preserve">Bu sayfaya yazma. Rakamları Borçlar sayfasından değiştir.</t>
  </si>
  <si>
    <t xml:space="preserve">Toplam borç</t>
  </si>
  <si>
    <t xml:space="preserve">Aylık ödeme gücü</t>
  </si>
  <si>
    <t xml:space="preserve">Borçsuz kalacağın ay</t>
  </si>
  <si>
    <t xml:space="preserve">Ödeyeceğin toplam faiz</t>
  </si>
  <si>
    <t xml:space="preserve">Ek ödeme yapmasaydın</t>
  </si>
  <si>
    <t xml:space="preserve">Ek ödemeyle</t>
  </si>
  <si>
    <t xml:space="preserve">Yalnız asgari ödemeyle</t>
  </si>
  <si>
    <t xml:space="preserve">Fark</t>
  </si>
  <si>
    <t xml:space="preserve">Kapanış süresi (ay)</t>
  </si>
  <si>
    <t xml:space="preserve">Borçsuz kalınan ay</t>
  </si>
  <si>
    <t xml:space="preserve">Toplam faiz (₺)</t>
  </si>
  <si>
    <t xml:space="preserve">Asgari ödemeyle bile kapanan borçlardan boşalan tutar sıradaki borca aktarılır; iki sütunda da bu varsayılır.</t>
  </si>
  <si>
    <t xml:space="preserve">Yalnız asgari ödeme 120 ayda borcu bitirmiyorsa o sütundaki faiz, 120 ayın faizidir; gerçekte daha fazladır.</t>
  </si>
  <si>
    <t xml:space="preserve">Plan (ek ödemeyle)</t>
  </si>
  <si>
    <t xml:space="preserve">Açılış bakiyesi</t>
  </si>
  <si>
    <t xml:space="preserve">Aylık faiz</t>
  </si>
  <si>
    <t xml:space="preserve">Asgari ödeme</t>
  </si>
  <si>
    <t xml:space="preserve">Ay</t>
  </si>
  <si>
    <t xml:space="preserve">Tarih</t>
  </si>
  <si>
    <t xml:space="preserve">Dağıtılacak ek (₺)</t>
  </si>
  <si>
    <t xml:space="preserve">Toplam ödeme (₺)</t>
  </si>
  <si>
    <t xml:space="preserve">O ayın faizi (₺)</t>
  </si>
  <si>
    <t xml:space="preserve">asgari</t>
  </si>
  <si>
    <t xml:space="preserve">ek</t>
  </si>
  <si>
    <t xml:space="preserve">bakiye</t>
  </si>
  <si>
    <t xml:space="preserve">Karşılaştırma (yalnız asgari ödemeyle)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</si>
  <si>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</si>
  <si>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</si>
  <si>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Banka adı, kart numarası ve hesap bilgisi paylaşma; borç adlarını genel tut. Yapay zekanın verdiği rakamları dosyadaki özet sayfasıyla karşılaştır.</t>
  </si>
  <si>
    <t xml:space="preserve">Ne için</t>
  </si>
  <si>
    <t xml:space="preserve">Komut (kopyala, yapıştır)</t>
  </si>
  <si>
    <t xml:space="preserve">Yöntem karşılaştırma</t>
  </si>
  <si>
    <t xml:space="preserve">[Borçlar sayfası] Çığ ve kartopu yöntemini benim borçlarım için karşılaştır: hangisi daha az faiz ödetir, hangisi ilk borcu daha erken kapatır?</t>
  </si>
  <si>
    <t xml:space="preserve">Ek ödeme etkisi</t>
  </si>
  <si>
    <t xml:space="preserve">Aylık ek ödememi [tutar] artırırsam borçsuz kalacağım ay ne kadar öne gelir? Kabaca hesapla, ben dosyada doğrulayacağım.</t>
  </si>
  <si>
    <t xml:space="preserve">Bütçeden yer açma</t>
  </si>
  <si>
    <t xml:space="preserve">Aylık gelirim [tutar], sabit giderlerim [tutar]. Borca daha fazla ayırmak için nerelere bakabilirim? Somut kalemler öner.</t>
  </si>
  <si>
    <t xml:space="preserve">Banka görüşmesi</t>
  </si>
  <si>
    <t xml:space="preserve">Kredi kartı borcumu yapılandırmak için bankayı arayacağım. Sormam gereken beş soruyu yaz.</t>
  </si>
  <si>
    <t xml:space="preserve">Motivasyon planı</t>
  </si>
  <si>
    <t xml:space="preserve">Borç kapatma planım [ay] ay sürüyor. Her borç kapandığında kendime koyabileceğim küçük ara hedefler öner.</t>
  </si>
  <si>
    <t xml:space="preserve">Risk kontrolü</t>
  </si>
  <si>
    <t xml:space="preserve">[Borçlar sayfası] Asgari ödemesi faizini karşılamayan ya da çok uzun süren borç var mı? Varsa neden tehlikeli olduğunu açıkla.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</si>
</sst>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&quot; ₺&quot;"/>
    <numFmt numFmtId="166" formatCode="0.00%"/>
    <numFmt numFmtId="167" formatCode="#,##0;[RED]\-#,##0;\-"/>
    <numFmt numFmtId="168" formatCode="mmmm\ yyyy"/>
    <numFmt numFmtId="169" formatCode="#,##0.00&quot; ₺&quot;;[RED]\-#,##0.00&quot; ₺&quot;;\-"/>
    <numFmt numFmtId="170" formatCode="General"/>
    <numFmt numFmtId="171" formatCode="#,##0"/>
    <numFmt numFmtId="172" formatCode="mmm\ 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B1F2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Kalan toplam borç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"Ek ödemeyle"</c:f>
              <c:strCache>
                <c:ptCount val="1"/>
                <c:pt idx="0">
                  <c:v>Ek ödemeyle</c:v>
                </c:pt>
              </c:strCache>
            </c:strRef>
          </c:tx>
          <c:spPr>
            <a:solidFill>
              <a:srgbClr val="1f6f43"/>
            </a:solidFill>
            <a:ln w="21960">
              <a:solidFill>
                <a:srgbClr val="1f6f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Plan!$A$11:$A$70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Plan!$F$11:$F$70</c:f>
              <c:numCache>
                <c:formatCode>#,##0.00" ₺";[RED]\-#,##0.00" ₺";\-</c:formatCode>
                <c:ptCount val="60"/>
                <c:pt idx="0">
                  <c:v>234150</c:v>
                </c:pt>
                <c:pt idx="1">
                  <c:v>222908.5</c:v>
                </c:pt>
                <c:pt idx="2">
                  <c:v>211257.73</c:v>
                </c:pt>
                <c:pt idx="3">
                  <c:v>199179.08</c:v>
                </c:pt>
                <c:pt idx="4">
                  <c:v>186653.09</c:v>
                </c:pt>
                <c:pt idx="5">
                  <c:v>173679.45</c:v>
                </c:pt>
                <c:pt idx="6">
                  <c:v>160251.18</c:v>
                </c:pt>
                <c:pt idx="7">
                  <c:v>146349.2</c:v>
                </c:pt>
                <c:pt idx="8">
                  <c:v>131953.62</c:v>
                </c:pt>
                <c:pt idx="9">
                  <c:v>117043.69</c:v>
                </c:pt>
                <c:pt idx="10">
                  <c:v>101597.79</c:v>
                </c:pt>
                <c:pt idx="11">
                  <c:v>85593.38</c:v>
                </c:pt>
                <c:pt idx="12">
                  <c:v>69029.15</c:v>
                </c:pt>
                <c:pt idx="13">
                  <c:v>51955.17</c:v>
                </c:pt>
                <c:pt idx="14">
                  <c:v>34353.6</c:v>
                </c:pt>
                <c:pt idx="15">
                  <c:v>16205.98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"Yalnız asgari ödemeyle"</c:f>
              <c:strCache>
                <c:ptCount val="1"/>
                <c:pt idx="0">
                  <c:v>Yalnız asgari ödemeyle</c:v>
                </c:pt>
              </c:strCache>
            </c:strRef>
          </c:tx>
          <c:spPr>
            <a:solidFill>
              <a:srgbClr val="d92d20"/>
            </a:solidFill>
            <a:ln w="21960">
              <a:solidFill>
                <a:srgbClr val="d92d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Plan!$A$11:$A$70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'Yalnız Asgari'!$F$11:$F$70</c:f>
              <c:numCache>
                <c:formatCode>#,##0.00" ₺";[RED]\-#,##0.00" ₺";\-</c:formatCode>
                <c:ptCount val="60"/>
                <c:pt idx="0">
                  <c:v>239150</c:v>
                </c:pt>
                <c:pt idx="1">
                  <c:v>233158.5</c:v>
                </c:pt>
                <c:pt idx="2">
                  <c:v>227020.23</c:v>
                </c:pt>
                <c:pt idx="3">
                  <c:v>220729.7</c:v>
                </c:pt>
                <c:pt idx="4">
                  <c:v>214281.23</c:v>
                </c:pt>
                <c:pt idx="5">
                  <c:v>207668.95</c:v>
                </c:pt>
                <c:pt idx="6">
                  <c:v>200886.71</c:v>
                </c:pt>
                <c:pt idx="7">
                  <c:v>193928.16</c:v>
                </c:pt>
                <c:pt idx="8">
                  <c:v>186786.7</c:v>
                </c:pt>
                <c:pt idx="9">
                  <c:v>179455.48</c:v>
                </c:pt>
                <c:pt idx="10">
                  <c:v>171927.39</c:v>
                </c:pt>
                <c:pt idx="11">
                  <c:v>164195.05</c:v>
                </c:pt>
                <c:pt idx="12">
                  <c:v>156250.8</c:v>
                </c:pt>
                <c:pt idx="13">
                  <c:v>148086.68</c:v>
                </c:pt>
                <c:pt idx="14">
                  <c:v>139694.43</c:v>
                </c:pt>
                <c:pt idx="15">
                  <c:v>131065.47</c:v>
                </c:pt>
                <c:pt idx="16">
                  <c:v>122190.89</c:v>
                </c:pt>
                <c:pt idx="17">
                  <c:v>113061.45</c:v>
                </c:pt>
                <c:pt idx="18">
                  <c:v>103667.55</c:v>
                </c:pt>
                <c:pt idx="19">
                  <c:v>93999.2</c:v>
                </c:pt>
                <c:pt idx="20">
                  <c:v>84046.07</c:v>
                </c:pt>
                <c:pt idx="21">
                  <c:v>73697.39</c:v>
                </c:pt>
                <c:pt idx="22">
                  <c:v>62937</c:v>
                </c:pt>
                <c:pt idx="23">
                  <c:v>51748.04</c:v>
                </c:pt>
                <c:pt idx="24">
                  <c:v>40097.98</c:v>
                </c:pt>
                <c:pt idx="25">
                  <c:v>27902.39</c:v>
                </c:pt>
                <c:pt idx="26">
                  <c:v>15158</c:v>
                </c:pt>
                <c:pt idx="27">
                  <c:v>1840.11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83104"/>
        <c:axId val="41855582"/>
      </c:lineChart>
      <c:catAx>
        <c:axId val="954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55582"/>
        <c:crosses val="autoZero"/>
        <c:auto val="1"/>
        <c:lblAlgn val="ctr"/>
        <c:lblOffset val="100"/>
        <c:noMultiLvlLbl val="0"/>
      </c:catAx>
      <c:valAx>
        <c:axId val="4185558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83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131040</xdr:rowOff>
    </xdr:from>
    <xdr:to>
      <xdr:col>5</xdr:col>
      <xdr:colOff>135720</xdr:colOff>
      <xdr:row>29</xdr:row>
      <xdr:rowOff>163440</xdr:rowOff>
    </xdr:to>
    <xdr:graphicFrame>
      <xdr:nvGraphicFramePr>
        <xdr:cNvPr id="0" name="Chart 1"/>
        <xdr:cNvGraphicFramePr/>
      </xdr:nvGraphicFramePr>
      <xdr:xfrm>
        <a:off x="211320" y="34862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43.5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30" hidden="false" customHeight="true" outlineLevel="0" collapsed="false">
      <c r="B17" s="5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  <row r="22" customFormat="false" ht="19.5" hidden="false" customHeight="true" outlineLevel="0" collapsed="false">
      <c r="B22" s="4" t="s">
        <v>26</v>
      </c>
      <c r="C22" s="4"/>
    </row>
    <row r="23" customFormat="false" ht="18" hidden="false" customHeight="true" outlineLevel="0" collapsed="false">
      <c r="B23" s="7" t="s">
        <v>27</v>
      </c>
      <c r="C23" s="6" t="s">
        <v>28</v>
      </c>
    </row>
    <row r="24" customFormat="false" ht="18" hidden="false" customHeight="true" outlineLevel="0" collapsed="false">
      <c r="B24" s="5" t="s">
        <v>29</v>
      </c>
      <c r="C24" s="6" t="s">
        <v>30</v>
      </c>
    </row>
  </sheetData>
  <mergeCells count="7">
    <mergeCell ref="B2:C2"/>
    <mergeCell ref="B3:C3"/>
    <mergeCell ref="B4:C4"/>
    <mergeCell ref="B6:C6"/>
    <mergeCell ref="B12:C12"/>
    <mergeCell ref="B16:C16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3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true" outlineLevel="0" max="12" min="12" style="0" width="4"/>
  </cols>
  <sheetData>
    <row r="1" customFormat="false" ht="19.7" hidden="false" customHeight="false" outlineLevel="0" collapsed="false">
      <c r="A1" s="8" t="s">
        <v>31</v>
      </c>
    </row>
    <row r="2" customFormat="false" ht="15" hidden="false" customHeight="false" outlineLevel="0" collapsed="false">
      <c r="A2" s="9" t="s">
        <v>32</v>
      </c>
    </row>
    <row r="4" customFormat="false" ht="27.7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2"/>
      <c r="J4" s="12"/>
      <c r="K4" s="12"/>
      <c r="L4" s="11" t="s">
        <v>41</v>
      </c>
    </row>
    <row r="5" customFormat="false" ht="15" hidden="false" customHeight="false" outlineLevel="0" collapsed="false">
      <c r="A5" s="13" t="s">
        <v>42</v>
      </c>
      <c r="B5" s="14" t="n">
        <v>60000</v>
      </c>
      <c r="C5" s="15" t="n">
        <v>0.045</v>
      </c>
      <c r="D5" s="14" t="n">
        <v>3000</v>
      </c>
      <c r="E5" s="16" t="n">
        <f aca="false">IF(L5&gt;8000000000000000,"",SUMPRODUCT(--($L$5:$L$14&lt;L5))+1)</f>
        <v>2</v>
      </c>
      <c r="F5" s="17" t="n">
        <f aca="false">IF(E5="","",INDEX(Plan!$D$4:$M$4,E5))</f>
        <v>46631</v>
      </c>
      <c r="G5" s="18" t="n">
        <f aca="false">IF(E5="","",INDEX(Plan!$D$5:$M$5,E5))</f>
        <v>23289.4071</v>
      </c>
      <c r="H5" s="19" t="str">
        <f aca="false">IF(E5="","",IF(D5&lt;=B5*C5,"Asgari ödeme faizi karşılamıyor",IF(F5="Bitmiyor","120 ayda kapanmıyor","OK")))</f>
        <v>OK</v>
      </c>
      <c r="J5" s="20" t="s">
        <v>43</v>
      </c>
      <c r="K5" s="21" t="n">
        <v>5000</v>
      </c>
      <c r="L5" s="22" t="n">
        <f aca="false">IF(OR(A5="",B5="",B5=0),9000000000000000,IF($K$6="Kartopu",B5,-C5*1000000)+ROW()/1000)</f>
        <v>-44999.995</v>
      </c>
    </row>
    <row r="6" customFormat="false" ht="15" hidden="false" customHeight="false" outlineLevel="0" collapsed="false">
      <c r="A6" s="13" t="s">
        <v>44</v>
      </c>
      <c r="B6" s="14" t="n">
        <v>120000</v>
      </c>
      <c r="C6" s="15" t="n">
        <v>0.035</v>
      </c>
      <c r="D6" s="14" t="n">
        <v>7500</v>
      </c>
      <c r="E6" s="16" t="n">
        <f aca="false">IF(L6&gt;8000000000000000,"",SUMPRODUCT(--($L$5:$L$14&lt;L6))+1)</f>
        <v>3</v>
      </c>
      <c r="F6" s="17" t="n">
        <f aca="false">IF(E6="","",INDEX(Plan!$D$4:$M$4,E6))</f>
        <v>46784</v>
      </c>
      <c r="G6" s="18" t="n">
        <f aca="false">IF(E6="","",INDEX(Plan!$D$5:$M$5,E6))</f>
        <v>48713.3324999998</v>
      </c>
      <c r="H6" s="19" t="str">
        <f aca="false">IF(E6="","",IF(D6&lt;=B6*C6,"Asgari ödeme faizi karşılamıyor",IF(F6="Bitmiyor","120 ayda kapanmıyor","OK")))</f>
        <v>OK</v>
      </c>
      <c r="J6" s="20" t="s">
        <v>45</v>
      </c>
      <c r="K6" s="23" t="s">
        <v>46</v>
      </c>
      <c r="L6" s="22" t="n">
        <f aca="false">IF(OR(A6="",B6="",B6=0),9000000000000000,IF($K$6="Kartopu",B6,-C6*1000000)+ROW()/1000)</f>
        <v>-34999.994</v>
      </c>
    </row>
    <row r="7" customFormat="false" ht="15" hidden="false" customHeight="false" outlineLevel="0" collapsed="false">
      <c r="A7" s="13" t="s">
        <v>47</v>
      </c>
      <c r="B7" s="14" t="n">
        <v>25000</v>
      </c>
      <c r="C7" s="15" t="n">
        <v>0.05</v>
      </c>
      <c r="D7" s="14" t="n">
        <v>1500</v>
      </c>
      <c r="E7" s="16" t="n">
        <f aca="false">IF(L7&gt;8000000000000000,"",SUMPRODUCT(--($L$5:$L$14&lt;L7))+1)</f>
        <v>1</v>
      </c>
      <c r="F7" s="17" t="n">
        <f aca="false">IF(E7="","",INDEX(Plan!$D$4:$M$4,E7))</f>
        <v>46419</v>
      </c>
      <c r="G7" s="18" t="n">
        <f aca="false">IF(E7="","",INDEX(Plan!$D$5:$M$5,E7))</f>
        <v>3490.43650000001</v>
      </c>
      <c r="H7" s="19" t="str">
        <f aca="false">IF(E7="","",IF(D7&lt;=B7*C7,"Asgari ödeme faizi karşılamıyor",IF(F7="Bitmiyor","120 ayda kapanmıyor","OK")))</f>
        <v>OK</v>
      </c>
      <c r="J7" s="20" t="s">
        <v>48</v>
      </c>
      <c r="K7" s="24" t="n">
        <v>46296</v>
      </c>
      <c r="L7" s="22" t="n">
        <f aca="false">IF(OR(A7="",B7="",B7=0),9000000000000000,IF($K$6="Kartopu",B7,-C7*1000000)+ROW()/1000)</f>
        <v>-49999.993</v>
      </c>
    </row>
    <row r="8" customFormat="false" ht="15" hidden="false" customHeight="false" outlineLevel="0" collapsed="false">
      <c r="A8" s="13" t="s">
        <v>49</v>
      </c>
      <c r="B8" s="14" t="n">
        <v>40000</v>
      </c>
      <c r="C8" s="15" t="n">
        <v>0</v>
      </c>
      <c r="D8" s="14" t="n">
        <v>2000</v>
      </c>
      <c r="E8" s="16" t="n">
        <f aca="false">IF(L8&gt;8000000000000000,"",SUMPRODUCT(--($L$5:$L$14&lt;L8))+1)</f>
        <v>4</v>
      </c>
      <c r="F8" s="17" t="n">
        <f aca="false">IF(E8="","",INDEX(Plan!$D$4:$M$4,E8))</f>
        <v>46784</v>
      </c>
      <c r="G8" s="18" t="n">
        <f aca="false">IF(E8="","",INDEX(Plan!$D$5:$M$5,E8))</f>
        <v>0</v>
      </c>
      <c r="H8" s="19" t="str">
        <f aca="false">IF(E8="","",IF(D8&lt;=B8*C8,"Asgari ödeme faizi karşılamıyor",IF(F8="Bitmiyor","120 ayda kapanmıyor","OK")))</f>
        <v>OK</v>
      </c>
      <c r="J8" s="20" t="s">
        <v>50</v>
      </c>
      <c r="K8" s="25" t="n">
        <f aca="false">SUM(D5:D14)+K5</f>
        <v>19000</v>
      </c>
      <c r="L8" s="22" t="n">
        <f aca="false">IF(OR(A8="",B8="",B8=0),9000000000000000,IF($K$6="Kartopu",B8,-C8*1000000)+ROW()/1000)</f>
        <v>0.008</v>
      </c>
    </row>
    <row r="9" customFormat="false" ht="15" hidden="false" customHeight="false" outlineLevel="0" collapsed="false">
      <c r="A9" s="13"/>
      <c r="B9" s="14"/>
      <c r="C9" s="15"/>
      <c r="D9" s="14"/>
      <c r="E9" s="16" t="str">
        <f aca="false">IF(L9&gt;8000000000000000,"",SUMPRODUCT(--($L$5:$L$14&lt;L9))+1)</f>
        <v/>
      </c>
      <c r="F9" s="17" t="str">
        <f aca="false">IF(E9="","",INDEX(Plan!$D$4:$M$4,E9))</f>
        <v/>
      </c>
      <c r="G9" s="18" t="str">
        <f aca="false">IF(E9="","",INDEX(Plan!$D$5:$M$5,E9))</f>
        <v/>
      </c>
      <c r="H9" s="19" t="str">
        <f aca="false">IF(E9="","",IF(D9&lt;=B9*C9,"Asgari ödeme faizi karşılamıyor",IF(F9="Bitmiyor","120 ayda kapanmıyor","OK")))</f>
        <v/>
      </c>
      <c r="L9" s="22" t="n">
        <f aca="false">IF(OR(A9="",B9="",B9=0),9000000000000000,IF($K$6="Kartopu",B9,-C9*1000000)+ROW()/1000)</f>
        <v>9000000000000000</v>
      </c>
    </row>
    <row r="10" customFormat="false" ht="15" hidden="false" customHeight="false" outlineLevel="0" collapsed="false">
      <c r="A10" s="13"/>
      <c r="B10" s="14"/>
      <c r="C10" s="15"/>
      <c r="D10" s="14"/>
      <c r="E10" s="16" t="str">
        <f aca="false">IF(L10&gt;8000000000000000,"",SUMPRODUCT(--($L$5:$L$14&lt;L10))+1)</f>
        <v/>
      </c>
      <c r="F10" s="17" t="str">
        <f aca="false">IF(E10="","",INDEX(Plan!$D$4:$M$4,E10))</f>
        <v/>
      </c>
      <c r="G10" s="18" t="str">
        <f aca="false">IF(E10="","",INDEX(Plan!$D$5:$M$5,E10))</f>
        <v/>
      </c>
      <c r="H10" s="19" t="str">
        <f aca="false">IF(E10="","",IF(D10&lt;=B10*C10,"Asgari ödeme faizi karşılamıyor",IF(F10="Bitmiyor","120 ayda kapanmıyor","OK")))</f>
        <v/>
      </c>
      <c r="J10" s="9" t="s">
        <v>51</v>
      </c>
      <c r="L10" s="22" t="n">
        <f aca="false">IF(OR(A10="",B10="",B10=0),9000000000000000,IF($K$6="Kartopu",B10,-C10*1000000)+ROW()/1000)</f>
        <v>9000000000000000</v>
      </c>
    </row>
    <row r="11" customFormat="false" ht="15" hidden="false" customHeight="false" outlineLevel="0" collapsed="false">
      <c r="A11" s="13"/>
      <c r="B11" s="14"/>
      <c r="C11" s="15"/>
      <c r="D11" s="14"/>
      <c r="E11" s="16" t="str">
        <f aca="false">IF(L11&gt;8000000000000000,"",SUMPRODUCT(--($L$5:$L$14&lt;L11))+1)</f>
        <v/>
      </c>
      <c r="F11" s="17" t="str">
        <f aca="false">IF(E11="","",INDEX(Plan!$D$4:$M$4,E11))</f>
        <v/>
      </c>
      <c r="G11" s="18" t="str">
        <f aca="false">IF(E11="","",INDEX(Plan!$D$5:$M$5,E11))</f>
        <v/>
      </c>
      <c r="H11" s="19" t="str">
        <f aca="false">IF(E11="","",IF(D11&lt;=B11*C11,"Asgari ödeme faizi karşılamıyor",IF(F11="Bitmiyor","120 ayda kapanmıyor","OK")))</f>
        <v/>
      </c>
      <c r="J11" s="9" t="s">
        <v>52</v>
      </c>
      <c r="L11" s="22" t="n">
        <f aca="false">IF(OR(A11="",B11="",B11=0),9000000000000000,IF($K$6="Kartopu",B11,-C11*1000000)+ROW()/1000)</f>
        <v>9000000000000000</v>
      </c>
    </row>
    <row r="12" customFormat="false" ht="15" hidden="false" customHeight="false" outlineLevel="0" collapsed="false">
      <c r="A12" s="13"/>
      <c r="B12" s="14"/>
      <c r="C12" s="15"/>
      <c r="D12" s="14"/>
      <c r="E12" s="16" t="str">
        <f aca="false">IF(L12&gt;8000000000000000,"",SUMPRODUCT(--($L$5:$L$14&lt;L12))+1)</f>
        <v/>
      </c>
      <c r="F12" s="17" t="str">
        <f aca="false">IF(E12="","",INDEX(Plan!$D$4:$M$4,E12))</f>
        <v/>
      </c>
      <c r="G12" s="18" t="str">
        <f aca="false">IF(E12="","",INDEX(Plan!$D$5:$M$5,E12))</f>
        <v/>
      </c>
      <c r="H12" s="19" t="str">
        <f aca="false">IF(E12="","",IF(D12&lt;=B12*C12,"Asgari ödeme faizi karşılamıyor",IF(F12="Bitmiyor","120 ayda kapanmıyor","OK")))</f>
        <v/>
      </c>
      <c r="L12" s="22" t="n">
        <f aca="false">IF(OR(A12="",B12="",B12=0),9000000000000000,IF($K$6="Kartopu",B12,-C12*1000000)+ROW()/1000)</f>
        <v>9000000000000000</v>
      </c>
    </row>
    <row r="13" customFormat="false" ht="15" hidden="false" customHeight="false" outlineLevel="0" collapsed="false">
      <c r="A13" s="13"/>
      <c r="B13" s="14"/>
      <c r="C13" s="15"/>
      <c r="D13" s="14"/>
      <c r="E13" s="16" t="str">
        <f aca="false">IF(L13&gt;8000000000000000,"",SUMPRODUCT(--($L$5:$L$14&lt;L13))+1)</f>
        <v/>
      </c>
      <c r="F13" s="17" t="str">
        <f aca="false">IF(E13="","",INDEX(Plan!$D$4:$M$4,E13))</f>
        <v/>
      </c>
      <c r="G13" s="18" t="str">
        <f aca="false">IF(E13="","",INDEX(Plan!$D$5:$M$5,E13))</f>
        <v/>
      </c>
      <c r="H13" s="19" t="str">
        <f aca="false">IF(E13="","",IF(D13&lt;=B13*C13,"Asgari ödeme faizi karşılamıyor",IF(F13="Bitmiyor","120 ayda kapanmıyor","OK")))</f>
        <v/>
      </c>
      <c r="L13" s="22" t="n">
        <f aca="false">IF(OR(A13="",B13="",B13=0),9000000000000000,IF($K$6="Kartopu",B13,-C13*1000000)+ROW()/1000)</f>
        <v>9000000000000000</v>
      </c>
    </row>
    <row r="14" customFormat="false" ht="15" hidden="false" customHeight="false" outlineLevel="0" collapsed="false">
      <c r="A14" s="13"/>
      <c r="B14" s="14"/>
      <c r="C14" s="15"/>
      <c r="D14" s="14"/>
      <c r="E14" s="16" t="str">
        <f aca="false">IF(L14&gt;8000000000000000,"",SUMPRODUCT(--($L$5:$L$14&lt;L14))+1)</f>
        <v/>
      </c>
      <c r="F14" s="17" t="str">
        <f aca="false">IF(E14="","",INDEX(Plan!$D$4:$M$4,E14))</f>
        <v/>
      </c>
      <c r="G14" s="18" t="str">
        <f aca="false">IF(E14="","",INDEX(Plan!$D$5:$M$5,E14))</f>
        <v/>
      </c>
      <c r="H14" s="19" t="str">
        <f aca="false">IF(E14="","",IF(D14&lt;=B14*C14,"Asgari ödeme faizi karşılamıyor",IF(F14="Bitmiyor","120 ayda kapanmıyor","OK")))</f>
        <v/>
      </c>
      <c r="L14" s="22" t="n">
        <f aca="false">IF(OR(A14="",B14="",B14=0),9000000000000000,IF($K$6="Kartopu",B14,-C14*1000000)+ROW()/1000)</f>
        <v>9000000000000000</v>
      </c>
    </row>
  </sheetData>
  <conditionalFormatting sqref="H5:H14">
    <cfRule type="expression" priority="2" aboveAverage="0" equalAverage="0" bottom="0" percent="0" rank="0" text="" dxfId="0">
      <formula>AND(H5&lt;&gt;"",H5&lt;&gt;"OK")</formula>
    </cfRule>
  </conditionalFormatting>
  <dataValidations count="5">
    <dataValidation allowBlank="true" error="Listeden seç." errorStyle="stop" errorTitle="Kontrol" operator="between" showDropDown="false" showErrorMessage="true" showInputMessage="false" sqref="K6" type="list">
      <formula1>"Çığ,Kartopu"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B5:B6 D5:D14 K5 B7:B1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K7" type="date">
      <formula1>36526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C5:C14" type="decimal">
      <formula1>0</formula1>
      <formula2>1</formula2>
    </dataValidation>
    <dataValidation allowBlank="true" error="Bu ad zaten var. Her ad bir kez girilebilir." errorStyle="stop" errorTitle="Kontrol" operator="between" showDropDown="false" showErrorMessage="true" showInputMessage="false" sqref="A5:A14" type="custom">
      <formula1>COUNTIF($A$5:$A$14,A5)=1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20"/>
  </cols>
  <sheetData>
    <row r="1" customFormat="false" ht="19.7" hidden="false" customHeight="false" outlineLevel="0" collapsed="false">
      <c r="A1" s="8" t="s">
        <v>53</v>
      </c>
    </row>
    <row r="2" customFormat="false" ht="15" hidden="false" customHeight="false" outlineLevel="0" collapsed="false">
      <c r="A2" s="9" t="s">
        <v>54</v>
      </c>
    </row>
    <row r="4" customFormat="false" ht="30" hidden="false" customHeight="true" outlineLevel="0" collapsed="false">
      <c r="B4" s="26" t="s">
        <v>55</v>
      </c>
      <c r="C4" s="26" t="s">
        <v>56</v>
      </c>
      <c r="D4" s="26" t="s">
        <v>57</v>
      </c>
      <c r="E4" s="26" t="s">
        <v>58</v>
      </c>
    </row>
    <row r="5" customFormat="false" ht="27.75" hidden="false" customHeight="true" outlineLevel="0" collapsed="false">
      <c r="B5" s="27" t="n">
        <f aca="false">SUM(Borçlar!$B$5:$B$14)</f>
        <v>245000</v>
      </c>
      <c r="C5" s="27" t="n">
        <f aca="false">Borçlar!K8</f>
        <v>19000</v>
      </c>
      <c r="D5" s="28" t="n">
        <f aca="false">IF(SUM(Borçlar!$B$5:$B$14)=0,"",IFERROR(INDEX(Plan!$B$11:$B$130,MATCH(0,Plan!$F$11:$F$130,0)),"120 ayda bitmiyor"))</f>
        <v>46784</v>
      </c>
      <c r="E5" s="29" t="n">
        <f aca="false">SUM(Plan!$E$11:$E$130)</f>
        <v>75493.1760999998</v>
      </c>
    </row>
    <row r="8" customFormat="false" ht="15" hidden="false" customHeight="false" outlineLevel="0" collapsed="false">
      <c r="B8" s="30" t="s">
        <v>59</v>
      </c>
    </row>
    <row r="9" customFormat="false" ht="21.75" hidden="false" customHeight="true" outlineLevel="0" collapsed="false">
      <c r="B9" s="10"/>
      <c r="C9" s="10" t="s">
        <v>60</v>
      </c>
      <c r="D9" s="10" t="s">
        <v>61</v>
      </c>
      <c r="E9" s="10" t="s">
        <v>62</v>
      </c>
    </row>
    <row r="10" customFormat="false" ht="15" hidden="false" customHeight="false" outlineLevel="0" collapsed="false">
      <c r="B10" s="31" t="s">
        <v>63</v>
      </c>
      <c r="C10" s="16" t="n">
        <f aca="false">IFERROR(MATCH(0,Plan!$F$11:$F$130,0),"")</f>
        <v>17</v>
      </c>
      <c r="D10" s="16" t="n">
        <f aca="false">IFERROR(MATCH(0,'Yalnız Asgari'!$F$11:$F$130,0),"")</f>
        <v>29</v>
      </c>
      <c r="E10" s="16" t="n">
        <f aca="false">IF(OR(C10="",D10=""),"",D10-C10)</f>
        <v>12</v>
      </c>
    </row>
    <row r="11" customFormat="false" ht="15" hidden="false" customHeight="false" outlineLevel="0" collapsed="false">
      <c r="B11" s="20" t="s">
        <v>64</v>
      </c>
      <c r="C11" s="32" t="n">
        <f aca="false">IF(SUM(Borçlar!$B$5:$B$14)=0,"",IFERROR(INDEX(Plan!$B$11:$B$130,MATCH(0,Plan!$F$11:$F$130,0)),"120 ayda bitmiyor"))</f>
        <v>46784</v>
      </c>
      <c r="D11" s="32" t="n">
        <f aca="false">IF(SUM(Borçlar!$B$5:$B$14)=0,"",IFERROR(INDEX('Yalnız Asgari'!$B$11:$B$130,MATCH(0,'Yalnız Asgari'!$F$11:$F$130,0)),"120 ayda bitmiyor"))</f>
        <v>47150</v>
      </c>
      <c r="E11" s="32" t="str">
        <f aca="false">""</f>
        <v/>
      </c>
    </row>
    <row r="12" customFormat="false" ht="15" hidden="false" customHeight="false" outlineLevel="0" collapsed="false">
      <c r="B12" s="31" t="s">
        <v>65</v>
      </c>
      <c r="C12" s="33" t="n">
        <f aca="false">SUM(Plan!$E$11:$E$130)</f>
        <v>75493.1760999998</v>
      </c>
      <c r="D12" s="33" t="n">
        <f aca="false">SUM('Yalnız Asgari'!$E$11:$E$130)</f>
        <v>148922.84575</v>
      </c>
      <c r="E12" s="33" t="n">
        <f aca="false">D12-C12</f>
        <v>73429.66965</v>
      </c>
    </row>
    <row r="14" customFormat="false" ht="15" hidden="false" customHeight="false" outlineLevel="0" collapsed="false">
      <c r="B14" s="9" t="s">
        <v>66</v>
      </c>
    </row>
    <row r="15" customFormat="false" ht="15" hidden="false" customHeight="false" outlineLevel="0" collapsed="false">
      <c r="B15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A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8" t="s">
        <v>68</v>
      </c>
    </row>
    <row r="2" customFormat="false" ht="15" hidden="false" customHeight="false" outlineLevel="0" collapsed="false">
      <c r="A2" s="9"/>
      <c r="B2" s="34" t="s">
        <v>33</v>
      </c>
      <c r="D2" s="34" t="str">
        <f aca="false">IFERROR(INDEX(Borçlar!$A$5:$A$14,MATCH(1,Borçlar!$E$5:$E$14,0))&amp;"","")</f>
        <v>Kredili hesap</v>
      </c>
      <c r="E2" s="34" t="str">
        <f aca="false">IFERROR(INDEX(Borçlar!$A$5:$A$14,MATCH(2,Borçlar!$E$5:$E$14,0))&amp;"","")</f>
        <v>Kredi kartı</v>
      </c>
      <c r="F2" s="34" t="str">
        <f aca="false">IFERROR(INDEX(Borçlar!$A$5:$A$14,MATCH(3,Borçlar!$E$5:$E$14,0))&amp;"","")</f>
        <v>İhtiyaç kredisi</v>
      </c>
      <c r="G2" s="34" t="str">
        <f aca="false">IFERROR(INDEX(Borçlar!$A$5:$A$14,MATCH(4,Borçlar!$E$5:$E$14,0))&amp;"","")</f>
        <v>Aileden borç</v>
      </c>
      <c r="H2" s="34" t="str">
        <f aca="false">IFERROR(INDEX(Borçlar!$A$5:$A$14,MATCH(5,Borçlar!$E$5:$E$14,0))&amp;"","")</f>
        <v/>
      </c>
      <c r="I2" s="34" t="str">
        <f aca="false">IFERROR(INDEX(Borçlar!$A$5:$A$14,MATCH(6,Borçlar!$E$5:$E$14,0))&amp;"","")</f>
        <v/>
      </c>
      <c r="J2" s="34" t="str">
        <f aca="false">IFERROR(INDEX(Borçlar!$A$5:$A$14,MATCH(7,Borçlar!$E$5:$E$14,0))&amp;"","")</f>
        <v/>
      </c>
      <c r="K2" s="34" t="str">
        <f aca="false">IFERROR(INDEX(Borçlar!$A$5:$A$14,MATCH(8,Borçlar!$E$5:$E$14,0))&amp;"","")</f>
        <v/>
      </c>
      <c r="L2" s="34" t="str">
        <f aca="false">IFERROR(INDEX(Borçlar!$A$5:$A$14,MATCH(9,Borçlar!$E$5:$E$14,0))&amp;"","")</f>
        <v/>
      </c>
      <c r="M2" s="34" t="str">
        <f aca="false">IFERROR(INDEX(Borçlar!$A$5:$A$14,MATCH(10,Borçlar!$E$5:$E$14,0))&amp;"","")</f>
        <v/>
      </c>
    </row>
    <row r="3" customFormat="false" ht="15" hidden="false" customHeight="false" outlineLevel="0" collapsed="false">
      <c r="C3" s="34" t="s">
        <v>37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</row>
    <row r="4" customFormat="false" ht="15" hidden="false" customHeight="false" outlineLevel="0" collapsed="false">
      <c r="B4" s="34" t="s">
        <v>38</v>
      </c>
      <c r="D4" s="35" t="n">
        <f aca="false">IF(D6=0,"",IFERROR(INDEX($B$11:$B$130,MATCH(0,Q11:Q130,0)),"Bitmiyor"))</f>
        <v>46419</v>
      </c>
      <c r="E4" s="35" t="n">
        <f aca="false">IF(E6=0,"",IFERROR(INDEX($B$11:$B$130,MATCH(0,U11:U130,0)),"Bitmiyor"))</f>
        <v>46631</v>
      </c>
      <c r="F4" s="35" t="n">
        <f aca="false">IF(F6=0,"",IFERROR(INDEX($B$11:$B$130,MATCH(0,Y11:Y130,0)),"Bitmiyor"))</f>
        <v>46784</v>
      </c>
      <c r="G4" s="35" t="n">
        <f aca="false">IF(G6=0,"",IFERROR(INDEX($B$11:$B$130,MATCH(0,AC11:AC130,0)),"Bitmiyor"))</f>
        <v>46784</v>
      </c>
      <c r="H4" s="35" t="str">
        <f aca="false">IF(H6=0,"",IFERROR(INDEX($B$11:$B$130,MATCH(0,AG11:AG130,0)),"Bitmiyor"))</f>
        <v/>
      </c>
      <c r="I4" s="35" t="str">
        <f aca="false">IF(I6=0,"",IFERROR(INDEX($B$11:$B$130,MATCH(0,AK11:AK130,0)),"Bitmiyor"))</f>
        <v/>
      </c>
      <c r="J4" s="35" t="str">
        <f aca="false">IF(J6=0,"",IFERROR(INDEX($B$11:$B$130,MATCH(0,AO11:AO130,0)),"Bitmiyor"))</f>
        <v/>
      </c>
      <c r="K4" s="35" t="str">
        <f aca="false">IF(K6=0,"",IFERROR(INDEX($B$11:$B$130,MATCH(0,AS11:AS130,0)),"Bitmiyor"))</f>
        <v/>
      </c>
      <c r="L4" s="35" t="str">
        <f aca="false">IF(L6=0,"",IFERROR(INDEX($B$11:$B$130,MATCH(0,AW11:AW130,0)),"Bitmiyor"))</f>
        <v/>
      </c>
      <c r="M4" s="35" t="str">
        <f aca="false">IF(M6=0,"",IFERROR(INDEX($B$11:$B$130,MATCH(0,BA11:BA130,0)),"Bitmiyor"))</f>
        <v/>
      </c>
    </row>
    <row r="5" customFormat="false" ht="15" hidden="false" customHeight="false" outlineLevel="0" collapsed="false">
      <c r="B5" s="34" t="s">
        <v>65</v>
      </c>
      <c r="D5" s="36" t="n">
        <f aca="false">IF(D6=0,0,SUM(N11:N130)-D6-(SUM(Q11:Q130)-Q130))</f>
        <v>3490.43650000001</v>
      </c>
      <c r="E5" s="36" t="n">
        <f aca="false">IF(E6=0,0,SUM(R11:R130)-E6-(SUM(U11:U130)-U130))</f>
        <v>23289.4071</v>
      </c>
      <c r="F5" s="36" t="n">
        <f aca="false">IF(F6=0,0,SUM(V11:V130)-F6-(SUM(Y11:Y130)-Y130))</f>
        <v>48713.3324999998</v>
      </c>
      <c r="G5" s="36" t="n">
        <f aca="false">IF(G6=0,0,SUM(Z11:Z130)-G6-(SUM(AC11:AC130)-AC130))</f>
        <v>0</v>
      </c>
      <c r="H5" s="36" t="n">
        <f aca="false">IF(H6=0,0,SUM(AD11:AD130)-H6-(SUM(AG11:AG130)-AG130))</f>
        <v>0</v>
      </c>
      <c r="I5" s="36" t="n">
        <f aca="false">IF(I6=0,0,SUM(AH11:AH130)-I6-(SUM(AK11:AK130)-AK130))</f>
        <v>0</v>
      </c>
      <c r="J5" s="36" t="n">
        <f aca="false">IF(J6=0,0,SUM(AL11:AL130)-J6-(SUM(AO11:AO130)-AO130))</f>
        <v>0</v>
      </c>
      <c r="K5" s="36" t="n">
        <f aca="false">IF(K6=0,0,SUM(AP11:AP130)-K6-(SUM(AS11:AS130)-AS130))</f>
        <v>0</v>
      </c>
      <c r="L5" s="36" t="n">
        <f aca="false">IF(L6=0,0,SUM(AT11:AT130)-L6-(SUM(AW11:AW130)-AW130))</f>
        <v>0</v>
      </c>
      <c r="M5" s="36" t="n">
        <f aca="false">IF(M6=0,0,SUM(AX11:AX130)-M6-(SUM(BA11:BA130)-BA130))</f>
        <v>0</v>
      </c>
    </row>
    <row r="6" customFormat="false" ht="15" hidden="false" customHeight="false" outlineLevel="0" collapsed="false">
      <c r="B6" s="34" t="s">
        <v>69</v>
      </c>
      <c r="D6" s="37" t="n">
        <f aca="false">IFERROR(INDEX(Borçlar!$B$5:$B$14,MATCH(1,Borçlar!$E$5:$E$14,0)),0)</f>
        <v>25000</v>
      </c>
      <c r="E6" s="37" t="n">
        <f aca="false">IFERROR(INDEX(Borçlar!$B$5:$B$14,MATCH(2,Borçlar!$E$5:$E$14,0)),0)</f>
        <v>60000</v>
      </c>
      <c r="F6" s="37" t="n">
        <f aca="false">IFERROR(INDEX(Borçlar!$B$5:$B$14,MATCH(3,Borçlar!$E$5:$E$14,0)),0)</f>
        <v>120000</v>
      </c>
      <c r="G6" s="37" t="n">
        <f aca="false">IFERROR(INDEX(Borçlar!$B$5:$B$14,MATCH(4,Borçlar!$E$5:$E$14,0)),0)</f>
        <v>40000</v>
      </c>
      <c r="H6" s="22" t="n">
        <f aca="false">IFERROR(INDEX(Borçlar!$B$5:$B$14,MATCH(5,Borçlar!$E$5:$E$14,0)),0)</f>
        <v>0</v>
      </c>
      <c r="I6" s="22" t="n">
        <f aca="false">IFERROR(INDEX(Borçlar!$B$5:$B$14,MATCH(6,Borçlar!$E$5:$E$14,0)),0)</f>
        <v>0</v>
      </c>
      <c r="J6" s="22" t="n">
        <f aca="false">IFERROR(INDEX(Borçlar!$B$5:$B$14,MATCH(7,Borçlar!$E$5:$E$14,0)),0)</f>
        <v>0</v>
      </c>
      <c r="K6" s="22" t="n">
        <f aca="false">IFERROR(INDEX(Borçlar!$B$5:$B$14,MATCH(8,Borçlar!$E$5:$E$14,0)),0)</f>
        <v>0</v>
      </c>
      <c r="L6" s="22" t="n">
        <f aca="false">IFERROR(INDEX(Borçlar!$B$5:$B$14,MATCH(9,Borçlar!$E$5:$E$14,0)),0)</f>
        <v>0</v>
      </c>
      <c r="M6" s="22" t="n">
        <f aca="false">IFERROR(INDEX(Borçlar!$B$5:$B$14,MATCH(10,Borçlar!$E$5:$E$14,0)),0)</f>
        <v>0</v>
      </c>
    </row>
    <row r="7" customFormat="false" ht="15" hidden="false" customHeight="false" outlineLevel="0" collapsed="false">
      <c r="B7" s="34" t="s">
        <v>70</v>
      </c>
      <c r="D7" s="38" t="n">
        <f aca="false">IFERROR(INDEX(Borçlar!$C$5:$C$14,MATCH(1,Borçlar!$E$5:$E$14,0)),0)</f>
        <v>0.05</v>
      </c>
      <c r="E7" s="38" t="n">
        <f aca="false">IFERROR(INDEX(Borçlar!$C$5:$C$14,MATCH(2,Borçlar!$E$5:$E$14,0)),0)</f>
        <v>0.045</v>
      </c>
      <c r="F7" s="38" t="n">
        <f aca="false">IFERROR(INDEX(Borçlar!$C$5:$C$14,MATCH(3,Borçlar!$E$5:$E$14,0)),0)</f>
        <v>0.035</v>
      </c>
      <c r="G7" s="38" t="n">
        <f aca="false">IFERROR(INDEX(Borçlar!$C$5:$C$14,MATCH(4,Borçlar!$E$5:$E$14,0)),0)</f>
        <v>0</v>
      </c>
      <c r="H7" s="22" t="n">
        <f aca="false">IFERROR(INDEX(Borçlar!$C$5:$C$14,MATCH(5,Borçlar!$E$5:$E$14,0)),0)</f>
        <v>0</v>
      </c>
      <c r="I7" s="22" t="n">
        <f aca="false">IFERROR(INDEX(Borçlar!$C$5:$C$14,MATCH(6,Borçlar!$E$5:$E$14,0)),0)</f>
        <v>0</v>
      </c>
      <c r="J7" s="22" t="n">
        <f aca="false">IFERROR(INDEX(Borçlar!$C$5:$C$14,MATCH(7,Borçlar!$E$5:$E$14,0)),0)</f>
        <v>0</v>
      </c>
      <c r="K7" s="22" t="n">
        <f aca="false">IFERROR(INDEX(Borçlar!$C$5:$C$14,MATCH(8,Borçlar!$E$5:$E$14,0)),0)</f>
        <v>0</v>
      </c>
      <c r="L7" s="22" t="n">
        <f aca="false">IFERROR(INDEX(Borçlar!$C$5:$C$14,MATCH(9,Borçlar!$E$5:$E$14,0)),0)</f>
        <v>0</v>
      </c>
      <c r="M7" s="22" t="n">
        <f aca="false">IFERROR(INDEX(Borçlar!$C$5:$C$14,MATCH(10,Borçlar!$E$5:$E$14,0)),0)</f>
        <v>0</v>
      </c>
    </row>
    <row r="8" customFormat="false" ht="15" hidden="false" customHeight="false" outlineLevel="0" collapsed="false">
      <c r="B8" s="34" t="s">
        <v>71</v>
      </c>
      <c r="D8" s="37" t="n">
        <f aca="false">IFERROR(INDEX(Borçlar!$D$5:$D$14,MATCH(1,Borçlar!$E$5:$E$14,0)),0)</f>
        <v>1500</v>
      </c>
      <c r="E8" s="37" t="n">
        <f aca="false">IFERROR(INDEX(Borçlar!$D$5:$D$14,MATCH(2,Borçlar!$E$5:$E$14,0)),0)</f>
        <v>3000</v>
      </c>
      <c r="F8" s="37" t="n">
        <f aca="false">IFERROR(INDEX(Borçlar!$D$5:$D$14,MATCH(3,Borçlar!$E$5:$E$14,0)),0)</f>
        <v>7500</v>
      </c>
      <c r="G8" s="37" t="n">
        <f aca="false">IFERROR(INDEX(Borçlar!$D$5:$D$14,MATCH(4,Borçlar!$E$5:$E$14,0)),0)</f>
        <v>2000</v>
      </c>
      <c r="H8" s="22" t="n">
        <f aca="false">IFERROR(INDEX(Borçlar!$D$5:$D$14,MATCH(5,Borçlar!$E$5:$E$14,0)),0)</f>
        <v>0</v>
      </c>
      <c r="I8" s="22" t="n">
        <f aca="false">IFERROR(INDEX(Borçlar!$D$5:$D$14,MATCH(6,Borçlar!$E$5:$E$14,0)),0)</f>
        <v>0</v>
      </c>
      <c r="J8" s="22" t="n">
        <f aca="false">IFERROR(INDEX(Borçlar!$D$5:$D$14,MATCH(7,Borçlar!$E$5:$E$14,0)),0)</f>
        <v>0</v>
      </c>
      <c r="K8" s="22" t="n">
        <f aca="false">IFERROR(INDEX(Borçlar!$D$5:$D$14,MATCH(8,Borçlar!$E$5:$E$14,0)),0)</f>
        <v>0</v>
      </c>
      <c r="L8" s="22" t="n">
        <f aca="false">IFERROR(INDEX(Borçlar!$D$5:$D$14,MATCH(9,Borçlar!$E$5:$E$14,0)),0)</f>
        <v>0</v>
      </c>
      <c r="M8" s="22" t="n">
        <f aca="false">IFERROR(INDEX(Borçlar!$D$5:$D$14,MATCH(10,Borçlar!$E$5:$E$14,0)),0)</f>
        <v>0</v>
      </c>
    </row>
    <row r="10" customFormat="false" ht="30" hidden="false" customHeight="true" outlineLevel="0" collapsed="false">
      <c r="A10" s="11" t="s">
        <v>72</v>
      </c>
      <c r="B10" s="11" t="s">
        <v>73</v>
      </c>
      <c r="C10" s="11" t="s">
        <v>74</v>
      </c>
      <c r="D10" s="11" t="s">
        <v>75</v>
      </c>
      <c r="E10" s="11" t="s">
        <v>76</v>
      </c>
      <c r="F10" s="11" t="s">
        <v>34</v>
      </c>
      <c r="N10" s="0" t="str">
        <f aca="false">"Borç 1: toplam"</f>
        <v>Borç 1: toplam</v>
      </c>
      <c r="O10" s="22" t="s">
        <v>77</v>
      </c>
      <c r="P10" s="22" t="s">
        <v>78</v>
      </c>
      <c r="Q10" s="22" t="s">
        <v>79</v>
      </c>
      <c r="R10" s="0" t="str">
        <f aca="false">"Borç 2: toplam"</f>
        <v>Borç 2: toplam</v>
      </c>
      <c r="S10" s="22" t="s">
        <v>77</v>
      </c>
      <c r="T10" s="22" t="s">
        <v>78</v>
      </c>
      <c r="U10" s="22" t="s">
        <v>79</v>
      </c>
      <c r="V10" s="0" t="str">
        <f aca="false">"Borç 3: toplam"</f>
        <v>Borç 3: toplam</v>
      </c>
      <c r="W10" s="22" t="s">
        <v>77</v>
      </c>
      <c r="X10" s="22" t="s">
        <v>78</v>
      </c>
      <c r="Y10" s="22" t="s">
        <v>79</v>
      </c>
      <c r="Z10" s="0" t="str">
        <f aca="false">"Borç 4: toplam"</f>
        <v>Borç 4: toplam</v>
      </c>
      <c r="AA10" s="22" t="s">
        <v>77</v>
      </c>
      <c r="AB10" s="22" t="s">
        <v>78</v>
      </c>
      <c r="AC10" s="22" t="s">
        <v>79</v>
      </c>
      <c r="AD10" s="0" t="str">
        <f aca="false">"Borç 5: toplam"</f>
        <v>Borç 5: toplam</v>
      </c>
      <c r="AE10" s="22" t="s">
        <v>77</v>
      </c>
      <c r="AF10" s="22" t="s">
        <v>78</v>
      </c>
      <c r="AG10" s="22" t="s">
        <v>79</v>
      </c>
      <c r="AH10" s="0" t="str">
        <f aca="false">"Borç 6: toplam"</f>
        <v>Borç 6: toplam</v>
      </c>
      <c r="AI10" s="22" t="s">
        <v>77</v>
      </c>
      <c r="AJ10" s="22" t="s">
        <v>78</v>
      </c>
      <c r="AK10" s="22" t="s">
        <v>79</v>
      </c>
      <c r="AL10" s="0" t="str">
        <f aca="false">"Borç 7: toplam"</f>
        <v>Borç 7: toplam</v>
      </c>
      <c r="AM10" s="22" t="s">
        <v>77</v>
      </c>
      <c r="AN10" s="22" t="s">
        <v>78</v>
      </c>
      <c r="AO10" s="22" t="s">
        <v>79</v>
      </c>
      <c r="AP10" s="0" t="str">
        <f aca="false">"Borç 8: toplam"</f>
        <v>Borç 8: toplam</v>
      </c>
      <c r="AQ10" s="22" t="s">
        <v>77</v>
      </c>
      <c r="AR10" s="22" t="s">
        <v>78</v>
      </c>
      <c r="AS10" s="22" t="s">
        <v>79</v>
      </c>
      <c r="AT10" s="0" t="str">
        <f aca="false">"Borç 9: toplam"</f>
        <v>Borç 9: toplam</v>
      </c>
      <c r="AU10" s="22" t="s">
        <v>77</v>
      </c>
      <c r="AV10" s="22" t="s">
        <v>78</v>
      </c>
      <c r="AW10" s="22" t="s">
        <v>79</v>
      </c>
      <c r="AX10" s="0" t="str">
        <f aca="false">"Borç 10: toplam"</f>
        <v>Borç 10: toplam</v>
      </c>
      <c r="AY10" s="22" t="s">
        <v>77</v>
      </c>
      <c r="AZ10" s="22" t="s">
        <v>78</v>
      </c>
      <c r="BA10" s="22" t="s">
        <v>79</v>
      </c>
    </row>
    <row r="11" customFormat="false" ht="15" hidden="false" customHeight="false" outlineLevel="0" collapsed="false">
      <c r="A11" s="0" t="n">
        <v>1</v>
      </c>
      <c r="B11" s="39" t="n">
        <f aca="false">EDATE(Borçlar!$K$7,0)</f>
        <v>46296</v>
      </c>
      <c r="C11" s="36" t="n">
        <f aca="false">MAX(0,Borçlar!$K$8-(O11+S11+W11+AA11+AE11+AI11+AM11+AQ11+AU11+AY11))</f>
        <v>5000</v>
      </c>
      <c r="D11" s="36" t="n">
        <f aca="false">O11+P11+S11+T11+W11+X11+AA11+AB11+AE11+AF11+AI11+AJ11+AM11+AN11+AQ11+AR11+AU11+AV11+AY11+AZ11</f>
        <v>19000</v>
      </c>
      <c r="E11" s="36" t="n">
        <f aca="false">(N11+R11+V11+Z11+AD11+AH11+AL11+AP11+AT11+AX11)-(D$6+E$6+F$6+G$6+H$6+I$6+J$6+K$6+L$6+M$6)</f>
        <v>8150</v>
      </c>
      <c r="F11" s="36" t="n">
        <f aca="false">Q11+U11+Y11+AC11+AG11+AK11+AO11+AS11+AW11+BA11</f>
        <v>234150</v>
      </c>
      <c r="N11" s="22" t="n">
        <f aca="false">D$6*(1+D$7)</f>
        <v>26250</v>
      </c>
      <c r="O11" s="22" t="n">
        <f aca="false">MIN(N11,D$8)</f>
        <v>1500</v>
      </c>
      <c r="P11" s="22" t="n">
        <f aca="false">MAX(0,MIN(N11-O11,$C11-(0)))</f>
        <v>5000</v>
      </c>
      <c r="Q11" s="22" t="n">
        <f aca="false">ROUND(N11-O11-P11,2)</f>
        <v>19750</v>
      </c>
      <c r="R11" s="22" t="n">
        <f aca="false">E$6*(1+E$7)</f>
        <v>62700</v>
      </c>
      <c r="S11" s="22" t="n">
        <f aca="false">MIN(R11,E$8)</f>
        <v>3000</v>
      </c>
      <c r="T11" s="22" t="n">
        <f aca="false">MAX(0,MIN(R11-S11,$C11-(P11)))</f>
        <v>0</v>
      </c>
      <c r="U11" s="22" t="n">
        <f aca="false">ROUND(R11-S11-T11,2)</f>
        <v>59700</v>
      </c>
      <c r="V11" s="22" t="n">
        <f aca="false">F$6*(1+F$7)</f>
        <v>124200</v>
      </c>
      <c r="W11" s="22" t="n">
        <f aca="false">MIN(V11,F$8)</f>
        <v>7500</v>
      </c>
      <c r="X11" s="22" t="n">
        <f aca="false">MAX(0,MIN(V11-W11,$C11-(P11+T11)))</f>
        <v>0</v>
      </c>
      <c r="Y11" s="22" t="n">
        <f aca="false">ROUND(V11-W11-X11,2)</f>
        <v>116700</v>
      </c>
      <c r="Z11" s="22" t="n">
        <f aca="false">G$6*(1+G$7)</f>
        <v>40000</v>
      </c>
      <c r="AA11" s="22" t="n">
        <f aca="false">MIN(Z11,G$8)</f>
        <v>2000</v>
      </c>
      <c r="AB11" s="22" t="n">
        <f aca="false">MAX(0,MIN(Z11-AA11,$C11-(P11+T11+X11)))</f>
        <v>0</v>
      </c>
      <c r="AC11" s="22" t="n">
        <f aca="false">ROUND(Z11-AA11-AB11,2)</f>
        <v>38000</v>
      </c>
      <c r="AD11" s="22" t="n">
        <f aca="false">H$6*(1+H$7)</f>
        <v>0</v>
      </c>
      <c r="AE11" s="22" t="n">
        <f aca="false">MIN(AD11,H$8)</f>
        <v>0</v>
      </c>
      <c r="AF11" s="22" t="n">
        <f aca="false">MAX(0,MIN(AD11-AE11,$C11-(P11+T11+X11+AB11)))</f>
        <v>0</v>
      </c>
      <c r="AG11" s="22" t="n">
        <f aca="false">ROUND(AD11-AE11-AF11,2)</f>
        <v>0</v>
      </c>
      <c r="AH11" s="22" t="n">
        <f aca="false">I$6*(1+I$7)</f>
        <v>0</v>
      </c>
      <c r="AI11" s="22" t="n">
        <f aca="false">MIN(AH11,I$8)</f>
        <v>0</v>
      </c>
      <c r="AJ11" s="22" t="n">
        <f aca="false">MAX(0,MIN(AH11-AI11,$C11-(P11+T11+X11+AB11+AF11)))</f>
        <v>0</v>
      </c>
      <c r="AK11" s="22" t="n">
        <f aca="false">ROUND(AH11-AI11-AJ11,2)</f>
        <v>0</v>
      </c>
      <c r="AL11" s="22" t="n">
        <f aca="false">J$6*(1+J$7)</f>
        <v>0</v>
      </c>
      <c r="AM11" s="22" t="n">
        <f aca="false">MIN(AL11,J$8)</f>
        <v>0</v>
      </c>
      <c r="AN11" s="22" t="n">
        <f aca="false">MAX(0,MIN(AL11-AM11,$C11-(P11+T11+X11+AB11+AF11+AJ11)))</f>
        <v>0</v>
      </c>
      <c r="AO11" s="22" t="n">
        <f aca="false">ROUND(AL11-AM11-AN11,2)</f>
        <v>0</v>
      </c>
      <c r="AP11" s="22" t="n">
        <f aca="false">K$6*(1+K$7)</f>
        <v>0</v>
      </c>
      <c r="AQ11" s="22" t="n">
        <f aca="false">MIN(AP11,K$8)</f>
        <v>0</v>
      </c>
      <c r="AR11" s="22" t="n">
        <f aca="false">MAX(0,MIN(AP11-AQ11,$C11-(P11+T11+X11+AB11+AF11+AJ11+AN11)))</f>
        <v>0</v>
      </c>
      <c r="AS11" s="22" t="n">
        <f aca="false">ROUND(AP11-AQ11-AR11,2)</f>
        <v>0</v>
      </c>
      <c r="AT11" s="22" t="n">
        <f aca="false">L$6*(1+L$7)</f>
        <v>0</v>
      </c>
      <c r="AU11" s="22" t="n">
        <f aca="false">MIN(AT11,L$8)</f>
        <v>0</v>
      </c>
      <c r="AV11" s="22" t="n">
        <f aca="false">MAX(0,MIN(AT11-AU11,$C11-(P11+T11+X11+AB11+AF11+AJ11+AN11+AR11)))</f>
        <v>0</v>
      </c>
      <c r="AW11" s="22" t="n">
        <f aca="false">ROUND(AT11-AU11-AV11,2)</f>
        <v>0</v>
      </c>
      <c r="AX11" s="22" t="n">
        <f aca="false">M$6*(1+M$7)</f>
        <v>0</v>
      </c>
      <c r="AY11" s="22" t="n">
        <f aca="false">MIN(AX11,M$8)</f>
        <v>0</v>
      </c>
      <c r="AZ11" s="22" t="n">
        <f aca="false">MAX(0,MIN(AX11-AY11,$C11-(P11+T11+X11+AB11+AF11+AJ11+AN11+AR11+AV11)))</f>
        <v>0</v>
      </c>
      <c r="BA11" s="22" t="n">
        <f aca="false">ROUND(AX11-AY11-AZ11,2)</f>
        <v>0</v>
      </c>
    </row>
    <row r="12" customFormat="false" ht="15" hidden="false" customHeight="false" outlineLevel="0" collapsed="false">
      <c r="A12" s="0" t="n">
        <v>2</v>
      </c>
      <c r="B12" s="39" t="n">
        <f aca="false">EDATE(Borçlar!$K$7,1)</f>
        <v>46327</v>
      </c>
      <c r="C12" s="36" t="n">
        <f aca="false">MAX(0,Borçlar!$K$8-(O12+S12+W12+AA12+AE12+AI12+AM12+AQ12+AU12+AY12))</f>
        <v>5000</v>
      </c>
      <c r="D12" s="36" t="n">
        <f aca="false">O12+P12+S12+T12+W12+X12+AA12+AB12+AE12+AF12+AI12+AJ12+AM12+AN12+AQ12+AR12+AU12+AV12+AY12+AZ12</f>
        <v>19000</v>
      </c>
      <c r="E12" s="36" t="n">
        <f aca="false">(N12+R12+V12+Z12+AD12+AH12+AL12+AP12+AT12+AX12)-(F11)</f>
        <v>7758.5</v>
      </c>
      <c r="F12" s="36" t="n">
        <f aca="false">Q12+U12+Y12+AC12+AG12+AK12+AO12+AS12+AW12+BA12</f>
        <v>222908.5</v>
      </c>
      <c r="N12" s="22" t="n">
        <f aca="false">Q11*(1+D$7)</f>
        <v>20737.5</v>
      </c>
      <c r="O12" s="22" t="n">
        <f aca="false">MIN(N12,D$8)</f>
        <v>1500</v>
      </c>
      <c r="P12" s="22" t="n">
        <f aca="false">MAX(0,MIN(N12-O12,$C12-(0)))</f>
        <v>5000</v>
      </c>
      <c r="Q12" s="22" t="n">
        <f aca="false">ROUND(N12-O12-P12,2)</f>
        <v>14237.5</v>
      </c>
      <c r="R12" s="22" t="n">
        <f aca="false">U11*(1+E$7)</f>
        <v>62386.5</v>
      </c>
      <c r="S12" s="22" t="n">
        <f aca="false">MIN(R12,E$8)</f>
        <v>3000</v>
      </c>
      <c r="T12" s="22" t="n">
        <f aca="false">MAX(0,MIN(R12-S12,$C12-(P12)))</f>
        <v>0</v>
      </c>
      <c r="U12" s="22" t="n">
        <f aca="false">ROUND(R12-S12-T12,2)</f>
        <v>59386.5</v>
      </c>
      <c r="V12" s="22" t="n">
        <f aca="false">Y11*(1+F$7)</f>
        <v>120784.5</v>
      </c>
      <c r="W12" s="22" t="n">
        <f aca="false">MIN(V12,F$8)</f>
        <v>7500</v>
      </c>
      <c r="X12" s="22" t="n">
        <f aca="false">MAX(0,MIN(V12-W12,$C12-(P12+T12)))</f>
        <v>0</v>
      </c>
      <c r="Y12" s="22" t="n">
        <f aca="false">ROUND(V12-W12-X12,2)</f>
        <v>113284.5</v>
      </c>
      <c r="Z12" s="22" t="n">
        <f aca="false">AC11*(1+G$7)</f>
        <v>38000</v>
      </c>
      <c r="AA12" s="22" t="n">
        <f aca="false">MIN(Z12,G$8)</f>
        <v>2000</v>
      </c>
      <c r="AB12" s="22" t="n">
        <f aca="false">MAX(0,MIN(Z12-AA12,$C12-(P12+T12+X12)))</f>
        <v>0</v>
      </c>
      <c r="AC12" s="22" t="n">
        <f aca="false">ROUND(Z12-AA12-AB12,2)</f>
        <v>36000</v>
      </c>
      <c r="AD12" s="22" t="n">
        <f aca="false">AG11*(1+H$7)</f>
        <v>0</v>
      </c>
      <c r="AE12" s="22" t="n">
        <f aca="false">MIN(AD12,H$8)</f>
        <v>0</v>
      </c>
      <c r="AF12" s="22" t="n">
        <f aca="false">MAX(0,MIN(AD12-AE12,$C12-(P12+T12+X12+AB12)))</f>
        <v>0</v>
      </c>
      <c r="AG12" s="22" t="n">
        <f aca="false">ROUND(AD12-AE12-AF12,2)</f>
        <v>0</v>
      </c>
      <c r="AH12" s="22" t="n">
        <f aca="false">AK11*(1+I$7)</f>
        <v>0</v>
      </c>
      <c r="AI12" s="22" t="n">
        <f aca="false">MIN(AH12,I$8)</f>
        <v>0</v>
      </c>
      <c r="AJ12" s="22" t="n">
        <f aca="false">MAX(0,MIN(AH12-AI12,$C12-(P12+T12+X12+AB12+AF12)))</f>
        <v>0</v>
      </c>
      <c r="AK12" s="22" t="n">
        <f aca="false">ROUND(AH12-AI12-AJ12,2)</f>
        <v>0</v>
      </c>
      <c r="AL12" s="22" t="n">
        <f aca="false">AO11*(1+J$7)</f>
        <v>0</v>
      </c>
      <c r="AM12" s="22" t="n">
        <f aca="false">MIN(AL12,J$8)</f>
        <v>0</v>
      </c>
      <c r="AN12" s="22" t="n">
        <f aca="false">MAX(0,MIN(AL12-AM12,$C12-(P12+T12+X12+AB12+AF12+AJ12)))</f>
        <v>0</v>
      </c>
      <c r="AO12" s="22" t="n">
        <f aca="false">ROUND(AL12-AM12-AN12,2)</f>
        <v>0</v>
      </c>
      <c r="AP12" s="22" t="n">
        <f aca="false">AS11*(1+K$7)</f>
        <v>0</v>
      </c>
      <c r="AQ12" s="22" t="n">
        <f aca="false">MIN(AP12,K$8)</f>
        <v>0</v>
      </c>
      <c r="AR12" s="22" t="n">
        <f aca="false">MAX(0,MIN(AP12-AQ12,$C12-(P12+T12+X12+AB12+AF12+AJ12+AN12)))</f>
        <v>0</v>
      </c>
      <c r="AS12" s="22" t="n">
        <f aca="false">ROUND(AP12-AQ12-AR12,2)</f>
        <v>0</v>
      </c>
      <c r="AT12" s="22" t="n">
        <f aca="false">AW11*(1+L$7)</f>
        <v>0</v>
      </c>
      <c r="AU12" s="22" t="n">
        <f aca="false">MIN(AT12,L$8)</f>
        <v>0</v>
      </c>
      <c r="AV12" s="22" t="n">
        <f aca="false">MAX(0,MIN(AT12-AU12,$C12-(P12+T12+X12+AB12+AF12+AJ12+AN12+AR12)))</f>
        <v>0</v>
      </c>
      <c r="AW12" s="22" t="n">
        <f aca="false">ROUND(AT12-AU12-AV12,2)</f>
        <v>0</v>
      </c>
      <c r="AX12" s="22" t="n">
        <f aca="false">BA11*(1+M$7)</f>
        <v>0</v>
      </c>
      <c r="AY12" s="22" t="n">
        <f aca="false">MIN(AX12,M$8)</f>
        <v>0</v>
      </c>
      <c r="AZ12" s="22" t="n">
        <f aca="false">MAX(0,MIN(AX12-AY12,$C12-(P12+T12+X12+AB12+AF12+AJ12+AN12+AR12+AV12)))</f>
        <v>0</v>
      </c>
      <c r="BA12" s="22" t="n">
        <f aca="false">ROUND(AX12-AY12-AZ12,2)</f>
        <v>0</v>
      </c>
    </row>
    <row r="13" customFormat="false" ht="15" hidden="false" customHeight="false" outlineLevel="0" collapsed="false">
      <c r="A13" s="0" t="n">
        <v>3</v>
      </c>
      <c r="B13" s="39" t="n">
        <f aca="false">EDATE(Borçlar!$K$7,2)</f>
        <v>46357</v>
      </c>
      <c r="C13" s="36" t="n">
        <f aca="false">MAX(0,Borçlar!$K$8-(O13+S13+W13+AA13+AE13+AI13+AM13+AQ13+AU13+AY13))</f>
        <v>5000</v>
      </c>
      <c r="D13" s="36" t="n">
        <f aca="false">O13+P13+S13+T13+W13+X13+AA13+AB13+AE13+AF13+AI13+AJ13+AM13+AN13+AQ13+AR13+AU13+AV13+AY13+AZ13</f>
        <v>19000</v>
      </c>
      <c r="E13" s="36" t="n">
        <f aca="false">(N13+R13+V13+Z13+AD13+AH13+AL13+AP13+AT13+AX13)-(F12)</f>
        <v>7349.22499999998</v>
      </c>
      <c r="F13" s="36" t="n">
        <f aca="false">Q13+U13+Y13+AC13+AG13+AK13+AO13+AS13+AW13+BA13</f>
        <v>211257.73</v>
      </c>
      <c r="N13" s="22" t="n">
        <f aca="false">Q12*(1+D$7)</f>
        <v>14949.375</v>
      </c>
      <c r="O13" s="22" t="n">
        <f aca="false">MIN(N13,D$8)</f>
        <v>1500</v>
      </c>
      <c r="P13" s="22" t="n">
        <f aca="false">MAX(0,MIN(N13-O13,$C13-(0)))</f>
        <v>5000</v>
      </c>
      <c r="Q13" s="22" t="n">
        <f aca="false">ROUND(N13-O13-P13,2)</f>
        <v>8449.38</v>
      </c>
      <c r="R13" s="22" t="n">
        <f aca="false">U12*(1+E$7)</f>
        <v>62058.8925</v>
      </c>
      <c r="S13" s="22" t="n">
        <f aca="false">MIN(R13,E$8)</f>
        <v>3000</v>
      </c>
      <c r="T13" s="22" t="n">
        <f aca="false">MAX(0,MIN(R13-S13,$C13-(P13)))</f>
        <v>0</v>
      </c>
      <c r="U13" s="22" t="n">
        <f aca="false">ROUND(R13-S13-T13,2)</f>
        <v>59058.89</v>
      </c>
      <c r="V13" s="22" t="n">
        <f aca="false">Y12*(1+F$7)</f>
        <v>117249.4575</v>
      </c>
      <c r="W13" s="22" t="n">
        <f aca="false">MIN(V13,F$8)</f>
        <v>7500</v>
      </c>
      <c r="X13" s="22" t="n">
        <f aca="false">MAX(0,MIN(V13-W13,$C13-(P13+T13)))</f>
        <v>0</v>
      </c>
      <c r="Y13" s="22" t="n">
        <f aca="false">ROUND(V13-W13-X13,2)</f>
        <v>109749.46</v>
      </c>
      <c r="Z13" s="22" t="n">
        <f aca="false">AC12*(1+G$7)</f>
        <v>36000</v>
      </c>
      <c r="AA13" s="22" t="n">
        <f aca="false">MIN(Z13,G$8)</f>
        <v>2000</v>
      </c>
      <c r="AB13" s="22" t="n">
        <f aca="false">MAX(0,MIN(Z13-AA13,$C13-(P13+T13+X13)))</f>
        <v>0</v>
      </c>
      <c r="AC13" s="22" t="n">
        <f aca="false">ROUND(Z13-AA13-AB13,2)</f>
        <v>34000</v>
      </c>
      <c r="AD13" s="22" t="n">
        <f aca="false">AG12*(1+H$7)</f>
        <v>0</v>
      </c>
      <c r="AE13" s="22" t="n">
        <f aca="false">MIN(AD13,H$8)</f>
        <v>0</v>
      </c>
      <c r="AF13" s="22" t="n">
        <f aca="false">MAX(0,MIN(AD13-AE13,$C13-(P13+T13+X13+AB13)))</f>
        <v>0</v>
      </c>
      <c r="AG13" s="22" t="n">
        <f aca="false">ROUND(AD13-AE13-AF13,2)</f>
        <v>0</v>
      </c>
      <c r="AH13" s="22" t="n">
        <f aca="false">AK12*(1+I$7)</f>
        <v>0</v>
      </c>
      <c r="AI13" s="22" t="n">
        <f aca="false">MIN(AH13,I$8)</f>
        <v>0</v>
      </c>
      <c r="AJ13" s="22" t="n">
        <f aca="false">MAX(0,MIN(AH13-AI13,$C13-(P13+T13+X13+AB13+AF13)))</f>
        <v>0</v>
      </c>
      <c r="AK13" s="22" t="n">
        <f aca="false">ROUND(AH13-AI13-AJ13,2)</f>
        <v>0</v>
      </c>
      <c r="AL13" s="22" t="n">
        <f aca="false">AO12*(1+J$7)</f>
        <v>0</v>
      </c>
      <c r="AM13" s="22" t="n">
        <f aca="false">MIN(AL13,J$8)</f>
        <v>0</v>
      </c>
      <c r="AN13" s="22" t="n">
        <f aca="false">MAX(0,MIN(AL13-AM13,$C13-(P13+T13+X13+AB13+AF13+AJ13)))</f>
        <v>0</v>
      </c>
      <c r="AO13" s="22" t="n">
        <f aca="false">ROUND(AL13-AM13-AN13,2)</f>
        <v>0</v>
      </c>
      <c r="AP13" s="22" t="n">
        <f aca="false">AS12*(1+K$7)</f>
        <v>0</v>
      </c>
      <c r="AQ13" s="22" t="n">
        <f aca="false">MIN(AP13,K$8)</f>
        <v>0</v>
      </c>
      <c r="AR13" s="22" t="n">
        <f aca="false">MAX(0,MIN(AP13-AQ13,$C13-(P13+T13+X13+AB13+AF13+AJ13+AN13)))</f>
        <v>0</v>
      </c>
      <c r="AS13" s="22" t="n">
        <f aca="false">ROUND(AP13-AQ13-AR13,2)</f>
        <v>0</v>
      </c>
      <c r="AT13" s="22" t="n">
        <f aca="false">AW12*(1+L$7)</f>
        <v>0</v>
      </c>
      <c r="AU13" s="22" t="n">
        <f aca="false">MIN(AT13,L$8)</f>
        <v>0</v>
      </c>
      <c r="AV13" s="22" t="n">
        <f aca="false">MAX(0,MIN(AT13-AU13,$C13-(P13+T13+X13+AB13+AF13+AJ13+AN13+AR13)))</f>
        <v>0</v>
      </c>
      <c r="AW13" s="22" t="n">
        <f aca="false">ROUND(AT13-AU13-AV13,2)</f>
        <v>0</v>
      </c>
      <c r="AX13" s="22" t="n">
        <f aca="false">BA12*(1+M$7)</f>
        <v>0</v>
      </c>
      <c r="AY13" s="22" t="n">
        <f aca="false">MIN(AX13,M$8)</f>
        <v>0</v>
      </c>
      <c r="AZ13" s="22" t="n">
        <f aca="false">MAX(0,MIN(AX13-AY13,$C13-(P13+T13+X13+AB13+AF13+AJ13+AN13+AR13+AV13)))</f>
        <v>0</v>
      </c>
      <c r="BA13" s="22" t="n">
        <f aca="false">ROUND(AX13-AY13-AZ13,2)</f>
        <v>0</v>
      </c>
    </row>
    <row r="14" customFormat="false" ht="15" hidden="false" customHeight="false" outlineLevel="0" collapsed="false">
      <c r="A14" s="0" t="n">
        <v>4</v>
      </c>
      <c r="B14" s="39" t="n">
        <f aca="false">EDATE(Borçlar!$K$7,3)</f>
        <v>46388</v>
      </c>
      <c r="C14" s="36" t="n">
        <f aca="false">MAX(0,Borçlar!$K$8-(O14+S14+W14+AA14+AE14+AI14+AM14+AQ14+AU14+AY14))</f>
        <v>5000</v>
      </c>
      <c r="D14" s="36" t="n">
        <f aca="false">O14+P14+S14+T14+W14+X14+AA14+AB14+AE14+AF14+AI14+AJ14+AM14+AN14+AQ14+AR14+AU14+AV14+AY14+AZ14</f>
        <v>19000</v>
      </c>
      <c r="E14" s="36" t="n">
        <f aca="false">(N14+R14+V14+Z14+AD14+AH14+AL14+AP14+AT14+AX14)-(F13)</f>
        <v>6921.35014999998</v>
      </c>
      <c r="F14" s="36" t="n">
        <f aca="false">Q14+U14+Y14+AC14+AG14+AK14+AO14+AS14+AW14+BA14</f>
        <v>199179.08</v>
      </c>
      <c r="N14" s="22" t="n">
        <f aca="false">Q13*(1+D$7)</f>
        <v>8871.849</v>
      </c>
      <c r="O14" s="22" t="n">
        <f aca="false">MIN(N14,D$8)</f>
        <v>1500</v>
      </c>
      <c r="P14" s="22" t="n">
        <f aca="false">MAX(0,MIN(N14-O14,$C14-(0)))</f>
        <v>5000</v>
      </c>
      <c r="Q14" s="22" t="n">
        <f aca="false">ROUND(N14-O14-P14,2)</f>
        <v>2371.85</v>
      </c>
      <c r="R14" s="22" t="n">
        <f aca="false">U13*(1+E$7)</f>
        <v>61716.54005</v>
      </c>
      <c r="S14" s="22" t="n">
        <f aca="false">MIN(R14,E$8)</f>
        <v>3000</v>
      </c>
      <c r="T14" s="22" t="n">
        <f aca="false">MAX(0,MIN(R14-S14,$C14-(P14)))</f>
        <v>0</v>
      </c>
      <c r="U14" s="22" t="n">
        <f aca="false">ROUND(R14-S14-T14,2)</f>
        <v>58716.54</v>
      </c>
      <c r="V14" s="22" t="n">
        <f aca="false">Y13*(1+F$7)</f>
        <v>113590.6911</v>
      </c>
      <c r="W14" s="22" t="n">
        <f aca="false">MIN(V14,F$8)</f>
        <v>7500</v>
      </c>
      <c r="X14" s="22" t="n">
        <f aca="false">MAX(0,MIN(V14-W14,$C14-(P14+T14)))</f>
        <v>0</v>
      </c>
      <c r="Y14" s="22" t="n">
        <f aca="false">ROUND(V14-W14-X14,2)</f>
        <v>106090.69</v>
      </c>
      <c r="Z14" s="22" t="n">
        <f aca="false">AC13*(1+G$7)</f>
        <v>34000</v>
      </c>
      <c r="AA14" s="22" t="n">
        <f aca="false">MIN(Z14,G$8)</f>
        <v>2000</v>
      </c>
      <c r="AB14" s="22" t="n">
        <f aca="false">MAX(0,MIN(Z14-AA14,$C14-(P14+T14+X14)))</f>
        <v>0</v>
      </c>
      <c r="AC14" s="22" t="n">
        <f aca="false">ROUND(Z14-AA14-AB14,2)</f>
        <v>32000</v>
      </c>
      <c r="AD14" s="22" t="n">
        <f aca="false">AG13*(1+H$7)</f>
        <v>0</v>
      </c>
      <c r="AE14" s="22" t="n">
        <f aca="false">MIN(AD14,H$8)</f>
        <v>0</v>
      </c>
      <c r="AF14" s="22" t="n">
        <f aca="false">MAX(0,MIN(AD14-AE14,$C14-(P14+T14+X14+AB14)))</f>
        <v>0</v>
      </c>
      <c r="AG14" s="22" t="n">
        <f aca="false">ROUND(AD14-AE14-AF14,2)</f>
        <v>0</v>
      </c>
      <c r="AH14" s="22" t="n">
        <f aca="false">AK13*(1+I$7)</f>
        <v>0</v>
      </c>
      <c r="AI14" s="22" t="n">
        <f aca="false">MIN(AH14,I$8)</f>
        <v>0</v>
      </c>
      <c r="AJ14" s="22" t="n">
        <f aca="false">MAX(0,MIN(AH14-AI14,$C14-(P14+T14+X14+AB14+AF14)))</f>
        <v>0</v>
      </c>
      <c r="AK14" s="22" t="n">
        <f aca="false">ROUND(AH14-AI14-AJ14,2)</f>
        <v>0</v>
      </c>
      <c r="AL14" s="22" t="n">
        <f aca="false">AO13*(1+J$7)</f>
        <v>0</v>
      </c>
      <c r="AM14" s="22" t="n">
        <f aca="false">MIN(AL14,J$8)</f>
        <v>0</v>
      </c>
      <c r="AN14" s="22" t="n">
        <f aca="false">MAX(0,MIN(AL14-AM14,$C14-(P14+T14+X14+AB14+AF14+AJ14)))</f>
        <v>0</v>
      </c>
      <c r="AO14" s="22" t="n">
        <f aca="false">ROUND(AL14-AM14-AN14,2)</f>
        <v>0</v>
      </c>
      <c r="AP14" s="22" t="n">
        <f aca="false">AS13*(1+K$7)</f>
        <v>0</v>
      </c>
      <c r="AQ14" s="22" t="n">
        <f aca="false">MIN(AP14,K$8)</f>
        <v>0</v>
      </c>
      <c r="AR14" s="22" t="n">
        <f aca="false">MAX(0,MIN(AP14-AQ14,$C14-(P14+T14+X14+AB14+AF14+AJ14+AN14)))</f>
        <v>0</v>
      </c>
      <c r="AS14" s="22" t="n">
        <f aca="false">ROUND(AP14-AQ14-AR14,2)</f>
        <v>0</v>
      </c>
      <c r="AT14" s="22" t="n">
        <f aca="false">AW13*(1+L$7)</f>
        <v>0</v>
      </c>
      <c r="AU14" s="22" t="n">
        <f aca="false">MIN(AT14,L$8)</f>
        <v>0</v>
      </c>
      <c r="AV14" s="22" t="n">
        <f aca="false">MAX(0,MIN(AT14-AU14,$C14-(P14+T14+X14+AB14+AF14+AJ14+AN14+AR14)))</f>
        <v>0</v>
      </c>
      <c r="AW14" s="22" t="n">
        <f aca="false">ROUND(AT14-AU14-AV14,2)</f>
        <v>0</v>
      </c>
      <c r="AX14" s="22" t="n">
        <f aca="false">BA13*(1+M$7)</f>
        <v>0</v>
      </c>
      <c r="AY14" s="22" t="n">
        <f aca="false">MIN(AX14,M$8)</f>
        <v>0</v>
      </c>
      <c r="AZ14" s="22" t="n">
        <f aca="false">MAX(0,MIN(AX14-AY14,$C14-(P14+T14+X14+AB14+AF14+AJ14+AN14+AR14+AV14)))</f>
        <v>0</v>
      </c>
      <c r="BA14" s="22" t="n">
        <f aca="false">ROUND(AX14-AY14-AZ14,2)</f>
        <v>0</v>
      </c>
    </row>
    <row r="15" customFormat="false" ht="15" hidden="false" customHeight="false" outlineLevel="0" collapsed="false">
      <c r="A15" s="0" t="n">
        <v>5</v>
      </c>
      <c r="B15" s="39" t="n">
        <f aca="false">EDATE(Borçlar!$K$7,4)</f>
        <v>46419</v>
      </c>
      <c r="C15" s="36" t="n">
        <f aca="false">MAX(0,Borçlar!$K$8-(O15+S15+W15+AA15+AE15+AI15+AM15+AQ15+AU15+AY15))</f>
        <v>5000</v>
      </c>
      <c r="D15" s="36" t="n">
        <f aca="false">O15+P15+S15+T15+W15+X15+AA15+AB15+AE15+AF15+AI15+AJ15+AM15+AN15+AQ15+AR15+AU15+AV15+AY15+AZ15</f>
        <v>19000</v>
      </c>
      <c r="E15" s="36" t="n">
        <f aca="false">(N15+R15+V15+Z15+AD15+AH15+AL15+AP15+AT15+AX15)-(F14)</f>
        <v>6474.01094999997</v>
      </c>
      <c r="F15" s="36" t="n">
        <f aca="false">Q15+U15+Y15+AC15+AG15+AK15+AO15+AS15+AW15+BA15</f>
        <v>186653.09</v>
      </c>
      <c r="N15" s="22" t="n">
        <f aca="false">Q14*(1+D$7)</f>
        <v>2490.4425</v>
      </c>
      <c r="O15" s="22" t="n">
        <f aca="false">MIN(N15,D$8)</f>
        <v>1500</v>
      </c>
      <c r="P15" s="22" t="n">
        <f aca="false">MAX(0,MIN(N15-O15,$C15-(0)))</f>
        <v>990.4425</v>
      </c>
      <c r="Q15" s="22" t="n">
        <f aca="false">ROUND(N15-O15-P15,2)</f>
        <v>0</v>
      </c>
      <c r="R15" s="22" t="n">
        <f aca="false">U14*(1+E$7)</f>
        <v>61358.7843</v>
      </c>
      <c r="S15" s="22" t="n">
        <f aca="false">MIN(R15,E$8)</f>
        <v>3000</v>
      </c>
      <c r="T15" s="22" t="n">
        <f aca="false">MAX(0,MIN(R15-S15,$C15-(P15)))</f>
        <v>4009.5575</v>
      </c>
      <c r="U15" s="22" t="n">
        <f aca="false">ROUND(R15-S15-T15,2)</f>
        <v>54349.23</v>
      </c>
      <c r="V15" s="22" t="n">
        <f aca="false">Y14*(1+F$7)</f>
        <v>109803.86415</v>
      </c>
      <c r="W15" s="22" t="n">
        <f aca="false">MIN(V15,F$8)</f>
        <v>7500</v>
      </c>
      <c r="X15" s="22" t="n">
        <f aca="false">MAX(0,MIN(V15-W15,$C15-(P15+T15)))</f>
        <v>0</v>
      </c>
      <c r="Y15" s="22" t="n">
        <f aca="false">ROUND(V15-W15-X15,2)</f>
        <v>102303.86</v>
      </c>
      <c r="Z15" s="22" t="n">
        <f aca="false">AC14*(1+G$7)</f>
        <v>32000</v>
      </c>
      <c r="AA15" s="22" t="n">
        <f aca="false">MIN(Z15,G$8)</f>
        <v>2000</v>
      </c>
      <c r="AB15" s="22" t="n">
        <f aca="false">MAX(0,MIN(Z15-AA15,$C15-(P15+T15+X15)))</f>
        <v>0</v>
      </c>
      <c r="AC15" s="22" t="n">
        <f aca="false">ROUND(Z15-AA15-AB15,2)</f>
        <v>30000</v>
      </c>
      <c r="AD15" s="22" t="n">
        <f aca="false">AG14*(1+H$7)</f>
        <v>0</v>
      </c>
      <c r="AE15" s="22" t="n">
        <f aca="false">MIN(AD15,H$8)</f>
        <v>0</v>
      </c>
      <c r="AF15" s="22" t="n">
        <f aca="false">MAX(0,MIN(AD15-AE15,$C15-(P15+T15+X15+AB15)))</f>
        <v>0</v>
      </c>
      <c r="AG15" s="22" t="n">
        <f aca="false">ROUND(AD15-AE15-AF15,2)</f>
        <v>0</v>
      </c>
      <c r="AH15" s="22" t="n">
        <f aca="false">AK14*(1+I$7)</f>
        <v>0</v>
      </c>
      <c r="AI15" s="22" t="n">
        <f aca="false">MIN(AH15,I$8)</f>
        <v>0</v>
      </c>
      <c r="AJ15" s="22" t="n">
        <f aca="false">MAX(0,MIN(AH15-AI15,$C15-(P15+T15+X15+AB15+AF15)))</f>
        <v>0</v>
      </c>
      <c r="AK15" s="22" t="n">
        <f aca="false">ROUND(AH15-AI15-AJ15,2)</f>
        <v>0</v>
      </c>
      <c r="AL15" s="22" t="n">
        <f aca="false">AO14*(1+J$7)</f>
        <v>0</v>
      </c>
      <c r="AM15" s="22" t="n">
        <f aca="false">MIN(AL15,J$8)</f>
        <v>0</v>
      </c>
      <c r="AN15" s="22" t="n">
        <f aca="false">MAX(0,MIN(AL15-AM15,$C15-(P15+T15+X15+AB15+AF15+AJ15)))</f>
        <v>0</v>
      </c>
      <c r="AO15" s="22" t="n">
        <f aca="false">ROUND(AL15-AM15-AN15,2)</f>
        <v>0</v>
      </c>
      <c r="AP15" s="22" t="n">
        <f aca="false">AS14*(1+K$7)</f>
        <v>0</v>
      </c>
      <c r="AQ15" s="22" t="n">
        <f aca="false">MIN(AP15,K$8)</f>
        <v>0</v>
      </c>
      <c r="AR15" s="22" t="n">
        <f aca="false">MAX(0,MIN(AP15-AQ15,$C15-(P15+T15+X15+AB15+AF15+AJ15+AN15)))</f>
        <v>0</v>
      </c>
      <c r="AS15" s="22" t="n">
        <f aca="false">ROUND(AP15-AQ15-AR15,2)</f>
        <v>0</v>
      </c>
      <c r="AT15" s="22" t="n">
        <f aca="false">AW14*(1+L$7)</f>
        <v>0</v>
      </c>
      <c r="AU15" s="22" t="n">
        <f aca="false">MIN(AT15,L$8)</f>
        <v>0</v>
      </c>
      <c r="AV15" s="22" t="n">
        <f aca="false">MAX(0,MIN(AT15-AU15,$C15-(P15+T15+X15+AB15+AF15+AJ15+AN15+AR15)))</f>
        <v>0</v>
      </c>
      <c r="AW15" s="22" t="n">
        <f aca="false">ROUND(AT15-AU15-AV15,2)</f>
        <v>0</v>
      </c>
      <c r="AX15" s="22" t="n">
        <f aca="false">BA14*(1+M$7)</f>
        <v>0</v>
      </c>
      <c r="AY15" s="22" t="n">
        <f aca="false">MIN(AX15,M$8)</f>
        <v>0</v>
      </c>
      <c r="AZ15" s="22" t="n">
        <f aca="false">MAX(0,MIN(AX15-AY15,$C15-(P15+T15+X15+AB15+AF15+AJ15+AN15+AR15+AV15)))</f>
        <v>0</v>
      </c>
      <c r="BA15" s="22" t="n">
        <f aca="false">ROUND(AX15-AY15-AZ15,2)</f>
        <v>0</v>
      </c>
    </row>
    <row r="16" customFormat="false" ht="15" hidden="false" customHeight="false" outlineLevel="0" collapsed="false">
      <c r="A16" s="0" t="n">
        <v>6</v>
      </c>
      <c r="B16" s="39" t="n">
        <f aca="false">EDATE(Borçlar!$K$7,5)</f>
        <v>46447</v>
      </c>
      <c r="C16" s="36" t="n">
        <f aca="false">MAX(0,Borçlar!$K$8-(O16+S16+W16+AA16+AE16+AI16+AM16+AQ16+AU16+AY16))</f>
        <v>6500</v>
      </c>
      <c r="D16" s="36" t="n">
        <f aca="false">O16+P16+S16+T16+W16+X16+AA16+AB16+AE16+AF16+AI16+AJ16+AM16+AN16+AQ16+AR16+AU16+AV16+AY16+AZ16</f>
        <v>19000</v>
      </c>
      <c r="E16" s="36" t="n">
        <f aca="false">(N16+R16+V16+Z16+AD16+AH16+AL16+AP16+AT16+AX16)-(F15)</f>
        <v>6026.35045</v>
      </c>
      <c r="F16" s="36" t="n">
        <f aca="false">Q16+U16+Y16+AC16+AG16+AK16+AO16+AS16+AW16+BA16</f>
        <v>173679.45</v>
      </c>
      <c r="N16" s="22" t="n">
        <f aca="false">Q15*(1+D$7)</f>
        <v>0</v>
      </c>
      <c r="O16" s="22" t="n">
        <f aca="false">MIN(N16,D$8)</f>
        <v>0</v>
      </c>
      <c r="P16" s="22" t="n">
        <f aca="false">MAX(0,MIN(N16-O16,$C16-(0)))</f>
        <v>0</v>
      </c>
      <c r="Q16" s="22" t="n">
        <f aca="false">ROUND(N16-O16-P16,2)</f>
        <v>0</v>
      </c>
      <c r="R16" s="22" t="n">
        <f aca="false">U15*(1+E$7)</f>
        <v>56794.94535</v>
      </c>
      <c r="S16" s="22" t="n">
        <f aca="false">MIN(R16,E$8)</f>
        <v>3000</v>
      </c>
      <c r="T16" s="22" t="n">
        <f aca="false">MAX(0,MIN(R16-S16,$C16-(P16)))</f>
        <v>6500</v>
      </c>
      <c r="U16" s="22" t="n">
        <f aca="false">ROUND(R16-S16-T16,2)</f>
        <v>47294.95</v>
      </c>
      <c r="V16" s="22" t="n">
        <f aca="false">Y15*(1+F$7)</f>
        <v>105884.4951</v>
      </c>
      <c r="W16" s="22" t="n">
        <f aca="false">MIN(V16,F$8)</f>
        <v>7500</v>
      </c>
      <c r="X16" s="22" t="n">
        <f aca="false">MAX(0,MIN(V16-W16,$C16-(P16+T16)))</f>
        <v>0</v>
      </c>
      <c r="Y16" s="22" t="n">
        <f aca="false">ROUND(V16-W16-X16,2)</f>
        <v>98384.5</v>
      </c>
      <c r="Z16" s="22" t="n">
        <f aca="false">AC15*(1+G$7)</f>
        <v>30000</v>
      </c>
      <c r="AA16" s="22" t="n">
        <f aca="false">MIN(Z16,G$8)</f>
        <v>2000</v>
      </c>
      <c r="AB16" s="22" t="n">
        <f aca="false">MAX(0,MIN(Z16-AA16,$C16-(P16+T16+X16)))</f>
        <v>0</v>
      </c>
      <c r="AC16" s="22" t="n">
        <f aca="false">ROUND(Z16-AA16-AB16,2)</f>
        <v>28000</v>
      </c>
      <c r="AD16" s="22" t="n">
        <f aca="false">AG15*(1+H$7)</f>
        <v>0</v>
      </c>
      <c r="AE16" s="22" t="n">
        <f aca="false">MIN(AD16,H$8)</f>
        <v>0</v>
      </c>
      <c r="AF16" s="22" t="n">
        <f aca="false">MAX(0,MIN(AD16-AE16,$C16-(P16+T16+X16+AB16)))</f>
        <v>0</v>
      </c>
      <c r="AG16" s="22" t="n">
        <f aca="false">ROUND(AD16-AE16-AF16,2)</f>
        <v>0</v>
      </c>
      <c r="AH16" s="22" t="n">
        <f aca="false">AK15*(1+I$7)</f>
        <v>0</v>
      </c>
      <c r="AI16" s="22" t="n">
        <f aca="false">MIN(AH16,I$8)</f>
        <v>0</v>
      </c>
      <c r="AJ16" s="22" t="n">
        <f aca="false">MAX(0,MIN(AH16-AI16,$C16-(P16+T16+X16+AB16+AF16)))</f>
        <v>0</v>
      </c>
      <c r="AK16" s="22" t="n">
        <f aca="false">ROUND(AH16-AI16-AJ16,2)</f>
        <v>0</v>
      </c>
      <c r="AL16" s="22" t="n">
        <f aca="false">AO15*(1+J$7)</f>
        <v>0</v>
      </c>
      <c r="AM16" s="22" t="n">
        <f aca="false">MIN(AL16,J$8)</f>
        <v>0</v>
      </c>
      <c r="AN16" s="22" t="n">
        <f aca="false">MAX(0,MIN(AL16-AM16,$C16-(P16+T16+X16+AB16+AF16+AJ16)))</f>
        <v>0</v>
      </c>
      <c r="AO16" s="22" t="n">
        <f aca="false">ROUND(AL16-AM16-AN16,2)</f>
        <v>0</v>
      </c>
      <c r="AP16" s="22" t="n">
        <f aca="false">AS15*(1+K$7)</f>
        <v>0</v>
      </c>
      <c r="AQ16" s="22" t="n">
        <f aca="false">MIN(AP16,K$8)</f>
        <v>0</v>
      </c>
      <c r="AR16" s="22" t="n">
        <f aca="false">MAX(0,MIN(AP16-AQ16,$C16-(P16+T16+X16+AB16+AF16+AJ16+AN16)))</f>
        <v>0</v>
      </c>
      <c r="AS16" s="22" t="n">
        <f aca="false">ROUND(AP16-AQ16-AR16,2)</f>
        <v>0</v>
      </c>
      <c r="AT16" s="22" t="n">
        <f aca="false">AW15*(1+L$7)</f>
        <v>0</v>
      </c>
      <c r="AU16" s="22" t="n">
        <f aca="false">MIN(AT16,L$8)</f>
        <v>0</v>
      </c>
      <c r="AV16" s="22" t="n">
        <f aca="false">MAX(0,MIN(AT16-AU16,$C16-(P16+T16+X16+AB16+AF16+AJ16+AN16+AR16)))</f>
        <v>0</v>
      </c>
      <c r="AW16" s="22" t="n">
        <f aca="false">ROUND(AT16-AU16-AV16,2)</f>
        <v>0</v>
      </c>
      <c r="AX16" s="22" t="n">
        <f aca="false">BA15*(1+M$7)</f>
        <v>0</v>
      </c>
      <c r="AY16" s="22" t="n">
        <f aca="false">MIN(AX16,M$8)</f>
        <v>0</v>
      </c>
      <c r="AZ16" s="22" t="n">
        <f aca="false">MAX(0,MIN(AX16-AY16,$C16-(P16+T16+X16+AB16+AF16+AJ16+AN16+AR16+AV16)))</f>
        <v>0</v>
      </c>
      <c r="BA16" s="22" t="n">
        <f aca="false">ROUND(AX16-AY16-AZ16,2)</f>
        <v>0</v>
      </c>
    </row>
    <row r="17" customFormat="false" ht="15" hidden="false" customHeight="false" outlineLevel="0" collapsed="false">
      <c r="A17" s="0" t="n">
        <v>7</v>
      </c>
      <c r="B17" s="39" t="n">
        <f aca="false">EDATE(Borçlar!$K$7,6)</f>
        <v>46478</v>
      </c>
      <c r="C17" s="36" t="n">
        <f aca="false">MAX(0,Borçlar!$K$8-(O17+S17+W17+AA17+AE17+AI17+AM17+AQ17+AU17+AY17))</f>
        <v>6500</v>
      </c>
      <c r="D17" s="36" t="n">
        <f aca="false">O17+P17+S17+T17+W17+X17+AA17+AB17+AE17+AF17+AI17+AJ17+AM17+AN17+AQ17+AR17+AU17+AV17+AY17+AZ17</f>
        <v>19000</v>
      </c>
      <c r="E17" s="36" t="n">
        <f aca="false">(N17+R17+V17+Z17+AD17+AH17+AL17+AP17+AT17+AX17)-(F16)</f>
        <v>5571.73024999996</v>
      </c>
      <c r="F17" s="36" t="n">
        <f aca="false">Q17+U17+Y17+AC17+AG17+AK17+AO17+AS17+AW17+BA17</f>
        <v>160251.18</v>
      </c>
      <c r="N17" s="22" t="n">
        <f aca="false">Q16*(1+D$7)</f>
        <v>0</v>
      </c>
      <c r="O17" s="22" t="n">
        <f aca="false">MIN(N17,D$8)</f>
        <v>0</v>
      </c>
      <c r="P17" s="22" t="n">
        <f aca="false">MAX(0,MIN(N17-O17,$C17-(0)))</f>
        <v>0</v>
      </c>
      <c r="Q17" s="22" t="n">
        <f aca="false">ROUND(N17-O17-P17,2)</f>
        <v>0</v>
      </c>
      <c r="R17" s="22" t="n">
        <f aca="false">U16*(1+E$7)</f>
        <v>49423.22275</v>
      </c>
      <c r="S17" s="22" t="n">
        <f aca="false">MIN(R17,E$8)</f>
        <v>3000</v>
      </c>
      <c r="T17" s="22" t="n">
        <f aca="false">MAX(0,MIN(R17-S17,$C17-(P17)))</f>
        <v>6500</v>
      </c>
      <c r="U17" s="22" t="n">
        <f aca="false">ROUND(R17-S17-T17,2)</f>
        <v>39923.22</v>
      </c>
      <c r="V17" s="22" t="n">
        <f aca="false">Y16*(1+F$7)</f>
        <v>101827.9575</v>
      </c>
      <c r="W17" s="22" t="n">
        <f aca="false">MIN(V17,F$8)</f>
        <v>7500</v>
      </c>
      <c r="X17" s="22" t="n">
        <f aca="false">MAX(0,MIN(V17-W17,$C17-(P17+T17)))</f>
        <v>0</v>
      </c>
      <c r="Y17" s="22" t="n">
        <f aca="false">ROUND(V17-W17-X17,2)</f>
        <v>94327.96</v>
      </c>
      <c r="Z17" s="22" t="n">
        <f aca="false">AC16*(1+G$7)</f>
        <v>28000</v>
      </c>
      <c r="AA17" s="22" t="n">
        <f aca="false">MIN(Z17,G$8)</f>
        <v>2000</v>
      </c>
      <c r="AB17" s="22" t="n">
        <f aca="false">MAX(0,MIN(Z17-AA17,$C17-(P17+T17+X17)))</f>
        <v>0</v>
      </c>
      <c r="AC17" s="22" t="n">
        <f aca="false">ROUND(Z17-AA17-AB17,2)</f>
        <v>26000</v>
      </c>
      <c r="AD17" s="22" t="n">
        <f aca="false">AG16*(1+H$7)</f>
        <v>0</v>
      </c>
      <c r="AE17" s="22" t="n">
        <f aca="false">MIN(AD17,H$8)</f>
        <v>0</v>
      </c>
      <c r="AF17" s="22" t="n">
        <f aca="false">MAX(0,MIN(AD17-AE17,$C17-(P17+T17+X17+AB17)))</f>
        <v>0</v>
      </c>
      <c r="AG17" s="22" t="n">
        <f aca="false">ROUND(AD17-AE17-AF17,2)</f>
        <v>0</v>
      </c>
      <c r="AH17" s="22" t="n">
        <f aca="false">AK16*(1+I$7)</f>
        <v>0</v>
      </c>
      <c r="AI17" s="22" t="n">
        <f aca="false">MIN(AH17,I$8)</f>
        <v>0</v>
      </c>
      <c r="AJ17" s="22" t="n">
        <f aca="false">MAX(0,MIN(AH17-AI17,$C17-(P17+T17+X17+AB17+AF17)))</f>
        <v>0</v>
      </c>
      <c r="AK17" s="22" t="n">
        <f aca="false">ROUND(AH17-AI17-AJ17,2)</f>
        <v>0</v>
      </c>
      <c r="AL17" s="22" t="n">
        <f aca="false">AO16*(1+J$7)</f>
        <v>0</v>
      </c>
      <c r="AM17" s="22" t="n">
        <f aca="false">MIN(AL17,J$8)</f>
        <v>0</v>
      </c>
      <c r="AN17" s="22" t="n">
        <f aca="false">MAX(0,MIN(AL17-AM17,$C17-(P17+T17+X17+AB17+AF17+AJ17)))</f>
        <v>0</v>
      </c>
      <c r="AO17" s="22" t="n">
        <f aca="false">ROUND(AL17-AM17-AN17,2)</f>
        <v>0</v>
      </c>
      <c r="AP17" s="22" t="n">
        <f aca="false">AS16*(1+K$7)</f>
        <v>0</v>
      </c>
      <c r="AQ17" s="22" t="n">
        <f aca="false">MIN(AP17,K$8)</f>
        <v>0</v>
      </c>
      <c r="AR17" s="22" t="n">
        <f aca="false">MAX(0,MIN(AP17-AQ17,$C17-(P17+T17+X17+AB17+AF17+AJ17+AN17)))</f>
        <v>0</v>
      </c>
      <c r="AS17" s="22" t="n">
        <f aca="false">ROUND(AP17-AQ17-AR17,2)</f>
        <v>0</v>
      </c>
      <c r="AT17" s="22" t="n">
        <f aca="false">AW16*(1+L$7)</f>
        <v>0</v>
      </c>
      <c r="AU17" s="22" t="n">
        <f aca="false">MIN(AT17,L$8)</f>
        <v>0</v>
      </c>
      <c r="AV17" s="22" t="n">
        <f aca="false">MAX(0,MIN(AT17-AU17,$C17-(P17+T17+X17+AB17+AF17+AJ17+AN17+AR17)))</f>
        <v>0</v>
      </c>
      <c r="AW17" s="22" t="n">
        <f aca="false">ROUND(AT17-AU17-AV17,2)</f>
        <v>0</v>
      </c>
      <c r="AX17" s="22" t="n">
        <f aca="false">BA16*(1+M$7)</f>
        <v>0</v>
      </c>
      <c r="AY17" s="22" t="n">
        <f aca="false">MIN(AX17,M$8)</f>
        <v>0</v>
      </c>
      <c r="AZ17" s="22" t="n">
        <f aca="false">MAX(0,MIN(AX17-AY17,$C17-(P17+T17+X17+AB17+AF17+AJ17+AN17+AR17+AV17)))</f>
        <v>0</v>
      </c>
      <c r="BA17" s="22" t="n">
        <f aca="false">ROUND(AX17-AY17-AZ17,2)</f>
        <v>0</v>
      </c>
    </row>
    <row r="18" customFormat="false" ht="15" hidden="false" customHeight="false" outlineLevel="0" collapsed="false">
      <c r="A18" s="0" t="n">
        <v>8</v>
      </c>
      <c r="B18" s="39" t="n">
        <f aca="false">EDATE(Borçlar!$K$7,7)</f>
        <v>46508</v>
      </c>
      <c r="C18" s="36" t="n">
        <f aca="false">MAX(0,Borçlar!$K$8-(O18+S18+W18+AA18+AE18+AI18+AM18+AQ18+AU18+AY18))</f>
        <v>6500</v>
      </c>
      <c r="D18" s="36" t="n">
        <f aca="false">O18+P18+S18+T18+W18+X18+AA18+AB18+AE18+AF18+AI18+AJ18+AM18+AN18+AQ18+AR18+AU18+AV18+AY18+AZ18</f>
        <v>19000</v>
      </c>
      <c r="E18" s="36" t="n">
        <f aca="false">(N18+R18+V18+Z18+AD18+AH18+AL18+AP18+AT18+AX18)-(F17)</f>
        <v>5098.02350000001</v>
      </c>
      <c r="F18" s="36" t="n">
        <f aca="false">Q18+U18+Y18+AC18+AG18+AK18+AO18+AS18+AW18+BA18</f>
        <v>146349.2</v>
      </c>
      <c r="N18" s="22" t="n">
        <f aca="false">Q17*(1+D$7)</f>
        <v>0</v>
      </c>
      <c r="O18" s="22" t="n">
        <f aca="false">MIN(N18,D$8)</f>
        <v>0</v>
      </c>
      <c r="P18" s="22" t="n">
        <f aca="false">MAX(0,MIN(N18-O18,$C18-(0)))</f>
        <v>0</v>
      </c>
      <c r="Q18" s="22" t="n">
        <f aca="false">ROUND(N18-O18-P18,2)</f>
        <v>0</v>
      </c>
      <c r="R18" s="22" t="n">
        <f aca="false">U17*(1+E$7)</f>
        <v>41719.7649</v>
      </c>
      <c r="S18" s="22" t="n">
        <f aca="false">MIN(R18,E$8)</f>
        <v>3000</v>
      </c>
      <c r="T18" s="22" t="n">
        <f aca="false">MAX(0,MIN(R18-S18,$C18-(P18)))</f>
        <v>6500</v>
      </c>
      <c r="U18" s="22" t="n">
        <f aca="false">ROUND(R18-S18-T18,2)</f>
        <v>32219.76</v>
      </c>
      <c r="V18" s="22" t="n">
        <f aca="false">Y17*(1+F$7)</f>
        <v>97629.4386</v>
      </c>
      <c r="W18" s="22" t="n">
        <f aca="false">MIN(V18,F$8)</f>
        <v>7500</v>
      </c>
      <c r="X18" s="22" t="n">
        <f aca="false">MAX(0,MIN(V18-W18,$C18-(P18+T18)))</f>
        <v>0</v>
      </c>
      <c r="Y18" s="22" t="n">
        <f aca="false">ROUND(V18-W18-X18,2)</f>
        <v>90129.44</v>
      </c>
      <c r="Z18" s="22" t="n">
        <f aca="false">AC17*(1+G$7)</f>
        <v>26000</v>
      </c>
      <c r="AA18" s="22" t="n">
        <f aca="false">MIN(Z18,G$8)</f>
        <v>2000</v>
      </c>
      <c r="AB18" s="22" t="n">
        <f aca="false">MAX(0,MIN(Z18-AA18,$C18-(P18+T18+X18)))</f>
        <v>0</v>
      </c>
      <c r="AC18" s="22" t="n">
        <f aca="false">ROUND(Z18-AA18-AB18,2)</f>
        <v>24000</v>
      </c>
      <c r="AD18" s="22" t="n">
        <f aca="false">AG17*(1+H$7)</f>
        <v>0</v>
      </c>
      <c r="AE18" s="22" t="n">
        <f aca="false">MIN(AD18,H$8)</f>
        <v>0</v>
      </c>
      <c r="AF18" s="22" t="n">
        <f aca="false">MAX(0,MIN(AD18-AE18,$C18-(P18+T18+X18+AB18)))</f>
        <v>0</v>
      </c>
      <c r="AG18" s="22" t="n">
        <f aca="false">ROUND(AD18-AE18-AF18,2)</f>
        <v>0</v>
      </c>
      <c r="AH18" s="22" t="n">
        <f aca="false">AK17*(1+I$7)</f>
        <v>0</v>
      </c>
      <c r="AI18" s="22" t="n">
        <f aca="false">MIN(AH18,I$8)</f>
        <v>0</v>
      </c>
      <c r="AJ18" s="22" t="n">
        <f aca="false">MAX(0,MIN(AH18-AI18,$C18-(P18+T18+X18+AB18+AF18)))</f>
        <v>0</v>
      </c>
      <c r="AK18" s="22" t="n">
        <f aca="false">ROUND(AH18-AI18-AJ18,2)</f>
        <v>0</v>
      </c>
      <c r="AL18" s="22" t="n">
        <f aca="false">AO17*(1+J$7)</f>
        <v>0</v>
      </c>
      <c r="AM18" s="22" t="n">
        <f aca="false">MIN(AL18,J$8)</f>
        <v>0</v>
      </c>
      <c r="AN18" s="22" t="n">
        <f aca="false">MAX(0,MIN(AL18-AM18,$C18-(P18+T18+X18+AB18+AF18+AJ18)))</f>
        <v>0</v>
      </c>
      <c r="AO18" s="22" t="n">
        <f aca="false">ROUND(AL18-AM18-AN18,2)</f>
        <v>0</v>
      </c>
      <c r="AP18" s="22" t="n">
        <f aca="false">AS17*(1+K$7)</f>
        <v>0</v>
      </c>
      <c r="AQ18" s="22" t="n">
        <f aca="false">MIN(AP18,K$8)</f>
        <v>0</v>
      </c>
      <c r="AR18" s="22" t="n">
        <f aca="false">MAX(0,MIN(AP18-AQ18,$C18-(P18+T18+X18+AB18+AF18+AJ18+AN18)))</f>
        <v>0</v>
      </c>
      <c r="AS18" s="22" t="n">
        <f aca="false">ROUND(AP18-AQ18-AR18,2)</f>
        <v>0</v>
      </c>
      <c r="AT18" s="22" t="n">
        <f aca="false">AW17*(1+L$7)</f>
        <v>0</v>
      </c>
      <c r="AU18" s="22" t="n">
        <f aca="false">MIN(AT18,L$8)</f>
        <v>0</v>
      </c>
      <c r="AV18" s="22" t="n">
        <f aca="false">MAX(0,MIN(AT18-AU18,$C18-(P18+T18+X18+AB18+AF18+AJ18+AN18+AR18)))</f>
        <v>0</v>
      </c>
      <c r="AW18" s="22" t="n">
        <f aca="false">ROUND(AT18-AU18-AV18,2)</f>
        <v>0</v>
      </c>
      <c r="AX18" s="22" t="n">
        <f aca="false">BA17*(1+M$7)</f>
        <v>0</v>
      </c>
      <c r="AY18" s="22" t="n">
        <f aca="false">MIN(AX18,M$8)</f>
        <v>0</v>
      </c>
      <c r="AZ18" s="22" t="n">
        <f aca="false">MAX(0,MIN(AX18-AY18,$C18-(P18+T18+X18+AB18+AF18+AJ18+AN18+AR18+AV18)))</f>
        <v>0</v>
      </c>
      <c r="BA18" s="22" t="n">
        <f aca="false">ROUND(AX18-AY18-AZ18,2)</f>
        <v>0</v>
      </c>
    </row>
    <row r="19" customFormat="false" ht="15" hidden="false" customHeight="false" outlineLevel="0" collapsed="false">
      <c r="A19" s="0" t="n">
        <v>9</v>
      </c>
      <c r="B19" s="39" t="n">
        <f aca="false">EDATE(Borçlar!$K$7,8)</f>
        <v>46539</v>
      </c>
      <c r="C19" s="36" t="n">
        <f aca="false">MAX(0,Borçlar!$K$8-(O19+S19+W19+AA19+AE19+AI19+AM19+AQ19+AU19+AY19))</f>
        <v>6500</v>
      </c>
      <c r="D19" s="36" t="n">
        <f aca="false">O19+P19+S19+T19+W19+X19+AA19+AB19+AE19+AF19+AI19+AJ19+AM19+AN19+AQ19+AR19+AU19+AV19+AY19+AZ19</f>
        <v>19000</v>
      </c>
      <c r="E19" s="36" t="n">
        <f aca="false">(N19+R19+V19+Z19+AD19+AH19+AL19+AP19+AT19+AX19)-(F18)</f>
        <v>4604.41959999997</v>
      </c>
      <c r="F19" s="36" t="n">
        <f aca="false">Q19+U19+Y19+AC19+AG19+AK19+AO19+AS19+AW19+BA19</f>
        <v>131953.62</v>
      </c>
      <c r="N19" s="22" t="n">
        <f aca="false">Q18*(1+D$7)</f>
        <v>0</v>
      </c>
      <c r="O19" s="22" t="n">
        <f aca="false">MIN(N19,D$8)</f>
        <v>0</v>
      </c>
      <c r="P19" s="22" t="n">
        <f aca="false">MAX(0,MIN(N19-O19,$C19-(0)))</f>
        <v>0</v>
      </c>
      <c r="Q19" s="22" t="n">
        <f aca="false">ROUND(N19-O19-P19,2)</f>
        <v>0</v>
      </c>
      <c r="R19" s="22" t="n">
        <f aca="false">U18*(1+E$7)</f>
        <v>33669.6492</v>
      </c>
      <c r="S19" s="22" t="n">
        <f aca="false">MIN(R19,E$8)</f>
        <v>3000</v>
      </c>
      <c r="T19" s="22" t="n">
        <f aca="false">MAX(0,MIN(R19-S19,$C19-(P19)))</f>
        <v>6500</v>
      </c>
      <c r="U19" s="22" t="n">
        <f aca="false">ROUND(R19-S19-T19,2)</f>
        <v>24169.65</v>
      </c>
      <c r="V19" s="22" t="n">
        <f aca="false">Y18*(1+F$7)</f>
        <v>93283.9704</v>
      </c>
      <c r="W19" s="22" t="n">
        <f aca="false">MIN(V19,F$8)</f>
        <v>7500</v>
      </c>
      <c r="X19" s="22" t="n">
        <f aca="false">MAX(0,MIN(V19-W19,$C19-(P19+T19)))</f>
        <v>0</v>
      </c>
      <c r="Y19" s="22" t="n">
        <f aca="false">ROUND(V19-W19-X19,2)</f>
        <v>85783.97</v>
      </c>
      <c r="Z19" s="22" t="n">
        <f aca="false">AC18*(1+G$7)</f>
        <v>24000</v>
      </c>
      <c r="AA19" s="22" t="n">
        <f aca="false">MIN(Z19,G$8)</f>
        <v>2000</v>
      </c>
      <c r="AB19" s="22" t="n">
        <f aca="false">MAX(0,MIN(Z19-AA19,$C19-(P19+T19+X19)))</f>
        <v>0</v>
      </c>
      <c r="AC19" s="22" t="n">
        <f aca="false">ROUND(Z19-AA19-AB19,2)</f>
        <v>22000</v>
      </c>
      <c r="AD19" s="22" t="n">
        <f aca="false">AG18*(1+H$7)</f>
        <v>0</v>
      </c>
      <c r="AE19" s="22" t="n">
        <f aca="false">MIN(AD19,H$8)</f>
        <v>0</v>
      </c>
      <c r="AF19" s="22" t="n">
        <f aca="false">MAX(0,MIN(AD19-AE19,$C19-(P19+T19+X19+AB19)))</f>
        <v>0</v>
      </c>
      <c r="AG19" s="22" t="n">
        <f aca="false">ROUND(AD19-AE19-AF19,2)</f>
        <v>0</v>
      </c>
      <c r="AH19" s="22" t="n">
        <f aca="false">AK18*(1+I$7)</f>
        <v>0</v>
      </c>
      <c r="AI19" s="22" t="n">
        <f aca="false">MIN(AH19,I$8)</f>
        <v>0</v>
      </c>
      <c r="AJ19" s="22" t="n">
        <f aca="false">MAX(0,MIN(AH19-AI19,$C19-(P19+T19+X19+AB19+AF19)))</f>
        <v>0</v>
      </c>
      <c r="AK19" s="22" t="n">
        <f aca="false">ROUND(AH19-AI19-AJ19,2)</f>
        <v>0</v>
      </c>
      <c r="AL19" s="22" t="n">
        <f aca="false">AO18*(1+J$7)</f>
        <v>0</v>
      </c>
      <c r="AM19" s="22" t="n">
        <f aca="false">MIN(AL19,J$8)</f>
        <v>0</v>
      </c>
      <c r="AN19" s="22" t="n">
        <f aca="false">MAX(0,MIN(AL19-AM19,$C19-(P19+T19+X19+AB19+AF19+AJ19)))</f>
        <v>0</v>
      </c>
      <c r="AO19" s="22" t="n">
        <f aca="false">ROUND(AL19-AM19-AN19,2)</f>
        <v>0</v>
      </c>
      <c r="AP19" s="22" t="n">
        <f aca="false">AS18*(1+K$7)</f>
        <v>0</v>
      </c>
      <c r="AQ19" s="22" t="n">
        <f aca="false">MIN(AP19,K$8)</f>
        <v>0</v>
      </c>
      <c r="AR19" s="22" t="n">
        <f aca="false">MAX(0,MIN(AP19-AQ19,$C19-(P19+T19+X19+AB19+AF19+AJ19+AN19)))</f>
        <v>0</v>
      </c>
      <c r="AS19" s="22" t="n">
        <f aca="false">ROUND(AP19-AQ19-AR19,2)</f>
        <v>0</v>
      </c>
      <c r="AT19" s="22" t="n">
        <f aca="false">AW18*(1+L$7)</f>
        <v>0</v>
      </c>
      <c r="AU19" s="22" t="n">
        <f aca="false">MIN(AT19,L$8)</f>
        <v>0</v>
      </c>
      <c r="AV19" s="22" t="n">
        <f aca="false">MAX(0,MIN(AT19-AU19,$C19-(P19+T19+X19+AB19+AF19+AJ19+AN19+AR19)))</f>
        <v>0</v>
      </c>
      <c r="AW19" s="22" t="n">
        <f aca="false">ROUND(AT19-AU19-AV19,2)</f>
        <v>0</v>
      </c>
      <c r="AX19" s="22" t="n">
        <f aca="false">BA18*(1+M$7)</f>
        <v>0</v>
      </c>
      <c r="AY19" s="22" t="n">
        <f aca="false">MIN(AX19,M$8)</f>
        <v>0</v>
      </c>
      <c r="AZ19" s="22" t="n">
        <f aca="false">MAX(0,MIN(AX19-AY19,$C19-(P19+T19+X19+AB19+AF19+AJ19+AN19+AR19+AV19)))</f>
        <v>0</v>
      </c>
      <c r="BA19" s="22" t="n">
        <f aca="false">ROUND(AX19-AY19-AZ19,2)</f>
        <v>0</v>
      </c>
    </row>
    <row r="20" customFormat="false" ht="15" hidden="false" customHeight="false" outlineLevel="0" collapsed="false">
      <c r="A20" s="0" t="n">
        <v>10</v>
      </c>
      <c r="B20" s="39" t="n">
        <f aca="false">EDATE(Borçlar!$K$7,9)</f>
        <v>46569</v>
      </c>
      <c r="C20" s="36" t="n">
        <f aca="false">MAX(0,Borçlar!$K$8-(O20+S20+W20+AA20+AE20+AI20+AM20+AQ20+AU20+AY20))</f>
        <v>6500</v>
      </c>
      <c r="D20" s="36" t="n">
        <f aca="false">O20+P20+S20+T20+W20+X20+AA20+AB20+AE20+AF20+AI20+AJ20+AM20+AN20+AQ20+AR20+AU20+AV20+AY20+AZ20</f>
        <v>19000</v>
      </c>
      <c r="E20" s="36" t="n">
        <f aca="false">(N20+R20+V20+Z20+AD20+AH20+AL20+AP20+AT20+AX20)-(F19)</f>
        <v>4090.07319999998</v>
      </c>
      <c r="F20" s="36" t="n">
        <f aca="false">Q20+U20+Y20+AC20+AG20+AK20+AO20+AS20+AW20+BA20</f>
        <v>117043.69</v>
      </c>
      <c r="N20" s="22" t="n">
        <f aca="false">Q19*(1+D$7)</f>
        <v>0</v>
      </c>
      <c r="O20" s="22" t="n">
        <f aca="false">MIN(N20,D$8)</f>
        <v>0</v>
      </c>
      <c r="P20" s="22" t="n">
        <f aca="false">MAX(0,MIN(N20-O20,$C20-(0)))</f>
        <v>0</v>
      </c>
      <c r="Q20" s="22" t="n">
        <f aca="false">ROUND(N20-O20-P20,2)</f>
        <v>0</v>
      </c>
      <c r="R20" s="22" t="n">
        <f aca="false">U19*(1+E$7)</f>
        <v>25257.28425</v>
      </c>
      <c r="S20" s="22" t="n">
        <f aca="false">MIN(R20,E$8)</f>
        <v>3000</v>
      </c>
      <c r="T20" s="22" t="n">
        <f aca="false">MAX(0,MIN(R20-S20,$C20-(P20)))</f>
        <v>6500</v>
      </c>
      <c r="U20" s="22" t="n">
        <f aca="false">ROUND(R20-S20-T20,2)</f>
        <v>15757.28</v>
      </c>
      <c r="V20" s="22" t="n">
        <f aca="false">Y19*(1+F$7)</f>
        <v>88786.40895</v>
      </c>
      <c r="W20" s="22" t="n">
        <f aca="false">MIN(V20,F$8)</f>
        <v>7500</v>
      </c>
      <c r="X20" s="22" t="n">
        <f aca="false">MAX(0,MIN(V20-W20,$C20-(P20+T20)))</f>
        <v>0</v>
      </c>
      <c r="Y20" s="22" t="n">
        <f aca="false">ROUND(V20-W20-X20,2)</f>
        <v>81286.41</v>
      </c>
      <c r="Z20" s="22" t="n">
        <f aca="false">AC19*(1+G$7)</f>
        <v>22000</v>
      </c>
      <c r="AA20" s="22" t="n">
        <f aca="false">MIN(Z20,G$8)</f>
        <v>2000</v>
      </c>
      <c r="AB20" s="22" t="n">
        <f aca="false">MAX(0,MIN(Z20-AA20,$C20-(P20+T20+X20)))</f>
        <v>0</v>
      </c>
      <c r="AC20" s="22" t="n">
        <f aca="false">ROUND(Z20-AA20-AB20,2)</f>
        <v>20000</v>
      </c>
      <c r="AD20" s="22" t="n">
        <f aca="false">AG19*(1+H$7)</f>
        <v>0</v>
      </c>
      <c r="AE20" s="22" t="n">
        <f aca="false">MIN(AD20,H$8)</f>
        <v>0</v>
      </c>
      <c r="AF20" s="22" t="n">
        <f aca="false">MAX(0,MIN(AD20-AE20,$C20-(P20+T20+X20+AB20)))</f>
        <v>0</v>
      </c>
      <c r="AG20" s="22" t="n">
        <f aca="false">ROUND(AD20-AE20-AF20,2)</f>
        <v>0</v>
      </c>
      <c r="AH20" s="22" t="n">
        <f aca="false">AK19*(1+I$7)</f>
        <v>0</v>
      </c>
      <c r="AI20" s="22" t="n">
        <f aca="false">MIN(AH20,I$8)</f>
        <v>0</v>
      </c>
      <c r="AJ20" s="22" t="n">
        <f aca="false">MAX(0,MIN(AH20-AI20,$C20-(P20+T20+X20+AB20+AF20)))</f>
        <v>0</v>
      </c>
      <c r="AK20" s="22" t="n">
        <f aca="false">ROUND(AH20-AI20-AJ20,2)</f>
        <v>0</v>
      </c>
      <c r="AL20" s="22" t="n">
        <f aca="false">AO19*(1+J$7)</f>
        <v>0</v>
      </c>
      <c r="AM20" s="22" t="n">
        <f aca="false">MIN(AL20,J$8)</f>
        <v>0</v>
      </c>
      <c r="AN20" s="22" t="n">
        <f aca="false">MAX(0,MIN(AL20-AM20,$C20-(P20+T20+X20+AB20+AF20+AJ20)))</f>
        <v>0</v>
      </c>
      <c r="AO20" s="22" t="n">
        <f aca="false">ROUND(AL20-AM20-AN20,2)</f>
        <v>0</v>
      </c>
      <c r="AP20" s="22" t="n">
        <f aca="false">AS19*(1+K$7)</f>
        <v>0</v>
      </c>
      <c r="AQ20" s="22" t="n">
        <f aca="false">MIN(AP20,K$8)</f>
        <v>0</v>
      </c>
      <c r="AR20" s="22" t="n">
        <f aca="false">MAX(0,MIN(AP20-AQ20,$C20-(P20+T20+X20+AB20+AF20+AJ20+AN20)))</f>
        <v>0</v>
      </c>
      <c r="AS20" s="22" t="n">
        <f aca="false">ROUND(AP20-AQ20-AR20,2)</f>
        <v>0</v>
      </c>
      <c r="AT20" s="22" t="n">
        <f aca="false">AW19*(1+L$7)</f>
        <v>0</v>
      </c>
      <c r="AU20" s="22" t="n">
        <f aca="false">MIN(AT20,L$8)</f>
        <v>0</v>
      </c>
      <c r="AV20" s="22" t="n">
        <f aca="false">MAX(0,MIN(AT20-AU20,$C20-(P20+T20+X20+AB20+AF20+AJ20+AN20+AR20)))</f>
        <v>0</v>
      </c>
      <c r="AW20" s="22" t="n">
        <f aca="false">ROUND(AT20-AU20-AV20,2)</f>
        <v>0</v>
      </c>
      <c r="AX20" s="22" t="n">
        <f aca="false">BA19*(1+M$7)</f>
        <v>0</v>
      </c>
      <c r="AY20" s="22" t="n">
        <f aca="false">MIN(AX20,M$8)</f>
        <v>0</v>
      </c>
      <c r="AZ20" s="22" t="n">
        <f aca="false">MAX(0,MIN(AX20-AY20,$C20-(P20+T20+X20+AB20+AF20+AJ20+AN20+AR20+AV20)))</f>
        <v>0</v>
      </c>
      <c r="BA20" s="22" t="n">
        <f aca="false">ROUND(AX20-AY20-AZ20,2)</f>
        <v>0</v>
      </c>
    </row>
    <row r="21" customFormat="false" ht="15" hidden="false" customHeight="false" outlineLevel="0" collapsed="false">
      <c r="A21" s="0" t="n">
        <v>11</v>
      </c>
      <c r="B21" s="39" t="n">
        <f aca="false">EDATE(Borçlar!$K$7,10)</f>
        <v>46600</v>
      </c>
      <c r="C21" s="36" t="n">
        <f aca="false">MAX(0,Borçlar!$K$8-(O21+S21+W21+AA21+AE21+AI21+AM21+AQ21+AU21+AY21))</f>
        <v>6500</v>
      </c>
      <c r="D21" s="36" t="n">
        <f aca="false">O21+P21+S21+T21+W21+X21+AA21+AB21+AE21+AF21+AI21+AJ21+AM21+AN21+AQ21+AR21+AU21+AV21+AY21+AZ21</f>
        <v>19000</v>
      </c>
      <c r="E21" s="36" t="n">
        <f aca="false">(N21+R21+V21+Z21+AD21+AH21+AL21+AP21+AT21+AX21)-(F20)</f>
        <v>3554.10195</v>
      </c>
      <c r="F21" s="36" t="n">
        <f aca="false">Q21+U21+Y21+AC21+AG21+AK21+AO21+AS21+AW21+BA21</f>
        <v>101597.79</v>
      </c>
      <c r="N21" s="22" t="n">
        <f aca="false">Q20*(1+D$7)</f>
        <v>0</v>
      </c>
      <c r="O21" s="22" t="n">
        <f aca="false">MIN(N21,D$8)</f>
        <v>0</v>
      </c>
      <c r="P21" s="22" t="n">
        <f aca="false">MAX(0,MIN(N21-O21,$C21-(0)))</f>
        <v>0</v>
      </c>
      <c r="Q21" s="22" t="n">
        <f aca="false">ROUND(N21-O21-P21,2)</f>
        <v>0</v>
      </c>
      <c r="R21" s="22" t="n">
        <f aca="false">U20*(1+E$7)</f>
        <v>16466.3576</v>
      </c>
      <c r="S21" s="22" t="n">
        <f aca="false">MIN(R21,E$8)</f>
        <v>3000</v>
      </c>
      <c r="T21" s="22" t="n">
        <f aca="false">MAX(0,MIN(R21-S21,$C21-(P21)))</f>
        <v>6500</v>
      </c>
      <c r="U21" s="22" t="n">
        <f aca="false">ROUND(R21-S21-T21,2)</f>
        <v>6966.36</v>
      </c>
      <c r="V21" s="22" t="n">
        <f aca="false">Y20*(1+F$7)</f>
        <v>84131.43435</v>
      </c>
      <c r="W21" s="22" t="n">
        <f aca="false">MIN(V21,F$8)</f>
        <v>7500</v>
      </c>
      <c r="X21" s="22" t="n">
        <f aca="false">MAX(0,MIN(V21-W21,$C21-(P21+T21)))</f>
        <v>0</v>
      </c>
      <c r="Y21" s="22" t="n">
        <f aca="false">ROUND(V21-W21-X21,2)</f>
        <v>76631.43</v>
      </c>
      <c r="Z21" s="22" t="n">
        <f aca="false">AC20*(1+G$7)</f>
        <v>20000</v>
      </c>
      <c r="AA21" s="22" t="n">
        <f aca="false">MIN(Z21,G$8)</f>
        <v>2000</v>
      </c>
      <c r="AB21" s="22" t="n">
        <f aca="false">MAX(0,MIN(Z21-AA21,$C21-(P21+T21+X21)))</f>
        <v>0</v>
      </c>
      <c r="AC21" s="22" t="n">
        <f aca="false">ROUND(Z21-AA21-AB21,2)</f>
        <v>18000</v>
      </c>
      <c r="AD21" s="22" t="n">
        <f aca="false">AG20*(1+H$7)</f>
        <v>0</v>
      </c>
      <c r="AE21" s="22" t="n">
        <f aca="false">MIN(AD21,H$8)</f>
        <v>0</v>
      </c>
      <c r="AF21" s="22" t="n">
        <f aca="false">MAX(0,MIN(AD21-AE21,$C21-(P21+T21+X21+AB21)))</f>
        <v>0</v>
      </c>
      <c r="AG21" s="22" t="n">
        <f aca="false">ROUND(AD21-AE21-AF21,2)</f>
        <v>0</v>
      </c>
      <c r="AH21" s="22" t="n">
        <f aca="false">AK20*(1+I$7)</f>
        <v>0</v>
      </c>
      <c r="AI21" s="22" t="n">
        <f aca="false">MIN(AH21,I$8)</f>
        <v>0</v>
      </c>
      <c r="AJ21" s="22" t="n">
        <f aca="false">MAX(0,MIN(AH21-AI21,$C21-(P21+T21+X21+AB21+AF21)))</f>
        <v>0</v>
      </c>
      <c r="AK21" s="22" t="n">
        <f aca="false">ROUND(AH21-AI21-AJ21,2)</f>
        <v>0</v>
      </c>
      <c r="AL21" s="22" t="n">
        <f aca="false">AO20*(1+J$7)</f>
        <v>0</v>
      </c>
      <c r="AM21" s="22" t="n">
        <f aca="false">MIN(AL21,J$8)</f>
        <v>0</v>
      </c>
      <c r="AN21" s="22" t="n">
        <f aca="false">MAX(0,MIN(AL21-AM21,$C21-(P21+T21+X21+AB21+AF21+AJ21)))</f>
        <v>0</v>
      </c>
      <c r="AO21" s="22" t="n">
        <f aca="false">ROUND(AL21-AM21-AN21,2)</f>
        <v>0</v>
      </c>
      <c r="AP21" s="22" t="n">
        <f aca="false">AS20*(1+K$7)</f>
        <v>0</v>
      </c>
      <c r="AQ21" s="22" t="n">
        <f aca="false">MIN(AP21,K$8)</f>
        <v>0</v>
      </c>
      <c r="AR21" s="22" t="n">
        <f aca="false">MAX(0,MIN(AP21-AQ21,$C21-(P21+T21+X21+AB21+AF21+AJ21+AN21)))</f>
        <v>0</v>
      </c>
      <c r="AS21" s="22" t="n">
        <f aca="false">ROUND(AP21-AQ21-AR21,2)</f>
        <v>0</v>
      </c>
      <c r="AT21" s="22" t="n">
        <f aca="false">AW20*(1+L$7)</f>
        <v>0</v>
      </c>
      <c r="AU21" s="22" t="n">
        <f aca="false">MIN(AT21,L$8)</f>
        <v>0</v>
      </c>
      <c r="AV21" s="22" t="n">
        <f aca="false">MAX(0,MIN(AT21-AU21,$C21-(P21+T21+X21+AB21+AF21+AJ21+AN21+AR21)))</f>
        <v>0</v>
      </c>
      <c r="AW21" s="22" t="n">
        <f aca="false">ROUND(AT21-AU21-AV21,2)</f>
        <v>0</v>
      </c>
      <c r="AX21" s="22" t="n">
        <f aca="false">BA20*(1+M$7)</f>
        <v>0</v>
      </c>
      <c r="AY21" s="22" t="n">
        <f aca="false">MIN(AX21,M$8)</f>
        <v>0</v>
      </c>
      <c r="AZ21" s="22" t="n">
        <f aca="false">MAX(0,MIN(AX21-AY21,$C21-(P21+T21+X21+AB21+AF21+AJ21+AN21+AR21+AV21)))</f>
        <v>0</v>
      </c>
      <c r="BA21" s="22" t="n">
        <f aca="false">ROUND(AX21-AY21-AZ21,2)</f>
        <v>0</v>
      </c>
    </row>
    <row r="22" customFormat="false" ht="15" hidden="false" customHeight="false" outlineLevel="0" collapsed="false">
      <c r="A22" s="0" t="n">
        <v>12</v>
      </c>
      <c r="B22" s="39" t="n">
        <f aca="false">EDATE(Borçlar!$K$7,11)</f>
        <v>46631</v>
      </c>
      <c r="C22" s="36" t="n">
        <f aca="false">MAX(0,Borçlar!$K$8-(O22+S22+W22+AA22+AE22+AI22+AM22+AQ22+AU22+AY22))</f>
        <v>6500</v>
      </c>
      <c r="D22" s="36" t="n">
        <f aca="false">O22+P22+S22+T22+W22+X22+AA22+AB22+AE22+AF22+AI22+AJ22+AM22+AN22+AQ22+AR22+AU22+AV22+AY22+AZ22</f>
        <v>19000</v>
      </c>
      <c r="E22" s="36" t="n">
        <f aca="false">(N22+R22+V22+Z22+AD22+AH22+AL22+AP22+AT22+AX22)-(F21)</f>
        <v>2995.58624999999</v>
      </c>
      <c r="F22" s="36" t="n">
        <f aca="false">Q22+U22+Y22+AC22+AG22+AK22+AO22+AS22+AW22+BA22</f>
        <v>85593.38</v>
      </c>
      <c r="N22" s="22" t="n">
        <f aca="false">Q21*(1+D$7)</f>
        <v>0</v>
      </c>
      <c r="O22" s="22" t="n">
        <f aca="false">MIN(N22,D$8)</f>
        <v>0</v>
      </c>
      <c r="P22" s="22" t="n">
        <f aca="false">MAX(0,MIN(N22-O22,$C22-(0)))</f>
        <v>0</v>
      </c>
      <c r="Q22" s="22" t="n">
        <f aca="false">ROUND(N22-O22-P22,2)</f>
        <v>0</v>
      </c>
      <c r="R22" s="22" t="n">
        <f aca="false">U21*(1+E$7)</f>
        <v>7279.8462</v>
      </c>
      <c r="S22" s="22" t="n">
        <f aca="false">MIN(R22,E$8)</f>
        <v>3000</v>
      </c>
      <c r="T22" s="22" t="n">
        <f aca="false">MAX(0,MIN(R22-S22,$C22-(P22)))</f>
        <v>4279.8462</v>
      </c>
      <c r="U22" s="22" t="n">
        <f aca="false">ROUND(R22-S22-T22,2)</f>
        <v>0</v>
      </c>
      <c r="V22" s="22" t="n">
        <f aca="false">Y21*(1+F$7)</f>
        <v>79313.53005</v>
      </c>
      <c r="W22" s="22" t="n">
        <f aca="false">MIN(V22,F$8)</f>
        <v>7500</v>
      </c>
      <c r="X22" s="22" t="n">
        <f aca="false">MAX(0,MIN(V22-W22,$C22-(P22+T22)))</f>
        <v>2220.1538</v>
      </c>
      <c r="Y22" s="22" t="n">
        <f aca="false">ROUND(V22-W22-X22,2)</f>
        <v>69593.38</v>
      </c>
      <c r="Z22" s="22" t="n">
        <f aca="false">AC21*(1+G$7)</f>
        <v>18000</v>
      </c>
      <c r="AA22" s="22" t="n">
        <f aca="false">MIN(Z22,G$8)</f>
        <v>2000</v>
      </c>
      <c r="AB22" s="22" t="n">
        <f aca="false">MAX(0,MIN(Z22-AA22,$C22-(P22+T22+X22)))</f>
        <v>0</v>
      </c>
      <c r="AC22" s="22" t="n">
        <f aca="false">ROUND(Z22-AA22-AB22,2)</f>
        <v>16000</v>
      </c>
      <c r="AD22" s="22" t="n">
        <f aca="false">AG21*(1+H$7)</f>
        <v>0</v>
      </c>
      <c r="AE22" s="22" t="n">
        <f aca="false">MIN(AD22,H$8)</f>
        <v>0</v>
      </c>
      <c r="AF22" s="22" t="n">
        <f aca="false">MAX(0,MIN(AD22-AE22,$C22-(P22+T22+X22+AB22)))</f>
        <v>0</v>
      </c>
      <c r="AG22" s="22" t="n">
        <f aca="false">ROUND(AD22-AE22-AF22,2)</f>
        <v>0</v>
      </c>
      <c r="AH22" s="22" t="n">
        <f aca="false">AK21*(1+I$7)</f>
        <v>0</v>
      </c>
      <c r="AI22" s="22" t="n">
        <f aca="false">MIN(AH22,I$8)</f>
        <v>0</v>
      </c>
      <c r="AJ22" s="22" t="n">
        <f aca="false">MAX(0,MIN(AH22-AI22,$C22-(P22+T22+X22+AB22+AF22)))</f>
        <v>0</v>
      </c>
      <c r="AK22" s="22" t="n">
        <f aca="false">ROUND(AH22-AI22-AJ22,2)</f>
        <v>0</v>
      </c>
      <c r="AL22" s="22" t="n">
        <f aca="false">AO21*(1+J$7)</f>
        <v>0</v>
      </c>
      <c r="AM22" s="22" t="n">
        <f aca="false">MIN(AL22,J$8)</f>
        <v>0</v>
      </c>
      <c r="AN22" s="22" t="n">
        <f aca="false">MAX(0,MIN(AL22-AM22,$C22-(P22+T22+X22+AB22+AF22+AJ22)))</f>
        <v>0</v>
      </c>
      <c r="AO22" s="22" t="n">
        <f aca="false">ROUND(AL22-AM22-AN22,2)</f>
        <v>0</v>
      </c>
      <c r="AP22" s="22" t="n">
        <f aca="false">AS21*(1+K$7)</f>
        <v>0</v>
      </c>
      <c r="AQ22" s="22" t="n">
        <f aca="false">MIN(AP22,K$8)</f>
        <v>0</v>
      </c>
      <c r="AR22" s="22" t="n">
        <f aca="false">MAX(0,MIN(AP22-AQ22,$C22-(P22+T22+X22+AB22+AF22+AJ22+AN22)))</f>
        <v>0</v>
      </c>
      <c r="AS22" s="22" t="n">
        <f aca="false">ROUND(AP22-AQ22-AR22,2)</f>
        <v>0</v>
      </c>
      <c r="AT22" s="22" t="n">
        <f aca="false">AW21*(1+L$7)</f>
        <v>0</v>
      </c>
      <c r="AU22" s="22" t="n">
        <f aca="false">MIN(AT22,L$8)</f>
        <v>0</v>
      </c>
      <c r="AV22" s="22" t="n">
        <f aca="false">MAX(0,MIN(AT22-AU22,$C22-(P22+T22+X22+AB22+AF22+AJ22+AN22+AR22)))</f>
        <v>0</v>
      </c>
      <c r="AW22" s="22" t="n">
        <f aca="false">ROUND(AT22-AU22-AV22,2)</f>
        <v>0</v>
      </c>
      <c r="AX22" s="22" t="n">
        <f aca="false">BA21*(1+M$7)</f>
        <v>0</v>
      </c>
      <c r="AY22" s="22" t="n">
        <f aca="false">MIN(AX22,M$8)</f>
        <v>0</v>
      </c>
      <c r="AZ22" s="22" t="n">
        <f aca="false">MAX(0,MIN(AX22-AY22,$C22-(P22+T22+X22+AB22+AF22+AJ22+AN22+AR22+AV22)))</f>
        <v>0</v>
      </c>
      <c r="BA22" s="22" t="n">
        <f aca="false">ROUND(AX22-AY22-AZ22,2)</f>
        <v>0</v>
      </c>
    </row>
    <row r="23" customFormat="false" ht="15" hidden="false" customHeight="false" outlineLevel="0" collapsed="false">
      <c r="A23" s="0" t="n">
        <v>13</v>
      </c>
      <c r="B23" s="39" t="n">
        <f aca="false">EDATE(Borçlar!$K$7,12)</f>
        <v>46661</v>
      </c>
      <c r="C23" s="36" t="n">
        <f aca="false">MAX(0,Borçlar!$K$8-(O23+S23+W23+AA23+AE23+AI23+AM23+AQ23+AU23+AY23))</f>
        <v>9500</v>
      </c>
      <c r="D23" s="36" t="n">
        <f aca="false">O23+P23+S23+T23+W23+X23+AA23+AB23+AE23+AF23+AI23+AJ23+AM23+AN23+AQ23+AR23+AU23+AV23+AY23+AZ23</f>
        <v>19000</v>
      </c>
      <c r="E23" s="36" t="n">
        <f aca="false">(N23+R23+V23+Z23+AD23+AH23+AL23+AP23+AT23+AX23)-(F22)</f>
        <v>2435.7683</v>
      </c>
      <c r="F23" s="36" t="n">
        <f aca="false">Q23+U23+Y23+AC23+AG23+AK23+AO23+AS23+AW23+BA23</f>
        <v>69029.15</v>
      </c>
      <c r="N23" s="22" t="n">
        <f aca="false">Q22*(1+D$7)</f>
        <v>0</v>
      </c>
      <c r="O23" s="22" t="n">
        <f aca="false">MIN(N23,D$8)</f>
        <v>0</v>
      </c>
      <c r="P23" s="22" t="n">
        <f aca="false">MAX(0,MIN(N23-O23,$C23-(0)))</f>
        <v>0</v>
      </c>
      <c r="Q23" s="22" t="n">
        <f aca="false">ROUND(N23-O23-P23,2)</f>
        <v>0</v>
      </c>
      <c r="R23" s="22" t="n">
        <f aca="false">U22*(1+E$7)</f>
        <v>0</v>
      </c>
      <c r="S23" s="22" t="n">
        <f aca="false">MIN(R23,E$8)</f>
        <v>0</v>
      </c>
      <c r="T23" s="22" t="n">
        <f aca="false">MAX(0,MIN(R23-S23,$C23-(P23)))</f>
        <v>0</v>
      </c>
      <c r="U23" s="22" t="n">
        <f aca="false">ROUND(R23-S23-T23,2)</f>
        <v>0</v>
      </c>
      <c r="V23" s="22" t="n">
        <f aca="false">Y22*(1+F$7)</f>
        <v>72029.1483</v>
      </c>
      <c r="W23" s="22" t="n">
        <f aca="false">MIN(V23,F$8)</f>
        <v>7500</v>
      </c>
      <c r="X23" s="22" t="n">
        <f aca="false">MAX(0,MIN(V23-W23,$C23-(P23+T23)))</f>
        <v>9500</v>
      </c>
      <c r="Y23" s="22" t="n">
        <f aca="false">ROUND(V23-W23-X23,2)</f>
        <v>55029.15</v>
      </c>
      <c r="Z23" s="22" t="n">
        <f aca="false">AC22*(1+G$7)</f>
        <v>16000</v>
      </c>
      <c r="AA23" s="22" t="n">
        <f aca="false">MIN(Z23,G$8)</f>
        <v>2000</v>
      </c>
      <c r="AB23" s="22" t="n">
        <f aca="false">MAX(0,MIN(Z23-AA23,$C23-(P23+T23+X23)))</f>
        <v>0</v>
      </c>
      <c r="AC23" s="22" t="n">
        <f aca="false">ROUND(Z23-AA23-AB23,2)</f>
        <v>14000</v>
      </c>
      <c r="AD23" s="22" t="n">
        <f aca="false">AG22*(1+H$7)</f>
        <v>0</v>
      </c>
      <c r="AE23" s="22" t="n">
        <f aca="false">MIN(AD23,H$8)</f>
        <v>0</v>
      </c>
      <c r="AF23" s="22" t="n">
        <f aca="false">MAX(0,MIN(AD23-AE23,$C23-(P23+T23+X23+AB23)))</f>
        <v>0</v>
      </c>
      <c r="AG23" s="22" t="n">
        <f aca="false">ROUND(AD23-AE23-AF23,2)</f>
        <v>0</v>
      </c>
      <c r="AH23" s="22" t="n">
        <f aca="false">AK22*(1+I$7)</f>
        <v>0</v>
      </c>
      <c r="AI23" s="22" t="n">
        <f aca="false">MIN(AH23,I$8)</f>
        <v>0</v>
      </c>
      <c r="AJ23" s="22" t="n">
        <f aca="false">MAX(0,MIN(AH23-AI23,$C23-(P23+T23+X23+AB23+AF23)))</f>
        <v>0</v>
      </c>
      <c r="AK23" s="22" t="n">
        <f aca="false">ROUND(AH23-AI23-AJ23,2)</f>
        <v>0</v>
      </c>
      <c r="AL23" s="22" t="n">
        <f aca="false">AO22*(1+J$7)</f>
        <v>0</v>
      </c>
      <c r="AM23" s="22" t="n">
        <f aca="false">MIN(AL23,J$8)</f>
        <v>0</v>
      </c>
      <c r="AN23" s="22" t="n">
        <f aca="false">MAX(0,MIN(AL23-AM23,$C23-(P23+T23+X23+AB23+AF23+AJ23)))</f>
        <v>0</v>
      </c>
      <c r="AO23" s="22" t="n">
        <f aca="false">ROUND(AL23-AM23-AN23,2)</f>
        <v>0</v>
      </c>
      <c r="AP23" s="22" t="n">
        <f aca="false">AS22*(1+K$7)</f>
        <v>0</v>
      </c>
      <c r="AQ23" s="22" t="n">
        <f aca="false">MIN(AP23,K$8)</f>
        <v>0</v>
      </c>
      <c r="AR23" s="22" t="n">
        <f aca="false">MAX(0,MIN(AP23-AQ23,$C23-(P23+T23+X23+AB23+AF23+AJ23+AN23)))</f>
        <v>0</v>
      </c>
      <c r="AS23" s="22" t="n">
        <f aca="false">ROUND(AP23-AQ23-AR23,2)</f>
        <v>0</v>
      </c>
      <c r="AT23" s="22" t="n">
        <f aca="false">AW22*(1+L$7)</f>
        <v>0</v>
      </c>
      <c r="AU23" s="22" t="n">
        <f aca="false">MIN(AT23,L$8)</f>
        <v>0</v>
      </c>
      <c r="AV23" s="22" t="n">
        <f aca="false">MAX(0,MIN(AT23-AU23,$C23-(P23+T23+X23+AB23+AF23+AJ23+AN23+AR23)))</f>
        <v>0</v>
      </c>
      <c r="AW23" s="22" t="n">
        <f aca="false">ROUND(AT23-AU23-AV23,2)</f>
        <v>0</v>
      </c>
      <c r="AX23" s="22" t="n">
        <f aca="false">BA22*(1+M$7)</f>
        <v>0</v>
      </c>
      <c r="AY23" s="22" t="n">
        <f aca="false">MIN(AX23,M$8)</f>
        <v>0</v>
      </c>
      <c r="AZ23" s="22" t="n">
        <f aca="false">MAX(0,MIN(AX23-AY23,$C23-(P23+T23+X23+AB23+AF23+AJ23+AN23+AR23+AV23)))</f>
        <v>0</v>
      </c>
      <c r="BA23" s="22" t="n">
        <f aca="false">ROUND(AX23-AY23-AZ23,2)</f>
        <v>0</v>
      </c>
    </row>
    <row r="24" customFormat="false" ht="15" hidden="false" customHeight="false" outlineLevel="0" collapsed="false">
      <c r="A24" s="0" t="n">
        <v>14</v>
      </c>
      <c r="B24" s="39" t="n">
        <f aca="false">EDATE(Borçlar!$K$7,13)</f>
        <v>46692</v>
      </c>
      <c r="C24" s="36" t="n">
        <f aca="false">MAX(0,Borçlar!$K$8-(O24+S24+W24+AA24+AE24+AI24+AM24+AQ24+AU24+AY24))</f>
        <v>9500</v>
      </c>
      <c r="D24" s="36" t="n">
        <f aca="false">O24+P24+S24+T24+W24+X24+AA24+AB24+AE24+AF24+AI24+AJ24+AM24+AN24+AQ24+AR24+AU24+AV24+AY24+AZ24</f>
        <v>19000</v>
      </c>
      <c r="E24" s="36" t="n">
        <f aca="false">(N24+R24+V24+Z24+AD24+AH24+AL24+AP24+AT24+AX24)-(F23)</f>
        <v>1926.02025</v>
      </c>
      <c r="F24" s="36" t="n">
        <f aca="false">Q24+U24+Y24+AC24+AG24+AK24+AO24+AS24+AW24+BA24</f>
        <v>51955.17</v>
      </c>
      <c r="N24" s="22" t="n">
        <f aca="false">Q23*(1+D$7)</f>
        <v>0</v>
      </c>
      <c r="O24" s="22" t="n">
        <f aca="false">MIN(N24,D$8)</f>
        <v>0</v>
      </c>
      <c r="P24" s="22" t="n">
        <f aca="false">MAX(0,MIN(N24-O24,$C24-(0)))</f>
        <v>0</v>
      </c>
      <c r="Q24" s="22" t="n">
        <f aca="false">ROUND(N24-O24-P24,2)</f>
        <v>0</v>
      </c>
      <c r="R24" s="22" t="n">
        <f aca="false">U23*(1+E$7)</f>
        <v>0</v>
      </c>
      <c r="S24" s="22" t="n">
        <f aca="false">MIN(R24,E$8)</f>
        <v>0</v>
      </c>
      <c r="T24" s="22" t="n">
        <f aca="false">MAX(0,MIN(R24-S24,$C24-(P24)))</f>
        <v>0</v>
      </c>
      <c r="U24" s="22" t="n">
        <f aca="false">ROUND(R24-S24-T24,2)</f>
        <v>0</v>
      </c>
      <c r="V24" s="22" t="n">
        <f aca="false">Y23*(1+F$7)</f>
        <v>56955.17025</v>
      </c>
      <c r="W24" s="22" t="n">
        <f aca="false">MIN(V24,F$8)</f>
        <v>7500</v>
      </c>
      <c r="X24" s="22" t="n">
        <f aca="false">MAX(0,MIN(V24-W24,$C24-(P24+T24)))</f>
        <v>9500</v>
      </c>
      <c r="Y24" s="22" t="n">
        <f aca="false">ROUND(V24-W24-X24,2)</f>
        <v>39955.17</v>
      </c>
      <c r="Z24" s="22" t="n">
        <f aca="false">AC23*(1+G$7)</f>
        <v>14000</v>
      </c>
      <c r="AA24" s="22" t="n">
        <f aca="false">MIN(Z24,G$8)</f>
        <v>2000</v>
      </c>
      <c r="AB24" s="22" t="n">
        <f aca="false">MAX(0,MIN(Z24-AA24,$C24-(P24+T24+X24)))</f>
        <v>0</v>
      </c>
      <c r="AC24" s="22" t="n">
        <f aca="false">ROUND(Z24-AA24-AB24,2)</f>
        <v>12000</v>
      </c>
      <c r="AD24" s="22" t="n">
        <f aca="false">AG23*(1+H$7)</f>
        <v>0</v>
      </c>
      <c r="AE24" s="22" t="n">
        <f aca="false">MIN(AD24,H$8)</f>
        <v>0</v>
      </c>
      <c r="AF24" s="22" t="n">
        <f aca="false">MAX(0,MIN(AD24-AE24,$C24-(P24+T24+X24+AB24)))</f>
        <v>0</v>
      </c>
      <c r="AG24" s="22" t="n">
        <f aca="false">ROUND(AD24-AE24-AF24,2)</f>
        <v>0</v>
      </c>
      <c r="AH24" s="22" t="n">
        <f aca="false">AK23*(1+I$7)</f>
        <v>0</v>
      </c>
      <c r="AI24" s="22" t="n">
        <f aca="false">MIN(AH24,I$8)</f>
        <v>0</v>
      </c>
      <c r="AJ24" s="22" t="n">
        <f aca="false">MAX(0,MIN(AH24-AI24,$C24-(P24+T24+X24+AB24+AF24)))</f>
        <v>0</v>
      </c>
      <c r="AK24" s="22" t="n">
        <f aca="false">ROUND(AH24-AI24-AJ24,2)</f>
        <v>0</v>
      </c>
      <c r="AL24" s="22" t="n">
        <f aca="false">AO23*(1+J$7)</f>
        <v>0</v>
      </c>
      <c r="AM24" s="22" t="n">
        <f aca="false">MIN(AL24,J$8)</f>
        <v>0</v>
      </c>
      <c r="AN24" s="22" t="n">
        <f aca="false">MAX(0,MIN(AL24-AM24,$C24-(P24+T24+X24+AB24+AF24+AJ24)))</f>
        <v>0</v>
      </c>
      <c r="AO24" s="22" t="n">
        <f aca="false">ROUND(AL24-AM24-AN24,2)</f>
        <v>0</v>
      </c>
      <c r="AP24" s="22" t="n">
        <f aca="false">AS23*(1+K$7)</f>
        <v>0</v>
      </c>
      <c r="AQ24" s="22" t="n">
        <f aca="false">MIN(AP24,K$8)</f>
        <v>0</v>
      </c>
      <c r="AR24" s="22" t="n">
        <f aca="false">MAX(0,MIN(AP24-AQ24,$C24-(P24+T24+X24+AB24+AF24+AJ24+AN24)))</f>
        <v>0</v>
      </c>
      <c r="AS24" s="22" t="n">
        <f aca="false">ROUND(AP24-AQ24-AR24,2)</f>
        <v>0</v>
      </c>
      <c r="AT24" s="22" t="n">
        <f aca="false">AW23*(1+L$7)</f>
        <v>0</v>
      </c>
      <c r="AU24" s="22" t="n">
        <f aca="false">MIN(AT24,L$8)</f>
        <v>0</v>
      </c>
      <c r="AV24" s="22" t="n">
        <f aca="false">MAX(0,MIN(AT24-AU24,$C24-(P24+T24+X24+AB24+AF24+AJ24+AN24+AR24)))</f>
        <v>0</v>
      </c>
      <c r="AW24" s="22" t="n">
        <f aca="false">ROUND(AT24-AU24-AV24,2)</f>
        <v>0</v>
      </c>
      <c r="AX24" s="22" t="n">
        <f aca="false">BA23*(1+M$7)</f>
        <v>0</v>
      </c>
      <c r="AY24" s="22" t="n">
        <f aca="false">MIN(AX24,M$8)</f>
        <v>0</v>
      </c>
      <c r="AZ24" s="22" t="n">
        <f aca="false">MAX(0,MIN(AX24-AY24,$C24-(P24+T24+X24+AB24+AF24+AJ24+AN24+AR24+AV24)))</f>
        <v>0</v>
      </c>
      <c r="BA24" s="22" t="n">
        <f aca="false">ROUND(AX24-AY24-AZ24,2)</f>
        <v>0</v>
      </c>
    </row>
    <row r="25" customFormat="false" ht="15" hidden="false" customHeight="false" outlineLevel="0" collapsed="false">
      <c r="A25" s="0" t="n">
        <v>15</v>
      </c>
      <c r="B25" s="39" t="n">
        <f aca="false">EDATE(Borçlar!$K$7,14)</f>
        <v>46722</v>
      </c>
      <c r="C25" s="36" t="n">
        <f aca="false">MAX(0,Borçlar!$K$8-(O25+S25+W25+AA25+AE25+AI25+AM25+AQ25+AU25+AY25))</f>
        <v>9500</v>
      </c>
      <c r="D25" s="36" t="n">
        <f aca="false">O25+P25+S25+T25+W25+X25+AA25+AB25+AE25+AF25+AI25+AJ25+AM25+AN25+AQ25+AR25+AU25+AV25+AY25+AZ25</f>
        <v>19000</v>
      </c>
      <c r="E25" s="36" t="n">
        <f aca="false">(N25+R25+V25+Z25+AD25+AH25+AL25+AP25+AT25+AX25)-(F24)</f>
        <v>1398.43094999999</v>
      </c>
      <c r="F25" s="36" t="n">
        <f aca="false">Q25+U25+Y25+AC25+AG25+AK25+AO25+AS25+AW25+BA25</f>
        <v>34353.6</v>
      </c>
      <c r="N25" s="22" t="n">
        <f aca="false">Q24*(1+D$7)</f>
        <v>0</v>
      </c>
      <c r="O25" s="22" t="n">
        <f aca="false">MIN(N25,D$8)</f>
        <v>0</v>
      </c>
      <c r="P25" s="22" t="n">
        <f aca="false">MAX(0,MIN(N25-O25,$C25-(0)))</f>
        <v>0</v>
      </c>
      <c r="Q25" s="22" t="n">
        <f aca="false">ROUND(N25-O25-P25,2)</f>
        <v>0</v>
      </c>
      <c r="R25" s="22" t="n">
        <f aca="false">U24*(1+E$7)</f>
        <v>0</v>
      </c>
      <c r="S25" s="22" t="n">
        <f aca="false">MIN(R25,E$8)</f>
        <v>0</v>
      </c>
      <c r="T25" s="22" t="n">
        <f aca="false">MAX(0,MIN(R25-S25,$C25-(P25)))</f>
        <v>0</v>
      </c>
      <c r="U25" s="22" t="n">
        <f aca="false">ROUND(R25-S25-T25,2)</f>
        <v>0</v>
      </c>
      <c r="V25" s="22" t="n">
        <f aca="false">Y24*(1+F$7)</f>
        <v>41353.60095</v>
      </c>
      <c r="W25" s="22" t="n">
        <f aca="false">MIN(V25,F$8)</f>
        <v>7500</v>
      </c>
      <c r="X25" s="22" t="n">
        <f aca="false">MAX(0,MIN(V25-W25,$C25-(P25+T25)))</f>
        <v>9500</v>
      </c>
      <c r="Y25" s="22" t="n">
        <f aca="false">ROUND(V25-W25-X25,2)</f>
        <v>24353.6</v>
      </c>
      <c r="Z25" s="22" t="n">
        <f aca="false">AC24*(1+G$7)</f>
        <v>12000</v>
      </c>
      <c r="AA25" s="22" t="n">
        <f aca="false">MIN(Z25,G$8)</f>
        <v>2000</v>
      </c>
      <c r="AB25" s="22" t="n">
        <f aca="false">MAX(0,MIN(Z25-AA25,$C25-(P25+T25+X25)))</f>
        <v>0</v>
      </c>
      <c r="AC25" s="22" t="n">
        <f aca="false">ROUND(Z25-AA25-AB25,2)</f>
        <v>10000</v>
      </c>
      <c r="AD25" s="22" t="n">
        <f aca="false">AG24*(1+H$7)</f>
        <v>0</v>
      </c>
      <c r="AE25" s="22" t="n">
        <f aca="false">MIN(AD25,H$8)</f>
        <v>0</v>
      </c>
      <c r="AF25" s="22" t="n">
        <f aca="false">MAX(0,MIN(AD25-AE25,$C25-(P25+T25+X25+AB25)))</f>
        <v>0</v>
      </c>
      <c r="AG25" s="22" t="n">
        <f aca="false">ROUND(AD25-AE25-AF25,2)</f>
        <v>0</v>
      </c>
      <c r="AH25" s="22" t="n">
        <f aca="false">AK24*(1+I$7)</f>
        <v>0</v>
      </c>
      <c r="AI25" s="22" t="n">
        <f aca="false">MIN(AH25,I$8)</f>
        <v>0</v>
      </c>
      <c r="AJ25" s="22" t="n">
        <f aca="false">MAX(0,MIN(AH25-AI25,$C25-(P25+T25+X25+AB25+AF25)))</f>
        <v>0</v>
      </c>
      <c r="AK25" s="22" t="n">
        <f aca="false">ROUND(AH25-AI25-AJ25,2)</f>
        <v>0</v>
      </c>
      <c r="AL25" s="22" t="n">
        <f aca="false">AO24*(1+J$7)</f>
        <v>0</v>
      </c>
      <c r="AM25" s="22" t="n">
        <f aca="false">MIN(AL25,J$8)</f>
        <v>0</v>
      </c>
      <c r="AN25" s="22" t="n">
        <f aca="false">MAX(0,MIN(AL25-AM25,$C25-(P25+T25+X25+AB25+AF25+AJ25)))</f>
        <v>0</v>
      </c>
      <c r="AO25" s="22" t="n">
        <f aca="false">ROUND(AL25-AM25-AN25,2)</f>
        <v>0</v>
      </c>
      <c r="AP25" s="22" t="n">
        <f aca="false">AS24*(1+K$7)</f>
        <v>0</v>
      </c>
      <c r="AQ25" s="22" t="n">
        <f aca="false">MIN(AP25,K$8)</f>
        <v>0</v>
      </c>
      <c r="AR25" s="22" t="n">
        <f aca="false">MAX(0,MIN(AP25-AQ25,$C25-(P25+T25+X25+AB25+AF25+AJ25+AN25)))</f>
        <v>0</v>
      </c>
      <c r="AS25" s="22" t="n">
        <f aca="false">ROUND(AP25-AQ25-AR25,2)</f>
        <v>0</v>
      </c>
      <c r="AT25" s="22" t="n">
        <f aca="false">AW24*(1+L$7)</f>
        <v>0</v>
      </c>
      <c r="AU25" s="22" t="n">
        <f aca="false">MIN(AT25,L$8)</f>
        <v>0</v>
      </c>
      <c r="AV25" s="22" t="n">
        <f aca="false">MAX(0,MIN(AT25-AU25,$C25-(P25+T25+X25+AB25+AF25+AJ25+AN25+AR25)))</f>
        <v>0</v>
      </c>
      <c r="AW25" s="22" t="n">
        <f aca="false">ROUND(AT25-AU25-AV25,2)</f>
        <v>0</v>
      </c>
      <c r="AX25" s="22" t="n">
        <f aca="false">BA24*(1+M$7)</f>
        <v>0</v>
      </c>
      <c r="AY25" s="22" t="n">
        <f aca="false">MIN(AX25,M$8)</f>
        <v>0</v>
      </c>
      <c r="AZ25" s="22" t="n">
        <f aca="false">MAX(0,MIN(AX25-AY25,$C25-(P25+T25+X25+AB25+AF25+AJ25+AN25+AR25+AV25)))</f>
        <v>0</v>
      </c>
      <c r="BA25" s="22" t="n">
        <f aca="false">ROUND(AX25-AY25-AZ25,2)</f>
        <v>0</v>
      </c>
    </row>
    <row r="26" customFormat="false" ht="15" hidden="false" customHeight="false" outlineLevel="0" collapsed="false">
      <c r="A26" s="0" t="n">
        <v>16</v>
      </c>
      <c r="B26" s="39" t="n">
        <f aca="false">EDATE(Borçlar!$K$7,15)</f>
        <v>46753</v>
      </c>
      <c r="C26" s="36" t="n">
        <f aca="false">MAX(0,Borçlar!$K$8-(O26+S26+W26+AA26+AE26+AI26+AM26+AQ26+AU26+AY26))</f>
        <v>9500</v>
      </c>
      <c r="D26" s="36" t="n">
        <f aca="false">O26+P26+S26+T26+W26+X26+AA26+AB26+AE26+AF26+AI26+AJ26+AM26+AN26+AQ26+AR26+AU26+AV26+AY26+AZ26</f>
        <v>19000</v>
      </c>
      <c r="E26" s="36" t="n">
        <f aca="false">(N26+R26+V26+Z26+AD26+AH26+AL26+AP26+AT26+AX26)-(F25)</f>
        <v>852.375999999997</v>
      </c>
      <c r="F26" s="36" t="n">
        <f aca="false">Q26+U26+Y26+AC26+AG26+AK26+AO26+AS26+AW26+BA26</f>
        <v>16205.98</v>
      </c>
      <c r="N26" s="22" t="n">
        <f aca="false">Q25*(1+D$7)</f>
        <v>0</v>
      </c>
      <c r="O26" s="22" t="n">
        <f aca="false">MIN(N26,D$8)</f>
        <v>0</v>
      </c>
      <c r="P26" s="22" t="n">
        <f aca="false">MAX(0,MIN(N26-O26,$C26-(0)))</f>
        <v>0</v>
      </c>
      <c r="Q26" s="22" t="n">
        <f aca="false">ROUND(N26-O26-P26,2)</f>
        <v>0</v>
      </c>
      <c r="R26" s="22" t="n">
        <f aca="false">U25*(1+E$7)</f>
        <v>0</v>
      </c>
      <c r="S26" s="22" t="n">
        <f aca="false">MIN(R26,E$8)</f>
        <v>0</v>
      </c>
      <c r="T26" s="22" t="n">
        <f aca="false">MAX(0,MIN(R26-S26,$C26-(P26)))</f>
        <v>0</v>
      </c>
      <c r="U26" s="22" t="n">
        <f aca="false">ROUND(R26-S26-T26,2)</f>
        <v>0</v>
      </c>
      <c r="V26" s="22" t="n">
        <f aca="false">Y25*(1+F$7)</f>
        <v>25205.976</v>
      </c>
      <c r="W26" s="22" t="n">
        <f aca="false">MIN(V26,F$8)</f>
        <v>7500</v>
      </c>
      <c r="X26" s="22" t="n">
        <f aca="false">MAX(0,MIN(V26-W26,$C26-(P26+T26)))</f>
        <v>9500</v>
      </c>
      <c r="Y26" s="22" t="n">
        <f aca="false">ROUND(V26-W26-X26,2)</f>
        <v>8205.98</v>
      </c>
      <c r="Z26" s="22" t="n">
        <f aca="false">AC25*(1+G$7)</f>
        <v>10000</v>
      </c>
      <c r="AA26" s="22" t="n">
        <f aca="false">MIN(Z26,G$8)</f>
        <v>2000</v>
      </c>
      <c r="AB26" s="22" t="n">
        <f aca="false">MAX(0,MIN(Z26-AA26,$C26-(P26+T26+X26)))</f>
        <v>0</v>
      </c>
      <c r="AC26" s="22" t="n">
        <f aca="false">ROUND(Z26-AA26-AB26,2)</f>
        <v>8000</v>
      </c>
      <c r="AD26" s="22" t="n">
        <f aca="false">AG25*(1+H$7)</f>
        <v>0</v>
      </c>
      <c r="AE26" s="22" t="n">
        <f aca="false">MIN(AD26,H$8)</f>
        <v>0</v>
      </c>
      <c r="AF26" s="22" t="n">
        <f aca="false">MAX(0,MIN(AD26-AE26,$C26-(P26+T26+X26+AB26)))</f>
        <v>0</v>
      </c>
      <c r="AG26" s="22" t="n">
        <f aca="false">ROUND(AD26-AE26-AF26,2)</f>
        <v>0</v>
      </c>
      <c r="AH26" s="22" t="n">
        <f aca="false">AK25*(1+I$7)</f>
        <v>0</v>
      </c>
      <c r="AI26" s="22" t="n">
        <f aca="false">MIN(AH26,I$8)</f>
        <v>0</v>
      </c>
      <c r="AJ26" s="22" t="n">
        <f aca="false">MAX(0,MIN(AH26-AI26,$C26-(P26+T26+X26+AB26+AF26)))</f>
        <v>0</v>
      </c>
      <c r="AK26" s="22" t="n">
        <f aca="false">ROUND(AH26-AI26-AJ26,2)</f>
        <v>0</v>
      </c>
      <c r="AL26" s="22" t="n">
        <f aca="false">AO25*(1+J$7)</f>
        <v>0</v>
      </c>
      <c r="AM26" s="22" t="n">
        <f aca="false">MIN(AL26,J$8)</f>
        <v>0</v>
      </c>
      <c r="AN26" s="22" t="n">
        <f aca="false">MAX(0,MIN(AL26-AM26,$C26-(P26+T26+X26+AB26+AF26+AJ26)))</f>
        <v>0</v>
      </c>
      <c r="AO26" s="22" t="n">
        <f aca="false">ROUND(AL26-AM26-AN26,2)</f>
        <v>0</v>
      </c>
      <c r="AP26" s="22" t="n">
        <f aca="false">AS25*(1+K$7)</f>
        <v>0</v>
      </c>
      <c r="AQ26" s="22" t="n">
        <f aca="false">MIN(AP26,K$8)</f>
        <v>0</v>
      </c>
      <c r="AR26" s="22" t="n">
        <f aca="false">MAX(0,MIN(AP26-AQ26,$C26-(P26+T26+X26+AB26+AF26+AJ26+AN26)))</f>
        <v>0</v>
      </c>
      <c r="AS26" s="22" t="n">
        <f aca="false">ROUND(AP26-AQ26-AR26,2)</f>
        <v>0</v>
      </c>
      <c r="AT26" s="22" t="n">
        <f aca="false">AW25*(1+L$7)</f>
        <v>0</v>
      </c>
      <c r="AU26" s="22" t="n">
        <f aca="false">MIN(AT26,L$8)</f>
        <v>0</v>
      </c>
      <c r="AV26" s="22" t="n">
        <f aca="false">MAX(0,MIN(AT26-AU26,$C26-(P26+T26+X26+AB26+AF26+AJ26+AN26+AR26)))</f>
        <v>0</v>
      </c>
      <c r="AW26" s="22" t="n">
        <f aca="false">ROUND(AT26-AU26-AV26,2)</f>
        <v>0</v>
      </c>
      <c r="AX26" s="22" t="n">
        <f aca="false">BA25*(1+M$7)</f>
        <v>0</v>
      </c>
      <c r="AY26" s="22" t="n">
        <f aca="false">MIN(AX26,M$8)</f>
        <v>0</v>
      </c>
      <c r="AZ26" s="22" t="n">
        <f aca="false">MAX(0,MIN(AX26-AY26,$C26-(P26+T26+X26+AB26+AF26+AJ26+AN26+AR26+AV26)))</f>
        <v>0</v>
      </c>
      <c r="BA26" s="22" t="n">
        <f aca="false">ROUND(AX26-AY26-AZ26,2)</f>
        <v>0</v>
      </c>
    </row>
    <row r="27" customFormat="false" ht="15" hidden="false" customHeight="false" outlineLevel="0" collapsed="false">
      <c r="A27" s="0" t="n">
        <v>17</v>
      </c>
      <c r="B27" s="39" t="n">
        <f aca="false">EDATE(Borçlar!$K$7,16)</f>
        <v>46784</v>
      </c>
      <c r="C27" s="36" t="n">
        <f aca="false">MAX(0,Borçlar!$K$8-(O27+S27+W27+AA27+AE27+AI27+AM27+AQ27+AU27+AY27))</f>
        <v>9500</v>
      </c>
      <c r="D27" s="36" t="n">
        <f aca="false">O27+P27+S27+T27+W27+X27+AA27+AB27+AE27+AF27+AI27+AJ27+AM27+AN27+AQ27+AR27+AU27+AV27+AY27+AZ27</f>
        <v>16493.1893</v>
      </c>
      <c r="E27" s="36" t="n">
        <f aca="false">(N27+R27+V27+Z27+AD27+AH27+AL27+AP27+AT27+AX27)-(F26)</f>
        <v>287.209299999999</v>
      </c>
      <c r="F27" s="36" t="n">
        <f aca="false">Q27+U27+Y27+AC27+AG27+AK27+AO27+AS27+AW27+BA27</f>
        <v>0</v>
      </c>
      <c r="N27" s="22" t="n">
        <f aca="false">Q26*(1+D$7)</f>
        <v>0</v>
      </c>
      <c r="O27" s="22" t="n">
        <f aca="false">MIN(N27,D$8)</f>
        <v>0</v>
      </c>
      <c r="P27" s="22" t="n">
        <f aca="false">MAX(0,MIN(N27-O27,$C27-(0)))</f>
        <v>0</v>
      </c>
      <c r="Q27" s="22" t="n">
        <f aca="false">ROUND(N27-O27-P27,2)</f>
        <v>0</v>
      </c>
      <c r="R27" s="22" t="n">
        <f aca="false">U26*(1+E$7)</f>
        <v>0</v>
      </c>
      <c r="S27" s="22" t="n">
        <f aca="false">MIN(R27,E$8)</f>
        <v>0</v>
      </c>
      <c r="T27" s="22" t="n">
        <f aca="false">MAX(0,MIN(R27-S27,$C27-(P27)))</f>
        <v>0</v>
      </c>
      <c r="U27" s="22" t="n">
        <f aca="false">ROUND(R27-S27-T27,2)</f>
        <v>0</v>
      </c>
      <c r="V27" s="22" t="n">
        <f aca="false">Y26*(1+F$7)</f>
        <v>8493.1893</v>
      </c>
      <c r="W27" s="22" t="n">
        <f aca="false">MIN(V27,F$8)</f>
        <v>7500</v>
      </c>
      <c r="X27" s="22" t="n">
        <f aca="false">MAX(0,MIN(V27-W27,$C27-(P27+T27)))</f>
        <v>993.189299999998</v>
      </c>
      <c r="Y27" s="22" t="n">
        <f aca="false">ROUND(V27-W27-X27,2)</f>
        <v>0</v>
      </c>
      <c r="Z27" s="22" t="n">
        <f aca="false">AC26*(1+G$7)</f>
        <v>8000</v>
      </c>
      <c r="AA27" s="22" t="n">
        <f aca="false">MIN(Z27,G$8)</f>
        <v>2000</v>
      </c>
      <c r="AB27" s="22" t="n">
        <f aca="false">MAX(0,MIN(Z27-AA27,$C27-(P27+T27+X27)))</f>
        <v>6000</v>
      </c>
      <c r="AC27" s="22" t="n">
        <f aca="false">ROUND(Z27-AA27-AB27,2)</f>
        <v>0</v>
      </c>
      <c r="AD27" s="22" t="n">
        <f aca="false">AG26*(1+H$7)</f>
        <v>0</v>
      </c>
      <c r="AE27" s="22" t="n">
        <f aca="false">MIN(AD27,H$8)</f>
        <v>0</v>
      </c>
      <c r="AF27" s="22" t="n">
        <f aca="false">MAX(0,MIN(AD27-AE27,$C27-(P27+T27+X27+AB27)))</f>
        <v>0</v>
      </c>
      <c r="AG27" s="22" t="n">
        <f aca="false">ROUND(AD27-AE27-AF27,2)</f>
        <v>0</v>
      </c>
      <c r="AH27" s="22" t="n">
        <f aca="false">AK26*(1+I$7)</f>
        <v>0</v>
      </c>
      <c r="AI27" s="22" t="n">
        <f aca="false">MIN(AH27,I$8)</f>
        <v>0</v>
      </c>
      <c r="AJ27" s="22" t="n">
        <f aca="false">MAX(0,MIN(AH27-AI27,$C27-(P27+T27+X27+AB27+AF27)))</f>
        <v>0</v>
      </c>
      <c r="AK27" s="22" t="n">
        <f aca="false">ROUND(AH27-AI27-AJ27,2)</f>
        <v>0</v>
      </c>
      <c r="AL27" s="22" t="n">
        <f aca="false">AO26*(1+J$7)</f>
        <v>0</v>
      </c>
      <c r="AM27" s="22" t="n">
        <f aca="false">MIN(AL27,J$8)</f>
        <v>0</v>
      </c>
      <c r="AN27" s="22" t="n">
        <f aca="false">MAX(0,MIN(AL27-AM27,$C27-(P27+T27+X27+AB27+AF27+AJ27)))</f>
        <v>0</v>
      </c>
      <c r="AO27" s="22" t="n">
        <f aca="false">ROUND(AL27-AM27-AN27,2)</f>
        <v>0</v>
      </c>
      <c r="AP27" s="22" t="n">
        <f aca="false">AS26*(1+K$7)</f>
        <v>0</v>
      </c>
      <c r="AQ27" s="22" t="n">
        <f aca="false">MIN(AP27,K$8)</f>
        <v>0</v>
      </c>
      <c r="AR27" s="22" t="n">
        <f aca="false">MAX(0,MIN(AP27-AQ27,$C27-(P27+T27+X27+AB27+AF27+AJ27+AN27)))</f>
        <v>0</v>
      </c>
      <c r="AS27" s="22" t="n">
        <f aca="false">ROUND(AP27-AQ27-AR27,2)</f>
        <v>0</v>
      </c>
      <c r="AT27" s="22" t="n">
        <f aca="false">AW26*(1+L$7)</f>
        <v>0</v>
      </c>
      <c r="AU27" s="22" t="n">
        <f aca="false">MIN(AT27,L$8)</f>
        <v>0</v>
      </c>
      <c r="AV27" s="22" t="n">
        <f aca="false">MAX(0,MIN(AT27-AU27,$C27-(P27+T27+X27+AB27+AF27+AJ27+AN27+AR27)))</f>
        <v>0</v>
      </c>
      <c r="AW27" s="22" t="n">
        <f aca="false">ROUND(AT27-AU27-AV27,2)</f>
        <v>0</v>
      </c>
      <c r="AX27" s="22" t="n">
        <f aca="false">BA26*(1+M$7)</f>
        <v>0</v>
      </c>
      <c r="AY27" s="22" t="n">
        <f aca="false">MIN(AX27,M$8)</f>
        <v>0</v>
      </c>
      <c r="AZ27" s="22" t="n">
        <f aca="false">MAX(0,MIN(AX27-AY27,$C27-(P27+T27+X27+AB27+AF27+AJ27+AN27+AR27+AV27)))</f>
        <v>0</v>
      </c>
      <c r="BA27" s="22" t="n">
        <f aca="false">ROUND(AX27-AY27-AZ27,2)</f>
        <v>0</v>
      </c>
    </row>
    <row r="28" customFormat="false" ht="15" hidden="false" customHeight="false" outlineLevel="0" collapsed="false">
      <c r="A28" s="0" t="n">
        <v>18</v>
      </c>
      <c r="B28" s="39" t="n">
        <f aca="false">EDATE(Borçlar!$K$7,17)</f>
        <v>46813</v>
      </c>
      <c r="C28" s="36" t="n">
        <f aca="false">MAX(0,Borçlar!$K$8-(O28+S28+W28+AA28+AE28+AI28+AM28+AQ28+AU28+AY28))</f>
        <v>19000</v>
      </c>
      <c r="D28" s="36" t="n">
        <f aca="false">O28+P28+S28+T28+W28+X28+AA28+AB28+AE28+AF28+AI28+AJ28+AM28+AN28+AQ28+AR28+AU28+AV28+AY28+AZ28</f>
        <v>0</v>
      </c>
      <c r="E28" s="36" t="n">
        <f aca="false">(N28+R28+V28+Z28+AD28+AH28+AL28+AP28+AT28+AX28)-(F27)</f>
        <v>0</v>
      </c>
      <c r="F28" s="36" t="n">
        <f aca="false">Q28+U28+Y28+AC28+AG28+AK28+AO28+AS28+AW28+BA28</f>
        <v>0</v>
      </c>
      <c r="N28" s="22" t="n">
        <f aca="false">Q27*(1+D$7)</f>
        <v>0</v>
      </c>
      <c r="O28" s="22" t="n">
        <f aca="false">MIN(N28,D$8)</f>
        <v>0</v>
      </c>
      <c r="P28" s="22" t="n">
        <f aca="false">MAX(0,MIN(N28-O28,$C28-(0)))</f>
        <v>0</v>
      </c>
      <c r="Q28" s="22" t="n">
        <f aca="false">ROUND(N28-O28-P28,2)</f>
        <v>0</v>
      </c>
      <c r="R28" s="22" t="n">
        <f aca="false">U27*(1+E$7)</f>
        <v>0</v>
      </c>
      <c r="S28" s="22" t="n">
        <f aca="false">MIN(R28,E$8)</f>
        <v>0</v>
      </c>
      <c r="T28" s="22" t="n">
        <f aca="false">MAX(0,MIN(R28-S28,$C28-(P28)))</f>
        <v>0</v>
      </c>
      <c r="U28" s="22" t="n">
        <f aca="false">ROUND(R28-S28-T28,2)</f>
        <v>0</v>
      </c>
      <c r="V28" s="22" t="n">
        <f aca="false">Y27*(1+F$7)</f>
        <v>0</v>
      </c>
      <c r="W28" s="22" t="n">
        <f aca="false">MIN(V28,F$8)</f>
        <v>0</v>
      </c>
      <c r="X28" s="22" t="n">
        <f aca="false">MAX(0,MIN(V28-W28,$C28-(P28+T28)))</f>
        <v>0</v>
      </c>
      <c r="Y28" s="22" t="n">
        <f aca="false">ROUND(V28-W28-X28,2)</f>
        <v>0</v>
      </c>
      <c r="Z28" s="22" t="n">
        <f aca="false">AC27*(1+G$7)</f>
        <v>0</v>
      </c>
      <c r="AA28" s="22" t="n">
        <f aca="false">MIN(Z28,G$8)</f>
        <v>0</v>
      </c>
      <c r="AB28" s="22" t="n">
        <f aca="false">MAX(0,MIN(Z28-AA28,$C28-(P28+T28+X28)))</f>
        <v>0</v>
      </c>
      <c r="AC28" s="22" t="n">
        <f aca="false">ROUND(Z28-AA28-AB28,2)</f>
        <v>0</v>
      </c>
      <c r="AD28" s="22" t="n">
        <f aca="false">AG27*(1+H$7)</f>
        <v>0</v>
      </c>
      <c r="AE28" s="22" t="n">
        <f aca="false">MIN(AD28,H$8)</f>
        <v>0</v>
      </c>
      <c r="AF28" s="22" t="n">
        <f aca="false">MAX(0,MIN(AD28-AE28,$C28-(P28+T28+X28+AB28)))</f>
        <v>0</v>
      </c>
      <c r="AG28" s="22" t="n">
        <f aca="false">ROUND(AD28-AE28-AF28,2)</f>
        <v>0</v>
      </c>
      <c r="AH28" s="22" t="n">
        <f aca="false">AK27*(1+I$7)</f>
        <v>0</v>
      </c>
      <c r="AI28" s="22" t="n">
        <f aca="false">MIN(AH28,I$8)</f>
        <v>0</v>
      </c>
      <c r="AJ28" s="22" t="n">
        <f aca="false">MAX(0,MIN(AH28-AI28,$C28-(P28+T28+X28+AB28+AF28)))</f>
        <v>0</v>
      </c>
      <c r="AK28" s="22" t="n">
        <f aca="false">ROUND(AH28-AI28-AJ28,2)</f>
        <v>0</v>
      </c>
      <c r="AL28" s="22" t="n">
        <f aca="false">AO27*(1+J$7)</f>
        <v>0</v>
      </c>
      <c r="AM28" s="22" t="n">
        <f aca="false">MIN(AL28,J$8)</f>
        <v>0</v>
      </c>
      <c r="AN28" s="22" t="n">
        <f aca="false">MAX(0,MIN(AL28-AM28,$C28-(P28+T28+X28+AB28+AF28+AJ28)))</f>
        <v>0</v>
      </c>
      <c r="AO28" s="22" t="n">
        <f aca="false">ROUND(AL28-AM28-AN28,2)</f>
        <v>0</v>
      </c>
      <c r="AP28" s="22" t="n">
        <f aca="false">AS27*(1+K$7)</f>
        <v>0</v>
      </c>
      <c r="AQ28" s="22" t="n">
        <f aca="false">MIN(AP28,K$8)</f>
        <v>0</v>
      </c>
      <c r="AR28" s="22" t="n">
        <f aca="false">MAX(0,MIN(AP28-AQ28,$C28-(P28+T28+X28+AB28+AF28+AJ28+AN28)))</f>
        <v>0</v>
      </c>
      <c r="AS28" s="22" t="n">
        <f aca="false">ROUND(AP28-AQ28-AR28,2)</f>
        <v>0</v>
      </c>
      <c r="AT28" s="22" t="n">
        <f aca="false">AW27*(1+L$7)</f>
        <v>0</v>
      </c>
      <c r="AU28" s="22" t="n">
        <f aca="false">MIN(AT28,L$8)</f>
        <v>0</v>
      </c>
      <c r="AV28" s="22" t="n">
        <f aca="false">MAX(0,MIN(AT28-AU28,$C28-(P28+T28+X28+AB28+AF28+AJ28+AN28+AR28)))</f>
        <v>0</v>
      </c>
      <c r="AW28" s="22" t="n">
        <f aca="false">ROUND(AT28-AU28-AV28,2)</f>
        <v>0</v>
      </c>
      <c r="AX28" s="22" t="n">
        <f aca="false">BA27*(1+M$7)</f>
        <v>0</v>
      </c>
      <c r="AY28" s="22" t="n">
        <f aca="false">MIN(AX28,M$8)</f>
        <v>0</v>
      </c>
      <c r="AZ28" s="22" t="n">
        <f aca="false">MAX(0,MIN(AX28-AY28,$C28-(P28+T28+X28+AB28+AF28+AJ28+AN28+AR28+AV28)))</f>
        <v>0</v>
      </c>
      <c r="BA28" s="22" t="n">
        <f aca="false">ROUND(AX28-AY28-AZ28,2)</f>
        <v>0</v>
      </c>
    </row>
    <row r="29" customFormat="false" ht="15" hidden="false" customHeight="false" outlineLevel="0" collapsed="false">
      <c r="A29" s="0" t="n">
        <v>19</v>
      </c>
      <c r="B29" s="39" t="n">
        <f aca="false">EDATE(Borçlar!$K$7,18)</f>
        <v>46844</v>
      </c>
      <c r="C29" s="36" t="n">
        <f aca="false">MAX(0,Borçlar!$K$8-(O29+S29+W29+AA29+AE29+AI29+AM29+AQ29+AU29+AY29))</f>
        <v>19000</v>
      </c>
      <c r="D29" s="36" t="n">
        <f aca="false">O29+P29+S29+T29+W29+X29+AA29+AB29+AE29+AF29+AI29+AJ29+AM29+AN29+AQ29+AR29+AU29+AV29+AY29+AZ29</f>
        <v>0</v>
      </c>
      <c r="E29" s="36" t="n">
        <f aca="false">(N29+R29+V29+Z29+AD29+AH29+AL29+AP29+AT29+AX29)-(F28)</f>
        <v>0</v>
      </c>
      <c r="F29" s="36" t="n">
        <f aca="false">Q29+U29+Y29+AC29+AG29+AK29+AO29+AS29+AW29+BA29</f>
        <v>0</v>
      </c>
      <c r="N29" s="22" t="n">
        <f aca="false">Q28*(1+D$7)</f>
        <v>0</v>
      </c>
      <c r="O29" s="22" t="n">
        <f aca="false">MIN(N29,D$8)</f>
        <v>0</v>
      </c>
      <c r="P29" s="22" t="n">
        <f aca="false">MAX(0,MIN(N29-O29,$C29-(0)))</f>
        <v>0</v>
      </c>
      <c r="Q29" s="22" t="n">
        <f aca="false">ROUND(N29-O29-P29,2)</f>
        <v>0</v>
      </c>
      <c r="R29" s="22" t="n">
        <f aca="false">U28*(1+E$7)</f>
        <v>0</v>
      </c>
      <c r="S29" s="22" t="n">
        <f aca="false">MIN(R29,E$8)</f>
        <v>0</v>
      </c>
      <c r="T29" s="22" t="n">
        <f aca="false">MAX(0,MIN(R29-S29,$C29-(P29)))</f>
        <v>0</v>
      </c>
      <c r="U29" s="22" t="n">
        <f aca="false">ROUND(R29-S29-T29,2)</f>
        <v>0</v>
      </c>
      <c r="V29" s="22" t="n">
        <f aca="false">Y28*(1+F$7)</f>
        <v>0</v>
      </c>
      <c r="W29" s="22" t="n">
        <f aca="false">MIN(V29,F$8)</f>
        <v>0</v>
      </c>
      <c r="X29" s="22" t="n">
        <f aca="false">MAX(0,MIN(V29-W29,$C29-(P29+T29)))</f>
        <v>0</v>
      </c>
      <c r="Y29" s="22" t="n">
        <f aca="false">ROUND(V29-W29-X29,2)</f>
        <v>0</v>
      </c>
      <c r="Z29" s="22" t="n">
        <f aca="false">AC28*(1+G$7)</f>
        <v>0</v>
      </c>
      <c r="AA29" s="22" t="n">
        <f aca="false">MIN(Z29,G$8)</f>
        <v>0</v>
      </c>
      <c r="AB29" s="22" t="n">
        <f aca="false">MAX(0,MIN(Z29-AA29,$C29-(P29+T29+X29)))</f>
        <v>0</v>
      </c>
      <c r="AC29" s="22" t="n">
        <f aca="false">ROUND(Z29-AA29-AB29,2)</f>
        <v>0</v>
      </c>
      <c r="AD29" s="22" t="n">
        <f aca="false">AG28*(1+H$7)</f>
        <v>0</v>
      </c>
      <c r="AE29" s="22" t="n">
        <f aca="false">MIN(AD29,H$8)</f>
        <v>0</v>
      </c>
      <c r="AF29" s="22" t="n">
        <f aca="false">MAX(0,MIN(AD29-AE29,$C29-(P29+T29+X29+AB29)))</f>
        <v>0</v>
      </c>
      <c r="AG29" s="22" t="n">
        <f aca="false">ROUND(AD29-AE29-AF29,2)</f>
        <v>0</v>
      </c>
      <c r="AH29" s="22" t="n">
        <f aca="false">AK28*(1+I$7)</f>
        <v>0</v>
      </c>
      <c r="AI29" s="22" t="n">
        <f aca="false">MIN(AH29,I$8)</f>
        <v>0</v>
      </c>
      <c r="AJ29" s="22" t="n">
        <f aca="false">MAX(0,MIN(AH29-AI29,$C29-(P29+T29+X29+AB29+AF29)))</f>
        <v>0</v>
      </c>
      <c r="AK29" s="22" t="n">
        <f aca="false">ROUND(AH29-AI29-AJ29,2)</f>
        <v>0</v>
      </c>
      <c r="AL29" s="22" t="n">
        <f aca="false">AO28*(1+J$7)</f>
        <v>0</v>
      </c>
      <c r="AM29" s="22" t="n">
        <f aca="false">MIN(AL29,J$8)</f>
        <v>0</v>
      </c>
      <c r="AN29" s="22" t="n">
        <f aca="false">MAX(0,MIN(AL29-AM29,$C29-(P29+T29+X29+AB29+AF29+AJ29)))</f>
        <v>0</v>
      </c>
      <c r="AO29" s="22" t="n">
        <f aca="false">ROUND(AL29-AM29-AN29,2)</f>
        <v>0</v>
      </c>
      <c r="AP29" s="22" t="n">
        <f aca="false">AS28*(1+K$7)</f>
        <v>0</v>
      </c>
      <c r="AQ29" s="22" t="n">
        <f aca="false">MIN(AP29,K$8)</f>
        <v>0</v>
      </c>
      <c r="AR29" s="22" t="n">
        <f aca="false">MAX(0,MIN(AP29-AQ29,$C29-(P29+T29+X29+AB29+AF29+AJ29+AN29)))</f>
        <v>0</v>
      </c>
      <c r="AS29" s="22" t="n">
        <f aca="false">ROUND(AP29-AQ29-AR29,2)</f>
        <v>0</v>
      </c>
      <c r="AT29" s="22" t="n">
        <f aca="false">AW28*(1+L$7)</f>
        <v>0</v>
      </c>
      <c r="AU29" s="22" t="n">
        <f aca="false">MIN(AT29,L$8)</f>
        <v>0</v>
      </c>
      <c r="AV29" s="22" t="n">
        <f aca="false">MAX(0,MIN(AT29-AU29,$C29-(P29+T29+X29+AB29+AF29+AJ29+AN29+AR29)))</f>
        <v>0</v>
      </c>
      <c r="AW29" s="22" t="n">
        <f aca="false">ROUND(AT29-AU29-AV29,2)</f>
        <v>0</v>
      </c>
      <c r="AX29" s="22" t="n">
        <f aca="false">BA28*(1+M$7)</f>
        <v>0</v>
      </c>
      <c r="AY29" s="22" t="n">
        <f aca="false">MIN(AX29,M$8)</f>
        <v>0</v>
      </c>
      <c r="AZ29" s="22" t="n">
        <f aca="false">MAX(0,MIN(AX29-AY29,$C29-(P29+T29+X29+AB29+AF29+AJ29+AN29+AR29+AV29)))</f>
        <v>0</v>
      </c>
      <c r="BA29" s="22" t="n">
        <f aca="false">ROUND(AX29-AY29-AZ29,2)</f>
        <v>0</v>
      </c>
    </row>
    <row r="30" customFormat="false" ht="15" hidden="false" customHeight="false" outlineLevel="0" collapsed="false">
      <c r="A30" s="0" t="n">
        <v>20</v>
      </c>
      <c r="B30" s="39" t="n">
        <f aca="false">EDATE(Borçlar!$K$7,19)</f>
        <v>46874</v>
      </c>
      <c r="C30" s="36" t="n">
        <f aca="false">MAX(0,Borçlar!$K$8-(O30+S30+W30+AA30+AE30+AI30+AM30+AQ30+AU30+AY30))</f>
        <v>19000</v>
      </c>
      <c r="D30" s="36" t="n">
        <f aca="false">O30+P30+S30+T30+W30+X30+AA30+AB30+AE30+AF30+AI30+AJ30+AM30+AN30+AQ30+AR30+AU30+AV30+AY30+AZ30</f>
        <v>0</v>
      </c>
      <c r="E30" s="36" t="n">
        <f aca="false">(N30+R30+V30+Z30+AD30+AH30+AL30+AP30+AT30+AX30)-(F29)</f>
        <v>0</v>
      </c>
      <c r="F30" s="36" t="n">
        <f aca="false">Q30+U30+Y30+AC30+AG30+AK30+AO30+AS30+AW30+BA30</f>
        <v>0</v>
      </c>
      <c r="N30" s="22" t="n">
        <f aca="false">Q29*(1+D$7)</f>
        <v>0</v>
      </c>
      <c r="O30" s="22" t="n">
        <f aca="false">MIN(N30,D$8)</f>
        <v>0</v>
      </c>
      <c r="P30" s="22" t="n">
        <f aca="false">MAX(0,MIN(N30-O30,$C30-(0)))</f>
        <v>0</v>
      </c>
      <c r="Q30" s="22" t="n">
        <f aca="false">ROUND(N30-O30-P30,2)</f>
        <v>0</v>
      </c>
      <c r="R30" s="22" t="n">
        <f aca="false">U29*(1+E$7)</f>
        <v>0</v>
      </c>
      <c r="S30" s="22" t="n">
        <f aca="false">MIN(R30,E$8)</f>
        <v>0</v>
      </c>
      <c r="T30" s="22" t="n">
        <f aca="false">MAX(0,MIN(R30-S30,$C30-(P30)))</f>
        <v>0</v>
      </c>
      <c r="U30" s="22" t="n">
        <f aca="false">ROUND(R30-S30-T30,2)</f>
        <v>0</v>
      </c>
      <c r="V30" s="22" t="n">
        <f aca="false">Y29*(1+F$7)</f>
        <v>0</v>
      </c>
      <c r="W30" s="22" t="n">
        <f aca="false">MIN(V30,F$8)</f>
        <v>0</v>
      </c>
      <c r="X30" s="22" t="n">
        <f aca="false">MAX(0,MIN(V30-W30,$C30-(P30+T30)))</f>
        <v>0</v>
      </c>
      <c r="Y30" s="22" t="n">
        <f aca="false">ROUND(V30-W30-X30,2)</f>
        <v>0</v>
      </c>
      <c r="Z30" s="22" t="n">
        <f aca="false">AC29*(1+G$7)</f>
        <v>0</v>
      </c>
      <c r="AA30" s="22" t="n">
        <f aca="false">MIN(Z30,G$8)</f>
        <v>0</v>
      </c>
      <c r="AB30" s="22" t="n">
        <f aca="false">MAX(0,MIN(Z30-AA30,$C30-(P30+T30+X30)))</f>
        <v>0</v>
      </c>
      <c r="AC30" s="22" t="n">
        <f aca="false">ROUND(Z30-AA30-AB30,2)</f>
        <v>0</v>
      </c>
      <c r="AD30" s="22" t="n">
        <f aca="false">AG29*(1+H$7)</f>
        <v>0</v>
      </c>
      <c r="AE30" s="22" t="n">
        <f aca="false">MIN(AD30,H$8)</f>
        <v>0</v>
      </c>
      <c r="AF30" s="22" t="n">
        <f aca="false">MAX(0,MIN(AD30-AE30,$C30-(P30+T30+X30+AB30)))</f>
        <v>0</v>
      </c>
      <c r="AG30" s="22" t="n">
        <f aca="false">ROUND(AD30-AE30-AF30,2)</f>
        <v>0</v>
      </c>
      <c r="AH30" s="22" t="n">
        <f aca="false">AK29*(1+I$7)</f>
        <v>0</v>
      </c>
      <c r="AI30" s="22" t="n">
        <f aca="false">MIN(AH30,I$8)</f>
        <v>0</v>
      </c>
      <c r="AJ30" s="22" t="n">
        <f aca="false">MAX(0,MIN(AH30-AI30,$C30-(P30+T30+X30+AB30+AF30)))</f>
        <v>0</v>
      </c>
      <c r="AK30" s="22" t="n">
        <f aca="false">ROUND(AH30-AI30-AJ30,2)</f>
        <v>0</v>
      </c>
      <c r="AL30" s="22" t="n">
        <f aca="false">AO29*(1+J$7)</f>
        <v>0</v>
      </c>
      <c r="AM30" s="22" t="n">
        <f aca="false">MIN(AL30,J$8)</f>
        <v>0</v>
      </c>
      <c r="AN30" s="22" t="n">
        <f aca="false">MAX(0,MIN(AL30-AM30,$C30-(P30+T30+X30+AB30+AF30+AJ30)))</f>
        <v>0</v>
      </c>
      <c r="AO30" s="22" t="n">
        <f aca="false">ROUND(AL30-AM30-AN30,2)</f>
        <v>0</v>
      </c>
      <c r="AP30" s="22" t="n">
        <f aca="false">AS29*(1+K$7)</f>
        <v>0</v>
      </c>
      <c r="AQ30" s="22" t="n">
        <f aca="false">MIN(AP30,K$8)</f>
        <v>0</v>
      </c>
      <c r="AR30" s="22" t="n">
        <f aca="false">MAX(0,MIN(AP30-AQ30,$C30-(P30+T30+X30+AB30+AF30+AJ30+AN30)))</f>
        <v>0</v>
      </c>
      <c r="AS30" s="22" t="n">
        <f aca="false">ROUND(AP30-AQ30-AR30,2)</f>
        <v>0</v>
      </c>
      <c r="AT30" s="22" t="n">
        <f aca="false">AW29*(1+L$7)</f>
        <v>0</v>
      </c>
      <c r="AU30" s="22" t="n">
        <f aca="false">MIN(AT30,L$8)</f>
        <v>0</v>
      </c>
      <c r="AV30" s="22" t="n">
        <f aca="false">MAX(0,MIN(AT30-AU30,$C30-(P30+T30+X30+AB30+AF30+AJ30+AN30+AR30)))</f>
        <v>0</v>
      </c>
      <c r="AW30" s="22" t="n">
        <f aca="false">ROUND(AT30-AU30-AV30,2)</f>
        <v>0</v>
      </c>
      <c r="AX30" s="22" t="n">
        <f aca="false">BA29*(1+M$7)</f>
        <v>0</v>
      </c>
      <c r="AY30" s="22" t="n">
        <f aca="false">MIN(AX30,M$8)</f>
        <v>0</v>
      </c>
      <c r="AZ30" s="22" t="n">
        <f aca="false">MAX(0,MIN(AX30-AY30,$C30-(P30+T30+X30+AB30+AF30+AJ30+AN30+AR30+AV30)))</f>
        <v>0</v>
      </c>
      <c r="BA30" s="22" t="n">
        <f aca="false">ROUND(AX30-AY30-AZ30,2)</f>
        <v>0</v>
      </c>
    </row>
    <row r="31" customFormat="false" ht="15" hidden="false" customHeight="false" outlineLevel="0" collapsed="false">
      <c r="A31" s="0" t="n">
        <v>21</v>
      </c>
      <c r="B31" s="39" t="n">
        <f aca="false">EDATE(Borçlar!$K$7,20)</f>
        <v>46905</v>
      </c>
      <c r="C31" s="36" t="n">
        <f aca="false">MAX(0,Borçlar!$K$8-(O31+S31+W31+AA31+AE31+AI31+AM31+AQ31+AU31+AY31))</f>
        <v>19000</v>
      </c>
      <c r="D31" s="36" t="n">
        <f aca="false">O31+P31+S31+T31+W31+X31+AA31+AB31+AE31+AF31+AI31+AJ31+AM31+AN31+AQ31+AR31+AU31+AV31+AY31+AZ31</f>
        <v>0</v>
      </c>
      <c r="E31" s="36" t="n">
        <f aca="false">(N31+R31+V31+Z31+AD31+AH31+AL31+AP31+AT31+AX31)-(F30)</f>
        <v>0</v>
      </c>
      <c r="F31" s="36" t="n">
        <f aca="false">Q31+U31+Y31+AC31+AG31+AK31+AO31+AS31+AW31+BA31</f>
        <v>0</v>
      </c>
      <c r="N31" s="22" t="n">
        <f aca="false">Q30*(1+D$7)</f>
        <v>0</v>
      </c>
      <c r="O31" s="22" t="n">
        <f aca="false">MIN(N31,D$8)</f>
        <v>0</v>
      </c>
      <c r="P31" s="22" t="n">
        <f aca="false">MAX(0,MIN(N31-O31,$C31-(0)))</f>
        <v>0</v>
      </c>
      <c r="Q31" s="22" t="n">
        <f aca="false">ROUND(N31-O31-P31,2)</f>
        <v>0</v>
      </c>
      <c r="R31" s="22" t="n">
        <f aca="false">U30*(1+E$7)</f>
        <v>0</v>
      </c>
      <c r="S31" s="22" t="n">
        <f aca="false">MIN(R31,E$8)</f>
        <v>0</v>
      </c>
      <c r="T31" s="22" t="n">
        <f aca="false">MAX(0,MIN(R31-S31,$C31-(P31)))</f>
        <v>0</v>
      </c>
      <c r="U31" s="22" t="n">
        <f aca="false">ROUND(R31-S31-T31,2)</f>
        <v>0</v>
      </c>
      <c r="V31" s="22" t="n">
        <f aca="false">Y30*(1+F$7)</f>
        <v>0</v>
      </c>
      <c r="W31" s="22" t="n">
        <f aca="false">MIN(V31,F$8)</f>
        <v>0</v>
      </c>
      <c r="X31" s="22" t="n">
        <f aca="false">MAX(0,MIN(V31-W31,$C31-(P31+T31)))</f>
        <v>0</v>
      </c>
      <c r="Y31" s="22" t="n">
        <f aca="false">ROUND(V31-W31-X31,2)</f>
        <v>0</v>
      </c>
      <c r="Z31" s="22" t="n">
        <f aca="false">AC30*(1+G$7)</f>
        <v>0</v>
      </c>
      <c r="AA31" s="22" t="n">
        <f aca="false">MIN(Z31,G$8)</f>
        <v>0</v>
      </c>
      <c r="AB31" s="22" t="n">
        <f aca="false">MAX(0,MIN(Z31-AA31,$C31-(P31+T31+X31)))</f>
        <v>0</v>
      </c>
      <c r="AC31" s="22" t="n">
        <f aca="false">ROUND(Z31-AA31-AB31,2)</f>
        <v>0</v>
      </c>
      <c r="AD31" s="22" t="n">
        <f aca="false">AG30*(1+H$7)</f>
        <v>0</v>
      </c>
      <c r="AE31" s="22" t="n">
        <f aca="false">MIN(AD31,H$8)</f>
        <v>0</v>
      </c>
      <c r="AF31" s="22" t="n">
        <f aca="false">MAX(0,MIN(AD31-AE31,$C31-(P31+T31+X31+AB31)))</f>
        <v>0</v>
      </c>
      <c r="AG31" s="22" t="n">
        <f aca="false">ROUND(AD31-AE31-AF31,2)</f>
        <v>0</v>
      </c>
      <c r="AH31" s="22" t="n">
        <f aca="false">AK30*(1+I$7)</f>
        <v>0</v>
      </c>
      <c r="AI31" s="22" t="n">
        <f aca="false">MIN(AH31,I$8)</f>
        <v>0</v>
      </c>
      <c r="AJ31" s="22" t="n">
        <f aca="false">MAX(0,MIN(AH31-AI31,$C31-(P31+T31+X31+AB31+AF31)))</f>
        <v>0</v>
      </c>
      <c r="AK31" s="22" t="n">
        <f aca="false">ROUND(AH31-AI31-AJ31,2)</f>
        <v>0</v>
      </c>
      <c r="AL31" s="22" t="n">
        <f aca="false">AO30*(1+J$7)</f>
        <v>0</v>
      </c>
      <c r="AM31" s="22" t="n">
        <f aca="false">MIN(AL31,J$8)</f>
        <v>0</v>
      </c>
      <c r="AN31" s="22" t="n">
        <f aca="false">MAX(0,MIN(AL31-AM31,$C31-(P31+T31+X31+AB31+AF31+AJ31)))</f>
        <v>0</v>
      </c>
      <c r="AO31" s="22" t="n">
        <f aca="false">ROUND(AL31-AM31-AN31,2)</f>
        <v>0</v>
      </c>
      <c r="AP31" s="22" t="n">
        <f aca="false">AS30*(1+K$7)</f>
        <v>0</v>
      </c>
      <c r="AQ31" s="22" t="n">
        <f aca="false">MIN(AP31,K$8)</f>
        <v>0</v>
      </c>
      <c r="AR31" s="22" t="n">
        <f aca="false">MAX(0,MIN(AP31-AQ31,$C31-(P31+T31+X31+AB31+AF31+AJ31+AN31)))</f>
        <v>0</v>
      </c>
      <c r="AS31" s="22" t="n">
        <f aca="false">ROUND(AP31-AQ31-AR31,2)</f>
        <v>0</v>
      </c>
      <c r="AT31" s="22" t="n">
        <f aca="false">AW30*(1+L$7)</f>
        <v>0</v>
      </c>
      <c r="AU31" s="22" t="n">
        <f aca="false">MIN(AT31,L$8)</f>
        <v>0</v>
      </c>
      <c r="AV31" s="22" t="n">
        <f aca="false">MAX(0,MIN(AT31-AU31,$C31-(P31+T31+X31+AB31+AF31+AJ31+AN31+AR31)))</f>
        <v>0</v>
      </c>
      <c r="AW31" s="22" t="n">
        <f aca="false">ROUND(AT31-AU31-AV31,2)</f>
        <v>0</v>
      </c>
      <c r="AX31" s="22" t="n">
        <f aca="false">BA30*(1+M$7)</f>
        <v>0</v>
      </c>
      <c r="AY31" s="22" t="n">
        <f aca="false">MIN(AX31,M$8)</f>
        <v>0</v>
      </c>
      <c r="AZ31" s="22" t="n">
        <f aca="false">MAX(0,MIN(AX31-AY31,$C31-(P31+T31+X31+AB31+AF31+AJ31+AN31+AR31+AV31)))</f>
        <v>0</v>
      </c>
      <c r="BA31" s="22" t="n">
        <f aca="false">ROUND(AX31-AY31-AZ31,2)</f>
        <v>0</v>
      </c>
    </row>
    <row r="32" customFormat="false" ht="15" hidden="false" customHeight="false" outlineLevel="0" collapsed="false">
      <c r="A32" s="0" t="n">
        <v>22</v>
      </c>
      <c r="B32" s="39" t="n">
        <f aca="false">EDATE(Borçlar!$K$7,21)</f>
        <v>46935</v>
      </c>
      <c r="C32" s="36" t="n">
        <f aca="false">MAX(0,Borçlar!$K$8-(O32+S32+W32+AA32+AE32+AI32+AM32+AQ32+AU32+AY32))</f>
        <v>19000</v>
      </c>
      <c r="D32" s="36" t="n">
        <f aca="false">O32+P32+S32+T32+W32+X32+AA32+AB32+AE32+AF32+AI32+AJ32+AM32+AN32+AQ32+AR32+AU32+AV32+AY32+AZ32</f>
        <v>0</v>
      </c>
      <c r="E32" s="36" t="n">
        <f aca="false">(N32+R32+V32+Z32+AD32+AH32+AL32+AP32+AT32+AX32)-(F31)</f>
        <v>0</v>
      </c>
      <c r="F32" s="36" t="n">
        <f aca="false">Q32+U32+Y32+AC32+AG32+AK32+AO32+AS32+AW32+BA32</f>
        <v>0</v>
      </c>
      <c r="N32" s="22" t="n">
        <f aca="false">Q31*(1+D$7)</f>
        <v>0</v>
      </c>
      <c r="O32" s="22" t="n">
        <f aca="false">MIN(N32,D$8)</f>
        <v>0</v>
      </c>
      <c r="P32" s="22" t="n">
        <f aca="false">MAX(0,MIN(N32-O32,$C32-(0)))</f>
        <v>0</v>
      </c>
      <c r="Q32" s="22" t="n">
        <f aca="false">ROUND(N32-O32-P32,2)</f>
        <v>0</v>
      </c>
      <c r="R32" s="22" t="n">
        <f aca="false">U31*(1+E$7)</f>
        <v>0</v>
      </c>
      <c r="S32" s="22" t="n">
        <f aca="false">MIN(R32,E$8)</f>
        <v>0</v>
      </c>
      <c r="T32" s="22" t="n">
        <f aca="false">MAX(0,MIN(R32-S32,$C32-(P32)))</f>
        <v>0</v>
      </c>
      <c r="U32" s="22" t="n">
        <f aca="false">ROUND(R32-S32-T32,2)</f>
        <v>0</v>
      </c>
      <c r="V32" s="22" t="n">
        <f aca="false">Y31*(1+F$7)</f>
        <v>0</v>
      </c>
      <c r="W32" s="22" t="n">
        <f aca="false">MIN(V32,F$8)</f>
        <v>0</v>
      </c>
      <c r="X32" s="22" t="n">
        <f aca="false">MAX(0,MIN(V32-W32,$C32-(P32+T32)))</f>
        <v>0</v>
      </c>
      <c r="Y32" s="22" t="n">
        <f aca="false">ROUND(V32-W32-X32,2)</f>
        <v>0</v>
      </c>
      <c r="Z32" s="22" t="n">
        <f aca="false">AC31*(1+G$7)</f>
        <v>0</v>
      </c>
      <c r="AA32" s="22" t="n">
        <f aca="false">MIN(Z32,G$8)</f>
        <v>0</v>
      </c>
      <c r="AB32" s="22" t="n">
        <f aca="false">MAX(0,MIN(Z32-AA32,$C32-(P32+T32+X32)))</f>
        <v>0</v>
      </c>
      <c r="AC32" s="22" t="n">
        <f aca="false">ROUND(Z32-AA32-AB32,2)</f>
        <v>0</v>
      </c>
      <c r="AD32" s="22" t="n">
        <f aca="false">AG31*(1+H$7)</f>
        <v>0</v>
      </c>
      <c r="AE32" s="22" t="n">
        <f aca="false">MIN(AD32,H$8)</f>
        <v>0</v>
      </c>
      <c r="AF32" s="22" t="n">
        <f aca="false">MAX(0,MIN(AD32-AE32,$C32-(P32+T32+X32+AB32)))</f>
        <v>0</v>
      </c>
      <c r="AG32" s="22" t="n">
        <f aca="false">ROUND(AD32-AE32-AF32,2)</f>
        <v>0</v>
      </c>
      <c r="AH32" s="22" t="n">
        <f aca="false">AK31*(1+I$7)</f>
        <v>0</v>
      </c>
      <c r="AI32" s="22" t="n">
        <f aca="false">MIN(AH32,I$8)</f>
        <v>0</v>
      </c>
      <c r="AJ32" s="22" t="n">
        <f aca="false">MAX(0,MIN(AH32-AI32,$C32-(P32+T32+X32+AB32+AF32)))</f>
        <v>0</v>
      </c>
      <c r="AK32" s="22" t="n">
        <f aca="false">ROUND(AH32-AI32-AJ32,2)</f>
        <v>0</v>
      </c>
      <c r="AL32" s="22" t="n">
        <f aca="false">AO31*(1+J$7)</f>
        <v>0</v>
      </c>
      <c r="AM32" s="22" t="n">
        <f aca="false">MIN(AL32,J$8)</f>
        <v>0</v>
      </c>
      <c r="AN32" s="22" t="n">
        <f aca="false">MAX(0,MIN(AL32-AM32,$C32-(P32+T32+X32+AB32+AF32+AJ32)))</f>
        <v>0</v>
      </c>
      <c r="AO32" s="22" t="n">
        <f aca="false">ROUND(AL32-AM32-AN32,2)</f>
        <v>0</v>
      </c>
      <c r="AP32" s="22" t="n">
        <f aca="false">AS31*(1+K$7)</f>
        <v>0</v>
      </c>
      <c r="AQ32" s="22" t="n">
        <f aca="false">MIN(AP32,K$8)</f>
        <v>0</v>
      </c>
      <c r="AR32" s="22" t="n">
        <f aca="false">MAX(0,MIN(AP32-AQ32,$C32-(P32+T32+X32+AB32+AF32+AJ32+AN32)))</f>
        <v>0</v>
      </c>
      <c r="AS32" s="22" t="n">
        <f aca="false">ROUND(AP32-AQ32-AR32,2)</f>
        <v>0</v>
      </c>
      <c r="AT32" s="22" t="n">
        <f aca="false">AW31*(1+L$7)</f>
        <v>0</v>
      </c>
      <c r="AU32" s="22" t="n">
        <f aca="false">MIN(AT32,L$8)</f>
        <v>0</v>
      </c>
      <c r="AV32" s="22" t="n">
        <f aca="false">MAX(0,MIN(AT32-AU32,$C32-(P32+T32+X32+AB32+AF32+AJ32+AN32+AR32)))</f>
        <v>0</v>
      </c>
      <c r="AW32" s="22" t="n">
        <f aca="false">ROUND(AT32-AU32-AV32,2)</f>
        <v>0</v>
      </c>
      <c r="AX32" s="22" t="n">
        <f aca="false">BA31*(1+M$7)</f>
        <v>0</v>
      </c>
      <c r="AY32" s="22" t="n">
        <f aca="false">MIN(AX32,M$8)</f>
        <v>0</v>
      </c>
      <c r="AZ32" s="22" t="n">
        <f aca="false">MAX(0,MIN(AX32-AY32,$C32-(P32+T32+X32+AB32+AF32+AJ32+AN32+AR32+AV32)))</f>
        <v>0</v>
      </c>
      <c r="BA32" s="22" t="n">
        <f aca="false">ROUND(AX32-AY32-AZ32,2)</f>
        <v>0</v>
      </c>
    </row>
    <row r="33" customFormat="false" ht="15" hidden="false" customHeight="false" outlineLevel="0" collapsed="false">
      <c r="A33" s="0" t="n">
        <v>23</v>
      </c>
      <c r="B33" s="39" t="n">
        <f aca="false">EDATE(Borçlar!$K$7,22)</f>
        <v>46966</v>
      </c>
      <c r="C33" s="36" t="n">
        <f aca="false">MAX(0,Borçlar!$K$8-(O33+S33+W33+AA33+AE33+AI33+AM33+AQ33+AU33+AY33))</f>
        <v>19000</v>
      </c>
      <c r="D33" s="36" t="n">
        <f aca="false">O33+P33+S33+T33+W33+X33+AA33+AB33+AE33+AF33+AI33+AJ33+AM33+AN33+AQ33+AR33+AU33+AV33+AY33+AZ33</f>
        <v>0</v>
      </c>
      <c r="E33" s="36" t="n">
        <f aca="false">(N33+R33+V33+Z33+AD33+AH33+AL33+AP33+AT33+AX33)-(F32)</f>
        <v>0</v>
      </c>
      <c r="F33" s="36" t="n">
        <f aca="false">Q33+U33+Y33+AC33+AG33+AK33+AO33+AS33+AW33+BA33</f>
        <v>0</v>
      </c>
      <c r="N33" s="22" t="n">
        <f aca="false">Q32*(1+D$7)</f>
        <v>0</v>
      </c>
      <c r="O33" s="22" t="n">
        <f aca="false">MIN(N33,D$8)</f>
        <v>0</v>
      </c>
      <c r="P33" s="22" t="n">
        <f aca="false">MAX(0,MIN(N33-O33,$C33-(0)))</f>
        <v>0</v>
      </c>
      <c r="Q33" s="22" t="n">
        <f aca="false">ROUND(N33-O33-P33,2)</f>
        <v>0</v>
      </c>
      <c r="R33" s="22" t="n">
        <f aca="false">U32*(1+E$7)</f>
        <v>0</v>
      </c>
      <c r="S33" s="22" t="n">
        <f aca="false">MIN(R33,E$8)</f>
        <v>0</v>
      </c>
      <c r="T33" s="22" t="n">
        <f aca="false">MAX(0,MIN(R33-S33,$C33-(P33)))</f>
        <v>0</v>
      </c>
      <c r="U33" s="22" t="n">
        <f aca="false">ROUND(R33-S33-T33,2)</f>
        <v>0</v>
      </c>
      <c r="V33" s="22" t="n">
        <f aca="false">Y32*(1+F$7)</f>
        <v>0</v>
      </c>
      <c r="W33" s="22" t="n">
        <f aca="false">MIN(V33,F$8)</f>
        <v>0</v>
      </c>
      <c r="X33" s="22" t="n">
        <f aca="false">MAX(0,MIN(V33-W33,$C33-(P33+T33)))</f>
        <v>0</v>
      </c>
      <c r="Y33" s="22" t="n">
        <f aca="false">ROUND(V33-W33-X33,2)</f>
        <v>0</v>
      </c>
      <c r="Z33" s="22" t="n">
        <f aca="false">AC32*(1+G$7)</f>
        <v>0</v>
      </c>
      <c r="AA33" s="22" t="n">
        <f aca="false">MIN(Z33,G$8)</f>
        <v>0</v>
      </c>
      <c r="AB33" s="22" t="n">
        <f aca="false">MAX(0,MIN(Z33-AA33,$C33-(P33+T33+X33)))</f>
        <v>0</v>
      </c>
      <c r="AC33" s="22" t="n">
        <f aca="false">ROUND(Z33-AA33-AB33,2)</f>
        <v>0</v>
      </c>
      <c r="AD33" s="22" t="n">
        <f aca="false">AG32*(1+H$7)</f>
        <v>0</v>
      </c>
      <c r="AE33" s="22" t="n">
        <f aca="false">MIN(AD33,H$8)</f>
        <v>0</v>
      </c>
      <c r="AF33" s="22" t="n">
        <f aca="false">MAX(0,MIN(AD33-AE33,$C33-(P33+T33+X33+AB33)))</f>
        <v>0</v>
      </c>
      <c r="AG33" s="22" t="n">
        <f aca="false">ROUND(AD33-AE33-AF33,2)</f>
        <v>0</v>
      </c>
      <c r="AH33" s="22" t="n">
        <f aca="false">AK32*(1+I$7)</f>
        <v>0</v>
      </c>
      <c r="AI33" s="22" t="n">
        <f aca="false">MIN(AH33,I$8)</f>
        <v>0</v>
      </c>
      <c r="AJ33" s="22" t="n">
        <f aca="false">MAX(0,MIN(AH33-AI33,$C33-(P33+T33+X33+AB33+AF33)))</f>
        <v>0</v>
      </c>
      <c r="AK33" s="22" t="n">
        <f aca="false">ROUND(AH33-AI33-AJ33,2)</f>
        <v>0</v>
      </c>
      <c r="AL33" s="22" t="n">
        <f aca="false">AO32*(1+J$7)</f>
        <v>0</v>
      </c>
      <c r="AM33" s="22" t="n">
        <f aca="false">MIN(AL33,J$8)</f>
        <v>0</v>
      </c>
      <c r="AN33" s="22" t="n">
        <f aca="false">MAX(0,MIN(AL33-AM33,$C33-(P33+T33+X33+AB33+AF33+AJ33)))</f>
        <v>0</v>
      </c>
      <c r="AO33" s="22" t="n">
        <f aca="false">ROUND(AL33-AM33-AN33,2)</f>
        <v>0</v>
      </c>
      <c r="AP33" s="22" t="n">
        <f aca="false">AS32*(1+K$7)</f>
        <v>0</v>
      </c>
      <c r="AQ33" s="22" t="n">
        <f aca="false">MIN(AP33,K$8)</f>
        <v>0</v>
      </c>
      <c r="AR33" s="22" t="n">
        <f aca="false">MAX(0,MIN(AP33-AQ33,$C33-(P33+T33+X33+AB33+AF33+AJ33+AN33)))</f>
        <v>0</v>
      </c>
      <c r="AS33" s="22" t="n">
        <f aca="false">ROUND(AP33-AQ33-AR33,2)</f>
        <v>0</v>
      </c>
      <c r="AT33" s="22" t="n">
        <f aca="false">AW32*(1+L$7)</f>
        <v>0</v>
      </c>
      <c r="AU33" s="22" t="n">
        <f aca="false">MIN(AT33,L$8)</f>
        <v>0</v>
      </c>
      <c r="AV33" s="22" t="n">
        <f aca="false">MAX(0,MIN(AT33-AU33,$C33-(P33+T33+X33+AB33+AF33+AJ33+AN33+AR33)))</f>
        <v>0</v>
      </c>
      <c r="AW33" s="22" t="n">
        <f aca="false">ROUND(AT33-AU33-AV33,2)</f>
        <v>0</v>
      </c>
      <c r="AX33" s="22" t="n">
        <f aca="false">BA32*(1+M$7)</f>
        <v>0</v>
      </c>
      <c r="AY33" s="22" t="n">
        <f aca="false">MIN(AX33,M$8)</f>
        <v>0</v>
      </c>
      <c r="AZ33" s="22" t="n">
        <f aca="false">MAX(0,MIN(AX33-AY33,$C33-(P33+T33+X33+AB33+AF33+AJ33+AN33+AR33+AV33)))</f>
        <v>0</v>
      </c>
      <c r="BA33" s="22" t="n">
        <f aca="false">ROUND(AX33-AY33-AZ33,2)</f>
        <v>0</v>
      </c>
    </row>
    <row r="34" customFormat="false" ht="15" hidden="false" customHeight="false" outlineLevel="0" collapsed="false">
      <c r="A34" s="0" t="n">
        <v>24</v>
      </c>
      <c r="B34" s="39" t="n">
        <f aca="false">EDATE(Borçlar!$K$7,23)</f>
        <v>46997</v>
      </c>
      <c r="C34" s="36" t="n">
        <f aca="false">MAX(0,Borçlar!$K$8-(O34+S34+W34+AA34+AE34+AI34+AM34+AQ34+AU34+AY34))</f>
        <v>19000</v>
      </c>
      <c r="D34" s="36" t="n">
        <f aca="false">O34+P34+S34+T34+W34+X34+AA34+AB34+AE34+AF34+AI34+AJ34+AM34+AN34+AQ34+AR34+AU34+AV34+AY34+AZ34</f>
        <v>0</v>
      </c>
      <c r="E34" s="36" t="n">
        <f aca="false">(N34+R34+V34+Z34+AD34+AH34+AL34+AP34+AT34+AX34)-(F33)</f>
        <v>0</v>
      </c>
      <c r="F34" s="36" t="n">
        <f aca="false">Q34+U34+Y34+AC34+AG34+AK34+AO34+AS34+AW34+BA34</f>
        <v>0</v>
      </c>
      <c r="N34" s="22" t="n">
        <f aca="false">Q33*(1+D$7)</f>
        <v>0</v>
      </c>
      <c r="O34" s="22" t="n">
        <f aca="false">MIN(N34,D$8)</f>
        <v>0</v>
      </c>
      <c r="P34" s="22" t="n">
        <f aca="false">MAX(0,MIN(N34-O34,$C34-(0)))</f>
        <v>0</v>
      </c>
      <c r="Q34" s="22" t="n">
        <f aca="false">ROUND(N34-O34-P34,2)</f>
        <v>0</v>
      </c>
      <c r="R34" s="22" t="n">
        <f aca="false">U33*(1+E$7)</f>
        <v>0</v>
      </c>
      <c r="S34" s="22" t="n">
        <f aca="false">MIN(R34,E$8)</f>
        <v>0</v>
      </c>
      <c r="T34" s="22" t="n">
        <f aca="false">MAX(0,MIN(R34-S34,$C34-(P34)))</f>
        <v>0</v>
      </c>
      <c r="U34" s="22" t="n">
        <f aca="false">ROUND(R34-S34-T34,2)</f>
        <v>0</v>
      </c>
      <c r="V34" s="22" t="n">
        <f aca="false">Y33*(1+F$7)</f>
        <v>0</v>
      </c>
      <c r="W34" s="22" t="n">
        <f aca="false">MIN(V34,F$8)</f>
        <v>0</v>
      </c>
      <c r="X34" s="22" t="n">
        <f aca="false">MAX(0,MIN(V34-W34,$C34-(P34+T34)))</f>
        <v>0</v>
      </c>
      <c r="Y34" s="22" t="n">
        <f aca="false">ROUND(V34-W34-X34,2)</f>
        <v>0</v>
      </c>
      <c r="Z34" s="22" t="n">
        <f aca="false">AC33*(1+G$7)</f>
        <v>0</v>
      </c>
      <c r="AA34" s="22" t="n">
        <f aca="false">MIN(Z34,G$8)</f>
        <v>0</v>
      </c>
      <c r="AB34" s="22" t="n">
        <f aca="false">MAX(0,MIN(Z34-AA34,$C34-(P34+T34+X34)))</f>
        <v>0</v>
      </c>
      <c r="AC34" s="22" t="n">
        <f aca="false">ROUND(Z34-AA34-AB34,2)</f>
        <v>0</v>
      </c>
      <c r="AD34" s="22" t="n">
        <f aca="false">AG33*(1+H$7)</f>
        <v>0</v>
      </c>
      <c r="AE34" s="22" t="n">
        <f aca="false">MIN(AD34,H$8)</f>
        <v>0</v>
      </c>
      <c r="AF34" s="22" t="n">
        <f aca="false">MAX(0,MIN(AD34-AE34,$C34-(P34+T34+X34+AB34)))</f>
        <v>0</v>
      </c>
      <c r="AG34" s="22" t="n">
        <f aca="false">ROUND(AD34-AE34-AF34,2)</f>
        <v>0</v>
      </c>
      <c r="AH34" s="22" t="n">
        <f aca="false">AK33*(1+I$7)</f>
        <v>0</v>
      </c>
      <c r="AI34" s="22" t="n">
        <f aca="false">MIN(AH34,I$8)</f>
        <v>0</v>
      </c>
      <c r="AJ34" s="22" t="n">
        <f aca="false">MAX(0,MIN(AH34-AI34,$C34-(P34+T34+X34+AB34+AF34)))</f>
        <v>0</v>
      </c>
      <c r="AK34" s="22" t="n">
        <f aca="false">ROUND(AH34-AI34-AJ34,2)</f>
        <v>0</v>
      </c>
      <c r="AL34" s="22" t="n">
        <f aca="false">AO33*(1+J$7)</f>
        <v>0</v>
      </c>
      <c r="AM34" s="22" t="n">
        <f aca="false">MIN(AL34,J$8)</f>
        <v>0</v>
      </c>
      <c r="AN34" s="22" t="n">
        <f aca="false">MAX(0,MIN(AL34-AM34,$C34-(P34+T34+X34+AB34+AF34+AJ34)))</f>
        <v>0</v>
      </c>
      <c r="AO34" s="22" t="n">
        <f aca="false">ROUND(AL34-AM34-AN34,2)</f>
        <v>0</v>
      </c>
      <c r="AP34" s="22" t="n">
        <f aca="false">AS33*(1+K$7)</f>
        <v>0</v>
      </c>
      <c r="AQ34" s="22" t="n">
        <f aca="false">MIN(AP34,K$8)</f>
        <v>0</v>
      </c>
      <c r="AR34" s="22" t="n">
        <f aca="false">MAX(0,MIN(AP34-AQ34,$C34-(P34+T34+X34+AB34+AF34+AJ34+AN34)))</f>
        <v>0</v>
      </c>
      <c r="AS34" s="22" t="n">
        <f aca="false">ROUND(AP34-AQ34-AR34,2)</f>
        <v>0</v>
      </c>
      <c r="AT34" s="22" t="n">
        <f aca="false">AW33*(1+L$7)</f>
        <v>0</v>
      </c>
      <c r="AU34" s="22" t="n">
        <f aca="false">MIN(AT34,L$8)</f>
        <v>0</v>
      </c>
      <c r="AV34" s="22" t="n">
        <f aca="false">MAX(0,MIN(AT34-AU34,$C34-(P34+T34+X34+AB34+AF34+AJ34+AN34+AR34)))</f>
        <v>0</v>
      </c>
      <c r="AW34" s="22" t="n">
        <f aca="false">ROUND(AT34-AU34-AV34,2)</f>
        <v>0</v>
      </c>
      <c r="AX34" s="22" t="n">
        <f aca="false">BA33*(1+M$7)</f>
        <v>0</v>
      </c>
      <c r="AY34" s="22" t="n">
        <f aca="false">MIN(AX34,M$8)</f>
        <v>0</v>
      </c>
      <c r="AZ34" s="22" t="n">
        <f aca="false">MAX(0,MIN(AX34-AY34,$C34-(P34+T34+X34+AB34+AF34+AJ34+AN34+AR34+AV34)))</f>
        <v>0</v>
      </c>
      <c r="BA34" s="22" t="n">
        <f aca="false">ROUND(AX34-AY34-AZ34,2)</f>
        <v>0</v>
      </c>
    </row>
    <row r="35" customFormat="false" ht="15" hidden="false" customHeight="false" outlineLevel="0" collapsed="false">
      <c r="A35" s="0" t="n">
        <v>25</v>
      </c>
      <c r="B35" s="39" t="n">
        <f aca="false">EDATE(Borçlar!$K$7,24)</f>
        <v>47027</v>
      </c>
      <c r="C35" s="36" t="n">
        <f aca="false">MAX(0,Borçlar!$K$8-(O35+S35+W35+AA35+AE35+AI35+AM35+AQ35+AU35+AY35))</f>
        <v>19000</v>
      </c>
      <c r="D35" s="36" t="n">
        <f aca="false">O35+P35+S35+T35+W35+X35+AA35+AB35+AE35+AF35+AI35+AJ35+AM35+AN35+AQ35+AR35+AU35+AV35+AY35+AZ35</f>
        <v>0</v>
      </c>
      <c r="E35" s="36" t="n">
        <f aca="false">(N35+R35+V35+Z35+AD35+AH35+AL35+AP35+AT35+AX35)-(F34)</f>
        <v>0</v>
      </c>
      <c r="F35" s="36" t="n">
        <f aca="false">Q35+U35+Y35+AC35+AG35+AK35+AO35+AS35+AW35+BA35</f>
        <v>0</v>
      </c>
      <c r="N35" s="22" t="n">
        <f aca="false">Q34*(1+D$7)</f>
        <v>0</v>
      </c>
      <c r="O35" s="22" t="n">
        <f aca="false">MIN(N35,D$8)</f>
        <v>0</v>
      </c>
      <c r="P35" s="22" t="n">
        <f aca="false">MAX(0,MIN(N35-O35,$C35-(0)))</f>
        <v>0</v>
      </c>
      <c r="Q35" s="22" t="n">
        <f aca="false">ROUND(N35-O35-P35,2)</f>
        <v>0</v>
      </c>
      <c r="R35" s="22" t="n">
        <f aca="false">U34*(1+E$7)</f>
        <v>0</v>
      </c>
      <c r="S35" s="22" t="n">
        <f aca="false">MIN(R35,E$8)</f>
        <v>0</v>
      </c>
      <c r="T35" s="22" t="n">
        <f aca="false">MAX(0,MIN(R35-S35,$C35-(P35)))</f>
        <v>0</v>
      </c>
      <c r="U35" s="22" t="n">
        <f aca="false">ROUND(R35-S35-T35,2)</f>
        <v>0</v>
      </c>
      <c r="V35" s="22" t="n">
        <f aca="false">Y34*(1+F$7)</f>
        <v>0</v>
      </c>
      <c r="W35" s="22" t="n">
        <f aca="false">MIN(V35,F$8)</f>
        <v>0</v>
      </c>
      <c r="X35" s="22" t="n">
        <f aca="false">MAX(0,MIN(V35-W35,$C35-(P35+T35)))</f>
        <v>0</v>
      </c>
      <c r="Y35" s="22" t="n">
        <f aca="false">ROUND(V35-W35-X35,2)</f>
        <v>0</v>
      </c>
      <c r="Z35" s="22" t="n">
        <f aca="false">AC34*(1+G$7)</f>
        <v>0</v>
      </c>
      <c r="AA35" s="22" t="n">
        <f aca="false">MIN(Z35,G$8)</f>
        <v>0</v>
      </c>
      <c r="AB35" s="22" t="n">
        <f aca="false">MAX(0,MIN(Z35-AA35,$C35-(P35+T35+X35)))</f>
        <v>0</v>
      </c>
      <c r="AC35" s="22" t="n">
        <f aca="false">ROUND(Z35-AA35-AB35,2)</f>
        <v>0</v>
      </c>
      <c r="AD35" s="22" t="n">
        <f aca="false">AG34*(1+H$7)</f>
        <v>0</v>
      </c>
      <c r="AE35" s="22" t="n">
        <f aca="false">MIN(AD35,H$8)</f>
        <v>0</v>
      </c>
      <c r="AF35" s="22" t="n">
        <f aca="false">MAX(0,MIN(AD35-AE35,$C35-(P35+T35+X35+AB35)))</f>
        <v>0</v>
      </c>
      <c r="AG35" s="22" t="n">
        <f aca="false">ROUND(AD35-AE35-AF35,2)</f>
        <v>0</v>
      </c>
      <c r="AH35" s="22" t="n">
        <f aca="false">AK34*(1+I$7)</f>
        <v>0</v>
      </c>
      <c r="AI35" s="22" t="n">
        <f aca="false">MIN(AH35,I$8)</f>
        <v>0</v>
      </c>
      <c r="AJ35" s="22" t="n">
        <f aca="false">MAX(0,MIN(AH35-AI35,$C35-(P35+T35+X35+AB35+AF35)))</f>
        <v>0</v>
      </c>
      <c r="AK35" s="22" t="n">
        <f aca="false">ROUND(AH35-AI35-AJ35,2)</f>
        <v>0</v>
      </c>
      <c r="AL35" s="22" t="n">
        <f aca="false">AO34*(1+J$7)</f>
        <v>0</v>
      </c>
      <c r="AM35" s="22" t="n">
        <f aca="false">MIN(AL35,J$8)</f>
        <v>0</v>
      </c>
      <c r="AN35" s="22" t="n">
        <f aca="false">MAX(0,MIN(AL35-AM35,$C35-(P35+T35+X35+AB35+AF35+AJ35)))</f>
        <v>0</v>
      </c>
      <c r="AO35" s="22" t="n">
        <f aca="false">ROUND(AL35-AM35-AN35,2)</f>
        <v>0</v>
      </c>
      <c r="AP35" s="22" t="n">
        <f aca="false">AS34*(1+K$7)</f>
        <v>0</v>
      </c>
      <c r="AQ35" s="22" t="n">
        <f aca="false">MIN(AP35,K$8)</f>
        <v>0</v>
      </c>
      <c r="AR35" s="22" t="n">
        <f aca="false">MAX(0,MIN(AP35-AQ35,$C35-(P35+T35+X35+AB35+AF35+AJ35+AN35)))</f>
        <v>0</v>
      </c>
      <c r="AS35" s="22" t="n">
        <f aca="false">ROUND(AP35-AQ35-AR35,2)</f>
        <v>0</v>
      </c>
      <c r="AT35" s="22" t="n">
        <f aca="false">AW34*(1+L$7)</f>
        <v>0</v>
      </c>
      <c r="AU35" s="22" t="n">
        <f aca="false">MIN(AT35,L$8)</f>
        <v>0</v>
      </c>
      <c r="AV35" s="22" t="n">
        <f aca="false">MAX(0,MIN(AT35-AU35,$C35-(P35+T35+X35+AB35+AF35+AJ35+AN35+AR35)))</f>
        <v>0</v>
      </c>
      <c r="AW35" s="22" t="n">
        <f aca="false">ROUND(AT35-AU35-AV35,2)</f>
        <v>0</v>
      </c>
      <c r="AX35" s="22" t="n">
        <f aca="false">BA34*(1+M$7)</f>
        <v>0</v>
      </c>
      <c r="AY35" s="22" t="n">
        <f aca="false">MIN(AX35,M$8)</f>
        <v>0</v>
      </c>
      <c r="AZ35" s="22" t="n">
        <f aca="false">MAX(0,MIN(AX35-AY35,$C35-(P35+T35+X35+AB35+AF35+AJ35+AN35+AR35+AV35)))</f>
        <v>0</v>
      </c>
      <c r="BA35" s="22" t="n">
        <f aca="false">ROUND(AX35-AY35-AZ35,2)</f>
        <v>0</v>
      </c>
    </row>
    <row r="36" customFormat="false" ht="15" hidden="false" customHeight="false" outlineLevel="0" collapsed="false">
      <c r="A36" s="0" t="n">
        <v>26</v>
      </c>
      <c r="B36" s="39" t="n">
        <f aca="false">EDATE(Borçlar!$K$7,25)</f>
        <v>47058</v>
      </c>
      <c r="C36" s="36" t="n">
        <f aca="false">MAX(0,Borçlar!$K$8-(O36+S36+W36+AA36+AE36+AI36+AM36+AQ36+AU36+AY36))</f>
        <v>19000</v>
      </c>
      <c r="D36" s="36" t="n">
        <f aca="false">O36+P36+S36+T36+W36+X36+AA36+AB36+AE36+AF36+AI36+AJ36+AM36+AN36+AQ36+AR36+AU36+AV36+AY36+AZ36</f>
        <v>0</v>
      </c>
      <c r="E36" s="36" t="n">
        <f aca="false">(N36+R36+V36+Z36+AD36+AH36+AL36+AP36+AT36+AX36)-(F35)</f>
        <v>0</v>
      </c>
      <c r="F36" s="36" t="n">
        <f aca="false">Q36+U36+Y36+AC36+AG36+AK36+AO36+AS36+AW36+BA36</f>
        <v>0</v>
      </c>
      <c r="N36" s="22" t="n">
        <f aca="false">Q35*(1+D$7)</f>
        <v>0</v>
      </c>
      <c r="O36" s="22" t="n">
        <f aca="false">MIN(N36,D$8)</f>
        <v>0</v>
      </c>
      <c r="P36" s="22" t="n">
        <f aca="false">MAX(0,MIN(N36-O36,$C36-(0)))</f>
        <v>0</v>
      </c>
      <c r="Q36" s="22" t="n">
        <f aca="false">ROUND(N36-O36-P36,2)</f>
        <v>0</v>
      </c>
      <c r="R36" s="22" t="n">
        <f aca="false">U35*(1+E$7)</f>
        <v>0</v>
      </c>
      <c r="S36" s="22" t="n">
        <f aca="false">MIN(R36,E$8)</f>
        <v>0</v>
      </c>
      <c r="T36" s="22" t="n">
        <f aca="false">MAX(0,MIN(R36-S36,$C36-(P36)))</f>
        <v>0</v>
      </c>
      <c r="U36" s="22" t="n">
        <f aca="false">ROUND(R36-S36-T36,2)</f>
        <v>0</v>
      </c>
      <c r="V36" s="22" t="n">
        <f aca="false">Y35*(1+F$7)</f>
        <v>0</v>
      </c>
      <c r="W36" s="22" t="n">
        <f aca="false">MIN(V36,F$8)</f>
        <v>0</v>
      </c>
      <c r="X36" s="22" t="n">
        <f aca="false">MAX(0,MIN(V36-W36,$C36-(P36+T36)))</f>
        <v>0</v>
      </c>
      <c r="Y36" s="22" t="n">
        <f aca="false">ROUND(V36-W36-X36,2)</f>
        <v>0</v>
      </c>
      <c r="Z36" s="22" t="n">
        <f aca="false">AC35*(1+G$7)</f>
        <v>0</v>
      </c>
      <c r="AA36" s="22" t="n">
        <f aca="false">MIN(Z36,G$8)</f>
        <v>0</v>
      </c>
      <c r="AB36" s="22" t="n">
        <f aca="false">MAX(0,MIN(Z36-AA36,$C36-(P36+T36+X36)))</f>
        <v>0</v>
      </c>
      <c r="AC36" s="22" t="n">
        <f aca="false">ROUND(Z36-AA36-AB36,2)</f>
        <v>0</v>
      </c>
      <c r="AD36" s="22" t="n">
        <f aca="false">AG35*(1+H$7)</f>
        <v>0</v>
      </c>
      <c r="AE36" s="22" t="n">
        <f aca="false">MIN(AD36,H$8)</f>
        <v>0</v>
      </c>
      <c r="AF36" s="22" t="n">
        <f aca="false">MAX(0,MIN(AD36-AE36,$C36-(P36+T36+X36+AB36)))</f>
        <v>0</v>
      </c>
      <c r="AG36" s="22" t="n">
        <f aca="false">ROUND(AD36-AE36-AF36,2)</f>
        <v>0</v>
      </c>
      <c r="AH36" s="22" t="n">
        <f aca="false">AK35*(1+I$7)</f>
        <v>0</v>
      </c>
      <c r="AI36" s="22" t="n">
        <f aca="false">MIN(AH36,I$8)</f>
        <v>0</v>
      </c>
      <c r="AJ36" s="22" t="n">
        <f aca="false">MAX(0,MIN(AH36-AI36,$C36-(P36+T36+X36+AB36+AF36)))</f>
        <v>0</v>
      </c>
      <c r="AK36" s="22" t="n">
        <f aca="false">ROUND(AH36-AI36-AJ36,2)</f>
        <v>0</v>
      </c>
      <c r="AL36" s="22" t="n">
        <f aca="false">AO35*(1+J$7)</f>
        <v>0</v>
      </c>
      <c r="AM36" s="22" t="n">
        <f aca="false">MIN(AL36,J$8)</f>
        <v>0</v>
      </c>
      <c r="AN36" s="22" t="n">
        <f aca="false">MAX(0,MIN(AL36-AM36,$C36-(P36+T36+X36+AB36+AF36+AJ36)))</f>
        <v>0</v>
      </c>
      <c r="AO36" s="22" t="n">
        <f aca="false">ROUND(AL36-AM36-AN36,2)</f>
        <v>0</v>
      </c>
      <c r="AP36" s="22" t="n">
        <f aca="false">AS35*(1+K$7)</f>
        <v>0</v>
      </c>
      <c r="AQ36" s="22" t="n">
        <f aca="false">MIN(AP36,K$8)</f>
        <v>0</v>
      </c>
      <c r="AR36" s="22" t="n">
        <f aca="false">MAX(0,MIN(AP36-AQ36,$C36-(P36+T36+X36+AB36+AF36+AJ36+AN36)))</f>
        <v>0</v>
      </c>
      <c r="AS36" s="22" t="n">
        <f aca="false">ROUND(AP36-AQ36-AR36,2)</f>
        <v>0</v>
      </c>
      <c r="AT36" s="22" t="n">
        <f aca="false">AW35*(1+L$7)</f>
        <v>0</v>
      </c>
      <c r="AU36" s="22" t="n">
        <f aca="false">MIN(AT36,L$8)</f>
        <v>0</v>
      </c>
      <c r="AV36" s="22" t="n">
        <f aca="false">MAX(0,MIN(AT36-AU36,$C36-(P36+T36+X36+AB36+AF36+AJ36+AN36+AR36)))</f>
        <v>0</v>
      </c>
      <c r="AW36" s="22" t="n">
        <f aca="false">ROUND(AT36-AU36-AV36,2)</f>
        <v>0</v>
      </c>
      <c r="AX36" s="22" t="n">
        <f aca="false">BA35*(1+M$7)</f>
        <v>0</v>
      </c>
      <c r="AY36" s="22" t="n">
        <f aca="false">MIN(AX36,M$8)</f>
        <v>0</v>
      </c>
      <c r="AZ36" s="22" t="n">
        <f aca="false">MAX(0,MIN(AX36-AY36,$C36-(P36+T36+X36+AB36+AF36+AJ36+AN36+AR36+AV36)))</f>
        <v>0</v>
      </c>
      <c r="BA36" s="22" t="n">
        <f aca="false">ROUND(AX36-AY36-AZ36,2)</f>
        <v>0</v>
      </c>
    </row>
    <row r="37" customFormat="false" ht="15" hidden="false" customHeight="false" outlineLevel="0" collapsed="false">
      <c r="A37" s="0" t="n">
        <v>27</v>
      </c>
      <c r="B37" s="39" t="n">
        <f aca="false">EDATE(Borçlar!$K$7,26)</f>
        <v>47088</v>
      </c>
      <c r="C37" s="36" t="n">
        <f aca="false">MAX(0,Borçlar!$K$8-(O37+S37+W37+AA37+AE37+AI37+AM37+AQ37+AU37+AY37))</f>
        <v>19000</v>
      </c>
      <c r="D37" s="36" t="n">
        <f aca="false">O37+P37+S37+T37+W37+X37+AA37+AB37+AE37+AF37+AI37+AJ37+AM37+AN37+AQ37+AR37+AU37+AV37+AY37+AZ37</f>
        <v>0</v>
      </c>
      <c r="E37" s="36" t="n">
        <f aca="false">(N37+R37+V37+Z37+AD37+AH37+AL37+AP37+AT37+AX37)-(F36)</f>
        <v>0</v>
      </c>
      <c r="F37" s="36" t="n">
        <f aca="false">Q37+U37+Y37+AC37+AG37+AK37+AO37+AS37+AW37+BA37</f>
        <v>0</v>
      </c>
      <c r="N37" s="22" t="n">
        <f aca="false">Q36*(1+D$7)</f>
        <v>0</v>
      </c>
      <c r="O37" s="22" t="n">
        <f aca="false">MIN(N37,D$8)</f>
        <v>0</v>
      </c>
      <c r="P37" s="22" t="n">
        <f aca="false">MAX(0,MIN(N37-O37,$C37-(0)))</f>
        <v>0</v>
      </c>
      <c r="Q37" s="22" t="n">
        <f aca="false">ROUND(N37-O37-P37,2)</f>
        <v>0</v>
      </c>
      <c r="R37" s="22" t="n">
        <f aca="false">U36*(1+E$7)</f>
        <v>0</v>
      </c>
      <c r="S37" s="22" t="n">
        <f aca="false">MIN(R37,E$8)</f>
        <v>0</v>
      </c>
      <c r="T37" s="22" t="n">
        <f aca="false">MAX(0,MIN(R37-S37,$C37-(P37)))</f>
        <v>0</v>
      </c>
      <c r="U37" s="22" t="n">
        <f aca="false">ROUND(R37-S37-T37,2)</f>
        <v>0</v>
      </c>
      <c r="V37" s="22" t="n">
        <f aca="false">Y36*(1+F$7)</f>
        <v>0</v>
      </c>
      <c r="W37" s="22" t="n">
        <f aca="false">MIN(V37,F$8)</f>
        <v>0</v>
      </c>
      <c r="X37" s="22" t="n">
        <f aca="false">MAX(0,MIN(V37-W37,$C37-(P37+T37)))</f>
        <v>0</v>
      </c>
      <c r="Y37" s="22" t="n">
        <f aca="false">ROUND(V37-W37-X37,2)</f>
        <v>0</v>
      </c>
      <c r="Z37" s="22" t="n">
        <f aca="false">AC36*(1+G$7)</f>
        <v>0</v>
      </c>
      <c r="AA37" s="22" t="n">
        <f aca="false">MIN(Z37,G$8)</f>
        <v>0</v>
      </c>
      <c r="AB37" s="22" t="n">
        <f aca="false">MAX(0,MIN(Z37-AA37,$C37-(P37+T37+X37)))</f>
        <v>0</v>
      </c>
      <c r="AC37" s="22" t="n">
        <f aca="false">ROUND(Z37-AA37-AB37,2)</f>
        <v>0</v>
      </c>
      <c r="AD37" s="22" t="n">
        <f aca="false">AG36*(1+H$7)</f>
        <v>0</v>
      </c>
      <c r="AE37" s="22" t="n">
        <f aca="false">MIN(AD37,H$8)</f>
        <v>0</v>
      </c>
      <c r="AF37" s="22" t="n">
        <f aca="false">MAX(0,MIN(AD37-AE37,$C37-(P37+T37+X37+AB37)))</f>
        <v>0</v>
      </c>
      <c r="AG37" s="22" t="n">
        <f aca="false">ROUND(AD37-AE37-AF37,2)</f>
        <v>0</v>
      </c>
      <c r="AH37" s="22" t="n">
        <f aca="false">AK36*(1+I$7)</f>
        <v>0</v>
      </c>
      <c r="AI37" s="22" t="n">
        <f aca="false">MIN(AH37,I$8)</f>
        <v>0</v>
      </c>
      <c r="AJ37" s="22" t="n">
        <f aca="false">MAX(0,MIN(AH37-AI37,$C37-(P37+T37+X37+AB37+AF37)))</f>
        <v>0</v>
      </c>
      <c r="AK37" s="22" t="n">
        <f aca="false">ROUND(AH37-AI37-AJ37,2)</f>
        <v>0</v>
      </c>
      <c r="AL37" s="22" t="n">
        <f aca="false">AO36*(1+J$7)</f>
        <v>0</v>
      </c>
      <c r="AM37" s="22" t="n">
        <f aca="false">MIN(AL37,J$8)</f>
        <v>0</v>
      </c>
      <c r="AN37" s="22" t="n">
        <f aca="false">MAX(0,MIN(AL37-AM37,$C37-(P37+T37+X37+AB37+AF37+AJ37)))</f>
        <v>0</v>
      </c>
      <c r="AO37" s="22" t="n">
        <f aca="false">ROUND(AL37-AM37-AN37,2)</f>
        <v>0</v>
      </c>
      <c r="AP37" s="22" t="n">
        <f aca="false">AS36*(1+K$7)</f>
        <v>0</v>
      </c>
      <c r="AQ37" s="22" t="n">
        <f aca="false">MIN(AP37,K$8)</f>
        <v>0</v>
      </c>
      <c r="AR37" s="22" t="n">
        <f aca="false">MAX(0,MIN(AP37-AQ37,$C37-(P37+T37+X37+AB37+AF37+AJ37+AN37)))</f>
        <v>0</v>
      </c>
      <c r="AS37" s="22" t="n">
        <f aca="false">ROUND(AP37-AQ37-AR37,2)</f>
        <v>0</v>
      </c>
      <c r="AT37" s="22" t="n">
        <f aca="false">AW36*(1+L$7)</f>
        <v>0</v>
      </c>
      <c r="AU37" s="22" t="n">
        <f aca="false">MIN(AT37,L$8)</f>
        <v>0</v>
      </c>
      <c r="AV37" s="22" t="n">
        <f aca="false">MAX(0,MIN(AT37-AU37,$C37-(P37+T37+X37+AB37+AF37+AJ37+AN37+AR37)))</f>
        <v>0</v>
      </c>
      <c r="AW37" s="22" t="n">
        <f aca="false">ROUND(AT37-AU37-AV37,2)</f>
        <v>0</v>
      </c>
      <c r="AX37" s="22" t="n">
        <f aca="false">BA36*(1+M$7)</f>
        <v>0</v>
      </c>
      <c r="AY37" s="22" t="n">
        <f aca="false">MIN(AX37,M$8)</f>
        <v>0</v>
      </c>
      <c r="AZ37" s="22" t="n">
        <f aca="false">MAX(0,MIN(AX37-AY37,$C37-(P37+T37+X37+AB37+AF37+AJ37+AN37+AR37+AV37)))</f>
        <v>0</v>
      </c>
      <c r="BA37" s="22" t="n">
        <f aca="false">ROUND(AX37-AY37-AZ37,2)</f>
        <v>0</v>
      </c>
    </row>
    <row r="38" customFormat="false" ht="15" hidden="false" customHeight="false" outlineLevel="0" collapsed="false">
      <c r="A38" s="0" t="n">
        <v>28</v>
      </c>
      <c r="B38" s="39" t="n">
        <f aca="false">EDATE(Borçlar!$K$7,27)</f>
        <v>47119</v>
      </c>
      <c r="C38" s="36" t="n">
        <f aca="false">MAX(0,Borçlar!$K$8-(O38+S38+W38+AA38+AE38+AI38+AM38+AQ38+AU38+AY38))</f>
        <v>19000</v>
      </c>
      <c r="D38" s="36" t="n">
        <f aca="false">O38+P38+S38+T38+W38+X38+AA38+AB38+AE38+AF38+AI38+AJ38+AM38+AN38+AQ38+AR38+AU38+AV38+AY38+AZ38</f>
        <v>0</v>
      </c>
      <c r="E38" s="36" t="n">
        <f aca="false">(N38+R38+V38+Z38+AD38+AH38+AL38+AP38+AT38+AX38)-(F37)</f>
        <v>0</v>
      </c>
      <c r="F38" s="36" t="n">
        <f aca="false">Q38+U38+Y38+AC38+AG38+AK38+AO38+AS38+AW38+BA38</f>
        <v>0</v>
      </c>
      <c r="N38" s="22" t="n">
        <f aca="false">Q37*(1+D$7)</f>
        <v>0</v>
      </c>
      <c r="O38" s="22" t="n">
        <f aca="false">MIN(N38,D$8)</f>
        <v>0</v>
      </c>
      <c r="P38" s="22" t="n">
        <f aca="false">MAX(0,MIN(N38-O38,$C38-(0)))</f>
        <v>0</v>
      </c>
      <c r="Q38" s="22" t="n">
        <f aca="false">ROUND(N38-O38-P38,2)</f>
        <v>0</v>
      </c>
      <c r="R38" s="22" t="n">
        <f aca="false">U37*(1+E$7)</f>
        <v>0</v>
      </c>
      <c r="S38" s="22" t="n">
        <f aca="false">MIN(R38,E$8)</f>
        <v>0</v>
      </c>
      <c r="T38" s="22" t="n">
        <f aca="false">MAX(0,MIN(R38-S38,$C38-(P38)))</f>
        <v>0</v>
      </c>
      <c r="U38" s="22" t="n">
        <f aca="false">ROUND(R38-S38-T38,2)</f>
        <v>0</v>
      </c>
      <c r="V38" s="22" t="n">
        <f aca="false">Y37*(1+F$7)</f>
        <v>0</v>
      </c>
      <c r="W38" s="22" t="n">
        <f aca="false">MIN(V38,F$8)</f>
        <v>0</v>
      </c>
      <c r="X38" s="22" t="n">
        <f aca="false">MAX(0,MIN(V38-W38,$C38-(P38+T38)))</f>
        <v>0</v>
      </c>
      <c r="Y38" s="22" t="n">
        <f aca="false">ROUND(V38-W38-X38,2)</f>
        <v>0</v>
      </c>
      <c r="Z38" s="22" t="n">
        <f aca="false">AC37*(1+G$7)</f>
        <v>0</v>
      </c>
      <c r="AA38" s="22" t="n">
        <f aca="false">MIN(Z38,G$8)</f>
        <v>0</v>
      </c>
      <c r="AB38" s="22" t="n">
        <f aca="false">MAX(0,MIN(Z38-AA38,$C38-(P38+T38+X38)))</f>
        <v>0</v>
      </c>
      <c r="AC38" s="22" t="n">
        <f aca="false">ROUND(Z38-AA38-AB38,2)</f>
        <v>0</v>
      </c>
      <c r="AD38" s="22" t="n">
        <f aca="false">AG37*(1+H$7)</f>
        <v>0</v>
      </c>
      <c r="AE38" s="22" t="n">
        <f aca="false">MIN(AD38,H$8)</f>
        <v>0</v>
      </c>
      <c r="AF38" s="22" t="n">
        <f aca="false">MAX(0,MIN(AD38-AE38,$C38-(P38+T38+X38+AB38)))</f>
        <v>0</v>
      </c>
      <c r="AG38" s="22" t="n">
        <f aca="false">ROUND(AD38-AE38-AF38,2)</f>
        <v>0</v>
      </c>
      <c r="AH38" s="22" t="n">
        <f aca="false">AK37*(1+I$7)</f>
        <v>0</v>
      </c>
      <c r="AI38" s="22" t="n">
        <f aca="false">MIN(AH38,I$8)</f>
        <v>0</v>
      </c>
      <c r="AJ38" s="22" t="n">
        <f aca="false">MAX(0,MIN(AH38-AI38,$C38-(P38+T38+X38+AB38+AF38)))</f>
        <v>0</v>
      </c>
      <c r="AK38" s="22" t="n">
        <f aca="false">ROUND(AH38-AI38-AJ38,2)</f>
        <v>0</v>
      </c>
      <c r="AL38" s="22" t="n">
        <f aca="false">AO37*(1+J$7)</f>
        <v>0</v>
      </c>
      <c r="AM38" s="22" t="n">
        <f aca="false">MIN(AL38,J$8)</f>
        <v>0</v>
      </c>
      <c r="AN38" s="22" t="n">
        <f aca="false">MAX(0,MIN(AL38-AM38,$C38-(P38+T38+X38+AB38+AF38+AJ38)))</f>
        <v>0</v>
      </c>
      <c r="AO38" s="22" t="n">
        <f aca="false">ROUND(AL38-AM38-AN38,2)</f>
        <v>0</v>
      </c>
      <c r="AP38" s="22" t="n">
        <f aca="false">AS37*(1+K$7)</f>
        <v>0</v>
      </c>
      <c r="AQ38" s="22" t="n">
        <f aca="false">MIN(AP38,K$8)</f>
        <v>0</v>
      </c>
      <c r="AR38" s="22" t="n">
        <f aca="false">MAX(0,MIN(AP38-AQ38,$C38-(P38+T38+X38+AB38+AF38+AJ38+AN38)))</f>
        <v>0</v>
      </c>
      <c r="AS38" s="22" t="n">
        <f aca="false">ROUND(AP38-AQ38-AR38,2)</f>
        <v>0</v>
      </c>
      <c r="AT38" s="22" t="n">
        <f aca="false">AW37*(1+L$7)</f>
        <v>0</v>
      </c>
      <c r="AU38" s="22" t="n">
        <f aca="false">MIN(AT38,L$8)</f>
        <v>0</v>
      </c>
      <c r="AV38" s="22" t="n">
        <f aca="false">MAX(0,MIN(AT38-AU38,$C38-(P38+T38+X38+AB38+AF38+AJ38+AN38+AR38)))</f>
        <v>0</v>
      </c>
      <c r="AW38" s="22" t="n">
        <f aca="false">ROUND(AT38-AU38-AV38,2)</f>
        <v>0</v>
      </c>
      <c r="AX38" s="22" t="n">
        <f aca="false">BA37*(1+M$7)</f>
        <v>0</v>
      </c>
      <c r="AY38" s="22" t="n">
        <f aca="false">MIN(AX38,M$8)</f>
        <v>0</v>
      </c>
      <c r="AZ38" s="22" t="n">
        <f aca="false">MAX(0,MIN(AX38-AY38,$C38-(P38+T38+X38+AB38+AF38+AJ38+AN38+AR38+AV38)))</f>
        <v>0</v>
      </c>
      <c r="BA38" s="22" t="n">
        <f aca="false">ROUND(AX38-AY38-AZ38,2)</f>
        <v>0</v>
      </c>
    </row>
    <row r="39" customFormat="false" ht="15" hidden="false" customHeight="false" outlineLevel="0" collapsed="false">
      <c r="A39" s="0" t="n">
        <v>29</v>
      </c>
      <c r="B39" s="39" t="n">
        <f aca="false">EDATE(Borçlar!$K$7,28)</f>
        <v>47150</v>
      </c>
      <c r="C39" s="36" t="n">
        <f aca="false">MAX(0,Borçlar!$K$8-(O39+S39+W39+AA39+AE39+AI39+AM39+AQ39+AU39+AY39))</f>
        <v>19000</v>
      </c>
      <c r="D39" s="36" t="n">
        <f aca="false">O39+P39+S39+T39+W39+X39+AA39+AB39+AE39+AF39+AI39+AJ39+AM39+AN39+AQ39+AR39+AU39+AV39+AY39+AZ39</f>
        <v>0</v>
      </c>
      <c r="E39" s="36" t="n">
        <f aca="false">(N39+R39+V39+Z39+AD39+AH39+AL39+AP39+AT39+AX39)-(F38)</f>
        <v>0</v>
      </c>
      <c r="F39" s="36" t="n">
        <f aca="false">Q39+U39+Y39+AC39+AG39+AK39+AO39+AS39+AW39+BA39</f>
        <v>0</v>
      </c>
      <c r="N39" s="22" t="n">
        <f aca="false">Q38*(1+D$7)</f>
        <v>0</v>
      </c>
      <c r="O39" s="22" t="n">
        <f aca="false">MIN(N39,D$8)</f>
        <v>0</v>
      </c>
      <c r="P39" s="22" t="n">
        <f aca="false">MAX(0,MIN(N39-O39,$C39-(0)))</f>
        <v>0</v>
      </c>
      <c r="Q39" s="22" t="n">
        <f aca="false">ROUND(N39-O39-P39,2)</f>
        <v>0</v>
      </c>
      <c r="R39" s="22" t="n">
        <f aca="false">U38*(1+E$7)</f>
        <v>0</v>
      </c>
      <c r="S39" s="22" t="n">
        <f aca="false">MIN(R39,E$8)</f>
        <v>0</v>
      </c>
      <c r="T39" s="22" t="n">
        <f aca="false">MAX(0,MIN(R39-S39,$C39-(P39)))</f>
        <v>0</v>
      </c>
      <c r="U39" s="22" t="n">
        <f aca="false">ROUND(R39-S39-T39,2)</f>
        <v>0</v>
      </c>
      <c r="V39" s="22" t="n">
        <f aca="false">Y38*(1+F$7)</f>
        <v>0</v>
      </c>
      <c r="W39" s="22" t="n">
        <f aca="false">MIN(V39,F$8)</f>
        <v>0</v>
      </c>
      <c r="X39" s="22" t="n">
        <f aca="false">MAX(0,MIN(V39-W39,$C39-(P39+T39)))</f>
        <v>0</v>
      </c>
      <c r="Y39" s="22" t="n">
        <f aca="false">ROUND(V39-W39-X39,2)</f>
        <v>0</v>
      </c>
      <c r="Z39" s="22" t="n">
        <f aca="false">AC38*(1+G$7)</f>
        <v>0</v>
      </c>
      <c r="AA39" s="22" t="n">
        <f aca="false">MIN(Z39,G$8)</f>
        <v>0</v>
      </c>
      <c r="AB39" s="22" t="n">
        <f aca="false">MAX(0,MIN(Z39-AA39,$C39-(P39+T39+X39)))</f>
        <v>0</v>
      </c>
      <c r="AC39" s="22" t="n">
        <f aca="false">ROUND(Z39-AA39-AB39,2)</f>
        <v>0</v>
      </c>
      <c r="AD39" s="22" t="n">
        <f aca="false">AG38*(1+H$7)</f>
        <v>0</v>
      </c>
      <c r="AE39" s="22" t="n">
        <f aca="false">MIN(AD39,H$8)</f>
        <v>0</v>
      </c>
      <c r="AF39" s="22" t="n">
        <f aca="false">MAX(0,MIN(AD39-AE39,$C39-(P39+T39+X39+AB39)))</f>
        <v>0</v>
      </c>
      <c r="AG39" s="22" t="n">
        <f aca="false">ROUND(AD39-AE39-AF39,2)</f>
        <v>0</v>
      </c>
      <c r="AH39" s="22" t="n">
        <f aca="false">AK38*(1+I$7)</f>
        <v>0</v>
      </c>
      <c r="AI39" s="22" t="n">
        <f aca="false">MIN(AH39,I$8)</f>
        <v>0</v>
      </c>
      <c r="AJ39" s="22" t="n">
        <f aca="false">MAX(0,MIN(AH39-AI39,$C39-(P39+T39+X39+AB39+AF39)))</f>
        <v>0</v>
      </c>
      <c r="AK39" s="22" t="n">
        <f aca="false">ROUND(AH39-AI39-AJ39,2)</f>
        <v>0</v>
      </c>
      <c r="AL39" s="22" t="n">
        <f aca="false">AO38*(1+J$7)</f>
        <v>0</v>
      </c>
      <c r="AM39" s="22" t="n">
        <f aca="false">MIN(AL39,J$8)</f>
        <v>0</v>
      </c>
      <c r="AN39" s="22" t="n">
        <f aca="false">MAX(0,MIN(AL39-AM39,$C39-(P39+T39+X39+AB39+AF39+AJ39)))</f>
        <v>0</v>
      </c>
      <c r="AO39" s="22" t="n">
        <f aca="false">ROUND(AL39-AM39-AN39,2)</f>
        <v>0</v>
      </c>
      <c r="AP39" s="22" t="n">
        <f aca="false">AS38*(1+K$7)</f>
        <v>0</v>
      </c>
      <c r="AQ39" s="22" t="n">
        <f aca="false">MIN(AP39,K$8)</f>
        <v>0</v>
      </c>
      <c r="AR39" s="22" t="n">
        <f aca="false">MAX(0,MIN(AP39-AQ39,$C39-(P39+T39+X39+AB39+AF39+AJ39+AN39)))</f>
        <v>0</v>
      </c>
      <c r="AS39" s="22" t="n">
        <f aca="false">ROUND(AP39-AQ39-AR39,2)</f>
        <v>0</v>
      </c>
      <c r="AT39" s="22" t="n">
        <f aca="false">AW38*(1+L$7)</f>
        <v>0</v>
      </c>
      <c r="AU39" s="22" t="n">
        <f aca="false">MIN(AT39,L$8)</f>
        <v>0</v>
      </c>
      <c r="AV39" s="22" t="n">
        <f aca="false">MAX(0,MIN(AT39-AU39,$C39-(P39+T39+X39+AB39+AF39+AJ39+AN39+AR39)))</f>
        <v>0</v>
      </c>
      <c r="AW39" s="22" t="n">
        <f aca="false">ROUND(AT39-AU39-AV39,2)</f>
        <v>0</v>
      </c>
      <c r="AX39" s="22" t="n">
        <f aca="false">BA38*(1+M$7)</f>
        <v>0</v>
      </c>
      <c r="AY39" s="22" t="n">
        <f aca="false">MIN(AX39,M$8)</f>
        <v>0</v>
      </c>
      <c r="AZ39" s="22" t="n">
        <f aca="false">MAX(0,MIN(AX39-AY39,$C39-(P39+T39+X39+AB39+AF39+AJ39+AN39+AR39+AV39)))</f>
        <v>0</v>
      </c>
      <c r="BA39" s="22" t="n">
        <f aca="false">ROUND(AX39-AY39-AZ39,2)</f>
        <v>0</v>
      </c>
    </row>
    <row r="40" customFormat="false" ht="15" hidden="false" customHeight="false" outlineLevel="0" collapsed="false">
      <c r="A40" s="0" t="n">
        <v>30</v>
      </c>
      <c r="B40" s="39" t="n">
        <f aca="false">EDATE(Borçlar!$K$7,29)</f>
        <v>47178</v>
      </c>
      <c r="C40" s="36" t="n">
        <f aca="false">MAX(0,Borçlar!$K$8-(O40+S40+W40+AA40+AE40+AI40+AM40+AQ40+AU40+AY40))</f>
        <v>19000</v>
      </c>
      <c r="D40" s="36" t="n">
        <f aca="false">O40+P40+S40+T40+W40+X40+AA40+AB40+AE40+AF40+AI40+AJ40+AM40+AN40+AQ40+AR40+AU40+AV40+AY40+AZ40</f>
        <v>0</v>
      </c>
      <c r="E40" s="36" t="n">
        <f aca="false">(N40+R40+V40+Z40+AD40+AH40+AL40+AP40+AT40+AX40)-(F39)</f>
        <v>0</v>
      </c>
      <c r="F40" s="36" t="n">
        <f aca="false">Q40+U40+Y40+AC40+AG40+AK40+AO40+AS40+AW40+BA40</f>
        <v>0</v>
      </c>
      <c r="N40" s="22" t="n">
        <f aca="false">Q39*(1+D$7)</f>
        <v>0</v>
      </c>
      <c r="O40" s="22" t="n">
        <f aca="false">MIN(N40,D$8)</f>
        <v>0</v>
      </c>
      <c r="P40" s="22" t="n">
        <f aca="false">MAX(0,MIN(N40-O40,$C40-(0)))</f>
        <v>0</v>
      </c>
      <c r="Q40" s="22" t="n">
        <f aca="false">ROUND(N40-O40-P40,2)</f>
        <v>0</v>
      </c>
      <c r="R40" s="22" t="n">
        <f aca="false">U39*(1+E$7)</f>
        <v>0</v>
      </c>
      <c r="S40" s="22" t="n">
        <f aca="false">MIN(R40,E$8)</f>
        <v>0</v>
      </c>
      <c r="T40" s="22" t="n">
        <f aca="false">MAX(0,MIN(R40-S40,$C40-(P40)))</f>
        <v>0</v>
      </c>
      <c r="U40" s="22" t="n">
        <f aca="false">ROUND(R40-S40-T40,2)</f>
        <v>0</v>
      </c>
      <c r="V40" s="22" t="n">
        <f aca="false">Y39*(1+F$7)</f>
        <v>0</v>
      </c>
      <c r="W40" s="22" t="n">
        <f aca="false">MIN(V40,F$8)</f>
        <v>0</v>
      </c>
      <c r="X40" s="22" t="n">
        <f aca="false">MAX(0,MIN(V40-W40,$C40-(P40+T40)))</f>
        <v>0</v>
      </c>
      <c r="Y40" s="22" t="n">
        <f aca="false">ROUND(V40-W40-X40,2)</f>
        <v>0</v>
      </c>
      <c r="Z40" s="22" t="n">
        <f aca="false">AC39*(1+G$7)</f>
        <v>0</v>
      </c>
      <c r="AA40" s="22" t="n">
        <f aca="false">MIN(Z40,G$8)</f>
        <v>0</v>
      </c>
      <c r="AB40" s="22" t="n">
        <f aca="false">MAX(0,MIN(Z40-AA40,$C40-(P40+T40+X40)))</f>
        <v>0</v>
      </c>
      <c r="AC40" s="22" t="n">
        <f aca="false">ROUND(Z40-AA40-AB40,2)</f>
        <v>0</v>
      </c>
      <c r="AD40" s="22" t="n">
        <f aca="false">AG39*(1+H$7)</f>
        <v>0</v>
      </c>
      <c r="AE40" s="22" t="n">
        <f aca="false">MIN(AD40,H$8)</f>
        <v>0</v>
      </c>
      <c r="AF40" s="22" t="n">
        <f aca="false">MAX(0,MIN(AD40-AE40,$C40-(P40+T40+X40+AB40)))</f>
        <v>0</v>
      </c>
      <c r="AG40" s="22" t="n">
        <f aca="false">ROUND(AD40-AE40-AF40,2)</f>
        <v>0</v>
      </c>
      <c r="AH40" s="22" t="n">
        <f aca="false">AK39*(1+I$7)</f>
        <v>0</v>
      </c>
      <c r="AI40" s="22" t="n">
        <f aca="false">MIN(AH40,I$8)</f>
        <v>0</v>
      </c>
      <c r="AJ40" s="22" t="n">
        <f aca="false">MAX(0,MIN(AH40-AI40,$C40-(P40+T40+X40+AB40+AF40)))</f>
        <v>0</v>
      </c>
      <c r="AK40" s="22" t="n">
        <f aca="false">ROUND(AH40-AI40-AJ40,2)</f>
        <v>0</v>
      </c>
      <c r="AL40" s="22" t="n">
        <f aca="false">AO39*(1+J$7)</f>
        <v>0</v>
      </c>
      <c r="AM40" s="22" t="n">
        <f aca="false">MIN(AL40,J$8)</f>
        <v>0</v>
      </c>
      <c r="AN40" s="22" t="n">
        <f aca="false">MAX(0,MIN(AL40-AM40,$C40-(P40+T40+X40+AB40+AF40+AJ40)))</f>
        <v>0</v>
      </c>
      <c r="AO40" s="22" t="n">
        <f aca="false">ROUND(AL40-AM40-AN40,2)</f>
        <v>0</v>
      </c>
      <c r="AP40" s="22" t="n">
        <f aca="false">AS39*(1+K$7)</f>
        <v>0</v>
      </c>
      <c r="AQ40" s="22" t="n">
        <f aca="false">MIN(AP40,K$8)</f>
        <v>0</v>
      </c>
      <c r="AR40" s="22" t="n">
        <f aca="false">MAX(0,MIN(AP40-AQ40,$C40-(P40+T40+X40+AB40+AF40+AJ40+AN40)))</f>
        <v>0</v>
      </c>
      <c r="AS40" s="22" t="n">
        <f aca="false">ROUND(AP40-AQ40-AR40,2)</f>
        <v>0</v>
      </c>
      <c r="AT40" s="22" t="n">
        <f aca="false">AW39*(1+L$7)</f>
        <v>0</v>
      </c>
      <c r="AU40" s="22" t="n">
        <f aca="false">MIN(AT40,L$8)</f>
        <v>0</v>
      </c>
      <c r="AV40" s="22" t="n">
        <f aca="false">MAX(0,MIN(AT40-AU40,$C40-(P40+T40+X40+AB40+AF40+AJ40+AN40+AR40)))</f>
        <v>0</v>
      </c>
      <c r="AW40" s="22" t="n">
        <f aca="false">ROUND(AT40-AU40-AV40,2)</f>
        <v>0</v>
      </c>
      <c r="AX40" s="22" t="n">
        <f aca="false">BA39*(1+M$7)</f>
        <v>0</v>
      </c>
      <c r="AY40" s="22" t="n">
        <f aca="false">MIN(AX40,M$8)</f>
        <v>0</v>
      </c>
      <c r="AZ40" s="22" t="n">
        <f aca="false">MAX(0,MIN(AX40-AY40,$C40-(P40+T40+X40+AB40+AF40+AJ40+AN40+AR40+AV40)))</f>
        <v>0</v>
      </c>
      <c r="BA40" s="22" t="n">
        <f aca="false">ROUND(AX40-AY40-AZ40,2)</f>
        <v>0</v>
      </c>
    </row>
    <row r="41" customFormat="false" ht="15" hidden="false" customHeight="false" outlineLevel="0" collapsed="false">
      <c r="A41" s="0" t="n">
        <v>31</v>
      </c>
      <c r="B41" s="39" t="n">
        <f aca="false">EDATE(Borçlar!$K$7,30)</f>
        <v>47209</v>
      </c>
      <c r="C41" s="36" t="n">
        <f aca="false">MAX(0,Borçlar!$K$8-(O41+S41+W41+AA41+AE41+AI41+AM41+AQ41+AU41+AY41))</f>
        <v>19000</v>
      </c>
      <c r="D41" s="36" t="n">
        <f aca="false">O41+P41+S41+T41+W41+X41+AA41+AB41+AE41+AF41+AI41+AJ41+AM41+AN41+AQ41+AR41+AU41+AV41+AY41+AZ41</f>
        <v>0</v>
      </c>
      <c r="E41" s="36" t="n">
        <f aca="false">(N41+R41+V41+Z41+AD41+AH41+AL41+AP41+AT41+AX41)-(F40)</f>
        <v>0</v>
      </c>
      <c r="F41" s="36" t="n">
        <f aca="false">Q41+U41+Y41+AC41+AG41+AK41+AO41+AS41+AW41+BA41</f>
        <v>0</v>
      </c>
      <c r="N41" s="22" t="n">
        <f aca="false">Q40*(1+D$7)</f>
        <v>0</v>
      </c>
      <c r="O41" s="22" t="n">
        <f aca="false">MIN(N41,D$8)</f>
        <v>0</v>
      </c>
      <c r="P41" s="22" t="n">
        <f aca="false">MAX(0,MIN(N41-O41,$C41-(0)))</f>
        <v>0</v>
      </c>
      <c r="Q41" s="22" t="n">
        <f aca="false">ROUND(N41-O41-P41,2)</f>
        <v>0</v>
      </c>
      <c r="R41" s="22" t="n">
        <f aca="false">U40*(1+E$7)</f>
        <v>0</v>
      </c>
      <c r="S41" s="22" t="n">
        <f aca="false">MIN(R41,E$8)</f>
        <v>0</v>
      </c>
      <c r="T41" s="22" t="n">
        <f aca="false">MAX(0,MIN(R41-S41,$C41-(P41)))</f>
        <v>0</v>
      </c>
      <c r="U41" s="22" t="n">
        <f aca="false">ROUND(R41-S41-T41,2)</f>
        <v>0</v>
      </c>
      <c r="V41" s="22" t="n">
        <f aca="false">Y40*(1+F$7)</f>
        <v>0</v>
      </c>
      <c r="W41" s="22" t="n">
        <f aca="false">MIN(V41,F$8)</f>
        <v>0</v>
      </c>
      <c r="X41" s="22" t="n">
        <f aca="false">MAX(0,MIN(V41-W41,$C41-(P41+T41)))</f>
        <v>0</v>
      </c>
      <c r="Y41" s="22" t="n">
        <f aca="false">ROUND(V41-W41-X41,2)</f>
        <v>0</v>
      </c>
      <c r="Z41" s="22" t="n">
        <f aca="false">AC40*(1+G$7)</f>
        <v>0</v>
      </c>
      <c r="AA41" s="22" t="n">
        <f aca="false">MIN(Z41,G$8)</f>
        <v>0</v>
      </c>
      <c r="AB41" s="22" t="n">
        <f aca="false">MAX(0,MIN(Z41-AA41,$C41-(P41+T41+X41)))</f>
        <v>0</v>
      </c>
      <c r="AC41" s="22" t="n">
        <f aca="false">ROUND(Z41-AA41-AB41,2)</f>
        <v>0</v>
      </c>
      <c r="AD41" s="22" t="n">
        <f aca="false">AG40*(1+H$7)</f>
        <v>0</v>
      </c>
      <c r="AE41" s="22" t="n">
        <f aca="false">MIN(AD41,H$8)</f>
        <v>0</v>
      </c>
      <c r="AF41" s="22" t="n">
        <f aca="false">MAX(0,MIN(AD41-AE41,$C41-(P41+T41+X41+AB41)))</f>
        <v>0</v>
      </c>
      <c r="AG41" s="22" t="n">
        <f aca="false">ROUND(AD41-AE41-AF41,2)</f>
        <v>0</v>
      </c>
      <c r="AH41" s="22" t="n">
        <f aca="false">AK40*(1+I$7)</f>
        <v>0</v>
      </c>
      <c r="AI41" s="22" t="n">
        <f aca="false">MIN(AH41,I$8)</f>
        <v>0</v>
      </c>
      <c r="AJ41" s="22" t="n">
        <f aca="false">MAX(0,MIN(AH41-AI41,$C41-(P41+T41+X41+AB41+AF41)))</f>
        <v>0</v>
      </c>
      <c r="AK41" s="22" t="n">
        <f aca="false">ROUND(AH41-AI41-AJ41,2)</f>
        <v>0</v>
      </c>
      <c r="AL41" s="22" t="n">
        <f aca="false">AO40*(1+J$7)</f>
        <v>0</v>
      </c>
      <c r="AM41" s="22" t="n">
        <f aca="false">MIN(AL41,J$8)</f>
        <v>0</v>
      </c>
      <c r="AN41" s="22" t="n">
        <f aca="false">MAX(0,MIN(AL41-AM41,$C41-(P41+T41+X41+AB41+AF41+AJ41)))</f>
        <v>0</v>
      </c>
      <c r="AO41" s="22" t="n">
        <f aca="false">ROUND(AL41-AM41-AN41,2)</f>
        <v>0</v>
      </c>
      <c r="AP41" s="22" t="n">
        <f aca="false">AS40*(1+K$7)</f>
        <v>0</v>
      </c>
      <c r="AQ41" s="22" t="n">
        <f aca="false">MIN(AP41,K$8)</f>
        <v>0</v>
      </c>
      <c r="AR41" s="22" t="n">
        <f aca="false">MAX(0,MIN(AP41-AQ41,$C41-(P41+T41+X41+AB41+AF41+AJ41+AN41)))</f>
        <v>0</v>
      </c>
      <c r="AS41" s="22" t="n">
        <f aca="false">ROUND(AP41-AQ41-AR41,2)</f>
        <v>0</v>
      </c>
      <c r="AT41" s="22" t="n">
        <f aca="false">AW40*(1+L$7)</f>
        <v>0</v>
      </c>
      <c r="AU41" s="22" t="n">
        <f aca="false">MIN(AT41,L$8)</f>
        <v>0</v>
      </c>
      <c r="AV41" s="22" t="n">
        <f aca="false">MAX(0,MIN(AT41-AU41,$C41-(P41+T41+X41+AB41+AF41+AJ41+AN41+AR41)))</f>
        <v>0</v>
      </c>
      <c r="AW41" s="22" t="n">
        <f aca="false">ROUND(AT41-AU41-AV41,2)</f>
        <v>0</v>
      </c>
      <c r="AX41" s="22" t="n">
        <f aca="false">BA40*(1+M$7)</f>
        <v>0</v>
      </c>
      <c r="AY41" s="22" t="n">
        <f aca="false">MIN(AX41,M$8)</f>
        <v>0</v>
      </c>
      <c r="AZ41" s="22" t="n">
        <f aca="false">MAX(0,MIN(AX41-AY41,$C41-(P41+T41+X41+AB41+AF41+AJ41+AN41+AR41+AV41)))</f>
        <v>0</v>
      </c>
      <c r="BA41" s="22" t="n">
        <f aca="false">ROUND(AX41-AY41-AZ41,2)</f>
        <v>0</v>
      </c>
    </row>
    <row r="42" customFormat="false" ht="15" hidden="false" customHeight="false" outlineLevel="0" collapsed="false">
      <c r="A42" s="0" t="n">
        <v>32</v>
      </c>
      <c r="B42" s="39" t="n">
        <f aca="false">EDATE(Borçlar!$K$7,31)</f>
        <v>47239</v>
      </c>
      <c r="C42" s="36" t="n">
        <f aca="false">MAX(0,Borçlar!$K$8-(O42+S42+W42+AA42+AE42+AI42+AM42+AQ42+AU42+AY42))</f>
        <v>19000</v>
      </c>
      <c r="D42" s="36" t="n">
        <f aca="false">O42+P42+S42+T42+W42+X42+AA42+AB42+AE42+AF42+AI42+AJ42+AM42+AN42+AQ42+AR42+AU42+AV42+AY42+AZ42</f>
        <v>0</v>
      </c>
      <c r="E42" s="36" t="n">
        <f aca="false">(N42+R42+V42+Z42+AD42+AH42+AL42+AP42+AT42+AX42)-(F41)</f>
        <v>0</v>
      </c>
      <c r="F42" s="36" t="n">
        <f aca="false">Q42+U42+Y42+AC42+AG42+AK42+AO42+AS42+AW42+BA42</f>
        <v>0</v>
      </c>
      <c r="N42" s="22" t="n">
        <f aca="false">Q41*(1+D$7)</f>
        <v>0</v>
      </c>
      <c r="O42" s="22" t="n">
        <f aca="false">MIN(N42,D$8)</f>
        <v>0</v>
      </c>
      <c r="P42" s="22" t="n">
        <f aca="false">MAX(0,MIN(N42-O42,$C42-(0)))</f>
        <v>0</v>
      </c>
      <c r="Q42" s="22" t="n">
        <f aca="false">ROUND(N42-O42-P42,2)</f>
        <v>0</v>
      </c>
      <c r="R42" s="22" t="n">
        <f aca="false">U41*(1+E$7)</f>
        <v>0</v>
      </c>
      <c r="S42" s="22" t="n">
        <f aca="false">MIN(R42,E$8)</f>
        <v>0</v>
      </c>
      <c r="T42" s="22" t="n">
        <f aca="false">MAX(0,MIN(R42-S42,$C42-(P42)))</f>
        <v>0</v>
      </c>
      <c r="U42" s="22" t="n">
        <f aca="false">ROUND(R42-S42-T42,2)</f>
        <v>0</v>
      </c>
      <c r="V42" s="22" t="n">
        <f aca="false">Y41*(1+F$7)</f>
        <v>0</v>
      </c>
      <c r="W42" s="22" t="n">
        <f aca="false">MIN(V42,F$8)</f>
        <v>0</v>
      </c>
      <c r="X42" s="22" t="n">
        <f aca="false">MAX(0,MIN(V42-W42,$C42-(P42+T42)))</f>
        <v>0</v>
      </c>
      <c r="Y42" s="22" t="n">
        <f aca="false">ROUND(V42-W42-X42,2)</f>
        <v>0</v>
      </c>
      <c r="Z42" s="22" t="n">
        <f aca="false">AC41*(1+G$7)</f>
        <v>0</v>
      </c>
      <c r="AA42" s="22" t="n">
        <f aca="false">MIN(Z42,G$8)</f>
        <v>0</v>
      </c>
      <c r="AB42" s="22" t="n">
        <f aca="false">MAX(0,MIN(Z42-AA42,$C42-(P42+T42+X42)))</f>
        <v>0</v>
      </c>
      <c r="AC42" s="22" t="n">
        <f aca="false">ROUND(Z42-AA42-AB42,2)</f>
        <v>0</v>
      </c>
      <c r="AD42" s="22" t="n">
        <f aca="false">AG41*(1+H$7)</f>
        <v>0</v>
      </c>
      <c r="AE42" s="22" t="n">
        <f aca="false">MIN(AD42,H$8)</f>
        <v>0</v>
      </c>
      <c r="AF42" s="22" t="n">
        <f aca="false">MAX(0,MIN(AD42-AE42,$C42-(P42+T42+X42+AB42)))</f>
        <v>0</v>
      </c>
      <c r="AG42" s="22" t="n">
        <f aca="false">ROUND(AD42-AE42-AF42,2)</f>
        <v>0</v>
      </c>
      <c r="AH42" s="22" t="n">
        <f aca="false">AK41*(1+I$7)</f>
        <v>0</v>
      </c>
      <c r="AI42" s="22" t="n">
        <f aca="false">MIN(AH42,I$8)</f>
        <v>0</v>
      </c>
      <c r="AJ42" s="22" t="n">
        <f aca="false">MAX(0,MIN(AH42-AI42,$C42-(P42+T42+X42+AB42+AF42)))</f>
        <v>0</v>
      </c>
      <c r="AK42" s="22" t="n">
        <f aca="false">ROUND(AH42-AI42-AJ42,2)</f>
        <v>0</v>
      </c>
      <c r="AL42" s="22" t="n">
        <f aca="false">AO41*(1+J$7)</f>
        <v>0</v>
      </c>
      <c r="AM42" s="22" t="n">
        <f aca="false">MIN(AL42,J$8)</f>
        <v>0</v>
      </c>
      <c r="AN42" s="22" t="n">
        <f aca="false">MAX(0,MIN(AL42-AM42,$C42-(P42+T42+X42+AB42+AF42+AJ42)))</f>
        <v>0</v>
      </c>
      <c r="AO42" s="22" t="n">
        <f aca="false">ROUND(AL42-AM42-AN42,2)</f>
        <v>0</v>
      </c>
      <c r="AP42" s="22" t="n">
        <f aca="false">AS41*(1+K$7)</f>
        <v>0</v>
      </c>
      <c r="AQ42" s="22" t="n">
        <f aca="false">MIN(AP42,K$8)</f>
        <v>0</v>
      </c>
      <c r="AR42" s="22" t="n">
        <f aca="false">MAX(0,MIN(AP42-AQ42,$C42-(P42+T42+X42+AB42+AF42+AJ42+AN42)))</f>
        <v>0</v>
      </c>
      <c r="AS42" s="22" t="n">
        <f aca="false">ROUND(AP42-AQ42-AR42,2)</f>
        <v>0</v>
      </c>
      <c r="AT42" s="22" t="n">
        <f aca="false">AW41*(1+L$7)</f>
        <v>0</v>
      </c>
      <c r="AU42" s="22" t="n">
        <f aca="false">MIN(AT42,L$8)</f>
        <v>0</v>
      </c>
      <c r="AV42" s="22" t="n">
        <f aca="false">MAX(0,MIN(AT42-AU42,$C42-(P42+T42+X42+AB42+AF42+AJ42+AN42+AR42)))</f>
        <v>0</v>
      </c>
      <c r="AW42" s="22" t="n">
        <f aca="false">ROUND(AT42-AU42-AV42,2)</f>
        <v>0</v>
      </c>
      <c r="AX42" s="22" t="n">
        <f aca="false">BA41*(1+M$7)</f>
        <v>0</v>
      </c>
      <c r="AY42" s="22" t="n">
        <f aca="false">MIN(AX42,M$8)</f>
        <v>0</v>
      </c>
      <c r="AZ42" s="22" t="n">
        <f aca="false">MAX(0,MIN(AX42-AY42,$C42-(P42+T42+X42+AB42+AF42+AJ42+AN42+AR42+AV42)))</f>
        <v>0</v>
      </c>
      <c r="BA42" s="22" t="n">
        <f aca="false">ROUND(AX42-AY42-AZ42,2)</f>
        <v>0</v>
      </c>
    </row>
    <row r="43" customFormat="false" ht="15" hidden="false" customHeight="false" outlineLevel="0" collapsed="false">
      <c r="A43" s="0" t="n">
        <v>33</v>
      </c>
      <c r="B43" s="39" t="n">
        <f aca="false">EDATE(Borçlar!$K$7,32)</f>
        <v>47270</v>
      </c>
      <c r="C43" s="36" t="n">
        <f aca="false">MAX(0,Borçlar!$K$8-(O43+S43+W43+AA43+AE43+AI43+AM43+AQ43+AU43+AY43))</f>
        <v>19000</v>
      </c>
      <c r="D43" s="36" t="n">
        <f aca="false">O43+P43+S43+T43+W43+X43+AA43+AB43+AE43+AF43+AI43+AJ43+AM43+AN43+AQ43+AR43+AU43+AV43+AY43+AZ43</f>
        <v>0</v>
      </c>
      <c r="E43" s="36" t="n">
        <f aca="false">(N43+R43+V43+Z43+AD43+AH43+AL43+AP43+AT43+AX43)-(F42)</f>
        <v>0</v>
      </c>
      <c r="F43" s="36" t="n">
        <f aca="false">Q43+U43+Y43+AC43+AG43+AK43+AO43+AS43+AW43+BA43</f>
        <v>0</v>
      </c>
      <c r="N43" s="22" t="n">
        <f aca="false">Q42*(1+D$7)</f>
        <v>0</v>
      </c>
      <c r="O43" s="22" t="n">
        <f aca="false">MIN(N43,D$8)</f>
        <v>0</v>
      </c>
      <c r="P43" s="22" t="n">
        <f aca="false">MAX(0,MIN(N43-O43,$C43-(0)))</f>
        <v>0</v>
      </c>
      <c r="Q43" s="22" t="n">
        <f aca="false">ROUND(N43-O43-P43,2)</f>
        <v>0</v>
      </c>
      <c r="R43" s="22" t="n">
        <f aca="false">U42*(1+E$7)</f>
        <v>0</v>
      </c>
      <c r="S43" s="22" t="n">
        <f aca="false">MIN(R43,E$8)</f>
        <v>0</v>
      </c>
      <c r="T43" s="22" t="n">
        <f aca="false">MAX(0,MIN(R43-S43,$C43-(P43)))</f>
        <v>0</v>
      </c>
      <c r="U43" s="22" t="n">
        <f aca="false">ROUND(R43-S43-T43,2)</f>
        <v>0</v>
      </c>
      <c r="V43" s="22" t="n">
        <f aca="false">Y42*(1+F$7)</f>
        <v>0</v>
      </c>
      <c r="W43" s="22" t="n">
        <f aca="false">MIN(V43,F$8)</f>
        <v>0</v>
      </c>
      <c r="X43" s="22" t="n">
        <f aca="false">MAX(0,MIN(V43-W43,$C43-(P43+T43)))</f>
        <v>0</v>
      </c>
      <c r="Y43" s="22" t="n">
        <f aca="false">ROUND(V43-W43-X43,2)</f>
        <v>0</v>
      </c>
      <c r="Z43" s="22" t="n">
        <f aca="false">AC42*(1+G$7)</f>
        <v>0</v>
      </c>
      <c r="AA43" s="22" t="n">
        <f aca="false">MIN(Z43,G$8)</f>
        <v>0</v>
      </c>
      <c r="AB43" s="22" t="n">
        <f aca="false">MAX(0,MIN(Z43-AA43,$C43-(P43+T43+X43)))</f>
        <v>0</v>
      </c>
      <c r="AC43" s="22" t="n">
        <f aca="false">ROUND(Z43-AA43-AB43,2)</f>
        <v>0</v>
      </c>
      <c r="AD43" s="22" t="n">
        <f aca="false">AG42*(1+H$7)</f>
        <v>0</v>
      </c>
      <c r="AE43" s="22" t="n">
        <f aca="false">MIN(AD43,H$8)</f>
        <v>0</v>
      </c>
      <c r="AF43" s="22" t="n">
        <f aca="false">MAX(0,MIN(AD43-AE43,$C43-(P43+T43+X43+AB43)))</f>
        <v>0</v>
      </c>
      <c r="AG43" s="22" t="n">
        <f aca="false">ROUND(AD43-AE43-AF43,2)</f>
        <v>0</v>
      </c>
      <c r="AH43" s="22" t="n">
        <f aca="false">AK42*(1+I$7)</f>
        <v>0</v>
      </c>
      <c r="AI43" s="22" t="n">
        <f aca="false">MIN(AH43,I$8)</f>
        <v>0</v>
      </c>
      <c r="AJ43" s="22" t="n">
        <f aca="false">MAX(0,MIN(AH43-AI43,$C43-(P43+T43+X43+AB43+AF43)))</f>
        <v>0</v>
      </c>
      <c r="AK43" s="22" t="n">
        <f aca="false">ROUND(AH43-AI43-AJ43,2)</f>
        <v>0</v>
      </c>
      <c r="AL43" s="22" t="n">
        <f aca="false">AO42*(1+J$7)</f>
        <v>0</v>
      </c>
      <c r="AM43" s="22" t="n">
        <f aca="false">MIN(AL43,J$8)</f>
        <v>0</v>
      </c>
      <c r="AN43" s="22" t="n">
        <f aca="false">MAX(0,MIN(AL43-AM43,$C43-(P43+T43+X43+AB43+AF43+AJ43)))</f>
        <v>0</v>
      </c>
      <c r="AO43" s="22" t="n">
        <f aca="false">ROUND(AL43-AM43-AN43,2)</f>
        <v>0</v>
      </c>
      <c r="AP43" s="22" t="n">
        <f aca="false">AS42*(1+K$7)</f>
        <v>0</v>
      </c>
      <c r="AQ43" s="22" t="n">
        <f aca="false">MIN(AP43,K$8)</f>
        <v>0</v>
      </c>
      <c r="AR43" s="22" t="n">
        <f aca="false">MAX(0,MIN(AP43-AQ43,$C43-(P43+T43+X43+AB43+AF43+AJ43+AN43)))</f>
        <v>0</v>
      </c>
      <c r="AS43" s="22" t="n">
        <f aca="false">ROUND(AP43-AQ43-AR43,2)</f>
        <v>0</v>
      </c>
      <c r="AT43" s="22" t="n">
        <f aca="false">AW42*(1+L$7)</f>
        <v>0</v>
      </c>
      <c r="AU43" s="22" t="n">
        <f aca="false">MIN(AT43,L$8)</f>
        <v>0</v>
      </c>
      <c r="AV43" s="22" t="n">
        <f aca="false">MAX(0,MIN(AT43-AU43,$C43-(P43+T43+X43+AB43+AF43+AJ43+AN43+AR43)))</f>
        <v>0</v>
      </c>
      <c r="AW43" s="22" t="n">
        <f aca="false">ROUND(AT43-AU43-AV43,2)</f>
        <v>0</v>
      </c>
      <c r="AX43" s="22" t="n">
        <f aca="false">BA42*(1+M$7)</f>
        <v>0</v>
      </c>
      <c r="AY43" s="22" t="n">
        <f aca="false">MIN(AX43,M$8)</f>
        <v>0</v>
      </c>
      <c r="AZ43" s="22" t="n">
        <f aca="false">MAX(0,MIN(AX43-AY43,$C43-(P43+T43+X43+AB43+AF43+AJ43+AN43+AR43+AV43)))</f>
        <v>0</v>
      </c>
      <c r="BA43" s="22" t="n">
        <f aca="false">ROUND(AX43-AY43-AZ43,2)</f>
        <v>0</v>
      </c>
    </row>
    <row r="44" customFormat="false" ht="15" hidden="false" customHeight="false" outlineLevel="0" collapsed="false">
      <c r="A44" s="0" t="n">
        <v>34</v>
      </c>
      <c r="B44" s="39" t="n">
        <f aca="false">EDATE(Borçlar!$K$7,33)</f>
        <v>47300</v>
      </c>
      <c r="C44" s="36" t="n">
        <f aca="false">MAX(0,Borçlar!$K$8-(O44+S44+W44+AA44+AE44+AI44+AM44+AQ44+AU44+AY44))</f>
        <v>19000</v>
      </c>
      <c r="D44" s="36" t="n">
        <f aca="false">O44+P44+S44+T44+W44+X44+AA44+AB44+AE44+AF44+AI44+AJ44+AM44+AN44+AQ44+AR44+AU44+AV44+AY44+AZ44</f>
        <v>0</v>
      </c>
      <c r="E44" s="36" t="n">
        <f aca="false">(N44+R44+V44+Z44+AD44+AH44+AL44+AP44+AT44+AX44)-(F43)</f>
        <v>0</v>
      </c>
      <c r="F44" s="36" t="n">
        <f aca="false">Q44+U44+Y44+AC44+AG44+AK44+AO44+AS44+AW44+BA44</f>
        <v>0</v>
      </c>
      <c r="N44" s="22" t="n">
        <f aca="false">Q43*(1+D$7)</f>
        <v>0</v>
      </c>
      <c r="O44" s="22" t="n">
        <f aca="false">MIN(N44,D$8)</f>
        <v>0</v>
      </c>
      <c r="P44" s="22" t="n">
        <f aca="false">MAX(0,MIN(N44-O44,$C44-(0)))</f>
        <v>0</v>
      </c>
      <c r="Q44" s="22" t="n">
        <f aca="false">ROUND(N44-O44-P44,2)</f>
        <v>0</v>
      </c>
      <c r="R44" s="22" t="n">
        <f aca="false">U43*(1+E$7)</f>
        <v>0</v>
      </c>
      <c r="S44" s="22" t="n">
        <f aca="false">MIN(R44,E$8)</f>
        <v>0</v>
      </c>
      <c r="T44" s="22" t="n">
        <f aca="false">MAX(0,MIN(R44-S44,$C44-(P44)))</f>
        <v>0</v>
      </c>
      <c r="U44" s="22" t="n">
        <f aca="false">ROUND(R44-S44-T44,2)</f>
        <v>0</v>
      </c>
      <c r="V44" s="22" t="n">
        <f aca="false">Y43*(1+F$7)</f>
        <v>0</v>
      </c>
      <c r="W44" s="22" t="n">
        <f aca="false">MIN(V44,F$8)</f>
        <v>0</v>
      </c>
      <c r="X44" s="22" t="n">
        <f aca="false">MAX(0,MIN(V44-W44,$C44-(P44+T44)))</f>
        <v>0</v>
      </c>
      <c r="Y44" s="22" t="n">
        <f aca="false">ROUND(V44-W44-X44,2)</f>
        <v>0</v>
      </c>
      <c r="Z44" s="22" t="n">
        <f aca="false">AC43*(1+G$7)</f>
        <v>0</v>
      </c>
      <c r="AA44" s="22" t="n">
        <f aca="false">MIN(Z44,G$8)</f>
        <v>0</v>
      </c>
      <c r="AB44" s="22" t="n">
        <f aca="false">MAX(0,MIN(Z44-AA44,$C44-(P44+T44+X44)))</f>
        <v>0</v>
      </c>
      <c r="AC44" s="22" t="n">
        <f aca="false">ROUND(Z44-AA44-AB44,2)</f>
        <v>0</v>
      </c>
      <c r="AD44" s="22" t="n">
        <f aca="false">AG43*(1+H$7)</f>
        <v>0</v>
      </c>
      <c r="AE44" s="22" t="n">
        <f aca="false">MIN(AD44,H$8)</f>
        <v>0</v>
      </c>
      <c r="AF44" s="22" t="n">
        <f aca="false">MAX(0,MIN(AD44-AE44,$C44-(P44+T44+X44+AB44)))</f>
        <v>0</v>
      </c>
      <c r="AG44" s="22" t="n">
        <f aca="false">ROUND(AD44-AE44-AF44,2)</f>
        <v>0</v>
      </c>
      <c r="AH44" s="22" t="n">
        <f aca="false">AK43*(1+I$7)</f>
        <v>0</v>
      </c>
      <c r="AI44" s="22" t="n">
        <f aca="false">MIN(AH44,I$8)</f>
        <v>0</v>
      </c>
      <c r="AJ44" s="22" t="n">
        <f aca="false">MAX(0,MIN(AH44-AI44,$C44-(P44+T44+X44+AB44+AF44)))</f>
        <v>0</v>
      </c>
      <c r="AK44" s="22" t="n">
        <f aca="false">ROUND(AH44-AI44-AJ44,2)</f>
        <v>0</v>
      </c>
      <c r="AL44" s="22" t="n">
        <f aca="false">AO43*(1+J$7)</f>
        <v>0</v>
      </c>
      <c r="AM44" s="22" t="n">
        <f aca="false">MIN(AL44,J$8)</f>
        <v>0</v>
      </c>
      <c r="AN44" s="22" t="n">
        <f aca="false">MAX(0,MIN(AL44-AM44,$C44-(P44+T44+X44+AB44+AF44+AJ44)))</f>
        <v>0</v>
      </c>
      <c r="AO44" s="22" t="n">
        <f aca="false">ROUND(AL44-AM44-AN44,2)</f>
        <v>0</v>
      </c>
      <c r="AP44" s="22" t="n">
        <f aca="false">AS43*(1+K$7)</f>
        <v>0</v>
      </c>
      <c r="AQ44" s="22" t="n">
        <f aca="false">MIN(AP44,K$8)</f>
        <v>0</v>
      </c>
      <c r="AR44" s="22" t="n">
        <f aca="false">MAX(0,MIN(AP44-AQ44,$C44-(P44+T44+X44+AB44+AF44+AJ44+AN44)))</f>
        <v>0</v>
      </c>
      <c r="AS44" s="22" t="n">
        <f aca="false">ROUND(AP44-AQ44-AR44,2)</f>
        <v>0</v>
      </c>
      <c r="AT44" s="22" t="n">
        <f aca="false">AW43*(1+L$7)</f>
        <v>0</v>
      </c>
      <c r="AU44" s="22" t="n">
        <f aca="false">MIN(AT44,L$8)</f>
        <v>0</v>
      </c>
      <c r="AV44" s="22" t="n">
        <f aca="false">MAX(0,MIN(AT44-AU44,$C44-(P44+T44+X44+AB44+AF44+AJ44+AN44+AR44)))</f>
        <v>0</v>
      </c>
      <c r="AW44" s="22" t="n">
        <f aca="false">ROUND(AT44-AU44-AV44,2)</f>
        <v>0</v>
      </c>
      <c r="AX44" s="22" t="n">
        <f aca="false">BA43*(1+M$7)</f>
        <v>0</v>
      </c>
      <c r="AY44" s="22" t="n">
        <f aca="false">MIN(AX44,M$8)</f>
        <v>0</v>
      </c>
      <c r="AZ44" s="22" t="n">
        <f aca="false">MAX(0,MIN(AX44-AY44,$C44-(P44+T44+X44+AB44+AF44+AJ44+AN44+AR44+AV44)))</f>
        <v>0</v>
      </c>
      <c r="BA44" s="22" t="n">
        <f aca="false">ROUND(AX44-AY44-AZ44,2)</f>
        <v>0</v>
      </c>
    </row>
    <row r="45" customFormat="false" ht="15" hidden="false" customHeight="false" outlineLevel="0" collapsed="false">
      <c r="A45" s="0" t="n">
        <v>35</v>
      </c>
      <c r="B45" s="39" t="n">
        <f aca="false">EDATE(Borçlar!$K$7,34)</f>
        <v>47331</v>
      </c>
      <c r="C45" s="36" t="n">
        <f aca="false">MAX(0,Borçlar!$K$8-(O45+S45+W45+AA45+AE45+AI45+AM45+AQ45+AU45+AY45))</f>
        <v>19000</v>
      </c>
      <c r="D45" s="36" t="n">
        <f aca="false">O45+P45+S45+T45+W45+X45+AA45+AB45+AE45+AF45+AI45+AJ45+AM45+AN45+AQ45+AR45+AU45+AV45+AY45+AZ45</f>
        <v>0</v>
      </c>
      <c r="E45" s="36" t="n">
        <f aca="false">(N45+R45+V45+Z45+AD45+AH45+AL45+AP45+AT45+AX45)-(F44)</f>
        <v>0</v>
      </c>
      <c r="F45" s="36" t="n">
        <f aca="false">Q45+U45+Y45+AC45+AG45+AK45+AO45+AS45+AW45+BA45</f>
        <v>0</v>
      </c>
      <c r="N45" s="22" t="n">
        <f aca="false">Q44*(1+D$7)</f>
        <v>0</v>
      </c>
      <c r="O45" s="22" t="n">
        <f aca="false">MIN(N45,D$8)</f>
        <v>0</v>
      </c>
      <c r="P45" s="22" t="n">
        <f aca="false">MAX(0,MIN(N45-O45,$C45-(0)))</f>
        <v>0</v>
      </c>
      <c r="Q45" s="22" t="n">
        <f aca="false">ROUND(N45-O45-P45,2)</f>
        <v>0</v>
      </c>
      <c r="R45" s="22" t="n">
        <f aca="false">U44*(1+E$7)</f>
        <v>0</v>
      </c>
      <c r="S45" s="22" t="n">
        <f aca="false">MIN(R45,E$8)</f>
        <v>0</v>
      </c>
      <c r="T45" s="22" t="n">
        <f aca="false">MAX(0,MIN(R45-S45,$C45-(P45)))</f>
        <v>0</v>
      </c>
      <c r="U45" s="22" t="n">
        <f aca="false">ROUND(R45-S45-T45,2)</f>
        <v>0</v>
      </c>
      <c r="V45" s="22" t="n">
        <f aca="false">Y44*(1+F$7)</f>
        <v>0</v>
      </c>
      <c r="W45" s="22" t="n">
        <f aca="false">MIN(V45,F$8)</f>
        <v>0</v>
      </c>
      <c r="X45" s="22" t="n">
        <f aca="false">MAX(0,MIN(V45-W45,$C45-(P45+T45)))</f>
        <v>0</v>
      </c>
      <c r="Y45" s="22" t="n">
        <f aca="false">ROUND(V45-W45-X45,2)</f>
        <v>0</v>
      </c>
      <c r="Z45" s="22" t="n">
        <f aca="false">AC44*(1+G$7)</f>
        <v>0</v>
      </c>
      <c r="AA45" s="22" t="n">
        <f aca="false">MIN(Z45,G$8)</f>
        <v>0</v>
      </c>
      <c r="AB45" s="22" t="n">
        <f aca="false">MAX(0,MIN(Z45-AA45,$C45-(P45+T45+X45)))</f>
        <v>0</v>
      </c>
      <c r="AC45" s="22" t="n">
        <f aca="false">ROUND(Z45-AA45-AB45,2)</f>
        <v>0</v>
      </c>
      <c r="AD45" s="22" t="n">
        <f aca="false">AG44*(1+H$7)</f>
        <v>0</v>
      </c>
      <c r="AE45" s="22" t="n">
        <f aca="false">MIN(AD45,H$8)</f>
        <v>0</v>
      </c>
      <c r="AF45" s="22" t="n">
        <f aca="false">MAX(0,MIN(AD45-AE45,$C45-(P45+T45+X45+AB45)))</f>
        <v>0</v>
      </c>
      <c r="AG45" s="22" t="n">
        <f aca="false">ROUND(AD45-AE45-AF45,2)</f>
        <v>0</v>
      </c>
      <c r="AH45" s="22" t="n">
        <f aca="false">AK44*(1+I$7)</f>
        <v>0</v>
      </c>
      <c r="AI45" s="22" t="n">
        <f aca="false">MIN(AH45,I$8)</f>
        <v>0</v>
      </c>
      <c r="AJ45" s="22" t="n">
        <f aca="false">MAX(0,MIN(AH45-AI45,$C45-(P45+T45+X45+AB45+AF45)))</f>
        <v>0</v>
      </c>
      <c r="AK45" s="22" t="n">
        <f aca="false">ROUND(AH45-AI45-AJ45,2)</f>
        <v>0</v>
      </c>
      <c r="AL45" s="22" t="n">
        <f aca="false">AO44*(1+J$7)</f>
        <v>0</v>
      </c>
      <c r="AM45" s="22" t="n">
        <f aca="false">MIN(AL45,J$8)</f>
        <v>0</v>
      </c>
      <c r="AN45" s="22" t="n">
        <f aca="false">MAX(0,MIN(AL45-AM45,$C45-(P45+T45+X45+AB45+AF45+AJ45)))</f>
        <v>0</v>
      </c>
      <c r="AO45" s="22" t="n">
        <f aca="false">ROUND(AL45-AM45-AN45,2)</f>
        <v>0</v>
      </c>
      <c r="AP45" s="22" t="n">
        <f aca="false">AS44*(1+K$7)</f>
        <v>0</v>
      </c>
      <c r="AQ45" s="22" t="n">
        <f aca="false">MIN(AP45,K$8)</f>
        <v>0</v>
      </c>
      <c r="AR45" s="22" t="n">
        <f aca="false">MAX(0,MIN(AP45-AQ45,$C45-(P45+T45+X45+AB45+AF45+AJ45+AN45)))</f>
        <v>0</v>
      </c>
      <c r="AS45" s="22" t="n">
        <f aca="false">ROUND(AP45-AQ45-AR45,2)</f>
        <v>0</v>
      </c>
      <c r="AT45" s="22" t="n">
        <f aca="false">AW44*(1+L$7)</f>
        <v>0</v>
      </c>
      <c r="AU45" s="22" t="n">
        <f aca="false">MIN(AT45,L$8)</f>
        <v>0</v>
      </c>
      <c r="AV45" s="22" t="n">
        <f aca="false">MAX(0,MIN(AT45-AU45,$C45-(P45+T45+X45+AB45+AF45+AJ45+AN45+AR45)))</f>
        <v>0</v>
      </c>
      <c r="AW45" s="22" t="n">
        <f aca="false">ROUND(AT45-AU45-AV45,2)</f>
        <v>0</v>
      </c>
      <c r="AX45" s="22" t="n">
        <f aca="false">BA44*(1+M$7)</f>
        <v>0</v>
      </c>
      <c r="AY45" s="22" t="n">
        <f aca="false">MIN(AX45,M$8)</f>
        <v>0</v>
      </c>
      <c r="AZ45" s="22" t="n">
        <f aca="false">MAX(0,MIN(AX45-AY45,$C45-(P45+T45+X45+AB45+AF45+AJ45+AN45+AR45+AV45)))</f>
        <v>0</v>
      </c>
      <c r="BA45" s="22" t="n">
        <f aca="false">ROUND(AX45-AY45-AZ45,2)</f>
        <v>0</v>
      </c>
    </row>
    <row r="46" customFormat="false" ht="15" hidden="false" customHeight="false" outlineLevel="0" collapsed="false">
      <c r="A46" s="0" t="n">
        <v>36</v>
      </c>
      <c r="B46" s="39" t="n">
        <f aca="false">EDATE(Borçlar!$K$7,35)</f>
        <v>47362</v>
      </c>
      <c r="C46" s="36" t="n">
        <f aca="false">MAX(0,Borçlar!$K$8-(O46+S46+W46+AA46+AE46+AI46+AM46+AQ46+AU46+AY46))</f>
        <v>19000</v>
      </c>
      <c r="D46" s="36" t="n">
        <f aca="false">O46+P46+S46+T46+W46+X46+AA46+AB46+AE46+AF46+AI46+AJ46+AM46+AN46+AQ46+AR46+AU46+AV46+AY46+AZ46</f>
        <v>0</v>
      </c>
      <c r="E46" s="36" t="n">
        <f aca="false">(N46+R46+V46+Z46+AD46+AH46+AL46+AP46+AT46+AX46)-(F45)</f>
        <v>0</v>
      </c>
      <c r="F46" s="36" t="n">
        <f aca="false">Q46+U46+Y46+AC46+AG46+AK46+AO46+AS46+AW46+BA46</f>
        <v>0</v>
      </c>
      <c r="N46" s="22" t="n">
        <f aca="false">Q45*(1+D$7)</f>
        <v>0</v>
      </c>
      <c r="O46" s="22" t="n">
        <f aca="false">MIN(N46,D$8)</f>
        <v>0</v>
      </c>
      <c r="P46" s="22" t="n">
        <f aca="false">MAX(0,MIN(N46-O46,$C46-(0)))</f>
        <v>0</v>
      </c>
      <c r="Q46" s="22" t="n">
        <f aca="false">ROUND(N46-O46-P46,2)</f>
        <v>0</v>
      </c>
      <c r="R46" s="22" t="n">
        <f aca="false">U45*(1+E$7)</f>
        <v>0</v>
      </c>
      <c r="S46" s="22" t="n">
        <f aca="false">MIN(R46,E$8)</f>
        <v>0</v>
      </c>
      <c r="T46" s="22" t="n">
        <f aca="false">MAX(0,MIN(R46-S46,$C46-(P46)))</f>
        <v>0</v>
      </c>
      <c r="U46" s="22" t="n">
        <f aca="false">ROUND(R46-S46-T46,2)</f>
        <v>0</v>
      </c>
      <c r="V46" s="22" t="n">
        <f aca="false">Y45*(1+F$7)</f>
        <v>0</v>
      </c>
      <c r="W46" s="22" t="n">
        <f aca="false">MIN(V46,F$8)</f>
        <v>0</v>
      </c>
      <c r="X46" s="22" t="n">
        <f aca="false">MAX(0,MIN(V46-W46,$C46-(P46+T46)))</f>
        <v>0</v>
      </c>
      <c r="Y46" s="22" t="n">
        <f aca="false">ROUND(V46-W46-X46,2)</f>
        <v>0</v>
      </c>
      <c r="Z46" s="22" t="n">
        <f aca="false">AC45*(1+G$7)</f>
        <v>0</v>
      </c>
      <c r="AA46" s="22" t="n">
        <f aca="false">MIN(Z46,G$8)</f>
        <v>0</v>
      </c>
      <c r="AB46" s="22" t="n">
        <f aca="false">MAX(0,MIN(Z46-AA46,$C46-(P46+T46+X46)))</f>
        <v>0</v>
      </c>
      <c r="AC46" s="22" t="n">
        <f aca="false">ROUND(Z46-AA46-AB46,2)</f>
        <v>0</v>
      </c>
      <c r="AD46" s="22" t="n">
        <f aca="false">AG45*(1+H$7)</f>
        <v>0</v>
      </c>
      <c r="AE46" s="22" t="n">
        <f aca="false">MIN(AD46,H$8)</f>
        <v>0</v>
      </c>
      <c r="AF46" s="22" t="n">
        <f aca="false">MAX(0,MIN(AD46-AE46,$C46-(P46+T46+X46+AB46)))</f>
        <v>0</v>
      </c>
      <c r="AG46" s="22" t="n">
        <f aca="false">ROUND(AD46-AE46-AF46,2)</f>
        <v>0</v>
      </c>
      <c r="AH46" s="22" t="n">
        <f aca="false">AK45*(1+I$7)</f>
        <v>0</v>
      </c>
      <c r="AI46" s="22" t="n">
        <f aca="false">MIN(AH46,I$8)</f>
        <v>0</v>
      </c>
      <c r="AJ46" s="22" t="n">
        <f aca="false">MAX(0,MIN(AH46-AI46,$C46-(P46+T46+X46+AB46+AF46)))</f>
        <v>0</v>
      </c>
      <c r="AK46" s="22" t="n">
        <f aca="false">ROUND(AH46-AI46-AJ46,2)</f>
        <v>0</v>
      </c>
      <c r="AL46" s="22" t="n">
        <f aca="false">AO45*(1+J$7)</f>
        <v>0</v>
      </c>
      <c r="AM46" s="22" t="n">
        <f aca="false">MIN(AL46,J$8)</f>
        <v>0</v>
      </c>
      <c r="AN46" s="22" t="n">
        <f aca="false">MAX(0,MIN(AL46-AM46,$C46-(P46+T46+X46+AB46+AF46+AJ46)))</f>
        <v>0</v>
      </c>
      <c r="AO46" s="22" t="n">
        <f aca="false">ROUND(AL46-AM46-AN46,2)</f>
        <v>0</v>
      </c>
      <c r="AP46" s="22" t="n">
        <f aca="false">AS45*(1+K$7)</f>
        <v>0</v>
      </c>
      <c r="AQ46" s="22" t="n">
        <f aca="false">MIN(AP46,K$8)</f>
        <v>0</v>
      </c>
      <c r="AR46" s="22" t="n">
        <f aca="false">MAX(0,MIN(AP46-AQ46,$C46-(P46+T46+X46+AB46+AF46+AJ46+AN46)))</f>
        <v>0</v>
      </c>
      <c r="AS46" s="22" t="n">
        <f aca="false">ROUND(AP46-AQ46-AR46,2)</f>
        <v>0</v>
      </c>
      <c r="AT46" s="22" t="n">
        <f aca="false">AW45*(1+L$7)</f>
        <v>0</v>
      </c>
      <c r="AU46" s="22" t="n">
        <f aca="false">MIN(AT46,L$8)</f>
        <v>0</v>
      </c>
      <c r="AV46" s="22" t="n">
        <f aca="false">MAX(0,MIN(AT46-AU46,$C46-(P46+T46+X46+AB46+AF46+AJ46+AN46+AR46)))</f>
        <v>0</v>
      </c>
      <c r="AW46" s="22" t="n">
        <f aca="false">ROUND(AT46-AU46-AV46,2)</f>
        <v>0</v>
      </c>
      <c r="AX46" s="22" t="n">
        <f aca="false">BA45*(1+M$7)</f>
        <v>0</v>
      </c>
      <c r="AY46" s="22" t="n">
        <f aca="false">MIN(AX46,M$8)</f>
        <v>0</v>
      </c>
      <c r="AZ46" s="22" t="n">
        <f aca="false">MAX(0,MIN(AX46-AY46,$C46-(P46+T46+X46+AB46+AF46+AJ46+AN46+AR46+AV46)))</f>
        <v>0</v>
      </c>
      <c r="BA46" s="22" t="n">
        <f aca="false">ROUND(AX46-AY46-AZ46,2)</f>
        <v>0</v>
      </c>
    </row>
    <row r="47" customFormat="false" ht="15" hidden="false" customHeight="false" outlineLevel="0" collapsed="false">
      <c r="A47" s="0" t="n">
        <v>37</v>
      </c>
      <c r="B47" s="39" t="n">
        <f aca="false">EDATE(Borçlar!$K$7,36)</f>
        <v>47392</v>
      </c>
      <c r="C47" s="36" t="n">
        <f aca="false">MAX(0,Borçlar!$K$8-(O47+S47+W47+AA47+AE47+AI47+AM47+AQ47+AU47+AY47))</f>
        <v>19000</v>
      </c>
      <c r="D47" s="36" t="n">
        <f aca="false">O47+P47+S47+T47+W47+X47+AA47+AB47+AE47+AF47+AI47+AJ47+AM47+AN47+AQ47+AR47+AU47+AV47+AY47+AZ47</f>
        <v>0</v>
      </c>
      <c r="E47" s="36" t="n">
        <f aca="false">(N47+R47+V47+Z47+AD47+AH47+AL47+AP47+AT47+AX47)-(F46)</f>
        <v>0</v>
      </c>
      <c r="F47" s="36" t="n">
        <f aca="false">Q47+U47+Y47+AC47+AG47+AK47+AO47+AS47+AW47+BA47</f>
        <v>0</v>
      </c>
      <c r="N47" s="22" t="n">
        <f aca="false">Q46*(1+D$7)</f>
        <v>0</v>
      </c>
      <c r="O47" s="22" t="n">
        <f aca="false">MIN(N47,D$8)</f>
        <v>0</v>
      </c>
      <c r="P47" s="22" t="n">
        <f aca="false">MAX(0,MIN(N47-O47,$C47-(0)))</f>
        <v>0</v>
      </c>
      <c r="Q47" s="22" t="n">
        <f aca="false">ROUND(N47-O47-P47,2)</f>
        <v>0</v>
      </c>
      <c r="R47" s="22" t="n">
        <f aca="false">U46*(1+E$7)</f>
        <v>0</v>
      </c>
      <c r="S47" s="22" t="n">
        <f aca="false">MIN(R47,E$8)</f>
        <v>0</v>
      </c>
      <c r="T47" s="22" t="n">
        <f aca="false">MAX(0,MIN(R47-S47,$C47-(P47)))</f>
        <v>0</v>
      </c>
      <c r="U47" s="22" t="n">
        <f aca="false">ROUND(R47-S47-T47,2)</f>
        <v>0</v>
      </c>
      <c r="V47" s="22" t="n">
        <f aca="false">Y46*(1+F$7)</f>
        <v>0</v>
      </c>
      <c r="W47" s="22" t="n">
        <f aca="false">MIN(V47,F$8)</f>
        <v>0</v>
      </c>
      <c r="X47" s="22" t="n">
        <f aca="false">MAX(0,MIN(V47-W47,$C47-(P47+T47)))</f>
        <v>0</v>
      </c>
      <c r="Y47" s="22" t="n">
        <f aca="false">ROUND(V47-W47-X47,2)</f>
        <v>0</v>
      </c>
      <c r="Z47" s="22" t="n">
        <f aca="false">AC46*(1+G$7)</f>
        <v>0</v>
      </c>
      <c r="AA47" s="22" t="n">
        <f aca="false">MIN(Z47,G$8)</f>
        <v>0</v>
      </c>
      <c r="AB47" s="22" t="n">
        <f aca="false">MAX(0,MIN(Z47-AA47,$C47-(P47+T47+X47)))</f>
        <v>0</v>
      </c>
      <c r="AC47" s="22" t="n">
        <f aca="false">ROUND(Z47-AA47-AB47,2)</f>
        <v>0</v>
      </c>
      <c r="AD47" s="22" t="n">
        <f aca="false">AG46*(1+H$7)</f>
        <v>0</v>
      </c>
      <c r="AE47" s="22" t="n">
        <f aca="false">MIN(AD47,H$8)</f>
        <v>0</v>
      </c>
      <c r="AF47" s="22" t="n">
        <f aca="false">MAX(0,MIN(AD47-AE47,$C47-(P47+T47+X47+AB47)))</f>
        <v>0</v>
      </c>
      <c r="AG47" s="22" t="n">
        <f aca="false">ROUND(AD47-AE47-AF47,2)</f>
        <v>0</v>
      </c>
      <c r="AH47" s="22" t="n">
        <f aca="false">AK46*(1+I$7)</f>
        <v>0</v>
      </c>
      <c r="AI47" s="22" t="n">
        <f aca="false">MIN(AH47,I$8)</f>
        <v>0</v>
      </c>
      <c r="AJ47" s="22" t="n">
        <f aca="false">MAX(0,MIN(AH47-AI47,$C47-(P47+T47+X47+AB47+AF47)))</f>
        <v>0</v>
      </c>
      <c r="AK47" s="22" t="n">
        <f aca="false">ROUND(AH47-AI47-AJ47,2)</f>
        <v>0</v>
      </c>
      <c r="AL47" s="22" t="n">
        <f aca="false">AO46*(1+J$7)</f>
        <v>0</v>
      </c>
      <c r="AM47" s="22" t="n">
        <f aca="false">MIN(AL47,J$8)</f>
        <v>0</v>
      </c>
      <c r="AN47" s="22" t="n">
        <f aca="false">MAX(0,MIN(AL47-AM47,$C47-(P47+T47+X47+AB47+AF47+AJ47)))</f>
        <v>0</v>
      </c>
      <c r="AO47" s="22" t="n">
        <f aca="false">ROUND(AL47-AM47-AN47,2)</f>
        <v>0</v>
      </c>
      <c r="AP47" s="22" t="n">
        <f aca="false">AS46*(1+K$7)</f>
        <v>0</v>
      </c>
      <c r="AQ47" s="22" t="n">
        <f aca="false">MIN(AP47,K$8)</f>
        <v>0</v>
      </c>
      <c r="AR47" s="22" t="n">
        <f aca="false">MAX(0,MIN(AP47-AQ47,$C47-(P47+T47+X47+AB47+AF47+AJ47+AN47)))</f>
        <v>0</v>
      </c>
      <c r="AS47" s="22" t="n">
        <f aca="false">ROUND(AP47-AQ47-AR47,2)</f>
        <v>0</v>
      </c>
      <c r="AT47" s="22" t="n">
        <f aca="false">AW46*(1+L$7)</f>
        <v>0</v>
      </c>
      <c r="AU47" s="22" t="n">
        <f aca="false">MIN(AT47,L$8)</f>
        <v>0</v>
      </c>
      <c r="AV47" s="22" t="n">
        <f aca="false">MAX(0,MIN(AT47-AU47,$C47-(P47+T47+X47+AB47+AF47+AJ47+AN47+AR47)))</f>
        <v>0</v>
      </c>
      <c r="AW47" s="22" t="n">
        <f aca="false">ROUND(AT47-AU47-AV47,2)</f>
        <v>0</v>
      </c>
      <c r="AX47" s="22" t="n">
        <f aca="false">BA46*(1+M$7)</f>
        <v>0</v>
      </c>
      <c r="AY47" s="22" t="n">
        <f aca="false">MIN(AX47,M$8)</f>
        <v>0</v>
      </c>
      <c r="AZ47" s="22" t="n">
        <f aca="false">MAX(0,MIN(AX47-AY47,$C47-(P47+T47+X47+AB47+AF47+AJ47+AN47+AR47+AV47)))</f>
        <v>0</v>
      </c>
      <c r="BA47" s="22" t="n">
        <f aca="false">ROUND(AX47-AY47-AZ47,2)</f>
        <v>0</v>
      </c>
    </row>
    <row r="48" customFormat="false" ht="15" hidden="false" customHeight="false" outlineLevel="0" collapsed="false">
      <c r="A48" s="0" t="n">
        <v>38</v>
      </c>
      <c r="B48" s="39" t="n">
        <f aca="false">EDATE(Borçlar!$K$7,37)</f>
        <v>47423</v>
      </c>
      <c r="C48" s="36" t="n">
        <f aca="false">MAX(0,Borçlar!$K$8-(O48+S48+W48+AA48+AE48+AI48+AM48+AQ48+AU48+AY48))</f>
        <v>19000</v>
      </c>
      <c r="D48" s="36" t="n">
        <f aca="false">O48+P48+S48+T48+W48+X48+AA48+AB48+AE48+AF48+AI48+AJ48+AM48+AN48+AQ48+AR48+AU48+AV48+AY48+AZ48</f>
        <v>0</v>
      </c>
      <c r="E48" s="36" t="n">
        <f aca="false">(N48+R48+V48+Z48+AD48+AH48+AL48+AP48+AT48+AX48)-(F47)</f>
        <v>0</v>
      </c>
      <c r="F48" s="36" t="n">
        <f aca="false">Q48+U48+Y48+AC48+AG48+AK48+AO48+AS48+AW48+BA48</f>
        <v>0</v>
      </c>
      <c r="N48" s="22" t="n">
        <f aca="false">Q47*(1+D$7)</f>
        <v>0</v>
      </c>
      <c r="O48" s="22" t="n">
        <f aca="false">MIN(N48,D$8)</f>
        <v>0</v>
      </c>
      <c r="P48" s="22" t="n">
        <f aca="false">MAX(0,MIN(N48-O48,$C48-(0)))</f>
        <v>0</v>
      </c>
      <c r="Q48" s="22" t="n">
        <f aca="false">ROUND(N48-O48-P48,2)</f>
        <v>0</v>
      </c>
      <c r="R48" s="22" t="n">
        <f aca="false">U47*(1+E$7)</f>
        <v>0</v>
      </c>
      <c r="S48" s="22" t="n">
        <f aca="false">MIN(R48,E$8)</f>
        <v>0</v>
      </c>
      <c r="T48" s="22" t="n">
        <f aca="false">MAX(0,MIN(R48-S48,$C48-(P48)))</f>
        <v>0</v>
      </c>
      <c r="U48" s="22" t="n">
        <f aca="false">ROUND(R48-S48-T48,2)</f>
        <v>0</v>
      </c>
      <c r="V48" s="22" t="n">
        <f aca="false">Y47*(1+F$7)</f>
        <v>0</v>
      </c>
      <c r="W48" s="22" t="n">
        <f aca="false">MIN(V48,F$8)</f>
        <v>0</v>
      </c>
      <c r="X48" s="22" t="n">
        <f aca="false">MAX(0,MIN(V48-W48,$C48-(P48+T48)))</f>
        <v>0</v>
      </c>
      <c r="Y48" s="22" t="n">
        <f aca="false">ROUND(V48-W48-X48,2)</f>
        <v>0</v>
      </c>
      <c r="Z48" s="22" t="n">
        <f aca="false">AC47*(1+G$7)</f>
        <v>0</v>
      </c>
      <c r="AA48" s="22" t="n">
        <f aca="false">MIN(Z48,G$8)</f>
        <v>0</v>
      </c>
      <c r="AB48" s="22" t="n">
        <f aca="false">MAX(0,MIN(Z48-AA48,$C48-(P48+T48+X48)))</f>
        <v>0</v>
      </c>
      <c r="AC48" s="22" t="n">
        <f aca="false">ROUND(Z48-AA48-AB48,2)</f>
        <v>0</v>
      </c>
      <c r="AD48" s="22" t="n">
        <f aca="false">AG47*(1+H$7)</f>
        <v>0</v>
      </c>
      <c r="AE48" s="22" t="n">
        <f aca="false">MIN(AD48,H$8)</f>
        <v>0</v>
      </c>
      <c r="AF48" s="22" t="n">
        <f aca="false">MAX(0,MIN(AD48-AE48,$C48-(P48+T48+X48+AB48)))</f>
        <v>0</v>
      </c>
      <c r="AG48" s="22" t="n">
        <f aca="false">ROUND(AD48-AE48-AF48,2)</f>
        <v>0</v>
      </c>
      <c r="AH48" s="22" t="n">
        <f aca="false">AK47*(1+I$7)</f>
        <v>0</v>
      </c>
      <c r="AI48" s="22" t="n">
        <f aca="false">MIN(AH48,I$8)</f>
        <v>0</v>
      </c>
      <c r="AJ48" s="22" t="n">
        <f aca="false">MAX(0,MIN(AH48-AI48,$C48-(P48+T48+X48+AB48+AF48)))</f>
        <v>0</v>
      </c>
      <c r="AK48" s="22" t="n">
        <f aca="false">ROUND(AH48-AI48-AJ48,2)</f>
        <v>0</v>
      </c>
      <c r="AL48" s="22" t="n">
        <f aca="false">AO47*(1+J$7)</f>
        <v>0</v>
      </c>
      <c r="AM48" s="22" t="n">
        <f aca="false">MIN(AL48,J$8)</f>
        <v>0</v>
      </c>
      <c r="AN48" s="22" t="n">
        <f aca="false">MAX(0,MIN(AL48-AM48,$C48-(P48+T48+X48+AB48+AF48+AJ48)))</f>
        <v>0</v>
      </c>
      <c r="AO48" s="22" t="n">
        <f aca="false">ROUND(AL48-AM48-AN48,2)</f>
        <v>0</v>
      </c>
      <c r="AP48" s="22" t="n">
        <f aca="false">AS47*(1+K$7)</f>
        <v>0</v>
      </c>
      <c r="AQ48" s="22" t="n">
        <f aca="false">MIN(AP48,K$8)</f>
        <v>0</v>
      </c>
      <c r="AR48" s="22" t="n">
        <f aca="false">MAX(0,MIN(AP48-AQ48,$C48-(P48+T48+X48+AB48+AF48+AJ48+AN48)))</f>
        <v>0</v>
      </c>
      <c r="AS48" s="22" t="n">
        <f aca="false">ROUND(AP48-AQ48-AR48,2)</f>
        <v>0</v>
      </c>
      <c r="AT48" s="22" t="n">
        <f aca="false">AW47*(1+L$7)</f>
        <v>0</v>
      </c>
      <c r="AU48" s="22" t="n">
        <f aca="false">MIN(AT48,L$8)</f>
        <v>0</v>
      </c>
      <c r="AV48" s="22" t="n">
        <f aca="false">MAX(0,MIN(AT48-AU48,$C48-(P48+T48+X48+AB48+AF48+AJ48+AN48+AR48)))</f>
        <v>0</v>
      </c>
      <c r="AW48" s="22" t="n">
        <f aca="false">ROUND(AT48-AU48-AV48,2)</f>
        <v>0</v>
      </c>
      <c r="AX48" s="22" t="n">
        <f aca="false">BA47*(1+M$7)</f>
        <v>0</v>
      </c>
      <c r="AY48" s="22" t="n">
        <f aca="false">MIN(AX48,M$8)</f>
        <v>0</v>
      </c>
      <c r="AZ48" s="22" t="n">
        <f aca="false">MAX(0,MIN(AX48-AY48,$C48-(P48+T48+X48+AB48+AF48+AJ48+AN48+AR48+AV48)))</f>
        <v>0</v>
      </c>
      <c r="BA48" s="22" t="n">
        <f aca="false">ROUND(AX48-AY48-AZ48,2)</f>
        <v>0</v>
      </c>
    </row>
    <row r="49" customFormat="false" ht="15" hidden="false" customHeight="false" outlineLevel="0" collapsed="false">
      <c r="A49" s="0" t="n">
        <v>39</v>
      </c>
      <c r="B49" s="39" t="n">
        <f aca="false">EDATE(Borçlar!$K$7,38)</f>
        <v>47453</v>
      </c>
      <c r="C49" s="36" t="n">
        <f aca="false">MAX(0,Borçlar!$K$8-(O49+S49+W49+AA49+AE49+AI49+AM49+AQ49+AU49+AY49))</f>
        <v>19000</v>
      </c>
      <c r="D49" s="36" t="n">
        <f aca="false">O49+P49+S49+T49+W49+X49+AA49+AB49+AE49+AF49+AI49+AJ49+AM49+AN49+AQ49+AR49+AU49+AV49+AY49+AZ49</f>
        <v>0</v>
      </c>
      <c r="E49" s="36" t="n">
        <f aca="false">(N49+R49+V49+Z49+AD49+AH49+AL49+AP49+AT49+AX49)-(F48)</f>
        <v>0</v>
      </c>
      <c r="F49" s="36" t="n">
        <f aca="false">Q49+U49+Y49+AC49+AG49+AK49+AO49+AS49+AW49+BA49</f>
        <v>0</v>
      </c>
      <c r="N49" s="22" t="n">
        <f aca="false">Q48*(1+D$7)</f>
        <v>0</v>
      </c>
      <c r="O49" s="22" t="n">
        <f aca="false">MIN(N49,D$8)</f>
        <v>0</v>
      </c>
      <c r="P49" s="22" t="n">
        <f aca="false">MAX(0,MIN(N49-O49,$C49-(0)))</f>
        <v>0</v>
      </c>
      <c r="Q49" s="22" t="n">
        <f aca="false">ROUND(N49-O49-P49,2)</f>
        <v>0</v>
      </c>
      <c r="R49" s="22" t="n">
        <f aca="false">U48*(1+E$7)</f>
        <v>0</v>
      </c>
      <c r="S49" s="22" t="n">
        <f aca="false">MIN(R49,E$8)</f>
        <v>0</v>
      </c>
      <c r="T49" s="22" t="n">
        <f aca="false">MAX(0,MIN(R49-S49,$C49-(P49)))</f>
        <v>0</v>
      </c>
      <c r="U49" s="22" t="n">
        <f aca="false">ROUND(R49-S49-T49,2)</f>
        <v>0</v>
      </c>
      <c r="V49" s="22" t="n">
        <f aca="false">Y48*(1+F$7)</f>
        <v>0</v>
      </c>
      <c r="W49" s="22" t="n">
        <f aca="false">MIN(V49,F$8)</f>
        <v>0</v>
      </c>
      <c r="X49" s="22" t="n">
        <f aca="false">MAX(0,MIN(V49-W49,$C49-(P49+T49)))</f>
        <v>0</v>
      </c>
      <c r="Y49" s="22" t="n">
        <f aca="false">ROUND(V49-W49-X49,2)</f>
        <v>0</v>
      </c>
      <c r="Z49" s="22" t="n">
        <f aca="false">AC48*(1+G$7)</f>
        <v>0</v>
      </c>
      <c r="AA49" s="22" t="n">
        <f aca="false">MIN(Z49,G$8)</f>
        <v>0</v>
      </c>
      <c r="AB49" s="22" t="n">
        <f aca="false">MAX(0,MIN(Z49-AA49,$C49-(P49+T49+X49)))</f>
        <v>0</v>
      </c>
      <c r="AC49" s="22" t="n">
        <f aca="false">ROUND(Z49-AA49-AB49,2)</f>
        <v>0</v>
      </c>
      <c r="AD49" s="22" t="n">
        <f aca="false">AG48*(1+H$7)</f>
        <v>0</v>
      </c>
      <c r="AE49" s="22" t="n">
        <f aca="false">MIN(AD49,H$8)</f>
        <v>0</v>
      </c>
      <c r="AF49" s="22" t="n">
        <f aca="false">MAX(0,MIN(AD49-AE49,$C49-(P49+T49+X49+AB49)))</f>
        <v>0</v>
      </c>
      <c r="AG49" s="22" t="n">
        <f aca="false">ROUND(AD49-AE49-AF49,2)</f>
        <v>0</v>
      </c>
      <c r="AH49" s="22" t="n">
        <f aca="false">AK48*(1+I$7)</f>
        <v>0</v>
      </c>
      <c r="AI49" s="22" t="n">
        <f aca="false">MIN(AH49,I$8)</f>
        <v>0</v>
      </c>
      <c r="AJ49" s="22" t="n">
        <f aca="false">MAX(0,MIN(AH49-AI49,$C49-(P49+T49+X49+AB49+AF49)))</f>
        <v>0</v>
      </c>
      <c r="AK49" s="22" t="n">
        <f aca="false">ROUND(AH49-AI49-AJ49,2)</f>
        <v>0</v>
      </c>
      <c r="AL49" s="22" t="n">
        <f aca="false">AO48*(1+J$7)</f>
        <v>0</v>
      </c>
      <c r="AM49" s="22" t="n">
        <f aca="false">MIN(AL49,J$8)</f>
        <v>0</v>
      </c>
      <c r="AN49" s="22" t="n">
        <f aca="false">MAX(0,MIN(AL49-AM49,$C49-(P49+T49+X49+AB49+AF49+AJ49)))</f>
        <v>0</v>
      </c>
      <c r="AO49" s="22" t="n">
        <f aca="false">ROUND(AL49-AM49-AN49,2)</f>
        <v>0</v>
      </c>
      <c r="AP49" s="22" t="n">
        <f aca="false">AS48*(1+K$7)</f>
        <v>0</v>
      </c>
      <c r="AQ49" s="22" t="n">
        <f aca="false">MIN(AP49,K$8)</f>
        <v>0</v>
      </c>
      <c r="AR49" s="22" t="n">
        <f aca="false">MAX(0,MIN(AP49-AQ49,$C49-(P49+T49+X49+AB49+AF49+AJ49+AN49)))</f>
        <v>0</v>
      </c>
      <c r="AS49" s="22" t="n">
        <f aca="false">ROUND(AP49-AQ49-AR49,2)</f>
        <v>0</v>
      </c>
      <c r="AT49" s="22" t="n">
        <f aca="false">AW48*(1+L$7)</f>
        <v>0</v>
      </c>
      <c r="AU49" s="22" t="n">
        <f aca="false">MIN(AT49,L$8)</f>
        <v>0</v>
      </c>
      <c r="AV49" s="22" t="n">
        <f aca="false">MAX(0,MIN(AT49-AU49,$C49-(P49+T49+X49+AB49+AF49+AJ49+AN49+AR49)))</f>
        <v>0</v>
      </c>
      <c r="AW49" s="22" t="n">
        <f aca="false">ROUND(AT49-AU49-AV49,2)</f>
        <v>0</v>
      </c>
      <c r="AX49" s="22" t="n">
        <f aca="false">BA48*(1+M$7)</f>
        <v>0</v>
      </c>
      <c r="AY49" s="22" t="n">
        <f aca="false">MIN(AX49,M$8)</f>
        <v>0</v>
      </c>
      <c r="AZ49" s="22" t="n">
        <f aca="false">MAX(0,MIN(AX49-AY49,$C49-(P49+T49+X49+AB49+AF49+AJ49+AN49+AR49+AV49)))</f>
        <v>0</v>
      </c>
      <c r="BA49" s="22" t="n">
        <f aca="false">ROUND(AX49-AY49-AZ49,2)</f>
        <v>0</v>
      </c>
    </row>
    <row r="50" customFormat="false" ht="15" hidden="false" customHeight="false" outlineLevel="0" collapsed="false">
      <c r="A50" s="0" t="n">
        <v>40</v>
      </c>
      <c r="B50" s="39" t="n">
        <f aca="false">EDATE(Borçlar!$K$7,39)</f>
        <v>47484</v>
      </c>
      <c r="C50" s="36" t="n">
        <f aca="false">MAX(0,Borçlar!$K$8-(O50+S50+W50+AA50+AE50+AI50+AM50+AQ50+AU50+AY50))</f>
        <v>19000</v>
      </c>
      <c r="D50" s="36" t="n">
        <f aca="false">O50+P50+S50+T50+W50+X50+AA50+AB50+AE50+AF50+AI50+AJ50+AM50+AN50+AQ50+AR50+AU50+AV50+AY50+AZ50</f>
        <v>0</v>
      </c>
      <c r="E50" s="36" t="n">
        <f aca="false">(N50+R50+V50+Z50+AD50+AH50+AL50+AP50+AT50+AX50)-(F49)</f>
        <v>0</v>
      </c>
      <c r="F50" s="36" t="n">
        <f aca="false">Q50+U50+Y50+AC50+AG50+AK50+AO50+AS50+AW50+BA50</f>
        <v>0</v>
      </c>
      <c r="N50" s="22" t="n">
        <f aca="false">Q49*(1+D$7)</f>
        <v>0</v>
      </c>
      <c r="O50" s="22" t="n">
        <f aca="false">MIN(N50,D$8)</f>
        <v>0</v>
      </c>
      <c r="P50" s="22" t="n">
        <f aca="false">MAX(0,MIN(N50-O50,$C50-(0)))</f>
        <v>0</v>
      </c>
      <c r="Q50" s="22" t="n">
        <f aca="false">ROUND(N50-O50-P50,2)</f>
        <v>0</v>
      </c>
      <c r="R50" s="22" t="n">
        <f aca="false">U49*(1+E$7)</f>
        <v>0</v>
      </c>
      <c r="S50" s="22" t="n">
        <f aca="false">MIN(R50,E$8)</f>
        <v>0</v>
      </c>
      <c r="T50" s="22" t="n">
        <f aca="false">MAX(0,MIN(R50-S50,$C50-(P50)))</f>
        <v>0</v>
      </c>
      <c r="U50" s="22" t="n">
        <f aca="false">ROUND(R50-S50-T50,2)</f>
        <v>0</v>
      </c>
      <c r="V50" s="22" t="n">
        <f aca="false">Y49*(1+F$7)</f>
        <v>0</v>
      </c>
      <c r="W50" s="22" t="n">
        <f aca="false">MIN(V50,F$8)</f>
        <v>0</v>
      </c>
      <c r="X50" s="22" t="n">
        <f aca="false">MAX(0,MIN(V50-W50,$C50-(P50+T50)))</f>
        <v>0</v>
      </c>
      <c r="Y50" s="22" t="n">
        <f aca="false">ROUND(V50-W50-X50,2)</f>
        <v>0</v>
      </c>
      <c r="Z50" s="22" t="n">
        <f aca="false">AC49*(1+G$7)</f>
        <v>0</v>
      </c>
      <c r="AA50" s="22" t="n">
        <f aca="false">MIN(Z50,G$8)</f>
        <v>0</v>
      </c>
      <c r="AB50" s="22" t="n">
        <f aca="false">MAX(0,MIN(Z50-AA50,$C50-(P50+T50+X50)))</f>
        <v>0</v>
      </c>
      <c r="AC50" s="22" t="n">
        <f aca="false">ROUND(Z50-AA50-AB50,2)</f>
        <v>0</v>
      </c>
      <c r="AD50" s="22" t="n">
        <f aca="false">AG49*(1+H$7)</f>
        <v>0</v>
      </c>
      <c r="AE50" s="22" t="n">
        <f aca="false">MIN(AD50,H$8)</f>
        <v>0</v>
      </c>
      <c r="AF50" s="22" t="n">
        <f aca="false">MAX(0,MIN(AD50-AE50,$C50-(P50+T50+X50+AB50)))</f>
        <v>0</v>
      </c>
      <c r="AG50" s="22" t="n">
        <f aca="false">ROUND(AD50-AE50-AF50,2)</f>
        <v>0</v>
      </c>
      <c r="AH50" s="22" t="n">
        <f aca="false">AK49*(1+I$7)</f>
        <v>0</v>
      </c>
      <c r="AI50" s="22" t="n">
        <f aca="false">MIN(AH50,I$8)</f>
        <v>0</v>
      </c>
      <c r="AJ50" s="22" t="n">
        <f aca="false">MAX(0,MIN(AH50-AI50,$C50-(P50+T50+X50+AB50+AF50)))</f>
        <v>0</v>
      </c>
      <c r="AK50" s="22" t="n">
        <f aca="false">ROUND(AH50-AI50-AJ50,2)</f>
        <v>0</v>
      </c>
      <c r="AL50" s="22" t="n">
        <f aca="false">AO49*(1+J$7)</f>
        <v>0</v>
      </c>
      <c r="AM50" s="22" t="n">
        <f aca="false">MIN(AL50,J$8)</f>
        <v>0</v>
      </c>
      <c r="AN50" s="22" t="n">
        <f aca="false">MAX(0,MIN(AL50-AM50,$C50-(P50+T50+X50+AB50+AF50+AJ50)))</f>
        <v>0</v>
      </c>
      <c r="AO50" s="22" t="n">
        <f aca="false">ROUND(AL50-AM50-AN50,2)</f>
        <v>0</v>
      </c>
      <c r="AP50" s="22" t="n">
        <f aca="false">AS49*(1+K$7)</f>
        <v>0</v>
      </c>
      <c r="AQ50" s="22" t="n">
        <f aca="false">MIN(AP50,K$8)</f>
        <v>0</v>
      </c>
      <c r="AR50" s="22" t="n">
        <f aca="false">MAX(0,MIN(AP50-AQ50,$C50-(P50+T50+X50+AB50+AF50+AJ50+AN50)))</f>
        <v>0</v>
      </c>
      <c r="AS50" s="22" t="n">
        <f aca="false">ROUND(AP50-AQ50-AR50,2)</f>
        <v>0</v>
      </c>
      <c r="AT50" s="22" t="n">
        <f aca="false">AW49*(1+L$7)</f>
        <v>0</v>
      </c>
      <c r="AU50" s="22" t="n">
        <f aca="false">MIN(AT50,L$8)</f>
        <v>0</v>
      </c>
      <c r="AV50" s="22" t="n">
        <f aca="false">MAX(0,MIN(AT50-AU50,$C50-(P50+T50+X50+AB50+AF50+AJ50+AN50+AR50)))</f>
        <v>0</v>
      </c>
      <c r="AW50" s="22" t="n">
        <f aca="false">ROUND(AT50-AU50-AV50,2)</f>
        <v>0</v>
      </c>
      <c r="AX50" s="22" t="n">
        <f aca="false">BA49*(1+M$7)</f>
        <v>0</v>
      </c>
      <c r="AY50" s="22" t="n">
        <f aca="false">MIN(AX50,M$8)</f>
        <v>0</v>
      </c>
      <c r="AZ50" s="22" t="n">
        <f aca="false">MAX(0,MIN(AX50-AY50,$C50-(P50+T50+X50+AB50+AF50+AJ50+AN50+AR50+AV50)))</f>
        <v>0</v>
      </c>
      <c r="BA50" s="22" t="n">
        <f aca="false">ROUND(AX50-AY50-AZ50,2)</f>
        <v>0</v>
      </c>
    </row>
    <row r="51" customFormat="false" ht="15" hidden="false" customHeight="false" outlineLevel="0" collapsed="false">
      <c r="A51" s="0" t="n">
        <v>41</v>
      </c>
      <c r="B51" s="39" t="n">
        <f aca="false">EDATE(Borçlar!$K$7,40)</f>
        <v>47515</v>
      </c>
      <c r="C51" s="36" t="n">
        <f aca="false">MAX(0,Borçlar!$K$8-(O51+S51+W51+AA51+AE51+AI51+AM51+AQ51+AU51+AY51))</f>
        <v>19000</v>
      </c>
      <c r="D51" s="36" t="n">
        <f aca="false">O51+P51+S51+T51+W51+X51+AA51+AB51+AE51+AF51+AI51+AJ51+AM51+AN51+AQ51+AR51+AU51+AV51+AY51+AZ51</f>
        <v>0</v>
      </c>
      <c r="E51" s="36" t="n">
        <f aca="false">(N51+R51+V51+Z51+AD51+AH51+AL51+AP51+AT51+AX51)-(F50)</f>
        <v>0</v>
      </c>
      <c r="F51" s="36" t="n">
        <f aca="false">Q51+U51+Y51+AC51+AG51+AK51+AO51+AS51+AW51+BA51</f>
        <v>0</v>
      </c>
      <c r="N51" s="22" t="n">
        <f aca="false">Q50*(1+D$7)</f>
        <v>0</v>
      </c>
      <c r="O51" s="22" t="n">
        <f aca="false">MIN(N51,D$8)</f>
        <v>0</v>
      </c>
      <c r="P51" s="22" t="n">
        <f aca="false">MAX(0,MIN(N51-O51,$C51-(0)))</f>
        <v>0</v>
      </c>
      <c r="Q51" s="22" t="n">
        <f aca="false">ROUND(N51-O51-P51,2)</f>
        <v>0</v>
      </c>
      <c r="R51" s="22" t="n">
        <f aca="false">U50*(1+E$7)</f>
        <v>0</v>
      </c>
      <c r="S51" s="22" t="n">
        <f aca="false">MIN(R51,E$8)</f>
        <v>0</v>
      </c>
      <c r="T51" s="22" t="n">
        <f aca="false">MAX(0,MIN(R51-S51,$C51-(P51)))</f>
        <v>0</v>
      </c>
      <c r="U51" s="22" t="n">
        <f aca="false">ROUND(R51-S51-T51,2)</f>
        <v>0</v>
      </c>
      <c r="V51" s="22" t="n">
        <f aca="false">Y50*(1+F$7)</f>
        <v>0</v>
      </c>
      <c r="W51" s="22" t="n">
        <f aca="false">MIN(V51,F$8)</f>
        <v>0</v>
      </c>
      <c r="X51" s="22" t="n">
        <f aca="false">MAX(0,MIN(V51-W51,$C51-(P51+T51)))</f>
        <v>0</v>
      </c>
      <c r="Y51" s="22" t="n">
        <f aca="false">ROUND(V51-W51-X51,2)</f>
        <v>0</v>
      </c>
      <c r="Z51" s="22" t="n">
        <f aca="false">AC50*(1+G$7)</f>
        <v>0</v>
      </c>
      <c r="AA51" s="22" t="n">
        <f aca="false">MIN(Z51,G$8)</f>
        <v>0</v>
      </c>
      <c r="AB51" s="22" t="n">
        <f aca="false">MAX(0,MIN(Z51-AA51,$C51-(P51+T51+X51)))</f>
        <v>0</v>
      </c>
      <c r="AC51" s="22" t="n">
        <f aca="false">ROUND(Z51-AA51-AB51,2)</f>
        <v>0</v>
      </c>
      <c r="AD51" s="22" t="n">
        <f aca="false">AG50*(1+H$7)</f>
        <v>0</v>
      </c>
      <c r="AE51" s="22" t="n">
        <f aca="false">MIN(AD51,H$8)</f>
        <v>0</v>
      </c>
      <c r="AF51" s="22" t="n">
        <f aca="false">MAX(0,MIN(AD51-AE51,$C51-(P51+T51+X51+AB51)))</f>
        <v>0</v>
      </c>
      <c r="AG51" s="22" t="n">
        <f aca="false">ROUND(AD51-AE51-AF51,2)</f>
        <v>0</v>
      </c>
      <c r="AH51" s="22" t="n">
        <f aca="false">AK50*(1+I$7)</f>
        <v>0</v>
      </c>
      <c r="AI51" s="22" t="n">
        <f aca="false">MIN(AH51,I$8)</f>
        <v>0</v>
      </c>
      <c r="AJ51" s="22" t="n">
        <f aca="false">MAX(0,MIN(AH51-AI51,$C51-(P51+T51+X51+AB51+AF51)))</f>
        <v>0</v>
      </c>
      <c r="AK51" s="22" t="n">
        <f aca="false">ROUND(AH51-AI51-AJ51,2)</f>
        <v>0</v>
      </c>
      <c r="AL51" s="22" t="n">
        <f aca="false">AO50*(1+J$7)</f>
        <v>0</v>
      </c>
      <c r="AM51" s="22" t="n">
        <f aca="false">MIN(AL51,J$8)</f>
        <v>0</v>
      </c>
      <c r="AN51" s="22" t="n">
        <f aca="false">MAX(0,MIN(AL51-AM51,$C51-(P51+T51+X51+AB51+AF51+AJ51)))</f>
        <v>0</v>
      </c>
      <c r="AO51" s="22" t="n">
        <f aca="false">ROUND(AL51-AM51-AN51,2)</f>
        <v>0</v>
      </c>
      <c r="AP51" s="22" t="n">
        <f aca="false">AS50*(1+K$7)</f>
        <v>0</v>
      </c>
      <c r="AQ51" s="22" t="n">
        <f aca="false">MIN(AP51,K$8)</f>
        <v>0</v>
      </c>
      <c r="AR51" s="22" t="n">
        <f aca="false">MAX(0,MIN(AP51-AQ51,$C51-(P51+T51+X51+AB51+AF51+AJ51+AN51)))</f>
        <v>0</v>
      </c>
      <c r="AS51" s="22" t="n">
        <f aca="false">ROUND(AP51-AQ51-AR51,2)</f>
        <v>0</v>
      </c>
      <c r="AT51" s="22" t="n">
        <f aca="false">AW50*(1+L$7)</f>
        <v>0</v>
      </c>
      <c r="AU51" s="22" t="n">
        <f aca="false">MIN(AT51,L$8)</f>
        <v>0</v>
      </c>
      <c r="AV51" s="22" t="n">
        <f aca="false">MAX(0,MIN(AT51-AU51,$C51-(P51+T51+X51+AB51+AF51+AJ51+AN51+AR51)))</f>
        <v>0</v>
      </c>
      <c r="AW51" s="22" t="n">
        <f aca="false">ROUND(AT51-AU51-AV51,2)</f>
        <v>0</v>
      </c>
      <c r="AX51" s="22" t="n">
        <f aca="false">BA50*(1+M$7)</f>
        <v>0</v>
      </c>
      <c r="AY51" s="22" t="n">
        <f aca="false">MIN(AX51,M$8)</f>
        <v>0</v>
      </c>
      <c r="AZ51" s="22" t="n">
        <f aca="false">MAX(0,MIN(AX51-AY51,$C51-(P51+T51+X51+AB51+AF51+AJ51+AN51+AR51+AV51)))</f>
        <v>0</v>
      </c>
      <c r="BA51" s="22" t="n">
        <f aca="false">ROUND(AX51-AY51-AZ51,2)</f>
        <v>0</v>
      </c>
    </row>
    <row r="52" customFormat="false" ht="15" hidden="false" customHeight="false" outlineLevel="0" collapsed="false">
      <c r="A52" s="0" t="n">
        <v>42</v>
      </c>
      <c r="B52" s="39" t="n">
        <f aca="false">EDATE(Borçlar!$K$7,41)</f>
        <v>47543</v>
      </c>
      <c r="C52" s="36" t="n">
        <f aca="false">MAX(0,Borçlar!$K$8-(O52+S52+W52+AA52+AE52+AI52+AM52+AQ52+AU52+AY52))</f>
        <v>19000</v>
      </c>
      <c r="D52" s="36" t="n">
        <f aca="false">O52+P52+S52+T52+W52+X52+AA52+AB52+AE52+AF52+AI52+AJ52+AM52+AN52+AQ52+AR52+AU52+AV52+AY52+AZ52</f>
        <v>0</v>
      </c>
      <c r="E52" s="36" t="n">
        <f aca="false">(N52+R52+V52+Z52+AD52+AH52+AL52+AP52+AT52+AX52)-(F51)</f>
        <v>0</v>
      </c>
      <c r="F52" s="36" t="n">
        <f aca="false">Q52+U52+Y52+AC52+AG52+AK52+AO52+AS52+AW52+BA52</f>
        <v>0</v>
      </c>
      <c r="N52" s="22" t="n">
        <f aca="false">Q51*(1+D$7)</f>
        <v>0</v>
      </c>
      <c r="O52" s="22" t="n">
        <f aca="false">MIN(N52,D$8)</f>
        <v>0</v>
      </c>
      <c r="P52" s="22" t="n">
        <f aca="false">MAX(0,MIN(N52-O52,$C52-(0)))</f>
        <v>0</v>
      </c>
      <c r="Q52" s="22" t="n">
        <f aca="false">ROUND(N52-O52-P52,2)</f>
        <v>0</v>
      </c>
      <c r="R52" s="22" t="n">
        <f aca="false">U51*(1+E$7)</f>
        <v>0</v>
      </c>
      <c r="S52" s="22" t="n">
        <f aca="false">MIN(R52,E$8)</f>
        <v>0</v>
      </c>
      <c r="T52" s="22" t="n">
        <f aca="false">MAX(0,MIN(R52-S52,$C52-(P52)))</f>
        <v>0</v>
      </c>
      <c r="U52" s="22" t="n">
        <f aca="false">ROUND(R52-S52-T52,2)</f>
        <v>0</v>
      </c>
      <c r="V52" s="22" t="n">
        <f aca="false">Y51*(1+F$7)</f>
        <v>0</v>
      </c>
      <c r="W52" s="22" t="n">
        <f aca="false">MIN(V52,F$8)</f>
        <v>0</v>
      </c>
      <c r="X52" s="22" t="n">
        <f aca="false">MAX(0,MIN(V52-W52,$C52-(P52+T52)))</f>
        <v>0</v>
      </c>
      <c r="Y52" s="22" t="n">
        <f aca="false">ROUND(V52-W52-X52,2)</f>
        <v>0</v>
      </c>
      <c r="Z52" s="22" t="n">
        <f aca="false">AC51*(1+G$7)</f>
        <v>0</v>
      </c>
      <c r="AA52" s="22" t="n">
        <f aca="false">MIN(Z52,G$8)</f>
        <v>0</v>
      </c>
      <c r="AB52" s="22" t="n">
        <f aca="false">MAX(0,MIN(Z52-AA52,$C52-(P52+T52+X52)))</f>
        <v>0</v>
      </c>
      <c r="AC52" s="22" t="n">
        <f aca="false">ROUND(Z52-AA52-AB52,2)</f>
        <v>0</v>
      </c>
      <c r="AD52" s="22" t="n">
        <f aca="false">AG51*(1+H$7)</f>
        <v>0</v>
      </c>
      <c r="AE52" s="22" t="n">
        <f aca="false">MIN(AD52,H$8)</f>
        <v>0</v>
      </c>
      <c r="AF52" s="22" t="n">
        <f aca="false">MAX(0,MIN(AD52-AE52,$C52-(P52+T52+X52+AB52)))</f>
        <v>0</v>
      </c>
      <c r="AG52" s="22" t="n">
        <f aca="false">ROUND(AD52-AE52-AF52,2)</f>
        <v>0</v>
      </c>
      <c r="AH52" s="22" t="n">
        <f aca="false">AK51*(1+I$7)</f>
        <v>0</v>
      </c>
      <c r="AI52" s="22" t="n">
        <f aca="false">MIN(AH52,I$8)</f>
        <v>0</v>
      </c>
      <c r="AJ52" s="22" t="n">
        <f aca="false">MAX(0,MIN(AH52-AI52,$C52-(P52+T52+X52+AB52+AF52)))</f>
        <v>0</v>
      </c>
      <c r="AK52" s="22" t="n">
        <f aca="false">ROUND(AH52-AI52-AJ52,2)</f>
        <v>0</v>
      </c>
      <c r="AL52" s="22" t="n">
        <f aca="false">AO51*(1+J$7)</f>
        <v>0</v>
      </c>
      <c r="AM52" s="22" t="n">
        <f aca="false">MIN(AL52,J$8)</f>
        <v>0</v>
      </c>
      <c r="AN52" s="22" t="n">
        <f aca="false">MAX(0,MIN(AL52-AM52,$C52-(P52+T52+X52+AB52+AF52+AJ52)))</f>
        <v>0</v>
      </c>
      <c r="AO52" s="22" t="n">
        <f aca="false">ROUND(AL52-AM52-AN52,2)</f>
        <v>0</v>
      </c>
      <c r="AP52" s="22" t="n">
        <f aca="false">AS51*(1+K$7)</f>
        <v>0</v>
      </c>
      <c r="AQ52" s="22" t="n">
        <f aca="false">MIN(AP52,K$8)</f>
        <v>0</v>
      </c>
      <c r="AR52" s="22" t="n">
        <f aca="false">MAX(0,MIN(AP52-AQ52,$C52-(P52+T52+X52+AB52+AF52+AJ52+AN52)))</f>
        <v>0</v>
      </c>
      <c r="AS52" s="22" t="n">
        <f aca="false">ROUND(AP52-AQ52-AR52,2)</f>
        <v>0</v>
      </c>
      <c r="AT52" s="22" t="n">
        <f aca="false">AW51*(1+L$7)</f>
        <v>0</v>
      </c>
      <c r="AU52" s="22" t="n">
        <f aca="false">MIN(AT52,L$8)</f>
        <v>0</v>
      </c>
      <c r="AV52" s="22" t="n">
        <f aca="false">MAX(0,MIN(AT52-AU52,$C52-(P52+T52+X52+AB52+AF52+AJ52+AN52+AR52)))</f>
        <v>0</v>
      </c>
      <c r="AW52" s="22" t="n">
        <f aca="false">ROUND(AT52-AU52-AV52,2)</f>
        <v>0</v>
      </c>
      <c r="AX52" s="22" t="n">
        <f aca="false">BA51*(1+M$7)</f>
        <v>0</v>
      </c>
      <c r="AY52" s="22" t="n">
        <f aca="false">MIN(AX52,M$8)</f>
        <v>0</v>
      </c>
      <c r="AZ52" s="22" t="n">
        <f aca="false">MAX(0,MIN(AX52-AY52,$C52-(P52+T52+X52+AB52+AF52+AJ52+AN52+AR52+AV52)))</f>
        <v>0</v>
      </c>
      <c r="BA52" s="22" t="n">
        <f aca="false">ROUND(AX52-AY52-AZ52,2)</f>
        <v>0</v>
      </c>
    </row>
    <row r="53" customFormat="false" ht="15" hidden="false" customHeight="false" outlineLevel="0" collapsed="false">
      <c r="A53" s="0" t="n">
        <v>43</v>
      </c>
      <c r="B53" s="39" t="n">
        <f aca="false">EDATE(Borçlar!$K$7,42)</f>
        <v>47574</v>
      </c>
      <c r="C53" s="36" t="n">
        <f aca="false">MAX(0,Borçlar!$K$8-(O53+S53+W53+AA53+AE53+AI53+AM53+AQ53+AU53+AY53))</f>
        <v>19000</v>
      </c>
      <c r="D53" s="36" t="n">
        <f aca="false">O53+P53+S53+T53+W53+X53+AA53+AB53+AE53+AF53+AI53+AJ53+AM53+AN53+AQ53+AR53+AU53+AV53+AY53+AZ53</f>
        <v>0</v>
      </c>
      <c r="E53" s="36" t="n">
        <f aca="false">(N53+R53+V53+Z53+AD53+AH53+AL53+AP53+AT53+AX53)-(F52)</f>
        <v>0</v>
      </c>
      <c r="F53" s="36" t="n">
        <f aca="false">Q53+U53+Y53+AC53+AG53+AK53+AO53+AS53+AW53+BA53</f>
        <v>0</v>
      </c>
      <c r="N53" s="22" t="n">
        <f aca="false">Q52*(1+D$7)</f>
        <v>0</v>
      </c>
      <c r="O53" s="22" t="n">
        <f aca="false">MIN(N53,D$8)</f>
        <v>0</v>
      </c>
      <c r="P53" s="22" t="n">
        <f aca="false">MAX(0,MIN(N53-O53,$C53-(0)))</f>
        <v>0</v>
      </c>
      <c r="Q53" s="22" t="n">
        <f aca="false">ROUND(N53-O53-P53,2)</f>
        <v>0</v>
      </c>
      <c r="R53" s="22" t="n">
        <f aca="false">U52*(1+E$7)</f>
        <v>0</v>
      </c>
      <c r="S53" s="22" t="n">
        <f aca="false">MIN(R53,E$8)</f>
        <v>0</v>
      </c>
      <c r="T53" s="22" t="n">
        <f aca="false">MAX(0,MIN(R53-S53,$C53-(P53)))</f>
        <v>0</v>
      </c>
      <c r="U53" s="22" t="n">
        <f aca="false">ROUND(R53-S53-T53,2)</f>
        <v>0</v>
      </c>
      <c r="V53" s="22" t="n">
        <f aca="false">Y52*(1+F$7)</f>
        <v>0</v>
      </c>
      <c r="W53" s="22" t="n">
        <f aca="false">MIN(V53,F$8)</f>
        <v>0</v>
      </c>
      <c r="X53" s="22" t="n">
        <f aca="false">MAX(0,MIN(V53-W53,$C53-(P53+T53)))</f>
        <v>0</v>
      </c>
      <c r="Y53" s="22" t="n">
        <f aca="false">ROUND(V53-W53-X53,2)</f>
        <v>0</v>
      </c>
      <c r="Z53" s="22" t="n">
        <f aca="false">AC52*(1+G$7)</f>
        <v>0</v>
      </c>
      <c r="AA53" s="22" t="n">
        <f aca="false">MIN(Z53,G$8)</f>
        <v>0</v>
      </c>
      <c r="AB53" s="22" t="n">
        <f aca="false">MAX(0,MIN(Z53-AA53,$C53-(P53+T53+X53)))</f>
        <v>0</v>
      </c>
      <c r="AC53" s="22" t="n">
        <f aca="false">ROUND(Z53-AA53-AB53,2)</f>
        <v>0</v>
      </c>
      <c r="AD53" s="22" t="n">
        <f aca="false">AG52*(1+H$7)</f>
        <v>0</v>
      </c>
      <c r="AE53" s="22" t="n">
        <f aca="false">MIN(AD53,H$8)</f>
        <v>0</v>
      </c>
      <c r="AF53" s="22" t="n">
        <f aca="false">MAX(0,MIN(AD53-AE53,$C53-(P53+T53+X53+AB53)))</f>
        <v>0</v>
      </c>
      <c r="AG53" s="22" t="n">
        <f aca="false">ROUND(AD53-AE53-AF53,2)</f>
        <v>0</v>
      </c>
      <c r="AH53" s="22" t="n">
        <f aca="false">AK52*(1+I$7)</f>
        <v>0</v>
      </c>
      <c r="AI53" s="22" t="n">
        <f aca="false">MIN(AH53,I$8)</f>
        <v>0</v>
      </c>
      <c r="AJ53" s="22" t="n">
        <f aca="false">MAX(0,MIN(AH53-AI53,$C53-(P53+T53+X53+AB53+AF53)))</f>
        <v>0</v>
      </c>
      <c r="AK53" s="22" t="n">
        <f aca="false">ROUND(AH53-AI53-AJ53,2)</f>
        <v>0</v>
      </c>
      <c r="AL53" s="22" t="n">
        <f aca="false">AO52*(1+J$7)</f>
        <v>0</v>
      </c>
      <c r="AM53" s="22" t="n">
        <f aca="false">MIN(AL53,J$8)</f>
        <v>0</v>
      </c>
      <c r="AN53" s="22" t="n">
        <f aca="false">MAX(0,MIN(AL53-AM53,$C53-(P53+T53+X53+AB53+AF53+AJ53)))</f>
        <v>0</v>
      </c>
      <c r="AO53" s="22" t="n">
        <f aca="false">ROUND(AL53-AM53-AN53,2)</f>
        <v>0</v>
      </c>
      <c r="AP53" s="22" t="n">
        <f aca="false">AS52*(1+K$7)</f>
        <v>0</v>
      </c>
      <c r="AQ53" s="22" t="n">
        <f aca="false">MIN(AP53,K$8)</f>
        <v>0</v>
      </c>
      <c r="AR53" s="22" t="n">
        <f aca="false">MAX(0,MIN(AP53-AQ53,$C53-(P53+T53+X53+AB53+AF53+AJ53+AN53)))</f>
        <v>0</v>
      </c>
      <c r="AS53" s="22" t="n">
        <f aca="false">ROUND(AP53-AQ53-AR53,2)</f>
        <v>0</v>
      </c>
      <c r="AT53" s="22" t="n">
        <f aca="false">AW52*(1+L$7)</f>
        <v>0</v>
      </c>
      <c r="AU53" s="22" t="n">
        <f aca="false">MIN(AT53,L$8)</f>
        <v>0</v>
      </c>
      <c r="AV53" s="22" t="n">
        <f aca="false">MAX(0,MIN(AT53-AU53,$C53-(P53+T53+X53+AB53+AF53+AJ53+AN53+AR53)))</f>
        <v>0</v>
      </c>
      <c r="AW53" s="22" t="n">
        <f aca="false">ROUND(AT53-AU53-AV53,2)</f>
        <v>0</v>
      </c>
      <c r="AX53" s="22" t="n">
        <f aca="false">BA52*(1+M$7)</f>
        <v>0</v>
      </c>
      <c r="AY53" s="22" t="n">
        <f aca="false">MIN(AX53,M$8)</f>
        <v>0</v>
      </c>
      <c r="AZ53" s="22" t="n">
        <f aca="false">MAX(0,MIN(AX53-AY53,$C53-(P53+T53+X53+AB53+AF53+AJ53+AN53+AR53+AV53)))</f>
        <v>0</v>
      </c>
      <c r="BA53" s="22" t="n">
        <f aca="false">ROUND(AX53-AY53-AZ53,2)</f>
        <v>0</v>
      </c>
    </row>
    <row r="54" customFormat="false" ht="15" hidden="false" customHeight="false" outlineLevel="0" collapsed="false">
      <c r="A54" s="0" t="n">
        <v>44</v>
      </c>
      <c r="B54" s="39" t="n">
        <f aca="false">EDATE(Borçlar!$K$7,43)</f>
        <v>47604</v>
      </c>
      <c r="C54" s="36" t="n">
        <f aca="false">MAX(0,Borçlar!$K$8-(O54+S54+W54+AA54+AE54+AI54+AM54+AQ54+AU54+AY54))</f>
        <v>19000</v>
      </c>
      <c r="D54" s="36" t="n">
        <f aca="false">O54+P54+S54+T54+W54+X54+AA54+AB54+AE54+AF54+AI54+AJ54+AM54+AN54+AQ54+AR54+AU54+AV54+AY54+AZ54</f>
        <v>0</v>
      </c>
      <c r="E54" s="36" t="n">
        <f aca="false">(N54+R54+V54+Z54+AD54+AH54+AL54+AP54+AT54+AX54)-(F53)</f>
        <v>0</v>
      </c>
      <c r="F54" s="36" t="n">
        <f aca="false">Q54+U54+Y54+AC54+AG54+AK54+AO54+AS54+AW54+BA54</f>
        <v>0</v>
      </c>
      <c r="N54" s="22" t="n">
        <f aca="false">Q53*(1+D$7)</f>
        <v>0</v>
      </c>
      <c r="O54" s="22" t="n">
        <f aca="false">MIN(N54,D$8)</f>
        <v>0</v>
      </c>
      <c r="P54" s="22" t="n">
        <f aca="false">MAX(0,MIN(N54-O54,$C54-(0)))</f>
        <v>0</v>
      </c>
      <c r="Q54" s="22" t="n">
        <f aca="false">ROUND(N54-O54-P54,2)</f>
        <v>0</v>
      </c>
      <c r="R54" s="22" t="n">
        <f aca="false">U53*(1+E$7)</f>
        <v>0</v>
      </c>
      <c r="S54" s="22" t="n">
        <f aca="false">MIN(R54,E$8)</f>
        <v>0</v>
      </c>
      <c r="T54" s="22" t="n">
        <f aca="false">MAX(0,MIN(R54-S54,$C54-(P54)))</f>
        <v>0</v>
      </c>
      <c r="U54" s="22" t="n">
        <f aca="false">ROUND(R54-S54-T54,2)</f>
        <v>0</v>
      </c>
      <c r="V54" s="22" t="n">
        <f aca="false">Y53*(1+F$7)</f>
        <v>0</v>
      </c>
      <c r="W54" s="22" t="n">
        <f aca="false">MIN(V54,F$8)</f>
        <v>0</v>
      </c>
      <c r="X54" s="22" t="n">
        <f aca="false">MAX(0,MIN(V54-W54,$C54-(P54+T54)))</f>
        <v>0</v>
      </c>
      <c r="Y54" s="22" t="n">
        <f aca="false">ROUND(V54-W54-X54,2)</f>
        <v>0</v>
      </c>
      <c r="Z54" s="22" t="n">
        <f aca="false">AC53*(1+G$7)</f>
        <v>0</v>
      </c>
      <c r="AA54" s="22" t="n">
        <f aca="false">MIN(Z54,G$8)</f>
        <v>0</v>
      </c>
      <c r="AB54" s="22" t="n">
        <f aca="false">MAX(0,MIN(Z54-AA54,$C54-(P54+T54+X54)))</f>
        <v>0</v>
      </c>
      <c r="AC54" s="22" t="n">
        <f aca="false">ROUND(Z54-AA54-AB54,2)</f>
        <v>0</v>
      </c>
      <c r="AD54" s="22" t="n">
        <f aca="false">AG53*(1+H$7)</f>
        <v>0</v>
      </c>
      <c r="AE54" s="22" t="n">
        <f aca="false">MIN(AD54,H$8)</f>
        <v>0</v>
      </c>
      <c r="AF54" s="22" t="n">
        <f aca="false">MAX(0,MIN(AD54-AE54,$C54-(P54+T54+X54+AB54)))</f>
        <v>0</v>
      </c>
      <c r="AG54" s="22" t="n">
        <f aca="false">ROUND(AD54-AE54-AF54,2)</f>
        <v>0</v>
      </c>
      <c r="AH54" s="22" t="n">
        <f aca="false">AK53*(1+I$7)</f>
        <v>0</v>
      </c>
      <c r="AI54" s="22" t="n">
        <f aca="false">MIN(AH54,I$8)</f>
        <v>0</v>
      </c>
      <c r="AJ54" s="22" t="n">
        <f aca="false">MAX(0,MIN(AH54-AI54,$C54-(P54+T54+X54+AB54+AF54)))</f>
        <v>0</v>
      </c>
      <c r="AK54" s="22" t="n">
        <f aca="false">ROUND(AH54-AI54-AJ54,2)</f>
        <v>0</v>
      </c>
      <c r="AL54" s="22" t="n">
        <f aca="false">AO53*(1+J$7)</f>
        <v>0</v>
      </c>
      <c r="AM54" s="22" t="n">
        <f aca="false">MIN(AL54,J$8)</f>
        <v>0</v>
      </c>
      <c r="AN54" s="22" t="n">
        <f aca="false">MAX(0,MIN(AL54-AM54,$C54-(P54+T54+X54+AB54+AF54+AJ54)))</f>
        <v>0</v>
      </c>
      <c r="AO54" s="22" t="n">
        <f aca="false">ROUND(AL54-AM54-AN54,2)</f>
        <v>0</v>
      </c>
      <c r="AP54" s="22" t="n">
        <f aca="false">AS53*(1+K$7)</f>
        <v>0</v>
      </c>
      <c r="AQ54" s="22" t="n">
        <f aca="false">MIN(AP54,K$8)</f>
        <v>0</v>
      </c>
      <c r="AR54" s="22" t="n">
        <f aca="false">MAX(0,MIN(AP54-AQ54,$C54-(P54+T54+X54+AB54+AF54+AJ54+AN54)))</f>
        <v>0</v>
      </c>
      <c r="AS54" s="22" t="n">
        <f aca="false">ROUND(AP54-AQ54-AR54,2)</f>
        <v>0</v>
      </c>
      <c r="AT54" s="22" t="n">
        <f aca="false">AW53*(1+L$7)</f>
        <v>0</v>
      </c>
      <c r="AU54" s="22" t="n">
        <f aca="false">MIN(AT54,L$8)</f>
        <v>0</v>
      </c>
      <c r="AV54" s="22" t="n">
        <f aca="false">MAX(0,MIN(AT54-AU54,$C54-(P54+T54+X54+AB54+AF54+AJ54+AN54+AR54)))</f>
        <v>0</v>
      </c>
      <c r="AW54" s="22" t="n">
        <f aca="false">ROUND(AT54-AU54-AV54,2)</f>
        <v>0</v>
      </c>
      <c r="AX54" s="22" t="n">
        <f aca="false">BA53*(1+M$7)</f>
        <v>0</v>
      </c>
      <c r="AY54" s="22" t="n">
        <f aca="false">MIN(AX54,M$8)</f>
        <v>0</v>
      </c>
      <c r="AZ54" s="22" t="n">
        <f aca="false">MAX(0,MIN(AX54-AY54,$C54-(P54+T54+X54+AB54+AF54+AJ54+AN54+AR54+AV54)))</f>
        <v>0</v>
      </c>
      <c r="BA54" s="22" t="n">
        <f aca="false">ROUND(AX54-AY54-AZ54,2)</f>
        <v>0</v>
      </c>
    </row>
    <row r="55" customFormat="false" ht="15" hidden="false" customHeight="false" outlineLevel="0" collapsed="false">
      <c r="A55" s="0" t="n">
        <v>45</v>
      </c>
      <c r="B55" s="39" t="n">
        <f aca="false">EDATE(Borçlar!$K$7,44)</f>
        <v>47635</v>
      </c>
      <c r="C55" s="36" t="n">
        <f aca="false">MAX(0,Borçlar!$K$8-(O55+S55+W55+AA55+AE55+AI55+AM55+AQ55+AU55+AY55))</f>
        <v>19000</v>
      </c>
      <c r="D55" s="36" t="n">
        <f aca="false">O55+P55+S55+T55+W55+X55+AA55+AB55+AE55+AF55+AI55+AJ55+AM55+AN55+AQ55+AR55+AU55+AV55+AY55+AZ55</f>
        <v>0</v>
      </c>
      <c r="E55" s="36" t="n">
        <f aca="false">(N55+R55+V55+Z55+AD55+AH55+AL55+AP55+AT55+AX55)-(F54)</f>
        <v>0</v>
      </c>
      <c r="F55" s="36" t="n">
        <f aca="false">Q55+U55+Y55+AC55+AG55+AK55+AO55+AS55+AW55+BA55</f>
        <v>0</v>
      </c>
      <c r="N55" s="22" t="n">
        <f aca="false">Q54*(1+D$7)</f>
        <v>0</v>
      </c>
      <c r="O55" s="22" t="n">
        <f aca="false">MIN(N55,D$8)</f>
        <v>0</v>
      </c>
      <c r="P55" s="22" t="n">
        <f aca="false">MAX(0,MIN(N55-O55,$C55-(0)))</f>
        <v>0</v>
      </c>
      <c r="Q55" s="22" t="n">
        <f aca="false">ROUND(N55-O55-P55,2)</f>
        <v>0</v>
      </c>
      <c r="R55" s="22" t="n">
        <f aca="false">U54*(1+E$7)</f>
        <v>0</v>
      </c>
      <c r="S55" s="22" t="n">
        <f aca="false">MIN(R55,E$8)</f>
        <v>0</v>
      </c>
      <c r="T55" s="22" t="n">
        <f aca="false">MAX(0,MIN(R55-S55,$C55-(P55)))</f>
        <v>0</v>
      </c>
      <c r="U55" s="22" t="n">
        <f aca="false">ROUND(R55-S55-T55,2)</f>
        <v>0</v>
      </c>
      <c r="V55" s="22" t="n">
        <f aca="false">Y54*(1+F$7)</f>
        <v>0</v>
      </c>
      <c r="W55" s="22" t="n">
        <f aca="false">MIN(V55,F$8)</f>
        <v>0</v>
      </c>
      <c r="X55" s="22" t="n">
        <f aca="false">MAX(0,MIN(V55-W55,$C55-(P55+T55)))</f>
        <v>0</v>
      </c>
      <c r="Y55" s="22" t="n">
        <f aca="false">ROUND(V55-W55-X55,2)</f>
        <v>0</v>
      </c>
      <c r="Z55" s="22" t="n">
        <f aca="false">AC54*(1+G$7)</f>
        <v>0</v>
      </c>
      <c r="AA55" s="22" t="n">
        <f aca="false">MIN(Z55,G$8)</f>
        <v>0</v>
      </c>
      <c r="AB55" s="22" t="n">
        <f aca="false">MAX(0,MIN(Z55-AA55,$C55-(P55+T55+X55)))</f>
        <v>0</v>
      </c>
      <c r="AC55" s="22" t="n">
        <f aca="false">ROUND(Z55-AA55-AB55,2)</f>
        <v>0</v>
      </c>
      <c r="AD55" s="22" t="n">
        <f aca="false">AG54*(1+H$7)</f>
        <v>0</v>
      </c>
      <c r="AE55" s="22" t="n">
        <f aca="false">MIN(AD55,H$8)</f>
        <v>0</v>
      </c>
      <c r="AF55" s="22" t="n">
        <f aca="false">MAX(0,MIN(AD55-AE55,$C55-(P55+T55+X55+AB55)))</f>
        <v>0</v>
      </c>
      <c r="AG55" s="22" t="n">
        <f aca="false">ROUND(AD55-AE55-AF55,2)</f>
        <v>0</v>
      </c>
      <c r="AH55" s="22" t="n">
        <f aca="false">AK54*(1+I$7)</f>
        <v>0</v>
      </c>
      <c r="AI55" s="22" t="n">
        <f aca="false">MIN(AH55,I$8)</f>
        <v>0</v>
      </c>
      <c r="AJ55" s="22" t="n">
        <f aca="false">MAX(0,MIN(AH55-AI55,$C55-(P55+T55+X55+AB55+AF55)))</f>
        <v>0</v>
      </c>
      <c r="AK55" s="22" t="n">
        <f aca="false">ROUND(AH55-AI55-AJ55,2)</f>
        <v>0</v>
      </c>
      <c r="AL55" s="22" t="n">
        <f aca="false">AO54*(1+J$7)</f>
        <v>0</v>
      </c>
      <c r="AM55" s="22" t="n">
        <f aca="false">MIN(AL55,J$8)</f>
        <v>0</v>
      </c>
      <c r="AN55" s="22" t="n">
        <f aca="false">MAX(0,MIN(AL55-AM55,$C55-(P55+T55+X55+AB55+AF55+AJ55)))</f>
        <v>0</v>
      </c>
      <c r="AO55" s="22" t="n">
        <f aca="false">ROUND(AL55-AM55-AN55,2)</f>
        <v>0</v>
      </c>
      <c r="AP55" s="22" t="n">
        <f aca="false">AS54*(1+K$7)</f>
        <v>0</v>
      </c>
      <c r="AQ55" s="22" t="n">
        <f aca="false">MIN(AP55,K$8)</f>
        <v>0</v>
      </c>
      <c r="AR55" s="22" t="n">
        <f aca="false">MAX(0,MIN(AP55-AQ55,$C55-(P55+T55+X55+AB55+AF55+AJ55+AN55)))</f>
        <v>0</v>
      </c>
      <c r="AS55" s="22" t="n">
        <f aca="false">ROUND(AP55-AQ55-AR55,2)</f>
        <v>0</v>
      </c>
      <c r="AT55" s="22" t="n">
        <f aca="false">AW54*(1+L$7)</f>
        <v>0</v>
      </c>
      <c r="AU55" s="22" t="n">
        <f aca="false">MIN(AT55,L$8)</f>
        <v>0</v>
      </c>
      <c r="AV55" s="22" t="n">
        <f aca="false">MAX(0,MIN(AT55-AU55,$C55-(P55+T55+X55+AB55+AF55+AJ55+AN55+AR55)))</f>
        <v>0</v>
      </c>
      <c r="AW55" s="22" t="n">
        <f aca="false">ROUND(AT55-AU55-AV55,2)</f>
        <v>0</v>
      </c>
      <c r="AX55" s="22" t="n">
        <f aca="false">BA54*(1+M$7)</f>
        <v>0</v>
      </c>
      <c r="AY55" s="22" t="n">
        <f aca="false">MIN(AX55,M$8)</f>
        <v>0</v>
      </c>
      <c r="AZ55" s="22" t="n">
        <f aca="false">MAX(0,MIN(AX55-AY55,$C55-(P55+T55+X55+AB55+AF55+AJ55+AN55+AR55+AV55)))</f>
        <v>0</v>
      </c>
      <c r="BA55" s="22" t="n">
        <f aca="false">ROUND(AX55-AY55-AZ55,2)</f>
        <v>0</v>
      </c>
    </row>
    <row r="56" customFormat="false" ht="15" hidden="false" customHeight="false" outlineLevel="0" collapsed="false">
      <c r="A56" s="0" t="n">
        <v>46</v>
      </c>
      <c r="B56" s="39" t="n">
        <f aca="false">EDATE(Borçlar!$K$7,45)</f>
        <v>47665</v>
      </c>
      <c r="C56" s="36" t="n">
        <f aca="false">MAX(0,Borçlar!$K$8-(O56+S56+W56+AA56+AE56+AI56+AM56+AQ56+AU56+AY56))</f>
        <v>19000</v>
      </c>
      <c r="D56" s="36" t="n">
        <f aca="false">O56+P56+S56+T56+W56+X56+AA56+AB56+AE56+AF56+AI56+AJ56+AM56+AN56+AQ56+AR56+AU56+AV56+AY56+AZ56</f>
        <v>0</v>
      </c>
      <c r="E56" s="36" t="n">
        <f aca="false">(N56+R56+V56+Z56+AD56+AH56+AL56+AP56+AT56+AX56)-(F55)</f>
        <v>0</v>
      </c>
      <c r="F56" s="36" t="n">
        <f aca="false">Q56+U56+Y56+AC56+AG56+AK56+AO56+AS56+AW56+BA56</f>
        <v>0</v>
      </c>
      <c r="N56" s="22" t="n">
        <f aca="false">Q55*(1+D$7)</f>
        <v>0</v>
      </c>
      <c r="O56" s="22" t="n">
        <f aca="false">MIN(N56,D$8)</f>
        <v>0</v>
      </c>
      <c r="P56" s="22" t="n">
        <f aca="false">MAX(0,MIN(N56-O56,$C56-(0)))</f>
        <v>0</v>
      </c>
      <c r="Q56" s="22" t="n">
        <f aca="false">ROUND(N56-O56-P56,2)</f>
        <v>0</v>
      </c>
      <c r="R56" s="22" t="n">
        <f aca="false">U55*(1+E$7)</f>
        <v>0</v>
      </c>
      <c r="S56" s="22" t="n">
        <f aca="false">MIN(R56,E$8)</f>
        <v>0</v>
      </c>
      <c r="T56" s="22" t="n">
        <f aca="false">MAX(0,MIN(R56-S56,$C56-(P56)))</f>
        <v>0</v>
      </c>
      <c r="U56" s="22" t="n">
        <f aca="false">ROUND(R56-S56-T56,2)</f>
        <v>0</v>
      </c>
      <c r="V56" s="22" t="n">
        <f aca="false">Y55*(1+F$7)</f>
        <v>0</v>
      </c>
      <c r="W56" s="22" t="n">
        <f aca="false">MIN(V56,F$8)</f>
        <v>0</v>
      </c>
      <c r="X56" s="22" t="n">
        <f aca="false">MAX(0,MIN(V56-W56,$C56-(P56+T56)))</f>
        <v>0</v>
      </c>
      <c r="Y56" s="22" t="n">
        <f aca="false">ROUND(V56-W56-X56,2)</f>
        <v>0</v>
      </c>
      <c r="Z56" s="22" t="n">
        <f aca="false">AC55*(1+G$7)</f>
        <v>0</v>
      </c>
      <c r="AA56" s="22" t="n">
        <f aca="false">MIN(Z56,G$8)</f>
        <v>0</v>
      </c>
      <c r="AB56" s="22" t="n">
        <f aca="false">MAX(0,MIN(Z56-AA56,$C56-(P56+T56+X56)))</f>
        <v>0</v>
      </c>
      <c r="AC56" s="22" t="n">
        <f aca="false">ROUND(Z56-AA56-AB56,2)</f>
        <v>0</v>
      </c>
      <c r="AD56" s="22" t="n">
        <f aca="false">AG55*(1+H$7)</f>
        <v>0</v>
      </c>
      <c r="AE56" s="22" t="n">
        <f aca="false">MIN(AD56,H$8)</f>
        <v>0</v>
      </c>
      <c r="AF56" s="22" t="n">
        <f aca="false">MAX(0,MIN(AD56-AE56,$C56-(P56+T56+X56+AB56)))</f>
        <v>0</v>
      </c>
      <c r="AG56" s="22" t="n">
        <f aca="false">ROUND(AD56-AE56-AF56,2)</f>
        <v>0</v>
      </c>
      <c r="AH56" s="22" t="n">
        <f aca="false">AK55*(1+I$7)</f>
        <v>0</v>
      </c>
      <c r="AI56" s="22" t="n">
        <f aca="false">MIN(AH56,I$8)</f>
        <v>0</v>
      </c>
      <c r="AJ56" s="22" t="n">
        <f aca="false">MAX(0,MIN(AH56-AI56,$C56-(P56+T56+X56+AB56+AF56)))</f>
        <v>0</v>
      </c>
      <c r="AK56" s="22" t="n">
        <f aca="false">ROUND(AH56-AI56-AJ56,2)</f>
        <v>0</v>
      </c>
      <c r="AL56" s="22" t="n">
        <f aca="false">AO55*(1+J$7)</f>
        <v>0</v>
      </c>
      <c r="AM56" s="22" t="n">
        <f aca="false">MIN(AL56,J$8)</f>
        <v>0</v>
      </c>
      <c r="AN56" s="22" t="n">
        <f aca="false">MAX(0,MIN(AL56-AM56,$C56-(P56+T56+X56+AB56+AF56+AJ56)))</f>
        <v>0</v>
      </c>
      <c r="AO56" s="22" t="n">
        <f aca="false">ROUND(AL56-AM56-AN56,2)</f>
        <v>0</v>
      </c>
      <c r="AP56" s="22" t="n">
        <f aca="false">AS55*(1+K$7)</f>
        <v>0</v>
      </c>
      <c r="AQ56" s="22" t="n">
        <f aca="false">MIN(AP56,K$8)</f>
        <v>0</v>
      </c>
      <c r="AR56" s="22" t="n">
        <f aca="false">MAX(0,MIN(AP56-AQ56,$C56-(P56+T56+X56+AB56+AF56+AJ56+AN56)))</f>
        <v>0</v>
      </c>
      <c r="AS56" s="22" t="n">
        <f aca="false">ROUND(AP56-AQ56-AR56,2)</f>
        <v>0</v>
      </c>
      <c r="AT56" s="22" t="n">
        <f aca="false">AW55*(1+L$7)</f>
        <v>0</v>
      </c>
      <c r="AU56" s="22" t="n">
        <f aca="false">MIN(AT56,L$8)</f>
        <v>0</v>
      </c>
      <c r="AV56" s="22" t="n">
        <f aca="false">MAX(0,MIN(AT56-AU56,$C56-(P56+T56+X56+AB56+AF56+AJ56+AN56+AR56)))</f>
        <v>0</v>
      </c>
      <c r="AW56" s="22" t="n">
        <f aca="false">ROUND(AT56-AU56-AV56,2)</f>
        <v>0</v>
      </c>
      <c r="AX56" s="22" t="n">
        <f aca="false">BA55*(1+M$7)</f>
        <v>0</v>
      </c>
      <c r="AY56" s="22" t="n">
        <f aca="false">MIN(AX56,M$8)</f>
        <v>0</v>
      </c>
      <c r="AZ56" s="22" t="n">
        <f aca="false">MAX(0,MIN(AX56-AY56,$C56-(P56+T56+X56+AB56+AF56+AJ56+AN56+AR56+AV56)))</f>
        <v>0</v>
      </c>
      <c r="BA56" s="22" t="n">
        <f aca="false">ROUND(AX56-AY56-AZ56,2)</f>
        <v>0</v>
      </c>
    </row>
    <row r="57" customFormat="false" ht="15" hidden="false" customHeight="false" outlineLevel="0" collapsed="false">
      <c r="A57" s="0" t="n">
        <v>47</v>
      </c>
      <c r="B57" s="39" t="n">
        <f aca="false">EDATE(Borçlar!$K$7,46)</f>
        <v>47696</v>
      </c>
      <c r="C57" s="36" t="n">
        <f aca="false">MAX(0,Borçlar!$K$8-(O57+S57+W57+AA57+AE57+AI57+AM57+AQ57+AU57+AY57))</f>
        <v>19000</v>
      </c>
      <c r="D57" s="36" t="n">
        <f aca="false">O57+P57+S57+T57+W57+X57+AA57+AB57+AE57+AF57+AI57+AJ57+AM57+AN57+AQ57+AR57+AU57+AV57+AY57+AZ57</f>
        <v>0</v>
      </c>
      <c r="E57" s="36" t="n">
        <f aca="false">(N57+R57+V57+Z57+AD57+AH57+AL57+AP57+AT57+AX57)-(F56)</f>
        <v>0</v>
      </c>
      <c r="F57" s="36" t="n">
        <f aca="false">Q57+U57+Y57+AC57+AG57+AK57+AO57+AS57+AW57+BA57</f>
        <v>0</v>
      </c>
      <c r="N57" s="22" t="n">
        <f aca="false">Q56*(1+D$7)</f>
        <v>0</v>
      </c>
      <c r="O57" s="22" t="n">
        <f aca="false">MIN(N57,D$8)</f>
        <v>0</v>
      </c>
      <c r="P57" s="22" t="n">
        <f aca="false">MAX(0,MIN(N57-O57,$C57-(0)))</f>
        <v>0</v>
      </c>
      <c r="Q57" s="22" t="n">
        <f aca="false">ROUND(N57-O57-P57,2)</f>
        <v>0</v>
      </c>
      <c r="R57" s="22" t="n">
        <f aca="false">U56*(1+E$7)</f>
        <v>0</v>
      </c>
      <c r="S57" s="22" t="n">
        <f aca="false">MIN(R57,E$8)</f>
        <v>0</v>
      </c>
      <c r="T57" s="22" t="n">
        <f aca="false">MAX(0,MIN(R57-S57,$C57-(P57)))</f>
        <v>0</v>
      </c>
      <c r="U57" s="22" t="n">
        <f aca="false">ROUND(R57-S57-T57,2)</f>
        <v>0</v>
      </c>
      <c r="V57" s="22" t="n">
        <f aca="false">Y56*(1+F$7)</f>
        <v>0</v>
      </c>
      <c r="W57" s="22" t="n">
        <f aca="false">MIN(V57,F$8)</f>
        <v>0</v>
      </c>
      <c r="X57" s="22" t="n">
        <f aca="false">MAX(0,MIN(V57-W57,$C57-(P57+T57)))</f>
        <v>0</v>
      </c>
      <c r="Y57" s="22" t="n">
        <f aca="false">ROUND(V57-W57-X57,2)</f>
        <v>0</v>
      </c>
      <c r="Z57" s="22" t="n">
        <f aca="false">AC56*(1+G$7)</f>
        <v>0</v>
      </c>
      <c r="AA57" s="22" t="n">
        <f aca="false">MIN(Z57,G$8)</f>
        <v>0</v>
      </c>
      <c r="AB57" s="22" t="n">
        <f aca="false">MAX(0,MIN(Z57-AA57,$C57-(P57+T57+X57)))</f>
        <v>0</v>
      </c>
      <c r="AC57" s="22" t="n">
        <f aca="false">ROUND(Z57-AA57-AB57,2)</f>
        <v>0</v>
      </c>
      <c r="AD57" s="22" t="n">
        <f aca="false">AG56*(1+H$7)</f>
        <v>0</v>
      </c>
      <c r="AE57" s="22" t="n">
        <f aca="false">MIN(AD57,H$8)</f>
        <v>0</v>
      </c>
      <c r="AF57" s="22" t="n">
        <f aca="false">MAX(0,MIN(AD57-AE57,$C57-(P57+T57+X57+AB57)))</f>
        <v>0</v>
      </c>
      <c r="AG57" s="22" t="n">
        <f aca="false">ROUND(AD57-AE57-AF57,2)</f>
        <v>0</v>
      </c>
      <c r="AH57" s="22" t="n">
        <f aca="false">AK56*(1+I$7)</f>
        <v>0</v>
      </c>
      <c r="AI57" s="22" t="n">
        <f aca="false">MIN(AH57,I$8)</f>
        <v>0</v>
      </c>
      <c r="AJ57" s="22" t="n">
        <f aca="false">MAX(0,MIN(AH57-AI57,$C57-(P57+T57+X57+AB57+AF57)))</f>
        <v>0</v>
      </c>
      <c r="AK57" s="22" t="n">
        <f aca="false">ROUND(AH57-AI57-AJ57,2)</f>
        <v>0</v>
      </c>
      <c r="AL57" s="22" t="n">
        <f aca="false">AO56*(1+J$7)</f>
        <v>0</v>
      </c>
      <c r="AM57" s="22" t="n">
        <f aca="false">MIN(AL57,J$8)</f>
        <v>0</v>
      </c>
      <c r="AN57" s="22" t="n">
        <f aca="false">MAX(0,MIN(AL57-AM57,$C57-(P57+T57+X57+AB57+AF57+AJ57)))</f>
        <v>0</v>
      </c>
      <c r="AO57" s="22" t="n">
        <f aca="false">ROUND(AL57-AM57-AN57,2)</f>
        <v>0</v>
      </c>
      <c r="AP57" s="22" t="n">
        <f aca="false">AS56*(1+K$7)</f>
        <v>0</v>
      </c>
      <c r="AQ57" s="22" t="n">
        <f aca="false">MIN(AP57,K$8)</f>
        <v>0</v>
      </c>
      <c r="AR57" s="22" t="n">
        <f aca="false">MAX(0,MIN(AP57-AQ57,$C57-(P57+T57+X57+AB57+AF57+AJ57+AN57)))</f>
        <v>0</v>
      </c>
      <c r="AS57" s="22" t="n">
        <f aca="false">ROUND(AP57-AQ57-AR57,2)</f>
        <v>0</v>
      </c>
      <c r="AT57" s="22" t="n">
        <f aca="false">AW56*(1+L$7)</f>
        <v>0</v>
      </c>
      <c r="AU57" s="22" t="n">
        <f aca="false">MIN(AT57,L$8)</f>
        <v>0</v>
      </c>
      <c r="AV57" s="22" t="n">
        <f aca="false">MAX(0,MIN(AT57-AU57,$C57-(P57+T57+X57+AB57+AF57+AJ57+AN57+AR57)))</f>
        <v>0</v>
      </c>
      <c r="AW57" s="22" t="n">
        <f aca="false">ROUND(AT57-AU57-AV57,2)</f>
        <v>0</v>
      </c>
      <c r="AX57" s="22" t="n">
        <f aca="false">BA56*(1+M$7)</f>
        <v>0</v>
      </c>
      <c r="AY57" s="22" t="n">
        <f aca="false">MIN(AX57,M$8)</f>
        <v>0</v>
      </c>
      <c r="AZ57" s="22" t="n">
        <f aca="false">MAX(0,MIN(AX57-AY57,$C57-(P57+T57+X57+AB57+AF57+AJ57+AN57+AR57+AV57)))</f>
        <v>0</v>
      </c>
      <c r="BA57" s="22" t="n">
        <f aca="false">ROUND(AX57-AY57-AZ57,2)</f>
        <v>0</v>
      </c>
    </row>
    <row r="58" customFormat="false" ht="15" hidden="false" customHeight="false" outlineLevel="0" collapsed="false">
      <c r="A58" s="0" t="n">
        <v>48</v>
      </c>
      <c r="B58" s="39" t="n">
        <f aca="false">EDATE(Borçlar!$K$7,47)</f>
        <v>47727</v>
      </c>
      <c r="C58" s="36" t="n">
        <f aca="false">MAX(0,Borçlar!$K$8-(O58+S58+W58+AA58+AE58+AI58+AM58+AQ58+AU58+AY58))</f>
        <v>19000</v>
      </c>
      <c r="D58" s="36" t="n">
        <f aca="false">O58+P58+S58+T58+W58+X58+AA58+AB58+AE58+AF58+AI58+AJ58+AM58+AN58+AQ58+AR58+AU58+AV58+AY58+AZ58</f>
        <v>0</v>
      </c>
      <c r="E58" s="36" t="n">
        <f aca="false">(N58+R58+V58+Z58+AD58+AH58+AL58+AP58+AT58+AX58)-(F57)</f>
        <v>0</v>
      </c>
      <c r="F58" s="36" t="n">
        <f aca="false">Q58+U58+Y58+AC58+AG58+AK58+AO58+AS58+AW58+BA58</f>
        <v>0</v>
      </c>
      <c r="N58" s="22" t="n">
        <f aca="false">Q57*(1+D$7)</f>
        <v>0</v>
      </c>
      <c r="O58" s="22" t="n">
        <f aca="false">MIN(N58,D$8)</f>
        <v>0</v>
      </c>
      <c r="P58" s="22" t="n">
        <f aca="false">MAX(0,MIN(N58-O58,$C58-(0)))</f>
        <v>0</v>
      </c>
      <c r="Q58" s="22" t="n">
        <f aca="false">ROUND(N58-O58-P58,2)</f>
        <v>0</v>
      </c>
      <c r="R58" s="22" t="n">
        <f aca="false">U57*(1+E$7)</f>
        <v>0</v>
      </c>
      <c r="S58" s="22" t="n">
        <f aca="false">MIN(R58,E$8)</f>
        <v>0</v>
      </c>
      <c r="T58" s="22" t="n">
        <f aca="false">MAX(0,MIN(R58-S58,$C58-(P58)))</f>
        <v>0</v>
      </c>
      <c r="U58" s="22" t="n">
        <f aca="false">ROUND(R58-S58-T58,2)</f>
        <v>0</v>
      </c>
      <c r="V58" s="22" t="n">
        <f aca="false">Y57*(1+F$7)</f>
        <v>0</v>
      </c>
      <c r="W58" s="22" t="n">
        <f aca="false">MIN(V58,F$8)</f>
        <v>0</v>
      </c>
      <c r="X58" s="22" t="n">
        <f aca="false">MAX(0,MIN(V58-W58,$C58-(P58+T58)))</f>
        <v>0</v>
      </c>
      <c r="Y58" s="22" t="n">
        <f aca="false">ROUND(V58-W58-X58,2)</f>
        <v>0</v>
      </c>
      <c r="Z58" s="22" t="n">
        <f aca="false">AC57*(1+G$7)</f>
        <v>0</v>
      </c>
      <c r="AA58" s="22" t="n">
        <f aca="false">MIN(Z58,G$8)</f>
        <v>0</v>
      </c>
      <c r="AB58" s="22" t="n">
        <f aca="false">MAX(0,MIN(Z58-AA58,$C58-(P58+T58+X58)))</f>
        <v>0</v>
      </c>
      <c r="AC58" s="22" t="n">
        <f aca="false">ROUND(Z58-AA58-AB58,2)</f>
        <v>0</v>
      </c>
      <c r="AD58" s="22" t="n">
        <f aca="false">AG57*(1+H$7)</f>
        <v>0</v>
      </c>
      <c r="AE58" s="22" t="n">
        <f aca="false">MIN(AD58,H$8)</f>
        <v>0</v>
      </c>
      <c r="AF58" s="22" t="n">
        <f aca="false">MAX(0,MIN(AD58-AE58,$C58-(P58+T58+X58+AB58)))</f>
        <v>0</v>
      </c>
      <c r="AG58" s="22" t="n">
        <f aca="false">ROUND(AD58-AE58-AF58,2)</f>
        <v>0</v>
      </c>
      <c r="AH58" s="22" t="n">
        <f aca="false">AK57*(1+I$7)</f>
        <v>0</v>
      </c>
      <c r="AI58" s="22" t="n">
        <f aca="false">MIN(AH58,I$8)</f>
        <v>0</v>
      </c>
      <c r="AJ58" s="22" t="n">
        <f aca="false">MAX(0,MIN(AH58-AI58,$C58-(P58+T58+X58+AB58+AF58)))</f>
        <v>0</v>
      </c>
      <c r="AK58" s="22" t="n">
        <f aca="false">ROUND(AH58-AI58-AJ58,2)</f>
        <v>0</v>
      </c>
      <c r="AL58" s="22" t="n">
        <f aca="false">AO57*(1+J$7)</f>
        <v>0</v>
      </c>
      <c r="AM58" s="22" t="n">
        <f aca="false">MIN(AL58,J$8)</f>
        <v>0</v>
      </c>
      <c r="AN58" s="22" t="n">
        <f aca="false">MAX(0,MIN(AL58-AM58,$C58-(P58+T58+X58+AB58+AF58+AJ58)))</f>
        <v>0</v>
      </c>
      <c r="AO58" s="22" t="n">
        <f aca="false">ROUND(AL58-AM58-AN58,2)</f>
        <v>0</v>
      </c>
      <c r="AP58" s="22" t="n">
        <f aca="false">AS57*(1+K$7)</f>
        <v>0</v>
      </c>
      <c r="AQ58" s="22" t="n">
        <f aca="false">MIN(AP58,K$8)</f>
        <v>0</v>
      </c>
      <c r="AR58" s="22" t="n">
        <f aca="false">MAX(0,MIN(AP58-AQ58,$C58-(P58+T58+X58+AB58+AF58+AJ58+AN58)))</f>
        <v>0</v>
      </c>
      <c r="AS58" s="22" t="n">
        <f aca="false">ROUND(AP58-AQ58-AR58,2)</f>
        <v>0</v>
      </c>
      <c r="AT58" s="22" t="n">
        <f aca="false">AW57*(1+L$7)</f>
        <v>0</v>
      </c>
      <c r="AU58" s="22" t="n">
        <f aca="false">MIN(AT58,L$8)</f>
        <v>0</v>
      </c>
      <c r="AV58" s="22" t="n">
        <f aca="false">MAX(0,MIN(AT58-AU58,$C58-(P58+T58+X58+AB58+AF58+AJ58+AN58+AR58)))</f>
        <v>0</v>
      </c>
      <c r="AW58" s="22" t="n">
        <f aca="false">ROUND(AT58-AU58-AV58,2)</f>
        <v>0</v>
      </c>
      <c r="AX58" s="22" t="n">
        <f aca="false">BA57*(1+M$7)</f>
        <v>0</v>
      </c>
      <c r="AY58" s="22" t="n">
        <f aca="false">MIN(AX58,M$8)</f>
        <v>0</v>
      </c>
      <c r="AZ58" s="22" t="n">
        <f aca="false">MAX(0,MIN(AX58-AY58,$C58-(P58+T58+X58+AB58+AF58+AJ58+AN58+AR58+AV58)))</f>
        <v>0</v>
      </c>
      <c r="BA58" s="22" t="n">
        <f aca="false">ROUND(AX58-AY58-AZ58,2)</f>
        <v>0</v>
      </c>
    </row>
    <row r="59" customFormat="false" ht="15" hidden="false" customHeight="false" outlineLevel="0" collapsed="false">
      <c r="A59" s="0" t="n">
        <v>49</v>
      </c>
      <c r="B59" s="39" t="n">
        <f aca="false">EDATE(Borçlar!$K$7,48)</f>
        <v>47757</v>
      </c>
      <c r="C59" s="36" t="n">
        <f aca="false">MAX(0,Borçlar!$K$8-(O59+S59+W59+AA59+AE59+AI59+AM59+AQ59+AU59+AY59))</f>
        <v>19000</v>
      </c>
      <c r="D59" s="36" t="n">
        <f aca="false">O59+P59+S59+T59+W59+X59+AA59+AB59+AE59+AF59+AI59+AJ59+AM59+AN59+AQ59+AR59+AU59+AV59+AY59+AZ59</f>
        <v>0</v>
      </c>
      <c r="E59" s="36" t="n">
        <f aca="false">(N59+R59+V59+Z59+AD59+AH59+AL59+AP59+AT59+AX59)-(F58)</f>
        <v>0</v>
      </c>
      <c r="F59" s="36" t="n">
        <f aca="false">Q59+U59+Y59+AC59+AG59+AK59+AO59+AS59+AW59+BA59</f>
        <v>0</v>
      </c>
      <c r="N59" s="22" t="n">
        <f aca="false">Q58*(1+D$7)</f>
        <v>0</v>
      </c>
      <c r="O59" s="22" t="n">
        <f aca="false">MIN(N59,D$8)</f>
        <v>0</v>
      </c>
      <c r="P59" s="22" t="n">
        <f aca="false">MAX(0,MIN(N59-O59,$C59-(0)))</f>
        <v>0</v>
      </c>
      <c r="Q59" s="22" t="n">
        <f aca="false">ROUND(N59-O59-P59,2)</f>
        <v>0</v>
      </c>
      <c r="R59" s="22" t="n">
        <f aca="false">U58*(1+E$7)</f>
        <v>0</v>
      </c>
      <c r="S59" s="22" t="n">
        <f aca="false">MIN(R59,E$8)</f>
        <v>0</v>
      </c>
      <c r="T59" s="22" t="n">
        <f aca="false">MAX(0,MIN(R59-S59,$C59-(P59)))</f>
        <v>0</v>
      </c>
      <c r="U59" s="22" t="n">
        <f aca="false">ROUND(R59-S59-T59,2)</f>
        <v>0</v>
      </c>
      <c r="V59" s="22" t="n">
        <f aca="false">Y58*(1+F$7)</f>
        <v>0</v>
      </c>
      <c r="W59" s="22" t="n">
        <f aca="false">MIN(V59,F$8)</f>
        <v>0</v>
      </c>
      <c r="X59" s="22" t="n">
        <f aca="false">MAX(0,MIN(V59-W59,$C59-(P59+T59)))</f>
        <v>0</v>
      </c>
      <c r="Y59" s="22" t="n">
        <f aca="false">ROUND(V59-W59-X59,2)</f>
        <v>0</v>
      </c>
      <c r="Z59" s="22" t="n">
        <f aca="false">AC58*(1+G$7)</f>
        <v>0</v>
      </c>
      <c r="AA59" s="22" t="n">
        <f aca="false">MIN(Z59,G$8)</f>
        <v>0</v>
      </c>
      <c r="AB59" s="22" t="n">
        <f aca="false">MAX(0,MIN(Z59-AA59,$C59-(P59+T59+X59)))</f>
        <v>0</v>
      </c>
      <c r="AC59" s="22" t="n">
        <f aca="false">ROUND(Z59-AA59-AB59,2)</f>
        <v>0</v>
      </c>
      <c r="AD59" s="22" t="n">
        <f aca="false">AG58*(1+H$7)</f>
        <v>0</v>
      </c>
      <c r="AE59" s="22" t="n">
        <f aca="false">MIN(AD59,H$8)</f>
        <v>0</v>
      </c>
      <c r="AF59" s="22" t="n">
        <f aca="false">MAX(0,MIN(AD59-AE59,$C59-(P59+T59+X59+AB59)))</f>
        <v>0</v>
      </c>
      <c r="AG59" s="22" t="n">
        <f aca="false">ROUND(AD59-AE59-AF59,2)</f>
        <v>0</v>
      </c>
      <c r="AH59" s="22" t="n">
        <f aca="false">AK58*(1+I$7)</f>
        <v>0</v>
      </c>
      <c r="AI59" s="22" t="n">
        <f aca="false">MIN(AH59,I$8)</f>
        <v>0</v>
      </c>
      <c r="AJ59" s="22" t="n">
        <f aca="false">MAX(0,MIN(AH59-AI59,$C59-(P59+T59+X59+AB59+AF59)))</f>
        <v>0</v>
      </c>
      <c r="AK59" s="22" t="n">
        <f aca="false">ROUND(AH59-AI59-AJ59,2)</f>
        <v>0</v>
      </c>
      <c r="AL59" s="22" t="n">
        <f aca="false">AO58*(1+J$7)</f>
        <v>0</v>
      </c>
      <c r="AM59" s="22" t="n">
        <f aca="false">MIN(AL59,J$8)</f>
        <v>0</v>
      </c>
      <c r="AN59" s="22" t="n">
        <f aca="false">MAX(0,MIN(AL59-AM59,$C59-(P59+T59+X59+AB59+AF59+AJ59)))</f>
        <v>0</v>
      </c>
      <c r="AO59" s="22" t="n">
        <f aca="false">ROUND(AL59-AM59-AN59,2)</f>
        <v>0</v>
      </c>
      <c r="AP59" s="22" t="n">
        <f aca="false">AS58*(1+K$7)</f>
        <v>0</v>
      </c>
      <c r="AQ59" s="22" t="n">
        <f aca="false">MIN(AP59,K$8)</f>
        <v>0</v>
      </c>
      <c r="AR59" s="22" t="n">
        <f aca="false">MAX(0,MIN(AP59-AQ59,$C59-(P59+T59+X59+AB59+AF59+AJ59+AN59)))</f>
        <v>0</v>
      </c>
      <c r="AS59" s="22" t="n">
        <f aca="false">ROUND(AP59-AQ59-AR59,2)</f>
        <v>0</v>
      </c>
      <c r="AT59" s="22" t="n">
        <f aca="false">AW58*(1+L$7)</f>
        <v>0</v>
      </c>
      <c r="AU59" s="22" t="n">
        <f aca="false">MIN(AT59,L$8)</f>
        <v>0</v>
      </c>
      <c r="AV59" s="22" t="n">
        <f aca="false">MAX(0,MIN(AT59-AU59,$C59-(P59+T59+X59+AB59+AF59+AJ59+AN59+AR59)))</f>
        <v>0</v>
      </c>
      <c r="AW59" s="22" t="n">
        <f aca="false">ROUND(AT59-AU59-AV59,2)</f>
        <v>0</v>
      </c>
      <c r="AX59" s="22" t="n">
        <f aca="false">BA58*(1+M$7)</f>
        <v>0</v>
      </c>
      <c r="AY59" s="22" t="n">
        <f aca="false">MIN(AX59,M$8)</f>
        <v>0</v>
      </c>
      <c r="AZ59" s="22" t="n">
        <f aca="false">MAX(0,MIN(AX59-AY59,$C59-(P59+T59+X59+AB59+AF59+AJ59+AN59+AR59+AV59)))</f>
        <v>0</v>
      </c>
      <c r="BA59" s="22" t="n">
        <f aca="false">ROUND(AX59-AY59-AZ59,2)</f>
        <v>0</v>
      </c>
    </row>
    <row r="60" customFormat="false" ht="15" hidden="false" customHeight="false" outlineLevel="0" collapsed="false">
      <c r="A60" s="0" t="n">
        <v>50</v>
      </c>
      <c r="B60" s="39" t="n">
        <f aca="false">EDATE(Borçlar!$K$7,49)</f>
        <v>47788</v>
      </c>
      <c r="C60" s="36" t="n">
        <f aca="false">MAX(0,Borçlar!$K$8-(O60+S60+W60+AA60+AE60+AI60+AM60+AQ60+AU60+AY60))</f>
        <v>19000</v>
      </c>
      <c r="D60" s="36" t="n">
        <f aca="false">O60+P60+S60+T60+W60+X60+AA60+AB60+AE60+AF60+AI60+AJ60+AM60+AN60+AQ60+AR60+AU60+AV60+AY60+AZ60</f>
        <v>0</v>
      </c>
      <c r="E60" s="36" t="n">
        <f aca="false">(N60+R60+V60+Z60+AD60+AH60+AL60+AP60+AT60+AX60)-(F59)</f>
        <v>0</v>
      </c>
      <c r="F60" s="36" t="n">
        <f aca="false">Q60+U60+Y60+AC60+AG60+AK60+AO60+AS60+AW60+BA60</f>
        <v>0</v>
      </c>
      <c r="N60" s="22" t="n">
        <f aca="false">Q59*(1+D$7)</f>
        <v>0</v>
      </c>
      <c r="O60" s="22" t="n">
        <f aca="false">MIN(N60,D$8)</f>
        <v>0</v>
      </c>
      <c r="P60" s="22" t="n">
        <f aca="false">MAX(0,MIN(N60-O60,$C60-(0)))</f>
        <v>0</v>
      </c>
      <c r="Q60" s="22" t="n">
        <f aca="false">ROUND(N60-O60-P60,2)</f>
        <v>0</v>
      </c>
      <c r="R60" s="22" t="n">
        <f aca="false">U59*(1+E$7)</f>
        <v>0</v>
      </c>
      <c r="S60" s="22" t="n">
        <f aca="false">MIN(R60,E$8)</f>
        <v>0</v>
      </c>
      <c r="T60" s="22" t="n">
        <f aca="false">MAX(0,MIN(R60-S60,$C60-(P60)))</f>
        <v>0</v>
      </c>
      <c r="U60" s="22" t="n">
        <f aca="false">ROUND(R60-S60-T60,2)</f>
        <v>0</v>
      </c>
      <c r="V60" s="22" t="n">
        <f aca="false">Y59*(1+F$7)</f>
        <v>0</v>
      </c>
      <c r="W60" s="22" t="n">
        <f aca="false">MIN(V60,F$8)</f>
        <v>0</v>
      </c>
      <c r="X60" s="22" t="n">
        <f aca="false">MAX(0,MIN(V60-W60,$C60-(P60+T60)))</f>
        <v>0</v>
      </c>
      <c r="Y60" s="22" t="n">
        <f aca="false">ROUND(V60-W60-X60,2)</f>
        <v>0</v>
      </c>
      <c r="Z60" s="22" t="n">
        <f aca="false">AC59*(1+G$7)</f>
        <v>0</v>
      </c>
      <c r="AA60" s="22" t="n">
        <f aca="false">MIN(Z60,G$8)</f>
        <v>0</v>
      </c>
      <c r="AB60" s="22" t="n">
        <f aca="false">MAX(0,MIN(Z60-AA60,$C60-(P60+T60+X60)))</f>
        <v>0</v>
      </c>
      <c r="AC60" s="22" t="n">
        <f aca="false">ROUND(Z60-AA60-AB60,2)</f>
        <v>0</v>
      </c>
      <c r="AD60" s="22" t="n">
        <f aca="false">AG59*(1+H$7)</f>
        <v>0</v>
      </c>
      <c r="AE60" s="22" t="n">
        <f aca="false">MIN(AD60,H$8)</f>
        <v>0</v>
      </c>
      <c r="AF60" s="22" t="n">
        <f aca="false">MAX(0,MIN(AD60-AE60,$C60-(P60+T60+X60+AB60)))</f>
        <v>0</v>
      </c>
      <c r="AG60" s="22" t="n">
        <f aca="false">ROUND(AD60-AE60-AF60,2)</f>
        <v>0</v>
      </c>
      <c r="AH60" s="22" t="n">
        <f aca="false">AK59*(1+I$7)</f>
        <v>0</v>
      </c>
      <c r="AI60" s="22" t="n">
        <f aca="false">MIN(AH60,I$8)</f>
        <v>0</v>
      </c>
      <c r="AJ60" s="22" t="n">
        <f aca="false">MAX(0,MIN(AH60-AI60,$C60-(P60+T60+X60+AB60+AF60)))</f>
        <v>0</v>
      </c>
      <c r="AK60" s="22" t="n">
        <f aca="false">ROUND(AH60-AI60-AJ60,2)</f>
        <v>0</v>
      </c>
      <c r="AL60" s="22" t="n">
        <f aca="false">AO59*(1+J$7)</f>
        <v>0</v>
      </c>
      <c r="AM60" s="22" t="n">
        <f aca="false">MIN(AL60,J$8)</f>
        <v>0</v>
      </c>
      <c r="AN60" s="22" t="n">
        <f aca="false">MAX(0,MIN(AL60-AM60,$C60-(P60+T60+X60+AB60+AF60+AJ60)))</f>
        <v>0</v>
      </c>
      <c r="AO60" s="22" t="n">
        <f aca="false">ROUND(AL60-AM60-AN60,2)</f>
        <v>0</v>
      </c>
      <c r="AP60" s="22" t="n">
        <f aca="false">AS59*(1+K$7)</f>
        <v>0</v>
      </c>
      <c r="AQ60" s="22" t="n">
        <f aca="false">MIN(AP60,K$8)</f>
        <v>0</v>
      </c>
      <c r="AR60" s="22" t="n">
        <f aca="false">MAX(0,MIN(AP60-AQ60,$C60-(P60+T60+X60+AB60+AF60+AJ60+AN60)))</f>
        <v>0</v>
      </c>
      <c r="AS60" s="22" t="n">
        <f aca="false">ROUND(AP60-AQ60-AR60,2)</f>
        <v>0</v>
      </c>
      <c r="AT60" s="22" t="n">
        <f aca="false">AW59*(1+L$7)</f>
        <v>0</v>
      </c>
      <c r="AU60" s="22" t="n">
        <f aca="false">MIN(AT60,L$8)</f>
        <v>0</v>
      </c>
      <c r="AV60" s="22" t="n">
        <f aca="false">MAX(0,MIN(AT60-AU60,$C60-(P60+T60+X60+AB60+AF60+AJ60+AN60+AR60)))</f>
        <v>0</v>
      </c>
      <c r="AW60" s="22" t="n">
        <f aca="false">ROUND(AT60-AU60-AV60,2)</f>
        <v>0</v>
      </c>
      <c r="AX60" s="22" t="n">
        <f aca="false">BA59*(1+M$7)</f>
        <v>0</v>
      </c>
      <c r="AY60" s="22" t="n">
        <f aca="false">MIN(AX60,M$8)</f>
        <v>0</v>
      </c>
      <c r="AZ60" s="22" t="n">
        <f aca="false">MAX(0,MIN(AX60-AY60,$C60-(P60+T60+X60+AB60+AF60+AJ60+AN60+AR60+AV60)))</f>
        <v>0</v>
      </c>
      <c r="BA60" s="22" t="n">
        <f aca="false">ROUND(AX60-AY60-AZ60,2)</f>
        <v>0</v>
      </c>
    </row>
    <row r="61" customFormat="false" ht="15" hidden="false" customHeight="false" outlineLevel="0" collapsed="false">
      <c r="A61" s="0" t="n">
        <v>51</v>
      </c>
      <c r="B61" s="39" t="n">
        <f aca="false">EDATE(Borçlar!$K$7,50)</f>
        <v>47818</v>
      </c>
      <c r="C61" s="36" t="n">
        <f aca="false">MAX(0,Borçlar!$K$8-(O61+S61+W61+AA61+AE61+AI61+AM61+AQ61+AU61+AY61))</f>
        <v>19000</v>
      </c>
      <c r="D61" s="36" t="n">
        <f aca="false">O61+P61+S61+T61+W61+X61+AA61+AB61+AE61+AF61+AI61+AJ61+AM61+AN61+AQ61+AR61+AU61+AV61+AY61+AZ61</f>
        <v>0</v>
      </c>
      <c r="E61" s="36" t="n">
        <f aca="false">(N61+R61+V61+Z61+AD61+AH61+AL61+AP61+AT61+AX61)-(F60)</f>
        <v>0</v>
      </c>
      <c r="F61" s="36" t="n">
        <f aca="false">Q61+U61+Y61+AC61+AG61+AK61+AO61+AS61+AW61+BA61</f>
        <v>0</v>
      </c>
      <c r="N61" s="22" t="n">
        <f aca="false">Q60*(1+D$7)</f>
        <v>0</v>
      </c>
      <c r="O61" s="22" t="n">
        <f aca="false">MIN(N61,D$8)</f>
        <v>0</v>
      </c>
      <c r="P61" s="22" t="n">
        <f aca="false">MAX(0,MIN(N61-O61,$C61-(0)))</f>
        <v>0</v>
      </c>
      <c r="Q61" s="22" t="n">
        <f aca="false">ROUND(N61-O61-P61,2)</f>
        <v>0</v>
      </c>
      <c r="R61" s="22" t="n">
        <f aca="false">U60*(1+E$7)</f>
        <v>0</v>
      </c>
      <c r="S61" s="22" t="n">
        <f aca="false">MIN(R61,E$8)</f>
        <v>0</v>
      </c>
      <c r="T61" s="22" t="n">
        <f aca="false">MAX(0,MIN(R61-S61,$C61-(P61)))</f>
        <v>0</v>
      </c>
      <c r="U61" s="22" t="n">
        <f aca="false">ROUND(R61-S61-T61,2)</f>
        <v>0</v>
      </c>
      <c r="V61" s="22" t="n">
        <f aca="false">Y60*(1+F$7)</f>
        <v>0</v>
      </c>
      <c r="W61" s="22" t="n">
        <f aca="false">MIN(V61,F$8)</f>
        <v>0</v>
      </c>
      <c r="X61" s="22" t="n">
        <f aca="false">MAX(0,MIN(V61-W61,$C61-(P61+T61)))</f>
        <v>0</v>
      </c>
      <c r="Y61" s="22" t="n">
        <f aca="false">ROUND(V61-W61-X61,2)</f>
        <v>0</v>
      </c>
      <c r="Z61" s="22" t="n">
        <f aca="false">AC60*(1+G$7)</f>
        <v>0</v>
      </c>
      <c r="AA61" s="22" t="n">
        <f aca="false">MIN(Z61,G$8)</f>
        <v>0</v>
      </c>
      <c r="AB61" s="22" t="n">
        <f aca="false">MAX(0,MIN(Z61-AA61,$C61-(P61+T61+X61)))</f>
        <v>0</v>
      </c>
      <c r="AC61" s="22" t="n">
        <f aca="false">ROUND(Z61-AA61-AB61,2)</f>
        <v>0</v>
      </c>
      <c r="AD61" s="22" t="n">
        <f aca="false">AG60*(1+H$7)</f>
        <v>0</v>
      </c>
      <c r="AE61" s="22" t="n">
        <f aca="false">MIN(AD61,H$8)</f>
        <v>0</v>
      </c>
      <c r="AF61" s="22" t="n">
        <f aca="false">MAX(0,MIN(AD61-AE61,$C61-(P61+T61+X61+AB61)))</f>
        <v>0</v>
      </c>
      <c r="AG61" s="22" t="n">
        <f aca="false">ROUND(AD61-AE61-AF61,2)</f>
        <v>0</v>
      </c>
      <c r="AH61" s="22" t="n">
        <f aca="false">AK60*(1+I$7)</f>
        <v>0</v>
      </c>
      <c r="AI61" s="22" t="n">
        <f aca="false">MIN(AH61,I$8)</f>
        <v>0</v>
      </c>
      <c r="AJ61" s="22" t="n">
        <f aca="false">MAX(0,MIN(AH61-AI61,$C61-(P61+T61+X61+AB61+AF61)))</f>
        <v>0</v>
      </c>
      <c r="AK61" s="22" t="n">
        <f aca="false">ROUND(AH61-AI61-AJ61,2)</f>
        <v>0</v>
      </c>
      <c r="AL61" s="22" t="n">
        <f aca="false">AO60*(1+J$7)</f>
        <v>0</v>
      </c>
      <c r="AM61" s="22" t="n">
        <f aca="false">MIN(AL61,J$8)</f>
        <v>0</v>
      </c>
      <c r="AN61" s="22" t="n">
        <f aca="false">MAX(0,MIN(AL61-AM61,$C61-(P61+T61+X61+AB61+AF61+AJ61)))</f>
        <v>0</v>
      </c>
      <c r="AO61" s="22" t="n">
        <f aca="false">ROUND(AL61-AM61-AN61,2)</f>
        <v>0</v>
      </c>
      <c r="AP61" s="22" t="n">
        <f aca="false">AS60*(1+K$7)</f>
        <v>0</v>
      </c>
      <c r="AQ61" s="22" t="n">
        <f aca="false">MIN(AP61,K$8)</f>
        <v>0</v>
      </c>
      <c r="AR61" s="22" t="n">
        <f aca="false">MAX(0,MIN(AP61-AQ61,$C61-(P61+T61+X61+AB61+AF61+AJ61+AN61)))</f>
        <v>0</v>
      </c>
      <c r="AS61" s="22" t="n">
        <f aca="false">ROUND(AP61-AQ61-AR61,2)</f>
        <v>0</v>
      </c>
      <c r="AT61" s="22" t="n">
        <f aca="false">AW60*(1+L$7)</f>
        <v>0</v>
      </c>
      <c r="AU61" s="22" t="n">
        <f aca="false">MIN(AT61,L$8)</f>
        <v>0</v>
      </c>
      <c r="AV61" s="22" t="n">
        <f aca="false">MAX(0,MIN(AT61-AU61,$C61-(P61+T61+X61+AB61+AF61+AJ61+AN61+AR61)))</f>
        <v>0</v>
      </c>
      <c r="AW61" s="22" t="n">
        <f aca="false">ROUND(AT61-AU61-AV61,2)</f>
        <v>0</v>
      </c>
      <c r="AX61" s="22" t="n">
        <f aca="false">BA60*(1+M$7)</f>
        <v>0</v>
      </c>
      <c r="AY61" s="22" t="n">
        <f aca="false">MIN(AX61,M$8)</f>
        <v>0</v>
      </c>
      <c r="AZ61" s="22" t="n">
        <f aca="false">MAX(0,MIN(AX61-AY61,$C61-(P61+T61+X61+AB61+AF61+AJ61+AN61+AR61+AV61)))</f>
        <v>0</v>
      </c>
      <c r="BA61" s="22" t="n">
        <f aca="false">ROUND(AX61-AY61-AZ61,2)</f>
        <v>0</v>
      </c>
    </row>
    <row r="62" customFormat="false" ht="15" hidden="false" customHeight="false" outlineLevel="0" collapsed="false">
      <c r="A62" s="0" t="n">
        <v>52</v>
      </c>
      <c r="B62" s="39" t="n">
        <f aca="false">EDATE(Borçlar!$K$7,51)</f>
        <v>47849</v>
      </c>
      <c r="C62" s="36" t="n">
        <f aca="false">MAX(0,Borçlar!$K$8-(O62+S62+W62+AA62+AE62+AI62+AM62+AQ62+AU62+AY62))</f>
        <v>19000</v>
      </c>
      <c r="D62" s="36" t="n">
        <f aca="false">O62+P62+S62+T62+W62+X62+AA62+AB62+AE62+AF62+AI62+AJ62+AM62+AN62+AQ62+AR62+AU62+AV62+AY62+AZ62</f>
        <v>0</v>
      </c>
      <c r="E62" s="36" t="n">
        <f aca="false">(N62+R62+V62+Z62+AD62+AH62+AL62+AP62+AT62+AX62)-(F61)</f>
        <v>0</v>
      </c>
      <c r="F62" s="36" t="n">
        <f aca="false">Q62+U62+Y62+AC62+AG62+AK62+AO62+AS62+AW62+BA62</f>
        <v>0</v>
      </c>
      <c r="N62" s="22" t="n">
        <f aca="false">Q61*(1+D$7)</f>
        <v>0</v>
      </c>
      <c r="O62" s="22" t="n">
        <f aca="false">MIN(N62,D$8)</f>
        <v>0</v>
      </c>
      <c r="P62" s="22" t="n">
        <f aca="false">MAX(0,MIN(N62-O62,$C62-(0)))</f>
        <v>0</v>
      </c>
      <c r="Q62" s="22" t="n">
        <f aca="false">ROUND(N62-O62-P62,2)</f>
        <v>0</v>
      </c>
      <c r="R62" s="22" t="n">
        <f aca="false">U61*(1+E$7)</f>
        <v>0</v>
      </c>
      <c r="S62" s="22" t="n">
        <f aca="false">MIN(R62,E$8)</f>
        <v>0</v>
      </c>
      <c r="T62" s="22" t="n">
        <f aca="false">MAX(0,MIN(R62-S62,$C62-(P62)))</f>
        <v>0</v>
      </c>
      <c r="U62" s="22" t="n">
        <f aca="false">ROUND(R62-S62-T62,2)</f>
        <v>0</v>
      </c>
      <c r="V62" s="22" t="n">
        <f aca="false">Y61*(1+F$7)</f>
        <v>0</v>
      </c>
      <c r="W62" s="22" t="n">
        <f aca="false">MIN(V62,F$8)</f>
        <v>0</v>
      </c>
      <c r="X62" s="22" t="n">
        <f aca="false">MAX(0,MIN(V62-W62,$C62-(P62+T62)))</f>
        <v>0</v>
      </c>
      <c r="Y62" s="22" t="n">
        <f aca="false">ROUND(V62-W62-X62,2)</f>
        <v>0</v>
      </c>
      <c r="Z62" s="22" t="n">
        <f aca="false">AC61*(1+G$7)</f>
        <v>0</v>
      </c>
      <c r="AA62" s="22" t="n">
        <f aca="false">MIN(Z62,G$8)</f>
        <v>0</v>
      </c>
      <c r="AB62" s="22" t="n">
        <f aca="false">MAX(0,MIN(Z62-AA62,$C62-(P62+T62+X62)))</f>
        <v>0</v>
      </c>
      <c r="AC62" s="22" t="n">
        <f aca="false">ROUND(Z62-AA62-AB62,2)</f>
        <v>0</v>
      </c>
      <c r="AD62" s="22" t="n">
        <f aca="false">AG61*(1+H$7)</f>
        <v>0</v>
      </c>
      <c r="AE62" s="22" t="n">
        <f aca="false">MIN(AD62,H$8)</f>
        <v>0</v>
      </c>
      <c r="AF62" s="22" t="n">
        <f aca="false">MAX(0,MIN(AD62-AE62,$C62-(P62+T62+X62+AB62)))</f>
        <v>0</v>
      </c>
      <c r="AG62" s="22" t="n">
        <f aca="false">ROUND(AD62-AE62-AF62,2)</f>
        <v>0</v>
      </c>
      <c r="AH62" s="22" t="n">
        <f aca="false">AK61*(1+I$7)</f>
        <v>0</v>
      </c>
      <c r="AI62" s="22" t="n">
        <f aca="false">MIN(AH62,I$8)</f>
        <v>0</v>
      </c>
      <c r="AJ62" s="22" t="n">
        <f aca="false">MAX(0,MIN(AH62-AI62,$C62-(P62+T62+X62+AB62+AF62)))</f>
        <v>0</v>
      </c>
      <c r="AK62" s="22" t="n">
        <f aca="false">ROUND(AH62-AI62-AJ62,2)</f>
        <v>0</v>
      </c>
      <c r="AL62" s="22" t="n">
        <f aca="false">AO61*(1+J$7)</f>
        <v>0</v>
      </c>
      <c r="AM62" s="22" t="n">
        <f aca="false">MIN(AL62,J$8)</f>
        <v>0</v>
      </c>
      <c r="AN62" s="22" t="n">
        <f aca="false">MAX(0,MIN(AL62-AM62,$C62-(P62+T62+X62+AB62+AF62+AJ62)))</f>
        <v>0</v>
      </c>
      <c r="AO62" s="22" t="n">
        <f aca="false">ROUND(AL62-AM62-AN62,2)</f>
        <v>0</v>
      </c>
      <c r="AP62" s="22" t="n">
        <f aca="false">AS61*(1+K$7)</f>
        <v>0</v>
      </c>
      <c r="AQ62" s="22" t="n">
        <f aca="false">MIN(AP62,K$8)</f>
        <v>0</v>
      </c>
      <c r="AR62" s="22" t="n">
        <f aca="false">MAX(0,MIN(AP62-AQ62,$C62-(P62+T62+X62+AB62+AF62+AJ62+AN62)))</f>
        <v>0</v>
      </c>
      <c r="AS62" s="22" t="n">
        <f aca="false">ROUND(AP62-AQ62-AR62,2)</f>
        <v>0</v>
      </c>
      <c r="AT62" s="22" t="n">
        <f aca="false">AW61*(1+L$7)</f>
        <v>0</v>
      </c>
      <c r="AU62" s="22" t="n">
        <f aca="false">MIN(AT62,L$8)</f>
        <v>0</v>
      </c>
      <c r="AV62" s="22" t="n">
        <f aca="false">MAX(0,MIN(AT62-AU62,$C62-(P62+T62+X62+AB62+AF62+AJ62+AN62+AR62)))</f>
        <v>0</v>
      </c>
      <c r="AW62" s="22" t="n">
        <f aca="false">ROUND(AT62-AU62-AV62,2)</f>
        <v>0</v>
      </c>
      <c r="AX62" s="22" t="n">
        <f aca="false">BA61*(1+M$7)</f>
        <v>0</v>
      </c>
      <c r="AY62" s="22" t="n">
        <f aca="false">MIN(AX62,M$8)</f>
        <v>0</v>
      </c>
      <c r="AZ62" s="22" t="n">
        <f aca="false">MAX(0,MIN(AX62-AY62,$C62-(P62+T62+X62+AB62+AF62+AJ62+AN62+AR62+AV62)))</f>
        <v>0</v>
      </c>
      <c r="BA62" s="22" t="n">
        <f aca="false">ROUND(AX62-AY62-AZ62,2)</f>
        <v>0</v>
      </c>
    </row>
    <row r="63" customFormat="false" ht="15" hidden="false" customHeight="false" outlineLevel="0" collapsed="false">
      <c r="A63" s="0" t="n">
        <v>53</v>
      </c>
      <c r="B63" s="39" t="n">
        <f aca="false">EDATE(Borçlar!$K$7,52)</f>
        <v>47880</v>
      </c>
      <c r="C63" s="36" t="n">
        <f aca="false">MAX(0,Borçlar!$K$8-(O63+S63+W63+AA63+AE63+AI63+AM63+AQ63+AU63+AY63))</f>
        <v>19000</v>
      </c>
      <c r="D63" s="36" t="n">
        <f aca="false">O63+P63+S63+T63+W63+X63+AA63+AB63+AE63+AF63+AI63+AJ63+AM63+AN63+AQ63+AR63+AU63+AV63+AY63+AZ63</f>
        <v>0</v>
      </c>
      <c r="E63" s="36" t="n">
        <f aca="false">(N63+R63+V63+Z63+AD63+AH63+AL63+AP63+AT63+AX63)-(F62)</f>
        <v>0</v>
      </c>
      <c r="F63" s="36" t="n">
        <f aca="false">Q63+U63+Y63+AC63+AG63+AK63+AO63+AS63+AW63+BA63</f>
        <v>0</v>
      </c>
      <c r="N63" s="22" t="n">
        <f aca="false">Q62*(1+D$7)</f>
        <v>0</v>
      </c>
      <c r="O63" s="22" t="n">
        <f aca="false">MIN(N63,D$8)</f>
        <v>0</v>
      </c>
      <c r="P63" s="22" t="n">
        <f aca="false">MAX(0,MIN(N63-O63,$C63-(0)))</f>
        <v>0</v>
      </c>
      <c r="Q63" s="22" t="n">
        <f aca="false">ROUND(N63-O63-P63,2)</f>
        <v>0</v>
      </c>
      <c r="R63" s="22" t="n">
        <f aca="false">U62*(1+E$7)</f>
        <v>0</v>
      </c>
      <c r="S63" s="22" t="n">
        <f aca="false">MIN(R63,E$8)</f>
        <v>0</v>
      </c>
      <c r="T63" s="22" t="n">
        <f aca="false">MAX(0,MIN(R63-S63,$C63-(P63)))</f>
        <v>0</v>
      </c>
      <c r="U63" s="22" t="n">
        <f aca="false">ROUND(R63-S63-T63,2)</f>
        <v>0</v>
      </c>
      <c r="V63" s="22" t="n">
        <f aca="false">Y62*(1+F$7)</f>
        <v>0</v>
      </c>
      <c r="W63" s="22" t="n">
        <f aca="false">MIN(V63,F$8)</f>
        <v>0</v>
      </c>
      <c r="X63" s="22" t="n">
        <f aca="false">MAX(0,MIN(V63-W63,$C63-(P63+T63)))</f>
        <v>0</v>
      </c>
      <c r="Y63" s="22" t="n">
        <f aca="false">ROUND(V63-W63-X63,2)</f>
        <v>0</v>
      </c>
      <c r="Z63" s="22" t="n">
        <f aca="false">AC62*(1+G$7)</f>
        <v>0</v>
      </c>
      <c r="AA63" s="22" t="n">
        <f aca="false">MIN(Z63,G$8)</f>
        <v>0</v>
      </c>
      <c r="AB63" s="22" t="n">
        <f aca="false">MAX(0,MIN(Z63-AA63,$C63-(P63+T63+X63)))</f>
        <v>0</v>
      </c>
      <c r="AC63" s="22" t="n">
        <f aca="false">ROUND(Z63-AA63-AB63,2)</f>
        <v>0</v>
      </c>
      <c r="AD63" s="22" t="n">
        <f aca="false">AG62*(1+H$7)</f>
        <v>0</v>
      </c>
      <c r="AE63" s="22" t="n">
        <f aca="false">MIN(AD63,H$8)</f>
        <v>0</v>
      </c>
      <c r="AF63" s="22" t="n">
        <f aca="false">MAX(0,MIN(AD63-AE63,$C63-(P63+T63+X63+AB63)))</f>
        <v>0</v>
      </c>
      <c r="AG63" s="22" t="n">
        <f aca="false">ROUND(AD63-AE63-AF63,2)</f>
        <v>0</v>
      </c>
      <c r="AH63" s="22" t="n">
        <f aca="false">AK62*(1+I$7)</f>
        <v>0</v>
      </c>
      <c r="AI63" s="22" t="n">
        <f aca="false">MIN(AH63,I$8)</f>
        <v>0</v>
      </c>
      <c r="AJ63" s="22" t="n">
        <f aca="false">MAX(0,MIN(AH63-AI63,$C63-(P63+T63+X63+AB63+AF63)))</f>
        <v>0</v>
      </c>
      <c r="AK63" s="22" t="n">
        <f aca="false">ROUND(AH63-AI63-AJ63,2)</f>
        <v>0</v>
      </c>
      <c r="AL63" s="22" t="n">
        <f aca="false">AO62*(1+J$7)</f>
        <v>0</v>
      </c>
      <c r="AM63" s="22" t="n">
        <f aca="false">MIN(AL63,J$8)</f>
        <v>0</v>
      </c>
      <c r="AN63" s="22" t="n">
        <f aca="false">MAX(0,MIN(AL63-AM63,$C63-(P63+T63+X63+AB63+AF63+AJ63)))</f>
        <v>0</v>
      </c>
      <c r="AO63" s="22" t="n">
        <f aca="false">ROUND(AL63-AM63-AN63,2)</f>
        <v>0</v>
      </c>
      <c r="AP63" s="22" t="n">
        <f aca="false">AS62*(1+K$7)</f>
        <v>0</v>
      </c>
      <c r="AQ63" s="22" t="n">
        <f aca="false">MIN(AP63,K$8)</f>
        <v>0</v>
      </c>
      <c r="AR63" s="22" t="n">
        <f aca="false">MAX(0,MIN(AP63-AQ63,$C63-(P63+T63+X63+AB63+AF63+AJ63+AN63)))</f>
        <v>0</v>
      </c>
      <c r="AS63" s="22" t="n">
        <f aca="false">ROUND(AP63-AQ63-AR63,2)</f>
        <v>0</v>
      </c>
      <c r="AT63" s="22" t="n">
        <f aca="false">AW62*(1+L$7)</f>
        <v>0</v>
      </c>
      <c r="AU63" s="22" t="n">
        <f aca="false">MIN(AT63,L$8)</f>
        <v>0</v>
      </c>
      <c r="AV63" s="22" t="n">
        <f aca="false">MAX(0,MIN(AT63-AU63,$C63-(P63+T63+X63+AB63+AF63+AJ63+AN63+AR63)))</f>
        <v>0</v>
      </c>
      <c r="AW63" s="22" t="n">
        <f aca="false">ROUND(AT63-AU63-AV63,2)</f>
        <v>0</v>
      </c>
      <c r="AX63" s="22" t="n">
        <f aca="false">BA62*(1+M$7)</f>
        <v>0</v>
      </c>
      <c r="AY63" s="22" t="n">
        <f aca="false">MIN(AX63,M$8)</f>
        <v>0</v>
      </c>
      <c r="AZ63" s="22" t="n">
        <f aca="false">MAX(0,MIN(AX63-AY63,$C63-(P63+T63+X63+AB63+AF63+AJ63+AN63+AR63+AV63)))</f>
        <v>0</v>
      </c>
      <c r="BA63" s="22" t="n">
        <f aca="false">ROUND(AX63-AY63-AZ63,2)</f>
        <v>0</v>
      </c>
    </row>
    <row r="64" customFormat="false" ht="15" hidden="false" customHeight="false" outlineLevel="0" collapsed="false">
      <c r="A64" s="0" t="n">
        <v>54</v>
      </c>
      <c r="B64" s="39" t="n">
        <f aca="false">EDATE(Borçlar!$K$7,53)</f>
        <v>47908</v>
      </c>
      <c r="C64" s="36" t="n">
        <f aca="false">MAX(0,Borçlar!$K$8-(O64+S64+W64+AA64+AE64+AI64+AM64+AQ64+AU64+AY64))</f>
        <v>19000</v>
      </c>
      <c r="D64" s="36" t="n">
        <f aca="false">O64+P64+S64+T64+W64+X64+AA64+AB64+AE64+AF64+AI64+AJ64+AM64+AN64+AQ64+AR64+AU64+AV64+AY64+AZ64</f>
        <v>0</v>
      </c>
      <c r="E64" s="36" t="n">
        <f aca="false">(N64+R64+V64+Z64+AD64+AH64+AL64+AP64+AT64+AX64)-(F63)</f>
        <v>0</v>
      </c>
      <c r="F64" s="36" t="n">
        <f aca="false">Q64+U64+Y64+AC64+AG64+AK64+AO64+AS64+AW64+BA64</f>
        <v>0</v>
      </c>
      <c r="N64" s="22" t="n">
        <f aca="false">Q63*(1+D$7)</f>
        <v>0</v>
      </c>
      <c r="O64" s="22" t="n">
        <f aca="false">MIN(N64,D$8)</f>
        <v>0</v>
      </c>
      <c r="P64" s="22" t="n">
        <f aca="false">MAX(0,MIN(N64-O64,$C64-(0)))</f>
        <v>0</v>
      </c>
      <c r="Q64" s="22" t="n">
        <f aca="false">ROUND(N64-O64-P64,2)</f>
        <v>0</v>
      </c>
      <c r="R64" s="22" t="n">
        <f aca="false">U63*(1+E$7)</f>
        <v>0</v>
      </c>
      <c r="S64" s="22" t="n">
        <f aca="false">MIN(R64,E$8)</f>
        <v>0</v>
      </c>
      <c r="T64" s="22" t="n">
        <f aca="false">MAX(0,MIN(R64-S64,$C64-(P64)))</f>
        <v>0</v>
      </c>
      <c r="U64" s="22" t="n">
        <f aca="false">ROUND(R64-S64-T64,2)</f>
        <v>0</v>
      </c>
      <c r="V64" s="22" t="n">
        <f aca="false">Y63*(1+F$7)</f>
        <v>0</v>
      </c>
      <c r="W64" s="22" t="n">
        <f aca="false">MIN(V64,F$8)</f>
        <v>0</v>
      </c>
      <c r="X64" s="22" t="n">
        <f aca="false">MAX(0,MIN(V64-W64,$C64-(P64+T64)))</f>
        <v>0</v>
      </c>
      <c r="Y64" s="22" t="n">
        <f aca="false">ROUND(V64-W64-X64,2)</f>
        <v>0</v>
      </c>
      <c r="Z64" s="22" t="n">
        <f aca="false">AC63*(1+G$7)</f>
        <v>0</v>
      </c>
      <c r="AA64" s="22" t="n">
        <f aca="false">MIN(Z64,G$8)</f>
        <v>0</v>
      </c>
      <c r="AB64" s="22" t="n">
        <f aca="false">MAX(0,MIN(Z64-AA64,$C64-(P64+T64+X64)))</f>
        <v>0</v>
      </c>
      <c r="AC64" s="22" t="n">
        <f aca="false">ROUND(Z64-AA64-AB64,2)</f>
        <v>0</v>
      </c>
      <c r="AD64" s="22" t="n">
        <f aca="false">AG63*(1+H$7)</f>
        <v>0</v>
      </c>
      <c r="AE64" s="22" t="n">
        <f aca="false">MIN(AD64,H$8)</f>
        <v>0</v>
      </c>
      <c r="AF64" s="22" t="n">
        <f aca="false">MAX(0,MIN(AD64-AE64,$C64-(P64+T64+X64+AB64)))</f>
        <v>0</v>
      </c>
      <c r="AG64" s="22" t="n">
        <f aca="false">ROUND(AD64-AE64-AF64,2)</f>
        <v>0</v>
      </c>
      <c r="AH64" s="22" t="n">
        <f aca="false">AK63*(1+I$7)</f>
        <v>0</v>
      </c>
      <c r="AI64" s="22" t="n">
        <f aca="false">MIN(AH64,I$8)</f>
        <v>0</v>
      </c>
      <c r="AJ64" s="22" t="n">
        <f aca="false">MAX(0,MIN(AH64-AI64,$C64-(P64+T64+X64+AB64+AF64)))</f>
        <v>0</v>
      </c>
      <c r="AK64" s="22" t="n">
        <f aca="false">ROUND(AH64-AI64-AJ64,2)</f>
        <v>0</v>
      </c>
      <c r="AL64" s="22" t="n">
        <f aca="false">AO63*(1+J$7)</f>
        <v>0</v>
      </c>
      <c r="AM64" s="22" t="n">
        <f aca="false">MIN(AL64,J$8)</f>
        <v>0</v>
      </c>
      <c r="AN64" s="22" t="n">
        <f aca="false">MAX(0,MIN(AL64-AM64,$C64-(P64+T64+X64+AB64+AF64+AJ64)))</f>
        <v>0</v>
      </c>
      <c r="AO64" s="22" t="n">
        <f aca="false">ROUND(AL64-AM64-AN64,2)</f>
        <v>0</v>
      </c>
      <c r="AP64" s="22" t="n">
        <f aca="false">AS63*(1+K$7)</f>
        <v>0</v>
      </c>
      <c r="AQ64" s="22" t="n">
        <f aca="false">MIN(AP64,K$8)</f>
        <v>0</v>
      </c>
      <c r="AR64" s="22" t="n">
        <f aca="false">MAX(0,MIN(AP64-AQ64,$C64-(P64+T64+X64+AB64+AF64+AJ64+AN64)))</f>
        <v>0</v>
      </c>
      <c r="AS64" s="22" t="n">
        <f aca="false">ROUND(AP64-AQ64-AR64,2)</f>
        <v>0</v>
      </c>
      <c r="AT64" s="22" t="n">
        <f aca="false">AW63*(1+L$7)</f>
        <v>0</v>
      </c>
      <c r="AU64" s="22" t="n">
        <f aca="false">MIN(AT64,L$8)</f>
        <v>0</v>
      </c>
      <c r="AV64" s="22" t="n">
        <f aca="false">MAX(0,MIN(AT64-AU64,$C64-(P64+T64+X64+AB64+AF64+AJ64+AN64+AR64)))</f>
        <v>0</v>
      </c>
      <c r="AW64" s="22" t="n">
        <f aca="false">ROUND(AT64-AU64-AV64,2)</f>
        <v>0</v>
      </c>
      <c r="AX64" s="22" t="n">
        <f aca="false">BA63*(1+M$7)</f>
        <v>0</v>
      </c>
      <c r="AY64" s="22" t="n">
        <f aca="false">MIN(AX64,M$8)</f>
        <v>0</v>
      </c>
      <c r="AZ64" s="22" t="n">
        <f aca="false">MAX(0,MIN(AX64-AY64,$C64-(P64+T64+X64+AB64+AF64+AJ64+AN64+AR64+AV64)))</f>
        <v>0</v>
      </c>
      <c r="BA64" s="22" t="n">
        <f aca="false">ROUND(AX64-AY64-AZ64,2)</f>
        <v>0</v>
      </c>
    </row>
    <row r="65" customFormat="false" ht="15" hidden="false" customHeight="false" outlineLevel="0" collapsed="false">
      <c r="A65" s="0" t="n">
        <v>55</v>
      </c>
      <c r="B65" s="39" t="n">
        <f aca="false">EDATE(Borçlar!$K$7,54)</f>
        <v>47939</v>
      </c>
      <c r="C65" s="36" t="n">
        <f aca="false">MAX(0,Borçlar!$K$8-(O65+S65+W65+AA65+AE65+AI65+AM65+AQ65+AU65+AY65))</f>
        <v>19000</v>
      </c>
      <c r="D65" s="36" t="n">
        <f aca="false">O65+P65+S65+T65+W65+X65+AA65+AB65+AE65+AF65+AI65+AJ65+AM65+AN65+AQ65+AR65+AU65+AV65+AY65+AZ65</f>
        <v>0</v>
      </c>
      <c r="E65" s="36" t="n">
        <f aca="false">(N65+R65+V65+Z65+AD65+AH65+AL65+AP65+AT65+AX65)-(F64)</f>
        <v>0</v>
      </c>
      <c r="F65" s="36" t="n">
        <f aca="false">Q65+U65+Y65+AC65+AG65+AK65+AO65+AS65+AW65+BA65</f>
        <v>0</v>
      </c>
      <c r="N65" s="22" t="n">
        <f aca="false">Q64*(1+D$7)</f>
        <v>0</v>
      </c>
      <c r="O65" s="22" t="n">
        <f aca="false">MIN(N65,D$8)</f>
        <v>0</v>
      </c>
      <c r="P65" s="22" t="n">
        <f aca="false">MAX(0,MIN(N65-O65,$C65-(0)))</f>
        <v>0</v>
      </c>
      <c r="Q65" s="22" t="n">
        <f aca="false">ROUND(N65-O65-P65,2)</f>
        <v>0</v>
      </c>
      <c r="R65" s="22" t="n">
        <f aca="false">U64*(1+E$7)</f>
        <v>0</v>
      </c>
      <c r="S65" s="22" t="n">
        <f aca="false">MIN(R65,E$8)</f>
        <v>0</v>
      </c>
      <c r="T65" s="22" t="n">
        <f aca="false">MAX(0,MIN(R65-S65,$C65-(P65)))</f>
        <v>0</v>
      </c>
      <c r="U65" s="22" t="n">
        <f aca="false">ROUND(R65-S65-T65,2)</f>
        <v>0</v>
      </c>
      <c r="V65" s="22" t="n">
        <f aca="false">Y64*(1+F$7)</f>
        <v>0</v>
      </c>
      <c r="W65" s="22" t="n">
        <f aca="false">MIN(V65,F$8)</f>
        <v>0</v>
      </c>
      <c r="X65" s="22" t="n">
        <f aca="false">MAX(0,MIN(V65-W65,$C65-(P65+T65)))</f>
        <v>0</v>
      </c>
      <c r="Y65" s="22" t="n">
        <f aca="false">ROUND(V65-W65-X65,2)</f>
        <v>0</v>
      </c>
      <c r="Z65" s="22" t="n">
        <f aca="false">AC64*(1+G$7)</f>
        <v>0</v>
      </c>
      <c r="AA65" s="22" t="n">
        <f aca="false">MIN(Z65,G$8)</f>
        <v>0</v>
      </c>
      <c r="AB65" s="22" t="n">
        <f aca="false">MAX(0,MIN(Z65-AA65,$C65-(P65+T65+X65)))</f>
        <v>0</v>
      </c>
      <c r="AC65" s="22" t="n">
        <f aca="false">ROUND(Z65-AA65-AB65,2)</f>
        <v>0</v>
      </c>
      <c r="AD65" s="22" t="n">
        <f aca="false">AG64*(1+H$7)</f>
        <v>0</v>
      </c>
      <c r="AE65" s="22" t="n">
        <f aca="false">MIN(AD65,H$8)</f>
        <v>0</v>
      </c>
      <c r="AF65" s="22" t="n">
        <f aca="false">MAX(0,MIN(AD65-AE65,$C65-(P65+T65+X65+AB65)))</f>
        <v>0</v>
      </c>
      <c r="AG65" s="22" t="n">
        <f aca="false">ROUND(AD65-AE65-AF65,2)</f>
        <v>0</v>
      </c>
      <c r="AH65" s="22" t="n">
        <f aca="false">AK64*(1+I$7)</f>
        <v>0</v>
      </c>
      <c r="AI65" s="22" t="n">
        <f aca="false">MIN(AH65,I$8)</f>
        <v>0</v>
      </c>
      <c r="AJ65" s="22" t="n">
        <f aca="false">MAX(0,MIN(AH65-AI65,$C65-(P65+T65+X65+AB65+AF65)))</f>
        <v>0</v>
      </c>
      <c r="AK65" s="22" t="n">
        <f aca="false">ROUND(AH65-AI65-AJ65,2)</f>
        <v>0</v>
      </c>
      <c r="AL65" s="22" t="n">
        <f aca="false">AO64*(1+J$7)</f>
        <v>0</v>
      </c>
      <c r="AM65" s="22" t="n">
        <f aca="false">MIN(AL65,J$8)</f>
        <v>0</v>
      </c>
      <c r="AN65" s="22" t="n">
        <f aca="false">MAX(0,MIN(AL65-AM65,$C65-(P65+T65+X65+AB65+AF65+AJ65)))</f>
        <v>0</v>
      </c>
      <c r="AO65" s="22" t="n">
        <f aca="false">ROUND(AL65-AM65-AN65,2)</f>
        <v>0</v>
      </c>
      <c r="AP65" s="22" t="n">
        <f aca="false">AS64*(1+K$7)</f>
        <v>0</v>
      </c>
      <c r="AQ65" s="22" t="n">
        <f aca="false">MIN(AP65,K$8)</f>
        <v>0</v>
      </c>
      <c r="AR65" s="22" t="n">
        <f aca="false">MAX(0,MIN(AP65-AQ65,$C65-(P65+T65+X65+AB65+AF65+AJ65+AN65)))</f>
        <v>0</v>
      </c>
      <c r="AS65" s="22" t="n">
        <f aca="false">ROUND(AP65-AQ65-AR65,2)</f>
        <v>0</v>
      </c>
      <c r="AT65" s="22" t="n">
        <f aca="false">AW64*(1+L$7)</f>
        <v>0</v>
      </c>
      <c r="AU65" s="22" t="n">
        <f aca="false">MIN(AT65,L$8)</f>
        <v>0</v>
      </c>
      <c r="AV65" s="22" t="n">
        <f aca="false">MAX(0,MIN(AT65-AU65,$C65-(P65+T65+X65+AB65+AF65+AJ65+AN65+AR65)))</f>
        <v>0</v>
      </c>
      <c r="AW65" s="22" t="n">
        <f aca="false">ROUND(AT65-AU65-AV65,2)</f>
        <v>0</v>
      </c>
      <c r="AX65" s="22" t="n">
        <f aca="false">BA64*(1+M$7)</f>
        <v>0</v>
      </c>
      <c r="AY65" s="22" t="n">
        <f aca="false">MIN(AX65,M$8)</f>
        <v>0</v>
      </c>
      <c r="AZ65" s="22" t="n">
        <f aca="false">MAX(0,MIN(AX65-AY65,$C65-(P65+T65+X65+AB65+AF65+AJ65+AN65+AR65+AV65)))</f>
        <v>0</v>
      </c>
      <c r="BA65" s="22" t="n">
        <f aca="false">ROUND(AX65-AY65-AZ65,2)</f>
        <v>0</v>
      </c>
    </row>
    <row r="66" customFormat="false" ht="15" hidden="false" customHeight="false" outlineLevel="0" collapsed="false">
      <c r="A66" s="0" t="n">
        <v>56</v>
      </c>
      <c r="B66" s="39" t="n">
        <f aca="false">EDATE(Borçlar!$K$7,55)</f>
        <v>47969</v>
      </c>
      <c r="C66" s="36" t="n">
        <f aca="false">MAX(0,Borçlar!$K$8-(O66+S66+W66+AA66+AE66+AI66+AM66+AQ66+AU66+AY66))</f>
        <v>19000</v>
      </c>
      <c r="D66" s="36" t="n">
        <f aca="false">O66+P66+S66+T66+W66+X66+AA66+AB66+AE66+AF66+AI66+AJ66+AM66+AN66+AQ66+AR66+AU66+AV66+AY66+AZ66</f>
        <v>0</v>
      </c>
      <c r="E66" s="36" t="n">
        <f aca="false">(N66+R66+V66+Z66+AD66+AH66+AL66+AP66+AT66+AX66)-(F65)</f>
        <v>0</v>
      </c>
      <c r="F66" s="36" t="n">
        <f aca="false">Q66+U66+Y66+AC66+AG66+AK66+AO66+AS66+AW66+BA66</f>
        <v>0</v>
      </c>
      <c r="N66" s="22" t="n">
        <f aca="false">Q65*(1+D$7)</f>
        <v>0</v>
      </c>
      <c r="O66" s="22" t="n">
        <f aca="false">MIN(N66,D$8)</f>
        <v>0</v>
      </c>
      <c r="P66" s="22" t="n">
        <f aca="false">MAX(0,MIN(N66-O66,$C66-(0)))</f>
        <v>0</v>
      </c>
      <c r="Q66" s="22" t="n">
        <f aca="false">ROUND(N66-O66-P66,2)</f>
        <v>0</v>
      </c>
      <c r="R66" s="22" t="n">
        <f aca="false">U65*(1+E$7)</f>
        <v>0</v>
      </c>
      <c r="S66" s="22" t="n">
        <f aca="false">MIN(R66,E$8)</f>
        <v>0</v>
      </c>
      <c r="T66" s="22" t="n">
        <f aca="false">MAX(0,MIN(R66-S66,$C66-(P66)))</f>
        <v>0</v>
      </c>
      <c r="U66" s="22" t="n">
        <f aca="false">ROUND(R66-S66-T66,2)</f>
        <v>0</v>
      </c>
      <c r="V66" s="22" t="n">
        <f aca="false">Y65*(1+F$7)</f>
        <v>0</v>
      </c>
      <c r="W66" s="22" t="n">
        <f aca="false">MIN(V66,F$8)</f>
        <v>0</v>
      </c>
      <c r="X66" s="22" t="n">
        <f aca="false">MAX(0,MIN(V66-W66,$C66-(P66+T66)))</f>
        <v>0</v>
      </c>
      <c r="Y66" s="22" t="n">
        <f aca="false">ROUND(V66-W66-X66,2)</f>
        <v>0</v>
      </c>
      <c r="Z66" s="22" t="n">
        <f aca="false">AC65*(1+G$7)</f>
        <v>0</v>
      </c>
      <c r="AA66" s="22" t="n">
        <f aca="false">MIN(Z66,G$8)</f>
        <v>0</v>
      </c>
      <c r="AB66" s="22" t="n">
        <f aca="false">MAX(0,MIN(Z66-AA66,$C66-(P66+T66+X66)))</f>
        <v>0</v>
      </c>
      <c r="AC66" s="22" t="n">
        <f aca="false">ROUND(Z66-AA66-AB66,2)</f>
        <v>0</v>
      </c>
      <c r="AD66" s="22" t="n">
        <f aca="false">AG65*(1+H$7)</f>
        <v>0</v>
      </c>
      <c r="AE66" s="22" t="n">
        <f aca="false">MIN(AD66,H$8)</f>
        <v>0</v>
      </c>
      <c r="AF66" s="22" t="n">
        <f aca="false">MAX(0,MIN(AD66-AE66,$C66-(P66+T66+X66+AB66)))</f>
        <v>0</v>
      </c>
      <c r="AG66" s="22" t="n">
        <f aca="false">ROUND(AD66-AE66-AF66,2)</f>
        <v>0</v>
      </c>
      <c r="AH66" s="22" t="n">
        <f aca="false">AK65*(1+I$7)</f>
        <v>0</v>
      </c>
      <c r="AI66" s="22" t="n">
        <f aca="false">MIN(AH66,I$8)</f>
        <v>0</v>
      </c>
      <c r="AJ66" s="22" t="n">
        <f aca="false">MAX(0,MIN(AH66-AI66,$C66-(P66+T66+X66+AB66+AF66)))</f>
        <v>0</v>
      </c>
      <c r="AK66" s="22" t="n">
        <f aca="false">ROUND(AH66-AI66-AJ66,2)</f>
        <v>0</v>
      </c>
      <c r="AL66" s="22" t="n">
        <f aca="false">AO65*(1+J$7)</f>
        <v>0</v>
      </c>
      <c r="AM66" s="22" t="n">
        <f aca="false">MIN(AL66,J$8)</f>
        <v>0</v>
      </c>
      <c r="AN66" s="22" t="n">
        <f aca="false">MAX(0,MIN(AL66-AM66,$C66-(P66+T66+X66+AB66+AF66+AJ66)))</f>
        <v>0</v>
      </c>
      <c r="AO66" s="22" t="n">
        <f aca="false">ROUND(AL66-AM66-AN66,2)</f>
        <v>0</v>
      </c>
      <c r="AP66" s="22" t="n">
        <f aca="false">AS65*(1+K$7)</f>
        <v>0</v>
      </c>
      <c r="AQ66" s="22" t="n">
        <f aca="false">MIN(AP66,K$8)</f>
        <v>0</v>
      </c>
      <c r="AR66" s="22" t="n">
        <f aca="false">MAX(0,MIN(AP66-AQ66,$C66-(P66+T66+X66+AB66+AF66+AJ66+AN66)))</f>
        <v>0</v>
      </c>
      <c r="AS66" s="22" t="n">
        <f aca="false">ROUND(AP66-AQ66-AR66,2)</f>
        <v>0</v>
      </c>
      <c r="AT66" s="22" t="n">
        <f aca="false">AW65*(1+L$7)</f>
        <v>0</v>
      </c>
      <c r="AU66" s="22" t="n">
        <f aca="false">MIN(AT66,L$8)</f>
        <v>0</v>
      </c>
      <c r="AV66" s="22" t="n">
        <f aca="false">MAX(0,MIN(AT66-AU66,$C66-(P66+T66+X66+AB66+AF66+AJ66+AN66+AR66)))</f>
        <v>0</v>
      </c>
      <c r="AW66" s="22" t="n">
        <f aca="false">ROUND(AT66-AU66-AV66,2)</f>
        <v>0</v>
      </c>
      <c r="AX66" s="22" t="n">
        <f aca="false">BA65*(1+M$7)</f>
        <v>0</v>
      </c>
      <c r="AY66" s="22" t="n">
        <f aca="false">MIN(AX66,M$8)</f>
        <v>0</v>
      </c>
      <c r="AZ66" s="22" t="n">
        <f aca="false">MAX(0,MIN(AX66-AY66,$C66-(P66+T66+X66+AB66+AF66+AJ66+AN66+AR66+AV66)))</f>
        <v>0</v>
      </c>
      <c r="BA66" s="22" t="n">
        <f aca="false">ROUND(AX66-AY66-AZ66,2)</f>
        <v>0</v>
      </c>
    </row>
    <row r="67" customFormat="false" ht="15" hidden="false" customHeight="false" outlineLevel="0" collapsed="false">
      <c r="A67" s="0" t="n">
        <v>57</v>
      </c>
      <c r="B67" s="39" t="n">
        <f aca="false">EDATE(Borçlar!$K$7,56)</f>
        <v>48000</v>
      </c>
      <c r="C67" s="36" t="n">
        <f aca="false">MAX(0,Borçlar!$K$8-(O67+S67+W67+AA67+AE67+AI67+AM67+AQ67+AU67+AY67))</f>
        <v>19000</v>
      </c>
      <c r="D67" s="36" t="n">
        <f aca="false">O67+P67+S67+T67+W67+X67+AA67+AB67+AE67+AF67+AI67+AJ67+AM67+AN67+AQ67+AR67+AU67+AV67+AY67+AZ67</f>
        <v>0</v>
      </c>
      <c r="E67" s="36" t="n">
        <f aca="false">(N67+R67+V67+Z67+AD67+AH67+AL67+AP67+AT67+AX67)-(F66)</f>
        <v>0</v>
      </c>
      <c r="F67" s="36" t="n">
        <f aca="false">Q67+U67+Y67+AC67+AG67+AK67+AO67+AS67+AW67+BA67</f>
        <v>0</v>
      </c>
      <c r="N67" s="22" t="n">
        <f aca="false">Q66*(1+D$7)</f>
        <v>0</v>
      </c>
      <c r="O67" s="22" t="n">
        <f aca="false">MIN(N67,D$8)</f>
        <v>0</v>
      </c>
      <c r="P67" s="22" t="n">
        <f aca="false">MAX(0,MIN(N67-O67,$C67-(0)))</f>
        <v>0</v>
      </c>
      <c r="Q67" s="22" t="n">
        <f aca="false">ROUND(N67-O67-P67,2)</f>
        <v>0</v>
      </c>
      <c r="R67" s="22" t="n">
        <f aca="false">U66*(1+E$7)</f>
        <v>0</v>
      </c>
      <c r="S67" s="22" t="n">
        <f aca="false">MIN(R67,E$8)</f>
        <v>0</v>
      </c>
      <c r="T67" s="22" t="n">
        <f aca="false">MAX(0,MIN(R67-S67,$C67-(P67)))</f>
        <v>0</v>
      </c>
      <c r="U67" s="22" t="n">
        <f aca="false">ROUND(R67-S67-T67,2)</f>
        <v>0</v>
      </c>
      <c r="V67" s="22" t="n">
        <f aca="false">Y66*(1+F$7)</f>
        <v>0</v>
      </c>
      <c r="W67" s="22" t="n">
        <f aca="false">MIN(V67,F$8)</f>
        <v>0</v>
      </c>
      <c r="X67" s="22" t="n">
        <f aca="false">MAX(0,MIN(V67-W67,$C67-(P67+T67)))</f>
        <v>0</v>
      </c>
      <c r="Y67" s="22" t="n">
        <f aca="false">ROUND(V67-W67-X67,2)</f>
        <v>0</v>
      </c>
      <c r="Z67" s="22" t="n">
        <f aca="false">AC66*(1+G$7)</f>
        <v>0</v>
      </c>
      <c r="AA67" s="22" t="n">
        <f aca="false">MIN(Z67,G$8)</f>
        <v>0</v>
      </c>
      <c r="AB67" s="22" t="n">
        <f aca="false">MAX(0,MIN(Z67-AA67,$C67-(P67+T67+X67)))</f>
        <v>0</v>
      </c>
      <c r="AC67" s="22" t="n">
        <f aca="false">ROUND(Z67-AA67-AB67,2)</f>
        <v>0</v>
      </c>
      <c r="AD67" s="22" t="n">
        <f aca="false">AG66*(1+H$7)</f>
        <v>0</v>
      </c>
      <c r="AE67" s="22" t="n">
        <f aca="false">MIN(AD67,H$8)</f>
        <v>0</v>
      </c>
      <c r="AF67" s="22" t="n">
        <f aca="false">MAX(0,MIN(AD67-AE67,$C67-(P67+T67+X67+AB67)))</f>
        <v>0</v>
      </c>
      <c r="AG67" s="22" t="n">
        <f aca="false">ROUND(AD67-AE67-AF67,2)</f>
        <v>0</v>
      </c>
      <c r="AH67" s="22" t="n">
        <f aca="false">AK66*(1+I$7)</f>
        <v>0</v>
      </c>
      <c r="AI67" s="22" t="n">
        <f aca="false">MIN(AH67,I$8)</f>
        <v>0</v>
      </c>
      <c r="AJ67" s="22" t="n">
        <f aca="false">MAX(0,MIN(AH67-AI67,$C67-(P67+T67+X67+AB67+AF67)))</f>
        <v>0</v>
      </c>
      <c r="AK67" s="22" t="n">
        <f aca="false">ROUND(AH67-AI67-AJ67,2)</f>
        <v>0</v>
      </c>
      <c r="AL67" s="22" t="n">
        <f aca="false">AO66*(1+J$7)</f>
        <v>0</v>
      </c>
      <c r="AM67" s="22" t="n">
        <f aca="false">MIN(AL67,J$8)</f>
        <v>0</v>
      </c>
      <c r="AN67" s="22" t="n">
        <f aca="false">MAX(0,MIN(AL67-AM67,$C67-(P67+T67+X67+AB67+AF67+AJ67)))</f>
        <v>0</v>
      </c>
      <c r="AO67" s="22" t="n">
        <f aca="false">ROUND(AL67-AM67-AN67,2)</f>
        <v>0</v>
      </c>
      <c r="AP67" s="22" t="n">
        <f aca="false">AS66*(1+K$7)</f>
        <v>0</v>
      </c>
      <c r="AQ67" s="22" t="n">
        <f aca="false">MIN(AP67,K$8)</f>
        <v>0</v>
      </c>
      <c r="AR67" s="22" t="n">
        <f aca="false">MAX(0,MIN(AP67-AQ67,$C67-(P67+T67+X67+AB67+AF67+AJ67+AN67)))</f>
        <v>0</v>
      </c>
      <c r="AS67" s="22" t="n">
        <f aca="false">ROUND(AP67-AQ67-AR67,2)</f>
        <v>0</v>
      </c>
      <c r="AT67" s="22" t="n">
        <f aca="false">AW66*(1+L$7)</f>
        <v>0</v>
      </c>
      <c r="AU67" s="22" t="n">
        <f aca="false">MIN(AT67,L$8)</f>
        <v>0</v>
      </c>
      <c r="AV67" s="22" t="n">
        <f aca="false">MAX(0,MIN(AT67-AU67,$C67-(P67+T67+X67+AB67+AF67+AJ67+AN67+AR67)))</f>
        <v>0</v>
      </c>
      <c r="AW67" s="22" t="n">
        <f aca="false">ROUND(AT67-AU67-AV67,2)</f>
        <v>0</v>
      </c>
      <c r="AX67" s="22" t="n">
        <f aca="false">BA66*(1+M$7)</f>
        <v>0</v>
      </c>
      <c r="AY67" s="22" t="n">
        <f aca="false">MIN(AX67,M$8)</f>
        <v>0</v>
      </c>
      <c r="AZ67" s="22" t="n">
        <f aca="false">MAX(0,MIN(AX67-AY67,$C67-(P67+T67+X67+AB67+AF67+AJ67+AN67+AR67+AV67)))</f>
        <v>0</v>
      </c>
      <c r="BA67" s="22" t="n">
        <f aca="false">ROUND(AX67-AY67-AZ67,2)</f>
        <v>0</v>
      </c>
    </row>
    <row r="68" customFormat="false" ht="15" hidden="false" customHeight="false" outlineLevel="0" collapsed="false">
      <c r="A68" s="0" t="n">
        <v>58</v>
      </c>
      <c r="B68" s="39" t="n">
        <f aca="false">EDATE(Borçlar!$K$7,57)</f>
        <v>48030</v>
      </c>
      <c r="C68" s="36" t="n">
        <f aca="false">MAX(0,Borçlar!$K$8-(O68+S68+W68+AA68+AE68+AI68+AM68+AQ68+AU68+AY68))</f>
        <v>19000</v>
      </c>
      <c r="D68" s="36" t="n">
        <f aca="false">O68+P68+S68+T68+W68+X68+AA68+AB68+AE68+AF68+AI68+AJ68+AM68+AN68+AQ68+AR68+AU68+AV68+AY68+AZ68</f>
        <v>0</v>
      </c>
      <c r="E68" s="36" t="n">
        <f aca="false">(N68+R68+V68+Z68+AD68+AH68+AL68+AP68+AT68+AX68)-(F67)</f>
        <v>0</v>
      </c>
      <c r="F68" s="36" t="n">
        <f aca="false">Q68+U68+Y68+AC68+AG68+AK68+AO68+AS68+AW68+BA68</f>
        <v>0</v>
      </c>
      <c r="N68" s="22" t="n">
        <f aca="false">Q67*(1+D$7)</f>
        <v>0</v>
      </c>
      <c r="O68" s="22" t="n">
        <f aca="false">MIN(N68,D$8)</f>
        <v>0</v>
      </c>
      <c r="P68" s="22" t="n">
        <f aca="false">MAX(0,MIN(N68-O68,$C68-(0)))</f>
        <v>0</v>
      </c>
      <c r="Q68" s="22" t="n">
        <f aca="false">ROUND(N68-O68-P68,2)</f>
        <v>0</v>
      </c>
      <c r="R68" s="22" t="n">
        <f aca="false">U67*(1+E$7)</f>
        <v>0</v>
      </c>
      <c r="S68" s="22" t="n">
        <f aca="false">MIN(R68,E$8)</f>
        <v>0</v>
      </c>
      <c r="T68" s="22" t="n">
        <f aca="false">MAX(0,MIN(R68-S68,$C68-(P68)))</f>
        <v>0</v>
      </c>
      <c r="U68" s="22" t="n">
        <f aca="false">ROUND(R68-S68-T68,2)</f>
        <v>0</v>
      </c>
      <c r="V68" s="22" t="n">
        <f aca="false">Y67*(1+F$7)</f>
        <v>0</v>
      </c>
      <c r="W68" s="22" t="n">
        <f aca="false">MIN(V68,F$8)</f>
        <v>0</v>
      </c>
      <c r="X68" s="22" t="n">
        <f aca="false">MAX(0,MIN(V68-W68,$C68-(P68+T68)))</f>
        <v>0</v>
      </c>
      <c r="Y68" s="22" t="n">
        <f aca="false">ROUND(V68-W68-X68,2)</f>
        <v>0</v>
      </c>
      <c r="Z68" s="22" t="n">
        <f aca="false">AC67*(1+G$7)</f>
        <v>0</v>
      </c>
      <c r="AA68" s="22" t="n">
        <f aca="false">MIN(Z68,G$8)</f>
        <v>0</v>
      </c>
      <c r="AB68" s="22" t="n">
        <f aca="false">MAX(0,MIN(Z68-AA68,$C68-(P68+T68+X68)))</f>
        <v>0</v>
      </c>
      <c r="AC68" s="22" t="n">
        <f aca="false">ROUND(Z68-AA68-AB68,2)</f>
        <v>0</v>
      </c>
      <c r="AD68" s="22" t="n">
        <f aca="false">AG67*(1+H$7)</f>
        <v>0</v>
      </c>
      <c r="AE68" s="22" t="n">
        <f aca="false">MIN(AD68,H$8)</f>
        <v>0</v>
      </c>
      <c r="AF68" s="22" t="n">
        <f aca="false">MAX(0,MIN(AD68-AE68,$C68-(P68+T68+X68+AB68)))</f>
        <v>0</v>
      </c>
      <c r="AG68" s="22" t="n">
        <f aca="false">ROUND(AD68-AE68-AF68,2)</f>
        <v>0</v>
      </c>
      <c r="AH68" s="22" t="n">
        <f aca="false">AK67*(1+I$7)</f>
        <v>0</v>
      </c>
      <c r="AI68" s="22" t="n">
        <f aca="false">MIN(AH68,I$8)</f>
        <v>0</v>
      </c>
      <c r="AJ68" s="22" t="n">
        <f aca="false">MAX(0,MIN(AH68-AI68,$C68-(P68+T68+X68+AB68+AF68)))</f>
        <v>0</v>
      </c>
      <c r="AK68" s="22" t="n">
        <f aca="false">ROUND(AH68-AI68-AJ68,2)</f>
        <v>0</v>
      </c>
      <c r="AL68" s="22" t="n">
        <f aca="false">AO67*(1+J$7)</f>
        <v>0</v>
      </c>
      <c r="AM68" s="22" t="n">
        <f aca="false">MIN(AL68,J$8)</f>
        <v>0</v>
      </c>
      <c r="AN68" s="22" t="n">
        <f aca="false">MAX(0,MIN(AL68-AM68,$C68-(P68+T68+X68+AB68+AF68+AJ68)))</f>
        <v>0</v>
      </c>
      <c r="AO68" s="22" t="n">
        <f aca="false">ROUND(AL68-AM68-AN68,2)</f>
        <v>0</v>
      </c>
      <c r="AP68" s="22" t="n">
        <f aca="false">AS67*(1+K$7)</f>
        <v>0</v>
      </c>
      <c r="AQ68" s="22" t="n">
        <f aca="false">MIN(AP68,K$8)</f>
        <v>0</v>
      </c>
      <c r="AR68" s="22" t="n">
        <f aca="false">MAX(0,MIN(AP68-AQ68,$C68-(P68+T68+X68+AB68+AF68+AJ68+AN68)))</f>
        <v>0</v>
      </c>
      <c r="AS68" s="22" t="n">
        <f aca="false">ROUND(AP68-AQ68-AR68,2)</f>
        <v>0</v>
      </c>
      <c r="AT68" s="22" t="n">
        <f aca="false">AW67*(1+L$7)</f>
        <v>0</v>
      </c>
      <c r="AU68" s="22" t="n">
        <f aca="false">MIN(AT68,L$8)</f>
        <v>0</v>
      </c>
      <c r="AV68" s="22" t="n">
        <f aca="false">MAX(0,MIN(AT68-AU68,$C68-(P68+T68+X68+AB68+AF68+AJ68+AN68+AR68)))</f>
        <v>0</v>
      </c>
      <c r="AW68" s="22" t="n">
        <f aca="false">ROUND(AT68-AU68-AV68,2)</f>
        <v>0</v>
      </c>
      <c r="AX68" s="22" t="n">
        <f aca="false">BA67*(1+M$7)</f>
        <v>0</v>
      </c>
      <c r="AY68" s="22" t="n">
        <f aca="false">MIN(AX68,M$8)</f>
        <v>0</v>
      </c>
      <c r="AZ68" s="22" t="n">
        <f aca="false">MAX(0,MIN(AX68-AY68,$C68-(P68+T68+X68+AB68+AF68+AJ68+AN68+AR68+AV68)))</f>
        <v>0</v>
      </c>
      <c r="BA68" s="22" t="n">
        <f aca="false">ROUND(AX68-AY68-AZ68,2)</f>
        <v>0</v>
      </c>
    </row>
    <row r="69" customFormat="false" ht="15" hidden="false" customHeight="false" outlineLevel="0" collapsed="false">
      <c r="A69" s="0" t="n">
        <v>59</v>
      </c>
      <c r="B69" s="39" t="n">
        <f aca="false">EDATE(Borçlar!$K$7,58)</f>
        <v>48061</v>
      </c>
      <c r="C69" s="36" t="n">
        <f aca="false">MAX(0,Borçlar!$K$8-(O69+S69+W69+AA69+AE69+AI69+AM69+AQ69+AU69+AY69))</f>
        <v>19000</v>
      </c>
      <c r="D69" s="36" t="n">
        <f aca="false">O69+P69+S69+T69+W69+X69+AA69+AB69+AE69+AF69+AI69+AJ69+AM69+AN69+AQ69+AR69+AU69+AV69+AY69+AZ69</f>
        <v>0</v>
      </c>
      <c r="E69" s="36" t="n">
        <f aca="false">(N69+R69+V69+Z69+AD69+AH69+AL69+AP69+AT69+AX69)-(F68)</f>
        <v>0</v>
      </c>
      <c r="F69" s="36" t="n">
        <f aca="false">Q69+U69+Y69+AC69+AG69+AK69+AO69+AS69+AW69+BA69</f>
        <v>0</v>
      </c>
      <c r="N69" s="22" t="n">
        <f aca="false">Q68*(1+D$7)</f>
        <v>0</v>
      </c>
      <c r="O69" s="22" t="n">
        <f aca="false">MIN(N69,D$8)</f>
        <v>0</v>
      </c>
      <c r="P69" s="22" t="n">
        <f aca="false">MAX(0,MIN(N69-O69,$C69-(0)))</f>
        <v>0</v>
      </c>
      <c r="Q69" s="22" t="n">
        <f aca="false">ROUND(N69-O69-P69,2)</f>
        <v>0</v>
      </c>
      <c r="R69" s="22" t="n">
        <f aca="false">U68*(1+E$7)</f>
        <v>0</v>
      </c>
      <c r="S69" s="22" t="n">
        <f aca="false">MIN(R69,E$8)</f>
        <v>0</v>
      </c>
      <c r="T69" s="22" t="n">
        <f aca="false">MAX(0,MIN(R69-S69,$C69-(P69)))</f>
        <v>0</v>
      </c>
      <c r="U69" s="22" t="n">
        <f aca="false">ROUND(R69-S69-T69,2)</f>
        <v>0</v>
      </c>
      <c r="V69" s="22" t="n">
        <f aca="false">Y68*(1+F$7)</f>
        <v>0</v>
      </c>
      <c r="W69" s="22" t="n">
        <f aca="false">MIN(V69,F$8)</f>
        <v>0</v>
      </c>
      <c r="X69" s="22" t="n">
        <f aca="false">MAX(0,MIN(V69-W69,$C69-(P69+T69)))</f>
        <v>0</v>
      </c>
      <c r="Y69" s="22" t="n">
        <f aca="false">ROUND(V69-W69-X69,2)</f>
        <v>0</v>
      </c>
      <c r="Z69" s="22" t="n">
        <f aca="false">AC68*(1+G$7)</f>
        <v>0</v>
      </c>
      <c r="AA69" s="22" t="n">
        <f aca="false">MIN(Z69,G$8)</f>
        <v>0</v>
      </c>
      <c r="AB69" s="22" t="n">
        <f aca="false">MAX(0,MIN(Z69-AA69,$C69-(P69+T69+X69)))</f>
        <v>0</v>
      </c>
      <c r="AC69" s="22" t="n">
        <f aca="false">ROUND(Z69-AA69-AB69,2)</f>
        <v>0</v>
      </c>
      <c r="AD69" s="22" t="n">
        <f aca="false">AG68*(1+H$7)</f>
        <v>0</v>
      </c>
      <c r="AE69" s="22" t="n">
        <f aca="false">MIN(AD69,H$8)</f>
        <v>0</v>
      </c>
      <c r="AF69" s="22" t="n">
        <f aca="false">MAX(0,MIN(AD69-AE69,$C69-(P69+T69+X69+AB69)))</f>
        <v>0</v>
      </c>
      <c r="AG69" s="22" t="n">
        <f aca="false">ROUND(AD69-AE69-AF69,2)</f>
        <v>0</v>
      </c>
      <c r="AH69" s="22" t="n">
        <f aca="false">AK68*(1+I$7)</f>
        <v>0</v>
      </c>
      <c r="AI69" s="22" t="n">
        <f aca="false">MIN(AH69,I$8)</f>
        <v>0</v>
      </c>
      <c r="AJ69" s="22" t="n">
        <f aca="false">MAX(0,MIN(AH69-AI69,$C69-(P69+T69+X69+AB69+AF69)))</f>
        <v>0</v>
      </c>
      <c r="AK69" s="22" t="n">
        <f aca="false">ROUND(AH69-AI69-AJ69,2)</f>
        <v>0</v>
      </c>
      <c r="AL69" s="22" t="n">
        <f aca="false">AO68*(1+J$7)</f>
        <v>0</v>
      </c>
      <c r="AM69" s="22" t="n">
        <f aca="false">MIN(AL69,J$8)</f>
        <v>0</v>
      </c>
      <c r="AN69" s="22" t="n">
        <f aca="false">MAX(0,MIN(AL69-AM69,$C69-(P69+T69+X69+AB69+AF69+AJ69)))</f>
        <v>0</v>
      </c>
      <c r="AO69" s="22" t="n">
        <f aca="false">ROUND(AL69-AM69-AN69,2)</f>
        <v>0</v>
      </c>
      <c r="AP69" s="22" t="n">
        <f aca="false">AS68*(1+K$7)</f>
        <v>0</v>
      </c>
      <c r="AQ69" s="22" t="n">
        <f aca="false">MIN(AP69,K$8)</f>
        <v>0</v>
      </c>
      <c r="AR69" s="22" t="n">
        <f aca="false">MAX(0,MIN(AP69-AQ69,$C69-(P69+T69+X69+AB69+AF69+AJ69+AN69)))</f>
        <v>0</v>
      </c>
      <c r="AS69" s="22" t="n">
        <f aca="false">ROUND(AP69-AQ69-AR69,2)</f>
        <v>0</v>
      </c>
      <c r="AT69" s="22" t="n">
        <f aca="false">AW68*(1+L$7)</f>
        <v>0</v>
      </c>
      <c r="AU69" s="22" t="n">
        <f aca="false">MIN(AT69,L$8)</f>
        <v>0</v>
      </c>
      <c r="AV69" s="22" t="n">
        <f aca="false">MAX(0,MIN(AT69-AU69,$C69-(P69+T69+X69+AB69+AF69+AJ69+AN69+AR69)))</f>
        <v>0</v>
      </c>
      <c r="AW69" s="22" t="n">
        <f aca="false">ROUND(AT69-AU69-AV69,2)</f>
        <v>0</v>
      </c>
      <c r="AX69" s="22" t="n">
        <f aca="false">BA68*(1+M$7)</f>
        <v>0</v>
      </c>
      <c r="AY69" s="22" t="n">
        <f aca="false">MIN(AX69,M$8)</f>
        <v>0</v>
      </c>
      <c r="AZ69" s="22" t="n">
        <f aca="false">MAX(0,MIN(AX69-AY69,$C69-(P69+T69+X69+AB69+AF69+AJ69+AN69+AR69+AV69)))</f>
        <v>0</v>
      </c>
      <c r="BA69" s="22" t="n">
        <f aca="false">ROUND(AX69-AY69-AZ69,2)</f>
        <v>0</v>
      </c>
    </row>
    <row r="70" customFormat="false" ht="15" hidden="false" customHeight="false" outlineLevel="0" collapsed="false">
      <c r="A70" s="0" t="n">
        <v>60</v>
      </c>
      <c r="B70" s="39" t="n">
        <f aca="false">EDATE(Borçlar!$K$7,59)</f>
        <v>48092</v>
      </c>
      <c r="C70" s="36" t="n">
        <f aca="false">MAX(0,Borçlar!$K$8-(O70+S70+W70+AA70+AE70+AI70+AM70+AQ70+AU70+AY70))</f>
        <v>19000</v>
      </c>
      <c r="D70" s="36" t="n">
        <f aca="false">O70+P70+S70+T70+W70+X70+AA70+AB70+AE70+AF70+AI70+AJ70+AM70+AN70+AQ70+AR70+AU70+AV70+AY70+AZ70</f>
        <v>0</v>
      </c>
      <c r="E70" s="36" t="n">
        <f aca="false">(N70+R70+V70+Z70+AD70+AH70+AL70+AP70+AT70+AX70)-(F69)</f>
        <v>0</v>
      </c>
      <c r="F70" s="36" t="n">
        <f aca="false">Q70+U70+Y70+AC70+AG70+AK70+AO70+AS70+AW70+BA70</f>
        <v>0</v>
      </c>
      <c r="N70" s="22" t="n">
        <f aca="false">Q69*(1+D$7)</f>
        <v>0</v>
      </c>
      <c r="O70" s="22" t="n">
        <f aca="false">MIN(N70,D$8)</f>
        <v>0</v>
      </c>
      <c r="P70" s="22" t="n">
        <f aca="false">MAX(0,MIN(N70-O70,$C70-(0)))</f>
        <v>0</v>
      </c>
      <c r="Q70" s="22" t="n">
        <f aca="false">ROUND(N70-O70-P70,2)</f>
        <v>0</v>
      </c>
      <c r="R70" s="22" t="n">
        <f aca="false">U69*(1+E$7)</f>
        <v>0</v>
      </c>
      <c r="S70" s="22" t="n">
        <f aca="false">MIN(R70,E$8)</f>
        <v>0</v>
      </c>
      <c r="T70" s="22" t="n">
        <f aca="false">MAX(0,MIN(R70-S70,$C70-(P70)))</f>
        <v>0</v>
      </c>
      <c r="U70" s="22" t="n">
        <f aca="false">ROUND(R70-S70-T70,2)</f>
        <v>0</v>
      </c>
      <c r="V70" s="22" t="n">
        <f aca="false">Y69*(1+F$7)</f>
        <v>0</v>
      </c>
      <c r="W70" s="22" t="n">
        <f aca="false">MIN(V70,F$8)</f>
        <v>0</v>
      </c>
      <c r="X70" s="22" t="n">
        <f aca="false">MAX(0,MIN(V70-W70,$C70-(P70+T70)))</f>
        <v>0</v>
      </c>
      <c r="Y70" s="22" t="n">
        <f aca="false">ROUND(V70-W70-X70,2)</f>
        <v>0</v>
      </c>
      <c r="Z70" s="22" t="n">
        <f aca="false">AC69*(1+G$7)</f>
        <v>0</v>
      </c>
      <c r="AA70" s="22" t="n">
        <f aca="false">MIN(Z70,G$8)</f>
        <v>0</v>
      </c>
      <c r="AB70" s="22" t="n">
        <f aca="false">MAX(0,MIN(Z70-AA70,$C70-(P70+T70+X70)))</f>
        <v>0</v>
      </c>
      <c r="AC70" s="22" t="n">
        <f aca="false">ROUND(Z70-AA70-AB70,2)</f>
        <v>0</v>
      </c>
      <c r="AD70" s="22" t="n">
        <f aca="false">AG69*(1+H$7)</f>
        <v>0</v>
      </c>
      <c r="AE70" s="22" t="n">
        <f aca="false">MIN(AD70,H$8)</f>
        <v>0</v>
      </c>
      <c r="AF70" s="22" t="n">
        <f aca="false">MAX(0,MIN(AD70-AE70,$C70-(P70+T70+X70+AB70)))</f>
        <v>0</v>
      </c>
      <c r="AG70" s="22" t="n">
        <f aca="false">ROUND(AD70-AE70-AF70,2)</f>
        <v>0</v>
      </c>
      <c r="AH70" s="22" t="n">
        <f aca="false">AK69*(1+I$7)</f>
        <v>0</v>
      </c>
      <c r="AI70" s="22" t="n">
        <f aca="false">MIN(AH70,I$8)</f>
        <v>0</v>
      </c>
      <c r="AJ70" s="22" t="n">
        <f aca="false">MAX(0,MIN(AH70-AI70,$C70-(P70+T70+X70+AB70+AF70)))</f>
        <v>0</v>
      </c>
      <c r="AK70" s="22" t="n">
        <f aca="false">ROUND(AH70-AI70-AJ70,2)</f>
        <v>0</v>
      </c>
      <c r="AL70" s="22" t="n">
        <f aca="false">AO69*(1+J$7)</f>
        <v>0</v>
      </c>
      <c r="AM70" s="22" t="n">
        <f aca="false">MIN(AL70,J$8)</f>
        <v>0</v>
      </c>
      <c r="AN70" s="22" t="n">
        <f aca="false">MAX(0,MIN(AL70-AM70,$C70-(P70+T70+X70+AB70+AF70+AJ70)))</f>
        <v>0</v>
      </c>
      <c r="AO70" s="22" t="n">
        <f aca="false">ROUND(AL70-AM70-AN70,2)</f>
        <v>0</v>
      </c>
      <c r="AP70" s="22" t="n">
        <f aca="false">AS69*(1+K$7)</f>
        <v>0</v>
      </c>
      <c r="AQ70" s="22" t="n">
        <f aca="false">MIN(AP70,K$8)</f>
        <v>0</v>
      </c>
      <c r="AR70" s="22" t="n">
        <f aca="false">MAX(0,MIN(AP70-AQ70,$C70-(P70+T70+X70+AB70+AF70+AJ70+AN70)))</f>
        <v>0</v>
      </c>
      <c r="AS70" s="22" t="n">
        <f aca="false">ROUND(AP70-AQ70-AR70,2)</f>
        <v>0</v>
      </c>
      <c r="AT70" s="22" t="n">
        <f aca="false">AW69*(1+L$7)</f>
        <v>0</v>
      </c>
      <c r="AU70" s="22" t="n">
        <f aca="false">MIN(AT70,L$8)</f>
        <v>0</v>
      </c>
      <c r="AV70" s="22" t="n">
        <f aca="false">MAX(0,MIN(AT70-AU70,$C70-(P70+T70+X70+AB70+AF70+AJ70+AN70+AR70)))</f>
        <v>0</v>
      </c>
      <c r="AW70" s="22" t="n">
        <f aca="false">ROUND(AT70-AU70-AV70,2)</f>
        <v>0</v>
      </c>
      <c r="AX70" s="22" t="n">
        <f aca="false">BA69*(1+M$7)</f>
        <v>0</v>
      </c>
      <c r="AY70" s="22" t="n">
        <f aca="false">MIN(AX70,M$8)</f>
        <v>0</v>
      </c>
      <c r="AZ70" s="22" t="n">
        <f aca="false">MAX(0,MIN(AX70-AY70,$C70-(P70+T70+X70+AB70+AF70+AJ70+AN70+AR70+AV70)))</f>
        <v>0</v>
      </c>
      <c r="BA70" s="22" t="n">
        <f aca="false">ROUND(AX70-AY70-AZ70,2)</f>
        <v>0</v>
      </c>
    </row>
    <row r="71" customFormat="false" ht="15" hidden="false" customHeight="false" outlineLevel="0" collapsed="false">
      <c r="A71" s="0" t="n">
        <v>61</v>
      </c>
      <c r="B71" s="39" t="n">
        <f aca="false">EDATE(Borçlar!$K$7,60)</f>
        <v>48122</v>
      </c>
      <c r="C71" s="36" t="n">
        <f aca="false">MAX(0,Borçlar!$K$8-(O71+S71+W71+AA71+AE71+AI71+AM71+AQ71+AU71+AY71))</f>
        <v>19000</v>
      </c>
      <c r="D71" s="36" t="n">
        <f aca="false">O71+P71+S71+T71+W71+X71+AA71+AB71+AE71+AF71+AI71+AJ71+AM71+AN71+AQ71+AR71+AU71+AV71+AY71+AZ71</f>
        <v>0</v>
      </c>
      <c r="E71" s="36" t="n">
        <f aca="false">(N71+R71+V71+Z71+AD71+AH71+AL71+AP71+AT71+AX71)-(F70)</f>
        <v>0</v>
      </c>
      <c r="F71" s="36" t="n">
        <f aca="false">Q71+U71+Y71+AC71+AG71+AK71+AO71+AS71+AW71+BA71</f>
        <v>0</v>
      </c>
      <c r="N71" s="22" t="n">
        <f aca="false">Q70*(1+D$7)</f>
        <v>0</v>
      </c>
      <c r="O71" s="22" t="n">
        <f aca="false">MIN(N71,D$8)</f>
        <v>0</v>
      </c>
      <c r="P71" s="22" t="n">
        <f aca="false">MAX(0,MIN(N71-O71,$C71-(0)))</f>
        <v>0</v>
      </c>
      <c r="Q71" s="22" t="n">
        <f aca="false">ROUND(N71-O71-P71,2)</f>
        <v>0</v>
      </c>
      <c r="R71" s="22" t="n">
        <f aca="false">U70*(1+E$7)</f>
        <v>0</v>
      </c>
      <c r="S71" s="22" t="n">
        <f aca="false">MIN(R71,E$8)</f>
        <v>0</v>
      </c>
      <c r="T71" s="22" t="n">
        <f aca="false">MAX(0,MIN(R71-S71,$C71-(P71)))</f>
        <v>0</v>
      </c>
      <c r="U71" s="22" t="n">
        <f aca="false">ROUND(R71-S71-T71,2)</f>
        <v>0</v>
      </c>
      <c r="V71" s="22" t="n">
        <f aca="false">Y70*(1+F$7)</f>
        <v>0</v>
      </c>
      <c r="W71" s="22" t="n">
        <f aca="false">MIN(V71,F$8)</f>
        <v>0</v>
      </c>
      <c r="X71" s="22" t="n">
        <f aca="false">MAX(0,MIN(V71-W71,$C71-(P71+T71)))</f>
        <v>0</v>
      </c>
      <c r="Y71" s="22" t="n">
        <f aca="false">ROUND(V71-W71-X71,2)</f>
        <v>0</v>
      </c>
      <c r="Z71" s="22" t="n">
        <f aca="false">AC70*(1+G$7)</f>
        <v>0</v>
      </c>
      <c r="AA71" s="22" t="n">
        <f aca="false">MIN(Z71,G$8)</f>
        <v>0</v>
      </c>
      <c r="AB71" s="22" t="n">
        <f aca="false">MAX(0,MIN(Z71-AA71,$C71-(P71+T71+X71)))</f>
        <v>0</v>
      </c>
      <c r="AC71" s="22" t="n">
        <f aca="false">ROUND(Z71-AA71-AB71,2)</f>
        <v>0</v>
      </c>
      <c r="AD71" s="22" t="n">
        <f aca="false">AG70*(1+H$7)</f>
        <v>0</v>
      </c>
      <c r="AE71" s="22" t="n">
        <f aca="false">MIN(AD71,H$8)</f>
        <v>0</v>
      </c>
      <c r="AF71" s="22" t="n">
        <f aca="false">MAX(0,MIN(AD71-AE71,$C71-(P71+T71+X71+AB71)))</f>
        <v>0</v>
      </c>
      <c r="AG71" s="22" t="n">
        <f aca="false">ROUND(AD71-AE71-AF71,2)</f>
        <v>0</v>
      </c>
      <c r="AH71" s="22" t="n">
        <f aca="false">AK70*(1+I$7)</f>
        <v>0</v>
      </c>
      <c r="AI71" s="22" t="n">
        <f aca="false">MIN(AH71,I$8)</f>
        <v>0</v>
      </c>
      <c r="AJ71" s="22" t="n">
        <f aca="false">MAX(0,MIN(AH71-AI71,$C71-(P71+T71+X71+AB71+AF71)))</f>
        <v>0</v>
      </c>
      <c r="AK71" s="22" t="n">
        <f aca="false">ROUND(AH71-AI71-AJ71,2)</f>
        <v>0</v>
      </c>
      <c r="AL71" s="22" t="n">
        <f aca="false">AO70*(1+J$7)</f>
        <v>0</v>
      </c>
      <c r="AM71" s="22" t="n">
        <f aca="false">MIN(AL71,J$8)</f>
        <v>0</v>
      </c>
      <c r="AN71" s="22" t="n">
        <f aca="false">MAX(0,MIN(AL71-AM71,$C71-(P71+T71+X71+AB71+AF71+AJ71)))</f>
        <v>0</v>
      </c>
      <c r="AO71" s="22" t="n">
        <f aca="false">ROUND(AL71-AM71-AN71,2)</f>
        <v>0</v>
      </c>
      <c r="AP71" s="22" t="n">
        <f aca="false">AS70*(1+K$7)</f>
        <v>0</v>
      </c>
      <c r="AQ71" s="22" t="n">
        <f aca="false">MIN(AP71,K$8)</f>
        <v>0</v>
      </c>
      <c r="AR71" s="22" t="n">
        <f aca="false">MAX(0,MIN(AP71-AQ71,$C71-(P71+T71+X71+AB71+AF71+AJ71+AN71)))</f>
        <v>0</v>
      </c>
      <c r="AS71" s="22" t="n">
        <f aca="false">ROUND(AP71-AQ71-AR71,2)</f>
        <v>0</v>
      </c>
      <c r="AT71" s="22" t="n">
        <f aca="false">AW70*(1+L$7)</f>
        <v>0</v>
      </c>
      <c r="AU71" s="22" t="n">
        <f aca="false">MIN(AT71,L$8)</f>
        <v>0</v>
      </c>
      <c r="AV71" s="22" t="n">
        <f aca="false">MAX(0,MIN(AT71-AU71,$C71-(P71+T71+X71+AB71+AF71+AJ71+AN71+AR71)))</f>
        <v>0</v>
      </c>
      <c r="AW71" s="22" t="n">
        <f aca="false">ROUND(AT71-AU71-AV71,2)</f>
        <v>0</v>
      </c>
      <c r="AX71" s="22" t="n">
        <f aca="false">BA70*(1+M$7)</f>
        <v>0</v>
      </c>
      <c r="AY71" s="22" t="n">
        <f aca="false">MIN(AX71,M$8)</f>
        <v>0</v>
      </c>
      <c r="AZ71" s="22" t="n">
        <f aca="false">MAX(0,MIN(AX71-AY71,$C71-(P71+T71+X71+AB71+AF71+AJ71+AN71+AR71+AV71)))</f>
        <v>0</v>
      </c>
      <c r="BA71" s="22" t="n">
        <f aca="false">ROUND(AX71-AY71-AZ71,2)</f>
        <v>0</v>
      </c>
    </row>
    <row r="72" customFormat="false" ht="15" hidden="false" customHeight="false" outlineLevel="0" collapsed="false">
      <c r="A72" s="0" t="n">
        <v>62</v>
      </c>
      <c r="B72" s="39" t="n">
        <f aca="false">EDATE(Borçlar!$K$7,61)</f>
        <v>48153</v>
      </c>
      <c r="C72" s="36" t="n">
        <f aca="false">MAX(0,Borçlar!$K$8-(O72+S72+W72+AA72+AE72+AI72+AM72+AQ72+AU72+AY72))</f>
        <v>19000</v>
      </c>
      <c r="D72" s="36" t="n">
        <f aca="false">O72+P72+S72+T72+W72+X72+AA72+AB72+AE72+AF72+AI72+AJ72+AM72+AN72+AQ72+AR72+AU72+AV72+AY72+AZ72</f>
        <v>0</v>
      </c>
      <c r="E72" s="36" t="n">
        <f aca="false">(N72+R72+V72+Z72+AD72+AH72+AL72+AP72+AT72+AX72)-(F71)</f>
        <v>0</v>
      </c>
      <c r="F72" s="36" t="n">
        <f aca="false">Q72+U72+Y72+AC72+AG72+AK72+AO72+AS72+AW72+BA72</f>
        <v>0</v>
      </c>
      <c r="N72" s="22" t="n">
        <f aca="false">Q71*(1+D$7)</f>
        <v>0</v>
      </c>
      <c r="O72" s="22" t="n">
        <f aca="false">MIN(N72,D$8)</f>
        <v>0</v>
      </c>
      <c r="P72" s="22" t="n">
        <f aca="false">MAX(0,MIN(N72-O72,$C72-(0)))</f>
        <v>0</v>
      </c>
      <c r="Q72" s="22" t="n">
        <f aca="false">ROUND(N72-O72-P72,2)</f>
        <v>0</v>
      </c>
      <c r="R72" s="22" t="n">
        <f aca="false">U71*(1+E$7)</f>
        <v>0</v>
      </c>
      <c r="S72" s="22" t="n">
        <f aca="false">MIN(R72,E$8)</f>
        <v>0</v>
      </c>
      <c r="T72" s="22" t="n">
        <f aca="false">MAX(0,MIN(R72-S72,$C72-(P72)))</f>
        <v>0</v>
      </c>
      <c r="U72" s="22" t="n">
        <f aca="false">ROUND(R72-S72-T72,2)</f>
        <v>0</v>
      </c>
      <c r="V72" s="22" t="n">
        <f aca="false">Y71*(1+F$7)</f>
        <v>0</v>
      </c>
      <c r="W72" s="22" t="n">
        <f aca="false">MIN(V72,F$8)</f>
        <v>0</v>
      </c>
      <c r="X72" s="22" t="n">
        <f aca="false">MAX(0,MIN(V72-W72,$C72-(P72+T72)))</f>
        <v>0</v>
      </c>
      <c r="Y72" s="22" t="n">
        <f aca="false">ROUND(V72-W72-X72,2)</f>
        <v>0</v>
      </c>
      <c r="Z72" s="22" t="n">
        <f aca="false">AC71*(1+G$7)</f>
        <v>0</v>
      </c>
      <c r="AA72" s="22" t="n">
        <f aca="false">MIN(Z72,G$8)</f>
        <v>0</v>
      </c>
      <c r="AB72" s="22" t="n">
        <f aca="false">MAX(0,MIN(Z72-AA72,$C72-(P72+T72+X72)))</f>
        <v>0</v>
      </c>
      <c r="AC72" s="22" t="n">
        <f aca="false">ROUND(Z72-AA72-AB72,2)</f>
        <v>0</v>
      </c>
      <c r="AD72" s="22" t="n">
        <f aca="false">AG71*(1+H$7)</f>
        <v>0</v>
      </c>
      <c r="AE72" s="22" t="n">
        <f aca="false">MIN(AD72,H$8)</f>
        <v>0</v>
      </c>
      <c r="AF72" s="22" t="n">
        <f aca="false">MAX(0,MIN(AD72-AE72,$C72-(P72+T72+X72+AB72)))</f>
        <v>0</v>
      </c>
      <c r="AG72" s="22" t="n">
        <f aca="false">ROUND(AD72-AE72-AF72,2)</f>
        <v>0</v>
      </c>
      <c r="AH72" s="22" t="n">
        <f aca="false">AK71*(1+I$7)</f>
        <v>0</v>
      </c>
      <c r="AI72" s="22" t="n">
        <f aca="false">MIN(AH72,I$8)</f>
        <v>0</v>
      </c>
      <c r="AJ72" s="22" t="n">
        <f aca="false">MAX(0,MIN(AH72-AI72,$C72-(P72+T72+X72+AB72+AF72)))</f>
        <v>0</v>
      </c>
      <c r="AK72" s="22" t="n">
        <f aca="false">ROUND(AH72-AI72-AJ72,2)</f>
        <v>0</v>
      </c>
      <c r="AL72" s="22" t="n">
        <f aca="false">AO71*(1+J$7)</f>
        <v>0</v>
      </c>
      <c r="AM72" s="22" t="n">
        <f aca="false">MIN(AL72,J$8)</f>
        <v>0</v>
      </c>
      <c r="AN72" s="22" t="n">
        <f aca="false">MAX(0,MIN(AL72-AM72,$C72-(P72+T72+X72+AB72+AF72+AJ72)))</f>
        <v>0</v>
      </c>
      <c r="AO72" s="22" t="n">
        <f aca="false">ROUND(AL72-AM72-AN72,2)</f>
        <v>0</v>
      </c>
      <c r="AP72" s="22" t="n">
        <f aca="false">AS71*(1+K$7)</f>
        <v>0</v>
      </c>
      <c r="AQ72" s="22" t="n">
        <f aca="false">MIN(AP72,K$8)</f>
        <v>0</v>
      </c>
      <c r="AR72" s="22" t="n">
        <f aca="false">MAX(0,MIN(AP72-AQ72,$C72-(P72+T72+X72+AB72+AF72+AJ72+AN72)))</f>
        <v>0</v>
      </c>
      <c r="AS72" s="22" t="n">
        <f aca="false">ROUND(AP72-AQ72-AR72,2)</f>
        <v>0</v>
      </c>
      <c r="AT72" s="22" t="n">
        <f aca="false">AW71*(1+L$7)</f>
        <v>0</v>
      </c>
      <c r="AU72" s="22" t="n">
        <f aca="false">MIN(AT72,L$8)</f>
        <v>0</v>
      </c>
      <c r="AV72" s="22" t="n">
        <f aca="false">MAX(0,MIN(AT72-AU72,$C72-(P72+T72+X72+AB72+AF72+AJ72+AN72+AR72)))</f>
        <v>0</v>
      </c>
      <c r="AW72" s="22" t="n">
        <f aca="false">ROUND(AT72-AU72-AV72,2)</f>
        <v>0</v>
      </c>
      <c r="AX72" s="22" t="n">
        <f aca="false">BA71*(1+M$7)</f>
        <v>0</v>
      </c>
      <c r="AY72" s="22" t="n">
        <f aca="false">MIN(AX72,M$8)</f>
        <v>0</v>
      </c>
      <c r="AZ72" s="22" t="n">
        <f aca="false">MAX(0,MIN(AX72-AY72,$C72-(P72+T72+X72+AB72+AF72+AJ72+AN72+AR72+AV72)))</f>
        <v>0</v>
      </c>
      <c r="BA72" s="22" t="n">
        <f aca="false">ROUND(AX72-AY72-AZ72,2)</f>
        <v>0</v>
      </c>
    </row>
    <row r="73" customFormat="false" ht="15" hidden="false" customHeight="false" outlineLevel="0" collapsed="false">
      <c r="A73" s="0" t="n">
        <v>63</v>
      </c>
      <c r="B73" s="39" t="n">
        <f aca="false">EDATE(Borçlar!$K$7,62)</f>
        <v>48183</v>
      </c>
      <c r="C73" s="36" t="n">
        <f aca="false">MAX(0,Borçlar!$K$8-(O73+S73+W73+AA73+AE73+AI73+AM73+AQ73+AU73+AY73))</f>
        <v>19000</v>
      </c>
      <c r="D73" s="36" t="n">
        <f aca="false">O73+P73+S73+T73+W73+X73+AA73+AB73+AE73+AF73+AI73+AJ73+AM73+AN73+AQ73+AR73+AU73+AV73+AY73+AZ73</f>
        <v>0</v>
      </c>
      <c r="E73" s="36" t="n">
        <f aca="false">(N73+R73+V73+Z73+AD73+AH73+AL73+AP73+AT73+AX73)-(F72)</f>
        <v>0</v>
      </c>
      <c r="F73" s="36" t="n">
        <f aca="false">Q73+U73+Y73+AC73+AG73+AK73+AO73+AS73+AW73+BA73</f>
        <v>0</v>
      </c>
      <c r="N73" s="22" t="n">
        <f aca="false">Q72*(1+D$7)</f>
        <v>0</v>
      </c>
      <c r="O73" s="22" t="n">
        <f aca="false">MIN(N73,D$8)</f>
        <v>0</v>
      </c>
      <c r="P73" s="22" t="n">
        <f aca="false">MAX(0,MIN(N73-O73,$C73-(0)))</f>
        <v>0</v>
      </c>
      <c r="Q73" s="22" t="n">
        <f aca="false">ROUND(N73-O73-P73,2)</f>
        <v>0</v>
      </c>
      <c r="R73" s="22" t="n">
        <f aca="false">U72*(1+E$7)</f>
        <v>0</v>
      </c>
      <c r="S73" s="22" t="n">
        <f aca="false">MIN(R73,E$8)</f>
        <v>0</v>
      </c>
      <c r="T73" s="22" t="n">
        <f aca="false">MAX(0,MIN(R73-S73,$C73-(P73)))</f>
        <v>0</v>
      </c>
      <c r="U73" s="22" t="n">
        <f aca="false">ROUND(R73-S73-T73,2)</f>
        <v>0</v>
      </c>
      <c r="V73" s="22" t="n">
        <f aca="false">Y72*(1+F$7)</f>
        <v>0</v>
      </c>
      <c r="W73" s="22" t="n">
        <f aca="false">MIN(V73,F$8)</f>
        <v>0</v>
      </c>
      <c r="X73" s="22" t="n">
        <f aca="false">MAX(0,MIN(V73-W73,$C73-(P73+T73)))</f>
        <v>0</v>
      </c>
      <c r="Y73" s="22" t="n">
        <f aca="false">ROUND(V73-W73-X73,2)</f>
        <v>0</v>
      </c>
      <c r="Z73" s="22" t="n">
        <f aca="false">AC72*(1+G$7)</f>
        <v>0</v>
      </c>
      <c r="AA73" s="22" t="n">
        <f aca="false">MIN(Z73,G$8)</f>
        <v>0</v>
      </c>
      <c r="AB73" s="22" t="n">
        <f aca="false">MAX(0,MIN(Z73-AA73,$C73-(P73+T73+X73)))</f>
        <v>0</v>
      </c>
      <c r="AC73" s="22" t="n">
        <f aca="false">ROUND(Z73-AA73-AB73,2)</f>
        <v>0</v>
      </c>
      <c r="AD73" s="22" t="n">
        <f aca="false">AG72*(1+H$7)</f>
        <v>0</v>
      </c>
      <c r="AE73" s="22" t="n">
        <f aca="false">MIN(AD73,H$8)</f>
        <v>0</v>
      </c>
      <c r="AF73" s="22" t="n">
        <f aca="false">MAX(0,MIN(AD73-AE73,$C73-(P73+T73+X73+AB73)))</f>
        <v>0</v>
      </c>
      <c r="AG73" s="22" t="n">
        <f aca="false">ROUND(AD73-AE73-AF73,2)</f>
        <v>0</v>
      </c>
      <c r="AH73" s="22" t="n">
        <f aca="false">AK72*(1+I$7)</f>
        <v>0</v>
      </c>
      <c r="AI73" s="22" t="n">
        <f aca="false">MIN(AH73,I$8)</f>
        <v>0</v>
      </c>
      <c r="AJ73" s="22" t="n">
        <f aca="false">MAX(0,MIN(AH73-AI73,$C73-(P73+T73+X73+AB73+AF73)))</f>
        <v>0</v>
      </c>
      <c r="AK73" s="22" t="n">
        <f aca="false">ROUND(AH73-AI73-AJ73,2)</f>
        <v>0</v>
      </c>
      <c r="AL73" s="22" t="n">
        <f aca="false">AO72*(1+J$7)</f>
        <v>0</v>
      </c>
      <c r="AM73" s="22" t="n">
        <f aca="false">MIN(AL73,J$8)</f>
        <v>0</v>
      </c>
      <c r="AN73" s="22" t="n">
        <f aca="false">MAX(0,MIN(AL73-AM73,$C73-(P73+T73+X73+AB73+AF73+AJ73)))</f>
        <v>0</v>
      </c>
      <c r="AO73" s="22" t="n">
        <f aca="false">ROUND(AL73-AM73-AN73,2)</f>
        <v>0</v>
      </c>
      <c r="AP73" s="22" t="n">
        <f aca="false">AS72*(1+K$7)</f>
        <v>0</v>
      </c>
      <c r="AQ73" s="22" t="n">
        <f aca="false">MIN(AP73,K$8)</f>
        <v>0</v>
      </c>
      <c r="AR73" s="22" t="n">
        <f aca="false">MAX(0,MIN(AP73-AQ73,$C73-(P73+T73+X73+AB73+AF73+AJ73+AN73)))</f>
        <v>0</v>
      </c>
      <c r="AS73" s="22" t="n">
        <f aca="false">ROUND(AP73-AQ73-AR73,2)</f>
        <v>0</v>
      </c>
      <c r="AT73" s="22" t="n">
        <f aca="false">AW72*(1+L$7)</f>
        <v>0</v>
      </c>
      <c r="AU73" s="22" t="n">
        <f aca="false">MIN(AT73,L$8)</f>
        <v>0</v>
      </c>
      <c r="AV73" s="22" t="n">
        <f aca="false">MAX(0,MIN(AT73-AU73,$C73-(P73+T73+X73+AB73+AF73+AJ73+AN73+AR73)))</f>
        <v>0</v>
      </c>
      <c r="AW73" s="22" t="n">
        <f aca="false">ROUND(AT73-AU73-AV73,2)</f>
        <v>0</v>
      </c>
      <c r="AX73" s="22" t="n">
        <f aca="false">BA72*(1+M$7)</f>
        <v>0</v>
      </c>
      <c r="AY73" s="22" t="n">
        <f aca="false">MIN(AX73,M$8)</f>
        <v>0</v>
      </c>
      <c r="AZ73" s="22" t="n">
        <f aca="false">MAX(0,MIN(AX73-AY73,$C73-(P73+T73+X73+AB73+AF73+AJ73+AN73+AR73+AV73)))</f>
        <v>0</v>
      </c>
      <c r="BA73" s="22" t="n">
        <f aca="false">ROUND(AX73-AY73-AZ73,2)</f>
        <v>0</v>
      </c>
    </row>
    <row r="74" customFormat="false" ht="15" hidden="false" customHeight="false" outlineLevel="0" collapsed="false">
      <c r="A74" s="0" t="n">
        <v>64</v>
      </c>
      <c r="B74" s="39" t="n">
        <f aca="false">EDATE(Borçlar!$K$7,63)</f>
        <v>48214</v>
      </c>
      <c r="C74" s="36" t="n">
        <f aca="false">MAX(0,Borçlar!$K$8-(O74+S74+W74+AA74+AE74+AI74+AM74+AQ74+AU74+AY74))</f>
        <v>19000</v>
      </c>
      <c r="D74" s="36" t="n">
        <f aca="false">O74+P74+S74+T74+W74+X74+AA74+AB74+AE74+AF74+AI74+AJ74+AM74+AN74+AQ74+AR74+AU74+AV74+AY74+AZ74</f>
        <v>0</v>
      </c>
      <c r="E74" s="36" t="n">
        <f aca="false">(N74+R74+V74+Z74+AD74+AH74+AL74+AP74+AT74+AX74)-(F73)</f>
        <v>0</v>
      </c>
      <c r="F74" s="36" t="n">
        <f aca="false">Q74+U74+Y74+AC74+AG74+AK74+AO74+AS74+AW74+BA74</f>
        <v>0</v>
      </c>
      <c r="N74" s="22" t="n">
        <f aca="false">Q73*(1+D$7)</f>
        <v>0</v>
      </c>
      <c r="O74" s="22" t="n">
        <f aca="false">MIN(N74,D$8)</f>
        <v>0</v>
      </c>
      <c r="P74" s="22" t="n">
        <f aca="false">MAX(0,MIN(N74-O74,$C74-(0)))</f>
        <v>0</v>
      </c>
      <c r="Q74" s="22" t="n">
        <f aca="false">ROUND(N74-O74-P74,2)</f>
        <v>0</v>
      </c>
      <c r="R74" s="22" t="n">
        <f aca="false">U73*(1+E$7)</f>
        <v>0</v>
      </c>
      <c r="S74" s="22" t="n">
        <f aca="false">MIN(R74,E$8)</f>
        <v>0</v>
      </c>
      <c r="T74" s="22" t="n">
        <f aca="false">MAX(0,MIN(R74-S74,$C74-(P74)))</f>
        <v>0</v>
      </c>
      <c r="U74" s="22" t="n">
        <f aca="false">ROUND(R74-S74-T74,2)</f>
        <v>0</v>
      </c>
      <c r="V74" s="22" t="n">
        <f aca="false">Y73*(1+F$7)</f>
        <v>0</v>
      </c>
      <c r="W74" s="22" t="n">
        <f aca="false">MIN(V74,F$8)</f>
        <v>0</v>
      </c>
      <c r="X74" s="22" t="n">
        <f aca="false">MAX(0,MIN(V74-W74,$C74-(P74+T74)))</f>
        <v>0</v>
      </c>
      <c r="Y74" s="22" t="n">
        <f aca="false">ROUND(V74-W74-X74,2)</f>
        <v>0</v>
      </c>
      <c r="Z74" s="22" t="n">
        <f aca="false">AC73*(1+G$7)</f>
        <v>0</v>
      </c>
      <c r="AA74" s="22" t="n">
        <f aca="false">MIN(Z74,G$8)</f>
        <v>0</v>
      </c>
      <c r="AB74" s="22" t="n">
        <f aca="false">MAX(0,MIN(Z74-AA74,$C74-(P74+T74+X74)))</f>
        <v>0</v>
      </c>
      <c r="AC74" s="22" t="n">
        <f aca="false">ROUND(Z74-AA74-AB74,2)</f>
        <v>0</v>
      </c>
      <c r="AD74" s="22" t="n">
        <f aca="false">AG73*(1+H$7)</f>
        <v>0</v>
      </c>
      <c r="AE74" s="22" t="n">
        <f aca="false">MIN(AD74,H$8)</f>
        <v>0</v>
      </c>
      <c r="AF74" s="22" t="n">
        <f aca="false">MAX(0,MIN(AD74-AE74,$C74-(P74+T74+X74+AB74)))</f>
        <v>0</v>
      </c>
      <c r="AG74" s="22" t="n">
        <f aca="false">ROUND(AD74-AE74-AF74,2)</f>
        <v>0</v>
      </c>
      <c r="AH74" s="22" t="n">
        <f aca="false">AK73*(1+I$7)</f>
        <v>0</v>
      </c>
      <c r="AI74" s="22" t="n">
        <f aca="false">MIN(AH74,I$8)</f>
        <v>0</v>
      </c>
      <c r="AJ74" s="22" t="n">
        <f aca="false">MAX(0,MIN(AH74-AI74,$C74-(P74+T74+X74+AB74+AF74)))</f>
        <v>0</v>
      </c>
      <c r="AK74" s="22" t="n">
        <f aca="false">ROUND(AH74-AI74-AJ74,2)</f>
        <v>0</v>
      </c>
      <c r="AL74" s="22" t="n">
        <f aca="false">AO73*(1+J$7)</f>
        <v>0</v>
      </c>
      <c r="AM74" s="22" t="n">
        <f aca="false">MIN(AL74,J$8)</f>
        <v>0</v>
      </c>
      <c r="AN74" s="22" t="n">
        <f aca="false">MAX(0,MIN(AL74-AM74,$C74-(P74+T74+X74+AB74+AF74+AJ74)))</f>
        <v>0</v>
      </c>
      <c r="AO74" s="22" t="n">
        <f aca="false">ROUND(AL74-AM74-AN74,2)</f>
        <v>0</v>
      </c>
      <c r="AP74" s="22" t="n">
        <f aca="false">AS73*(1+K$7)</f>
        <v>0</v>
      </c>
      <c r="AQ74" s="22" t="n">
        <f aca="false">MIN(AP74,K$8)</f>
        <v>0</v>
      </c>
      <c r="AR74" s="22" t="n">
        <f aca="false">MAX(0,MIN(AP74-AQ74,$C74-(P74+T74+X74+AB74+AF74+AJ74+AN74)))</f>
        <v>0</v>
      </c>
      <c r="AS74" s="22" t="n">
        <f aca="false">ROUND(AP74-AQ74-AR74,2)</f>
        <v>0</v>
      </c>
      <c r="AT74" s="22" t="n">
        <f aca="false">AW73*(1+L$7)</f>
        <v>0</v>
      </c>
      <c r="AU74" s="22" t="n">
        <f aca="false">MIN(AT74,L$8)</f>
        <v>0</v>
      </c>
      <c r="AV74" s="22" t="n">
        <f aca="false">MAX(0,MIN(AT74-AU74,$C74-(P74+T74+X74+AB74+AF74+AJ74+AN74+AR74)))</f>
        <v>0</v>
      </c>
      <c r="AW74" s="22" t="n">
        <f aca="false">ROUND(AT74-AU74-AV74,2)</f>
        <v>0</v>
      </c>
      <c r="AX74" s="22" t="n">
        <f aca="false">BA73*(1+M$7)</f>
        <v>0</v>
      </c>
      <c r="AY74" s="22" t="n">
        <f aca="false">MIN(AX74,M$8)</f>
        <v>0</v>
      </c>
      <c r="AZ74" s="22" t="n">
        <f aca="false">MAX(0,MIN(AX74-AY74,$C74-(P74+T74+X74+AB74+AF74+AJ74+AN74+AR74+AV74)))</f>
        <v>0</v>
      </c>
      <c r="BA74" s="22" t="n">
        <f aca="false">ROUND(AX74-AY74-AZ74,2)</f>
        <v>0</v>
      </c>
    </row>
    <row r="75" customFormat="false" ht="15" hidden="false" customHeight="false" outlineLevel="0" collapsed="false">
      <c r="A75" s="0" t="n">
        <v>65</v>
      </c>
      <c r="B75" s="39" t="n">
        <f aca="false">EDATE(Borçlar!$K$7,64)</f>
        <v>48245</v>
      </c>
      <c r="C75" s="36" t="n">
        <f aca="false">MAX(0,Borçlar!$K$8-(O75+S75+W75+AA75+AE75+AI75+AM75+AQ75+AU75+AY75))</f>
        <v>19000</v>
      </c>
      <c r="D75" s="36" t="n">
        <f aca="false">O75+P75+S75+T75+W75+X75+AA75+AB75+AE75+AF75+AI75+AJ75+AM75+AN75+AQ75+AR75+AU75+AV75+AY75+AZ75</f>
        <v>0</v>
      </c>
      <c r="E75" s="36" t="n">
        <f aca="false">(N75+R75+V75+Z75+AD75+AH75+AL75+AP75+AT75+AX75)-(F74)</f>
        <v>0</v>
      </c>
      <c r="F75" s="36" t="n">
        <f aca="false">Q75+U75+Y75+AC75+AG75+AK75+AO75+AS75+AW75+BA75</f>
        <v>0</v>
      </c>
      <c r="N75" s="22" t="n">
        <f aca="false">Q74*(1+D$7)</f>
        <v>0</v>
      </c>
      <c r="O75" s="22" t="n">
        <f aca="false">MIN(N75,D$8)</f>
        <v>0</v>
      </c>
      <c r="P75" s="22" t="n">
        <f aca="false">MAX(0,MIN(N75-O75,$C75-(0)))</f>
        <v>0</v>
      </c>
      <c r="Q75" s="22" t="n">
        <f aca="false">ROUND(N75-O75-P75,2)</f>
        <v>0</v>
      </c>
      <c r="R75" s="22" t="n">
        <f aca="false">U74*(1+E$7)</f>
        <v>0</v>
      </c>
      <c r="S75" s="22" t="n">
        <f aca="false">MIN(R75,E$8)</f>
        <v>0</v>
      </c>
      <c r="T75" s="22" t="n">
        <f aca="false">MAX(0,MIN(R75-S75,$C75-(P75)))</f>
        <v>0</v>
      </c>
      <c r="U75" s="22" t="n">
        <f aca="false">ROUND(R75-S75-T75,2)</f>
        <v>0</v>
      </c>
      <c r="V75" s="22" t="n">
        <f aca="false">Y74*(1+F$7)</f>
        <v>0</v>
      </c>
      <c r="W75" s="22" t="n">
        <f aca="false">MIN(V75,F$8)</f>
        <v>0</v>
      </c>
      <c r="X75" s="22" t="n">
        <f aca="false">MAX(0,MIN(V75-W75,$C75-(P75+T75)))</f>
        <v>0</v>
      </c>
      <c r="Y75" s="22" t="n">
        <f aca="false">ROUND(V75-W75-X75,2)</f>
        <v>0</v>
      </c>
      <c r="Z75" s="22" t="n">
        <f aca="false">AC74*(1+G$7)</f>
        <v>0</v>
      </c>
      <c r="AA75" s="22" t="n">
        <f aca="false">MIN(Z75,G$8)</f>
        <v>0</v>
      </c>
      <c r="AB75" s="22" t="n">
        <f aca="false">MAX(0,MIN(Z75-AA75,$C75-(P75+T75+X75)))</f>
        <v>0</v>
      </c>
      <c r="AC75" s="22" t="n">
        <f aca="false">ROUND(Z75-AA75-AB75,2)</f>
        <v>0</v>
      </c>
      <c r="AD75" s="22" t="n">
        <f aca="false">AG74*(1+H$7)</f>
        <v>0</v>
      </c>
      <c r="AE75" s="22" t="n">
        <f aca="false">MIN(AD75,H$8)</f>
        <v>0</v>
      </c>
      <c r="AF75" s="22" t="n">
        <f aca="false">MAX(0,MIN(AD75-AE75,$C75-(P75+T75+X75+AB75)))</f>
        <v>0</v>
      </c>
      <c r="AG75" s="22" t="n">
        <f aca="false">ROUND(AD75-AE75-AF75,2)</f>
        <v>0</v>
      </c>
      <c r="AH75" s="22" t="n">
        <f aca="false">AK74*(1+I$7)</f>
        <v>0</v>
      </c>
      <c r="AI75" s="22" t="n">
        <f aca="false">MIN(AH75,I$8)</f>
        <v>0</v>
      </c>
      <c r="AJ75" s="22" t="n">
        <f aca="false">MAX(0,MIN(AH75-AI75,$C75-(P75+T75+X75+AB75+AF75)))</f>
        <v>0</v>
      </c>
      <c r="AK75" s="22" t="n">
        <f aca="false">ROUND(AH75-AI75-AJ75,2)</f>
        <v>0</v>
      </c>
      <c r="AL75" s="22" t="n">
        <f aca="false">AO74*(1+J$7)</f>
        <v>0</v>
      </c>
      <c r="AM75" s="22" t="n">
        <f aca="false">MIN(AL75,J$8)</f>
        <v>0</v>
      </c>
      <c r="AN75" s="22" t="n">
        <f aca="false">MAX(0,MIN(AL75-AM75,$C75-(P75+T75+X75+AB75+AF75+AJ75)))</f>
        <v>0</v>
      </c>
      <c r="AO75" s="22" t="n">
        <f aca="false">ROUND(AL75-AM75-AN75,2)</f>
        <v>0</v>
      </c>
      <c r="AP75" s="22" t="n">
        <f aca="false">AS74*(1+K$7)</f>
        <v>0</v>
      </c>
      <c r="AQ75" s="22" t="n">
        <f aca="false">MIN(AP75,K$8)</f>
        <v>0</v>
      </c>
      <c r="AR75" s="22" t="n">
        <f aca="false">MAX(0,MIN(AP75-AQ75,$C75-(P75+T75+X75+AB75+AF75+AJ75+AN75)))</f>
        <v>0</v>
      </c>
      <c r="AS75" s="22" t="n">
        <f aca="false">ROUND(AP75-AQ75-AR75,2)</f>
        <v>0</v>
      </c>
      <c r="AT75" s="22" t="n">
        <f aca="false">AW74*(1+L$7)</f>
        <v>0</v>
      </c>
      <c r="AU75" s="22" t="n">
        <f aca="false">MIN(AT75,L$8)</f>
        <v>0</v>
      </c>
      <c r="AV75" s="22" t="n">
        <f aca="false">MAX(0,MIN(AT75-AU75,$C75-(P75+T75+X75+AB75+AF75+AJ75+AN75+AR75)))</f>
        <v>0</v>
      </c>
      <c r="AW75" s="22" t="n">
        <f aca="false">ROUND(AT75-AU75-AV75,2)</f>
        <v>0</v>
      </c>
      <c r="AX75" s="22" t="n">
        <f aca="false">BA74*(1+M$7)</f>
        <v>0</v>
      </c>
      <c r="AY75" s="22" t="n">
        <f aca="false">MIN(AX75,M$8)</f>
        <v>0</v>
      </c>
      <c r="AZ75" s="22" t="n">
        <f aca="false">MAX(0,MIN(AX75-AY75,$C75-(P75+T75+X75+AB75+AF75+AJ75+AN75+AR75+AV75)))</f>
        <v>0</v>
      </c>
      <c r="BA75" s="22" t="n">
        <f aca="false">ROUND(AX75-AY75-AZ75,2)</f>
        <v>0</v>
      </c>
    </row>
    <row r="76" customFormat="false" ht="15" hidden="false" customHeight="false" outlineLevel="0" collapsed="false">
      <c r="A76" s="0" t="n">
        <v>66</v>
      </c>
      <c r="B76" s="39" t="n">
        <f aca="false">EDATE(Borçlar!$K$7,65)</f>
        <v>48274</v>
      </c>
      <c r="C76" s="36" t="n">
        <f aca="false">MAX(0,Borçlar!$K$8-(O76+S76+W76+AA76+AE76+AI76+AM76+AQ76+AU76+AY76))</f>
        <v>19000</v>
      </c>
      <c r="D76" s="36" t="n">
        <f aca="false">O76+P76+S76+T76+W76+X76+AA76+AB76+AE76+AF76+AI76+AJ76+AM76+AN76+AQ76+AR76+AU76+AV76+AY76+AZ76</f>
        <v>0</v>
      </c>
      <c r="E76" s="36" t="n">
        <f aca="false">(N76+R76+V76+Z76+AD76+AH76+AL76+AP76+AT76+AX76)-(F75)</f>
        <v>0</v>
      </c>
      <c r="F76" s="36" t="n">
        <f aca="false">Q76+U76+Y76+AC76+AG76+AK76+AO76+AS76+AW76+BA76</f>
        <v>0</v>
      </c>
      <c r="N76" s="22" t="n">
        <f aca="false">Q75*(1+D$7)</f>
        <v>0</v>
      </c>
      <c r="O76" s="22" t="n">
        <f aca="false">MIN(N76,D$8)</f>
        <v>0</v>
      </c>
      <c r="P76" s="22" t="n">
        <f aca="false">MAX(0,MIN(N76-O76,$C76-(0)))</f>
        <v>0</v>
      </c>
      <c r="Q76" s="22" t="n">
        <f aca="false">ROUND(N76-O76-P76,2)</f>
        <v>0</v>
      </c>
      <c r="R76" s="22" t="n">
        <f aca="false">U75*(1+E$7)</f>
        <v>0</v>
      </c>
      <c r="S76" s="22" t="n">
        <f aca="false">MIN(R76,E$8)</f>
        <v>0</v>
      </c>
      <c r="T76" s="22" t="n">
        <f aca="false">MAX(0,MIN(R76-S76,$C76-(P76)))</f>
        <v>0</v>
      </c>
      <c r="U76" s="22" t="n">
        <f aca="false">ROUND(R76-S76-T76,2)</f>
        <v>0</v>
      </c>
      <c r="V76" s="22" t="n">
        <f aca="false">Y75*(1+F$7)</f>
        <v>0</v>
      </c>
      <c r="W76" s="22" t="n">
        <f aca="false">MIN(V76,F$8)</f>
        <v>0</v>
      </c>
      <c r="X76" s="22" t="n">
        <f aca="false">MAX(0,MIN(V76-W76,$C76-(P76+T76)))</f>
        <v>0</v>
      </c>
      <c r="Y76" s="22" t="n">
        <f aca="false">ROUND(V76-W76-X76,2)</f>
        <v>0</v>
      </c>
      <c r="Z76" s="22" t="n">
        <f aca="false">AC75*(1+G$7)</f>
        <v>0</v>
      </c>
      <c r="AA76" s="22" t="n">
        <f aca="false">MIN(Z76,G$8)</f>
        <v>0</v>
      </c>
      <c r="AB76" s="22" t="n">
        <f aca="false">MAX(0,MIN(Z76-AA76,$C76-(P76+T76+X76)))</f>
        <v>0</v>
      </c>
      <c r="AC76" s="22" t="n">
        <f aca="false">ROUND(Z76-AA76-AB76,2)</f>
        <v>0</v>
      </c>
      <c r="AD76" s="22" t="n">
        <f aca="false">AG75*(1+H$7)</f>
        <v>0</v>
      </c>
      <c r="AE76" s="22" t="n">
        <f aca="false">MIN(AD76,H$8)</f>
        <v>0</v>
      </c>
      <c r="AF76" s="22" t="n">
        <f aca="false">MAX(0,MIN(AD76-AE76,$C76-(P76+T76+X76+AB76)))</f>
        <v>0</v>
      </c>
      <c r="AG76" s="22" t="n">
        <f aca="false">ROUND(AD76-AE76-AF76,2)</f>
        <v>0</v>
      </c>
      <c r="AH76" s="22" t="n">
        <f aca="false">AK75*(1+I$7)</f>
        <v>0</v>
      </c>
      <c r="AI76" s="22" t="n">
        <f aca="false">MIN(AH76,I$8)</f>
        <v>0</v>
      </c>
      <c r="AJ76" s="22" t="n">
        <f aca="false">MAX(0,MIN(AH76-AI76,$C76-(P76+T76+X76+AB76+AF76)))</f>
        <v>0</v>
      </c>
      <c r="AK76" s="22" t="n">
        <f aca="false">ROUND(AH76-AI76-AJ76,2)</f>
        <v>0</v>
      </c>
      <c r="AL76" s="22" t="n">
        <f aca="false">AO75*(1+J$7)</f>
        <v>0</v>
      </c>
      <c r="AM76" s="22" t="n">
        <f aca="false">MIN(AL76,J$8)</f>
        <v>0</v>
      </c>
      <c r="AN76" s="22" t="n">
        <f aca="false">MAX(0,MIN(AL76-AM76,$C76-(P76+T76+X76+AB76+AF76+AJ76)))</f>
        <v>0</v>
      </c>
      <c r="AO76" s="22" t="n">
        <f aca="false">ROUND(AL76-AM76-AN76,2)</f>
        <v>0</v>
      </c>
      <c r="AP76" s="22" t="n">
        <f aca="false">AS75*(1+K$7)</f>
        <v>0</v>
      </c>
      <c r="AQ76" s="22" t="n">
        <f aca="false">MIN(AP76,K$8)</f>
        <v>0</v>
      </c>
      <c r="AR76" s="22" t="n">
        <f aca="false">MAX(0,MIN(AP76-AQ76,$C76-(P76+T76+X76+AB76+AF76+AJ76+AN76)))</f>
        <v>0</v>
      </c>
      <c r="AS76" s="22" t="n">
        <f aca="false">ROUND(AP76-AQ76-AR76,2)</f>
        <v>0</v>
      </c>
      <c r="AT76" s="22" t="n">
        <f aca="false">AW75*(1+L$7)</f>
        <v>0</v>
      </c>
      <c r="AU76" s="22" t="n">
        <f aca="false">MIN(AT76,L$8)</f>
        <v>0</v>
      </c>
      <c r="AV76" s="22" t="n">
        <f aca="false">MAX(0,MIN(AT76-AU76,$C76-(P76+T76+X76+AB76+AF76+AJ76+AN76+AR76)))</f>
        <v>0</v>
      </c>
      <c r="AW76" s="22" t="n">
        <f aca="false">ROUND(AT76-AU76-AV76,2)</f>
        <v>0</v>
      </c>
      <c r="AX76" s="22" t="n">
        <f aca="false">BA75*(1+M$7)</f>
        <v>0</v>
      </c>
      <c r="AY76" s="22" t="n">
        <f aca="false">MIN(AX76,M$8)</f>
        <v>0</v>
      </c>
      <c r="AZ76" s="22" t="n">
        <f aca="false">MAX(0,MIN(AX76-AY76,$C76-(P76+T76+X76+AB76+AF76+AJ76+AN76+AR76+AV76)))</f>
        <v>0</v>
      </c>
      <c r="BA76" s="22" t="n">
        <f aca="false">ROUND(AX76-AY76-AZ76,2)</f>
        <v>0</v>
      </c>
    </row>
    <row r="77" customFormat="false" ht="15" hidden="false" customHeight="false" outlineLevel="0" collapsed="false">
      <c r="A77" s="0" t="n">
        <v>67</v>
      </c>
      <c r="B77" s="39" t="n">
        <f aca="false">EDATE(Borçlar!$K$7,66)</f>
        <v>48305</v>
      </c>
      <c r="C77" s="36" t="n">
        <f aca="false">MAX(0,Borçlar!$K$8-(O77+S77+W77+AA77+AE77+AI77+AM77+AQ77+AU77+AY77))</f>
        <v>19000</v>
      </c>
      <c r="D77" s="36" t="n">
        <f aca="false">O77+P77+S77+T77+W77+X77+AA77+AB77+AE77+AF77+AI77+AJ77+AM77+AN77+AQ77+AR77+AU77+AV77+AY77+AZ77</f>
        <v>0</v>
      </c>
      <c r="E77" s="36" t="n">
        <f aca="false">(N77+R77+V77+Z77+AD77+AH77+AL77+AP77+AT77+AX77)-(F76)</f>
        <v>0</v>
      </c>
      <c r="F77" s="36" t="n">
        <f aca="false">Q77+U77+Y77+AC77+AG77+AK77+AO77+AS77+AW77+BA77</f>
        <v>0</v>
      </c>
      <c r="N77" s="22" t="n">
        <f aca="false">Q76*(1+D$7)</f>
        <v>0</v>
      </c>
      <c r="O77" s="22" t="n">
        <f aca="false">MIN(N77,D$8)</f>
        <v>0</v>
      </c>
      <c r="P77" s="22" t="n">
        <f aca="false">MAX(0,MIN(N77-O77,$C77-(0)))</f>
        <v>0</v>
      </c>
      <c r="Q77" s="22" t="n">
        <f aca="false">ROUND(N77-O77-P77,2)</f>
        <v>0</v>
      </c>
      <c r="R77" s="22" t="n">
        <f aca="false">U76*(1+E$7)</f>
        <v>0</v>
      </c>
      <c r="S77" s="22" t="n">
        <f aca="false">MIN(R77,E$8)</f>
        <v>0</v>
      </c>
      <c r="T77" s="22" t="n">
        <f aca="false">MAX(0,MIN(R77-S77,$C77-(P77)))</f>
        <v>0</v>
      </c>
      <c r="U77" s="22" t="n">
        <f aca="false">ROUND(R77-S77-T77,2)</f>
        <v>0</v>
      </c>
      <c r="V77" s="22" t="n">
        <f aca="false">Y76*(1+F$7)</f>
        <v>0</v>
      </c>
      <c r="W77" s="22" t="n">
        <f aca="false">MIN(V77,F$8)</f>
        <v>0</v>
      </c>
      <c r="X77" s="22" t="n">
        <f aca="false">MAX(0,MIN(V77-W77,$C77-(P77+T77)))</f>
        <v>0</v>
      </c>
      <c r="Y77" s="22" t="n">
        <f aca="false">ROUND(V77-W77-X77,2)</f>
        <v>0</v>
      </c>
      <c r="Z77" s="22" t="n">
        <f aca="false">AC76*(1+G$7)</f>
        <v>0</v>
      </c>
      <c r="AA77" s="22" t="n">
        <f aca="false">MIN(Z77,G$8)</f>
        <v>0</v>
      </c>
      <c r="AB77" s="22" t="n">
        <f aca="false">MAX(0,MIN(Z77-AA77,$C77-(P77+T77+X77)))</f>
        <v>0</v>
      </c>
      <c r="AC77" s="22" t="n">
        <f aca="false">ROUND(Z77-AA77-AB77,2)</f>
        <v>0</v>
      </c>
      <c r="AD77" s="22" t="n">
        <f aca="false">AG76*(1+H$7)</f>
        <v>0</v>
      </c>
      <c r="AE77" s="22" t="n">
        <f aca="false">MIN(AD77,H$8)</f>
        <v>0</v>
      </c>
      <c r="AF77" s="22" t="n">
        <f aca="false">MAX(0,MIN(AD77-AE77,$C77-(P77+T77+X77+AB77)))</f>
        <v>0</v>
      </c>
      <c r="AG77" s="22" t="n">
        <f aca="false">ROUND(AD77-AE77-AF77,2)</f>
        <v>0</v>
      </c>
      <c r="AH77" s="22" t="n">
        <f aca="false">AK76*(1+I$7)</f>
        <v>0</v>
      </c>
      <c r="AI77" s="22" t="n">
        <f aca="false">MIN(AH77,I$8)</f>
        <v>0</v>
      </c>
      <c r="AJ77" s="22" t="n">
        <f aca="false">MAX(0,MIN(AH77-AI77,$C77-(P77+T77+X77+AB77+AF77)))</f>
        <v>0</v>
      </c>
      <c r="AK77" s="22" t="n">
        <f aca="false">ROUND(AH77-AI77-AJ77,2)</f>
        <v>0</v>
      </c>
      <c r="AL77" s="22" t="n">
        <f aca="false">AO76*(1+J$7)</f>
        <v>0</v>
      </c>
      <c r="AM77" s="22" t="n">
        <f aca="false">MIN(AL77,J$8)</f>
        <v>0</v>
      </c>
      <c r="AN77" s="22" t="n">
        <f aca="false">MAX(0,MIN(AL77-AM77,$C77-(P77+T77+X77+AB77+AF77+AJ77)))</f>
        <v>0</v>
      </c>
      <c r="AO77" s="22" t="n">
        <f aca="false">ROUND(AL77-AM77-AN77,2)</f>
        <v>0</v>
      </c>
      <c r="AP77" s="22" t="n">
        <f aca="false">AS76*(1+K$7)</f>
        <v>0</v>
      </c>
      <c r="AQ77" s="22" t="n">
        <f aca="false">MIN(AP77,K$8)</f>
        <v>0</v>
      </c>
      <c r="AR77" s="22" t="n">
        <f aca="false">MAX(0,MIN(AP77-AQ77,$C77-(P77+T77+X77+AB77+AF77+AJ77+AN77)))</f>
        <v>0</v>
      </c>
      <c r="AS77" s="22" t="n">
        <f aca="false">ROUND(AP77-AQ77-AR77,2)</f>
        <v>0</v>
      </c>
      <c r="AT77" s="22" t="n">
        <f aca="false">AW76*(1+L$7)</f>
        <v>0</v>
      </c>
      <c r="AU77" s="22" t="n">
        <f aca="false">MIN(AT77,L$8)</f>
        <v>0</v>
      </c>
      <c r="AV77" s="22" t="n">
        <f aca="false">MAX(0,MIN(AT77-AU77,$C77-(P77+T77+X77+AB77+AF77+AJ77+AN77+AR77)))</f>
        <v>0</v>
      </c>
      <c r="AW77" s="22" t="n">
        <f aca="false">ROUND(AT77-AU77-AV77,2)</f>
        <v>0</v>
      </c>
      <c r="AX77" s="22" t="n">
        <f aca="false">BA76*(1+M$7)</f>
        <v>0</v>
      </c>
      <c r="AY77" s="22" t="n">
        <f aca="false">MIN(AX77,M$8)</f>
        <v>0</v>
      </c>
      <c r="AZ77" s="22" t="n">
        <f aca="false">MAX(0,MIN(AX77-AY77,$C77-(P77+T77+X77+AB77+AF77+AJ77+AN77+AR77+AV77)))</f>
        <v>0</v>
      </c>
      <c r="BA77" s="22" t="n">
        <f aca="false">ROUND(AX77-AY77-AZ77,2)</f>
        <v>0</v>
      </c>
    </row>
    <row r="78" customFormat="false" ht="15" hidden="false" customHeight="false" outlineLevel="0" collapsed="false">
      <c r="A78" s="0" t="n">
        <v>68</v>
      </c>
      <c r="B78" s="39" t="n">
        <f aca="false">EDATE(Borçlar!$K$7,67)</f>
        <v>48335</v>
      </c>
      <c r="C78" s="36" t="n">
        <f aca="false">MAX(0,Borçlar!$K$8-(O78+S78+W78+AA78+AE78+AI78+AM78+AQ78+AU78+AY78))</f>
        <v>19000</v>
      </c>
      <c r="D78" s="36" t="n">
        <f aca="false">O78+P78+S78+T78+W78+X78+AA78+AB78+AE78+AF78+AI78+AJ78+AM78+AN78+AQ78+AR78+AU78+AV78+AY78+AZ78</f>
        <v>0</v>
      </c>
      <c r="E78" s="36" t="n">
        <f aca="false">(N78+R78+V78+Z78+AD78+AH78+AL78+AP78+AT78+AX78)-(F77)</f>
        <v>0</v>
      </c>
      <c r="F78" s="36" t="n">
        <f aca="false">Q78+U78+Y78+AC78+AG78+AK78+AO78+AS78+AW78+BA78</f>
        <v>0</v>
      </c>
      <c r="N78" s="22" t="n">
        <f aca="false">Q77*(1+D$7)</f>
        <v>0</v>
      </c>
      <c r="O78" s="22" t="n">
        <f aca="false">MIN(N78,D$8)</f>
        <v>0</v>
      </c>
      <c r="P78" s="22" t="n">
        <f aca="false">MAX(0,MIN(N78-O78,$C78-(0)))</f>
        <v>0</v>
      </c>
      <c r="Q78" s="22" t="n">
        <f aca="false">ROUND(N78-O78-P78,2)</f>
        <v>0</v>
      </c>
      <c r="R78" s="22" t="n">
        <f aca="false">U77*(1+E$7)</f>
        <v>0</v>
      </c>
      <c r="S78" s="22" t="n">
        <f aca="false">MIN(R78,E$8)</f>
        <v>0</v>
      </c>
      <c r="T78" s="22" t="n">
        <f aca="false">MAX(0,MIN(R78-S78,$C78-(P78)))</f>
        <v>0</v>
      </c>
      <c r="U78" s="22" t="n">
        <f aca="false">ROUND(R78-S78-T78,2)</f>
        <v>0</v>
      </c>
      <c r="V78" s="22" t="n">
        <f aca="false">Y77*(1+F$7)</f>
        <v>0</v>
      </c>
      <c r="W78" s="22" t="n">
        <f aca="false">MIN(V78,F$8)</f>
        <v>0</v>
      </c>
      <c r="X78" s="22" t="n">
        <f aca="false">MAX(0,MIN(V78-W78,$C78-(P78+T78)))</f>
        <v>0</v>
      </c>
      <c r="Y78" s="22" t="n">
        <f aca="false">ROUND(V78-W78-X78,2)</f>
        <v>0</v>
      </c>
      <c r="Z78" s="22" t="n">
        <f aca="false">AC77*(1+G$7)</f>
        <v>0</v>
      </c>
      <c r="AA78" s="22" t="n">
        <f aca="false">MIN(Z78,G$8)</f>
        <v>0</v>
      </c>
      <c r="AB78" s="22" t="n">
        <f aca="false">MAX(0,MIN(Z78-AA78,$C78-(P78+T78+X78)))</f>
        <v>0</v>
      </c>
      <c r="AC78" s="22" t="n">
        <f aca="false">ROUND(Z78-AA78-AB78,2)</f>
        <v>0</v>
      </c>
      <c r="AD78" s="22" t="n">
        <f aca="false">AG77*(1+H$7)</f>
        <v>0</v>
      </c>
      <c r="AE78" s="22" t="n">
        <f aca="false">MIN(AD78,H$8)</f>
        <v>0</v>
      </c>
      <c r="AF78" s="22" t="n">
        <f aca="false">MAX(0,MIN(AD78-AE78,$C78-(P78+T78+X78+AB78)))</f>
        <v>0</v>
      </c>
      <c r="AG78" s="22" t="n">
        <f aca="false">ROUND(AD78-AE78-AF78,2)</f>
        <v>0</v>
      </c>
      <c r="AH78" s="22" t="n">
        <f aca="false">AK77*(1+I$7)</f>
        <v>0</v>
      </c>
      <c r="AI78" s="22" t="n">
        <f aca="false">MIN(AH78,I$8)</f>
        <v>0</v>
      </c>
      <c r="AJ78" s="22" t="n">
        <f aca="false">MAX(0,MIN(AH78-AI78,$C78-(P78+T78+X78+AB78+AF78)))</f>
        <v>0</v>
      </c>
      <c r="AK78" s="22" t="n">
        <f aca="false">ROUND(AH78-AI78-AJ78,2)</f>
        <v>0</v>
      </c>
      <c r="AL78" s="22" t="n">
        <f aca="false">AO77*(1+J$7)</f>
        <v>0</v>
      </c>
      <c r="AM78" s="22" t="n">
        <f aca="false">MIN(AL78,J$8)</f>
        <v>0</v>
      </c>
      <c r="AN78" s="22" t="n">
        <f aca="false">MAX(0,MIN(AL78-AM78,$C78-(P78+T78+X78+AB78+AF78+AJ78)))</f>
        <v>0</v>
      </c>
      <c r="AO78" s="22" t="n">
        <f aca="false">ROUND(AL78-AM78-AN78,2)</f>
        <v>0</v>
      </c>
      <c r="AP78" s="22" t="n">
        <f aca="false">AS77*(1+K$7)</f>
        <v>0</v>
      </c>
      <c r="AQ78" s="22" t="n">
        <f aca="false">MIN(AP78,K$8)</f>
        <v>0</v>
      </c>
      <c r="AR78" s="22" t="n">
        <f aca="false">MAX(0,MIN(AP78-AQ78,$C78-(P78+T78+X78+AB78+AF78+AJ78+AN78)))</f>
        <v>0</v>
      </c>
      <c r="AS78" s="22" t="n">
        <f aca="false">ROUND(AP78-AQ78-AR78,2)</f>
        <v>0</v>
      </c>
      <c r="AT78" s="22" t="n">
        <f aca="false">AW77*(1+L$7)</f>
        <v>0</v>
      </c>
      <c r="AU78" s="22" t="n">
        <f aca="false">MIN(AT78,L$8)</f>
        <v>0</v>
      </c>
      <c r="AV78" s="22" t="n">
        <f aca="false">MAX(0,MIN(AT78-AU78,$C78-(P78+T78+X78+AB78+AF78+AJ78+AN78+AR78)))</f>
        <v>0</v>
      </c>
      <c r="AW78" s="22" t="n">
        <f aca="false">ROUND(AT78-AU78-AV78,2)</f>
        <v>0</v>
      </c>
      <c r="AX78" s="22" t="n">
        <f aca="false">BA77*(1+M$7)</f>
        <v>0</v>
      </c>
      <c r="AY78" s="22" t="n">
        <f aca="false">MIN(AX78,M$8)</f>
        <v>0</v>
      </c>
      <c r="AZ78" s="22" t="n">
        <f aca="false">MAX(0,MIN(AX78-AY78,$C78-(P78+T78+X78+AB78+AF78+AJ78+AN78+AR78+AV78)))</f>
        <v>0</v>
      </c>
      <c r="BA78" s="22" t="n">
        <f aca="false">ROUND(AX78-AY78-AZ78,2)</f>
        <v>0</v>
      </c>
    </row>
    <row r="79" customFormat="false" ht="15" hidden="false" customHeight="false" outlineLevel="0" collapsed="false">
      <c r="A79" s="0" t="n">
        <v>69</v>
      </c>
      <c r="B79" s="39" t="n">
        <f aca="false">EDATE(Borçlar!$K$7,68)</f>
        <v>48366</v>
      </c>
      <c r="C79" s="36" t="n">
        <f aca="false">MAX(0,Borçlar!$K$8-(O79+S79+W79+AA79+AE79+AI79+AM79+AQ79+AU79+AY79))</f>
        <v>19000</v>
      </c>
      <c r="D79" s="36" t="n">
        <f aca="false">O79+P79+S79+T79+W79+X79+AA79+AB79+AE79+AF79+AI79+AJ79+AM79+AN79+AQ79+AR79+AU79+AV79+AY79+AZ79</f>
        <v>0</v>
      </c>
      <c r="E79" s="36" t="n">
        <f aca="false">(N79+R79+V79+Z79+AD79+AH79+AL79+AP79+AT79+AX79)-(F78)</f>
        <v>0</v>
      </c>
      <c r="F79" s="36" t="n">
        <f aca="false">Q79+U79+Y79+AC79+AG79+AK79+AO79+AS79+AW79+BA79</f>
        <v>0</v>
      </c>
      <c r="N79" s="22" t="n">
        <f aca="false">Q78*(1+D$7)</f>
        <v>0</v>
      </c>
      <c r="O79" s="22" t="n">
        <f aca="false">MIN(N79,D$8)</f>
        <v>0</v>
      </c>
      <c r="P79" s="22" t="n">
        <f aca="false">MAX(0,MIN(N79-O79,$C79-(0)))</f>
        <v>0</v>
      </c>
      <c r="Q79" s="22" t="n">
        <f aca="false">ROUND(N79-O79-P79,2)</f>
        <v>0</v>
      </c>
      <c r="R79" s="22" t="n">
        <f aca="false">U78*(1+E$7)</f>
        <v>0</v>
      </c>
      <c r="S79" s="22" t="n">
        <f aca="false">MIN(R79,E$8)</f>
        <v>0</v>
      </c>
      <c r="T79" s="22" t="n">
        <f aca="false">MAX(0,MIN(R79-S79,$C79-(P79)))</f>
        <v>0</v>
      </c>
      <c r="U79" s="22" t="n">
        <f aca="false">ROUND(R79-S79-T79,2)</f>
        <v>0</v>
      </c>
      <c r="V79" s="22" t="n">
        <f aca="false">Y78*(1+F$7)</f>
        <v>0</v>
      </c>
      <c r="W79" s="22" t="n">
        <f aca="false">MIN(V79,F$8)</f>
        <v>0</v>
      </c>
      <c r="X79" s="22" t="n">
        <f aca="false">MAX(0,MIN(V79-W79,$C79-(P79+T79)))</f>
        <v>0</v>
      </c>
      <c r="Y79" s="22" t="n">
        <f aca="false">ROUND(V79-W79-X79,2)</f>
        <v>0</v>
      </c>
      <c r="Z79" s="22" t="n">
        <f aca="false">AC78*(1+G$7)</f>
        <v>0</v>
      </c>
      <c r="AA79" s="22" t="n">
        <f aca="false">MIN(Z79,G$8)</f>
        <v>0</v>
      </c>
      <c r="AB79" s="22" t="n">
        <f aca="false">MAX(0,MIN(Z79-AA79,$C79-(P79+T79+X79)))</f>
        <v>0</v>
      </c>
      <c r="AC79" s="22" t="n">
        <f aca="false">ROUND(Z79-AA79-AB79,2)</f>
        <v>0</v>
      </c>
      <c r="AD79" s="22" t="n">
        <f aca="false">AG78*(1+H$7)</f>
        <v>0</v>
      </c>
      <c r="AE79" s="22" t="n">
        <f aca="false">MIN(AD79,H$8)</f>
        <v>0</v>
      </c>
      <c r="AF79" s="22" t="n">
        <f aca="false">MAX(0,MIN(AD79-AE79,$C79-(P79+T79+X79+AB79)))</f>
        <v>0</v>
      </c>
      <c r="AG79" s="22" t="n">
        <f aca="false">ROUND(AD79-AE79-AF79,2)</f>
        <v>0</v>
      </c>
      <c r="AH79" s="22" t="n">
        <f aca="false">AK78*(1+I$7)</f>
        <v>0</v>
      </c>
      <c r="AI79" s="22" t="n">
        <f aca="false">MIN(AH79,I$8)</f>
        <v>0</v>
      </c>
      <c r="AJ79" s="22" t="n">
        <f aca="false">MAX(0,MIN(AH79-AI79,$C79-(P79+T79+X79+AB79+AF79)))</f>
        <v>0</v>
      </c>
      <c r="AK79" s="22" t="n">
        <f aca="false">ROUND(AH79-AI79-AJ79,2)</f>
        <v>0</v>
      </c>
      <c r="AL79" s="22" t="n">
        <f aca="false">AO78*(1+J$7)</f>
        <v>0</v>
      </c>
      <c r="AM79" s="22" t="n">
        <f aca="false">MIN(AL79,J$8)</f>
        <v>0</v>
      </c>
      <c r="AN79" s="22" t="n">
        <f aca="false">MAX(0,MIN(AL79-AM79,$C79-(P79+T79+X79+AB79+AF79+AJ79)))</f>
        <v>0</v>
      </c>
      <c r="AO79" s="22" t="n">
        <f aca="false">ROUND(AL79-AM79-AN79,2)</f>
        <v>0</v>
      </c>
      <c r="AP79" s="22" t="n">
        <f aca="false">AS78*(1+K$7)</f>
        <v>0</v>
      </c>
      <c r="AQ79" s="22" t="n">
        <f aca="false">MIN(AP79,K$8)</f>
        <v>0</v>
      </c>
      <c r="AR79" s="22" t="n">
        <f aca="false">MAX(0,MIN(AP79-AQ79,$C79-(P79+T79+X79+AB79+AF79+AJ79+AN79)))</f>
        <v>0</v>
      </c>
      <c r="AS79" s="22" t="n">
        <f aca="false">ROUND(AP79-AQ79-AR79,2)</f>
        <v>0</v>
      </c>
      <c r="AT79" s="22" t="n">
        <f aca="false">AW78*(1+L$7)</f>
        <v>0</v>
      </c>
      <c r="AU79" s="22" t="n">
        <f aca="false">MIN(AT79,L$8)</f>
        <v>0</v>
      </c>
      <c r="AV79" s="22" t="n">
        <f aca="false">MAX(0,MIN(AT79-AU79,$C79-(P79+T79+X79+AB79+AF79+AJ79+AN79+AR79)))</f>
        <v>0</v>
      </c>
      <c r="AW79" s="22" t="n">
        <f aca="false">ROUND(AT79-AU79-AV79,2)</f>
        <v>0</v>
      </c>
      <c r="AX79" s="22" t="n">
        <f aca="false">BA78*(1+M$7)</f>
        <v>0</v>
      </c>
      <c r="AY79" s="22" t="n">
        <f aca="false">MIN(AX79,M$8)</f>
        <v>0</v>
      </c>
      <c r="AZ79" s="22" t="n">
        <f aca="false">MAX(0,MIN(AX79-AY79,$C79-(P79+T79+X79+AB79+AF79+AJ79+AN79+AR79+AV79)))</f>
        <v>0</v>
      </c>
      <c r="BA79" s="22" t="n">
        <f aca="false">ROUND(AX79-AY79-AZ79,2)</f>
        <v>0</v>
      </c>
    </row>
    <row r="80" customFormat="false" ht="15" hidden="false" customHeight="false" outlineLevel="0" collapsed="false">
      <c r="A80" s="0" t="n">
        <v>70</v>
      </c>
      <c r="B80" s="39" t="n">
        <f aca="false">EDATE(Borçlar!$K$7,69)</f>
        <v>48396</v>
      </c>
      <c r="C80" s="36" t="n">
        <f aca="false">MAX(0,Borçlar!$K$8-(O80+S80+W80+AA80+AE80+AI80+AM80+AQ80+AU80+AY80))</f>
        <v>19000</v>
      </c>
      <c r="D80" s="36" t="n">
        <f aca="false">O80+P80+S80+T80+W80+X80+AA80+AB80+AE80+AF80+AI80+AJ80+AM80+AN80+AQ80+AR80+AU80+AV80+AY80+AZ80</f>
        <v>0</v>
      </c>
      <c r="E80" s="36" t="n">
        <f aca="false">(N80+R80+V80+Z80+AD80+AH80+AL80+AP80+AT80+AX80)-(F79)</f>
        <v>0</v>
      </c>
      <c r="F80" s="36" t="n">
        <f aca="false">Q80+U80+Y80+AC80+AG80+AK80+AO80+AS80+AW80+BA80</f>
        <v>0</v>
      </c>
      <c r="N80" s="22" t="n">
        <f aca="false">Q79*(1+D$7)</f>
        <v>0</v>
      </c>
      <c r="O80" s="22" t="n">
        <f aca="false">MIN(N80,D$8)</f>
        <v>0</v>
      </c>
      <c r="P80" s="22" t="n">
        <f aca="false">MAX(0,MIN(N80-O80,$C80-(0)))</f>
        <v>0</v>
      </c>
      <c r="Q80" s="22" t="n">
        <f aca="false">ROUND(N80-O80-P80,2)</f>
        <v>0</v>
      </c>
      <c r="R80" s="22" t="n">
        <f aca="false">U79*(1+E$7)</f>
        <v>0</v>
      </c>
      <c r="S80" s="22" t="n">
        <f aca="false">MIN(R80,E$8)</f>
        <v>0</v>
      </c>
      <c r="T80" s="22" t="n">
        <f aca="false">MAX(0,MIN(R80-S80,$C80-(P80)))</f>
        <v>0</v>
      </c>
      <c r="U80" s="22" t="n">
        <f aca="false">ROUND(R80-S80-T80,2)</f>
        <v>0</v>
      </c>
      <c r="V80" s="22" t="n">
        <f aca="false">Y79*(1+F$7)</f>
        <v>0</v>
      </c>
      <c r="W80" s="22" t="n">
        <f aca="false">MIN(V80,F$8)</f>
        <v>0</v>
      </c>
      <c r="X80" s="22" t="n">
        <f aca="false">MAX(0,MIN(V80-W80,$C80-(P80+T80)))</f>
        <v>0</v>
      </c>
      <c r="Y80" s="22" t="n">
        <f aca="false">ROUND(V80-W80-X80,2)</f>
        <v>0</v>
      </c>
      <c r="Z80" s="22" t="n">
        <f aca="false">AC79*(1+G$7)</f>
        <v>0</v>
      </c>
      <c r="AA80" s="22" t="n">
        <f aca="false">MIN(Z80,G$8)</f>
        <v>0</v>
      </c>
      <c r="AB80" s="22" t="n">
        <f aca="false">MAX(0,MIN(Z80-AA80,$C80-(P80+T80+X80)))</f>
        <v>0</v>
      </c>
      <c r="AC80" s="22" t="n">
        <f aca="false">ROUND(Z80-AA80-AB80,2)</f>
        <v>0</v>
      </c>
      <c r="AD80" s="22" t="n">
        <f aca="false">AG79*(1+H$7)</f>
        <v>0</v>
      </c>
      <c r="AE80" s="22" t="n">
        <f aca="false">MIN(AD80,H$8)</f>
        <v>0</v>
      </c>
      <c r="AF80" s="22" t="n">
        <f aca="false">MAX(0,MIN(AD80-AE80,$C80-(P80+T80+X80+AB80)))</f>
        <v>0</v>
      </c>
      <c r="AG80" s="22" t="n">
        <f aca="false">ROUND(AD80-AE80-AF80,2)</f>
        <v>0</v>
      </c>
      <c r="AH80" s="22" t="n">
        <f aca="false">AK79*(1+I$7)</f>
        <v>0</v>
      </c>
      <c r="AI80" s="22" t="n">
        <f aca="false">MIN(AH80,I$8)</f>
        <v>0</v>
      </c>
      <c r="AJ80" s="22" t="n">
        <f aca="false">MAX(0,MIN(AH80-AI80,$C80-(P80+T80+X80+AB80+AF80)))</f>
        <v>0</v>
      </c>
      <c r="AK80" s="22" t="n">
        <f aca="false">ROUND(AH80-AI80-AJ80,2)</f>
        <v>0</v>
      </c>
      <c r="AL80" s="22" t="n">
        <f aca="false">AO79*(1+J$7)</f>
        <v>0</v>
      </c>
      <c r="AM80" s="22" t="n">
        <f aca="false">MIN(AL80,J$8)</f>
        <v>0</v>
      </c>
      <c r="AN80" s="22" t="n">
        <f aca="false">MAX(0,MIN(AL80-AM80,$C80-(P80+T80+X80+AB80+AF80+AJ80)))</f>
        <v>0</v>
      </c>
      <c r="AO80" s="22" t="n">
        <f aca="false">ROUND(AL80-AM80-AN80,2)</f>
        <v>0</v>
      </c>
      <c r="AP80" s="22" t="n">
        <f aca="false">AS79*(1+K$7)</f>
        <v>0</v>
      </c>
      <c r="AQ80" s="22" t="n">
        <f aca="false">MIN(AP80,K$8)</f>
        <v>0</v>
      </c>
      <c r="AR80" s="22" t="n">
        <f aca="false">MAX(0,MIN(AP80-AQ80,$C80-(P80+T80+X80+AB80+AF80+AJ80+AN80)))</f>
        <v>0</v>
      </c>
      <c r="AS80" s="22" t="n">
        <f aca="false">ROUND(AP80-AQ80-AR80,2)</f>
        <v>0</v>
      </c>
      <c r="AT80" s="22" t="n">
        <f aca="false">AW79*(1+L$7)</f>
        <v>0</v>
      </c>
      <c r="AU80" s="22" t="n">
        <f aca="false">MIN(AT80,L$8)</f>
        <v>0</v>
      </c>
      <c r="AV80" s="22" t="n">
        <f aca="false">MAX(0,MIN(AT80-AU80,$C80-(P80+T80+X80+AB80+AF80+AJ80+AN80+AR80)))</f>
        <v>0</v>
      </c>
      <c r="AW80" s="22" t="n">
        <f aca="false">ROUND(AT80-AU80-AV80,2)</f>
        <v>0</v>
      </c>
      <c r="AX80" s="22" t="n">
        <f aca="false">BA79*(1+M$7)</f>
        <v>0</v>
      </c>
      <c r="AY80" s="22" t="n">
        <f aca="false">MIN(AX80,M$8)</f>
        <v>0</v>
      </c>
      <c r="AZ80" s="22" t="n">
        <f aca="false">MAX(0,MIN(AX80-AY80,$C80-(P80+T80+X80+AB80+AF80+AJ80+AN80+AR80+AV80)))</f>
        <v>0</v>
      </c>
      <c r="BA80" s="22" t="n">
        <f aca="false">ROUND(AX80-AY80-AZ80,2)</f>
        <v>0</v>
      </c>
    </row>
    <row r="81" customFormat="false" ht="15" hidden="false" customHeight="false" outlineLevel="0" collapsed="false">
      <c r="A81" s="0" t="n">
        <v>71</v>
      </c>
      <c r="B81" s="39" t="n">
        <f aca="false">EDATE(Borçlar!$K$7,70)</f>
        <v>48427</v>
      </c>
      <c r="C81" s="36" t="n">
        <f aca="false">MAX(0,Borçlar!$K$8-(O81+S81+W81+AA81+AE81+AI81+AM81+AQ81+AU81+AY81))</f>
        <v>19000</v>
      </c>
      <c r="D81" s="36" t="n">
        <f aca="false">O81+P81+S81+T81+W81+X81+AA81+AB81+AE81+AF81+AI81+AJ81+AM81+AN81+AQ81+AR81+AU81+AV81+AY81+AZ81</f>
        <v>0</v>
      </c>
      <c r="E81" s="36" t="n">
        <f aca="false">(N81+R81+V81+Z81+AD81+AH81+AL81+AP81+AT81+AX81)-(F80)</f>
        <v>0</v>
      </c>
      <c r="F81" s="36" t="n">
        <f aca="false">Q81+U81+Y81+AC81+AG81+AK81+AO81+AS81+AW81+BA81</f>
        <v>0</v>
      </c>
      <c r="N81" s="22" t="n">
        <f aca="false">Q80*(1+D$7)</f>
        <v>0</v>
      </c>
      <c r="O81" s="22" t="n">
        <f aca="false">MIN(N81,D$8)</f>
        <v>0</v>
      </c>
      <c r="P81" s="22" t="n">
        <f aca="false">MAX(0,MIN(N81-O81,$C81-(0)))</f>
        <v>0</v>
      </c>
      <c r="Q81" s="22" t="n">
        <f aca="false">ROUND(N81-O81-P81,2)</f>
        <v>0</v>
      </c>
      <c r="R81" s="22" t="n">
        <f aca="false">U80*(1+E$7)</f>
        <v>0</v>
      </c>
      <c r="S81" s="22" t="n">
        <f aca="false">MIN(R81,E$8)</f>
        <v>0</v>
      </c>
      <c r="T81" s="22" t="n">
        <f aca="false">MAX(0,MIN(R81-S81,$C81-(P81)))</f>
        <v>0</v>
      </c>
      <c r="U81" s="22" t="n">
        <f aca="false">ROUND(R81-S81-T81,2)</f>
        <v>0</v>
      </c>
      <c r="V81" s="22" t="n">
        <f aca="false">Y80*(1+F$7)</f>
        <v>0</v>
      </c>
      <c r="W81" s="22" t="n">
        <f aca="false">MIN(V81,F$8)</f>
        <v>0</v>
      </c>
      <c r="X81" s="22" t="n">
        <f aca="false">MAX(0,MIN(V81-W81,$C81-(P81+T81)))</f>
        <v>0</v>
      </c>
      <c r="Y81" s="22" t="n">
        <f aca="false">ROUND(V81-W81-X81,2)</f>
        <v>0</v>
      </c>
      <c r="Z81" s="22" t="n">
        <f aca="false">AC80*(1+G$7)</f>
        <v>0</v>
      </c>
      <c r="AA81" s="22" t="n">
        <f aca="false">MIN(Z81,G$8)</f>
        <v>0</v>
      </c>
      <c r="AB81" s="22" t="n">
        <f aca="false">MAX(0,MIN(Z81-AA81,$C81-(P81+T81+X81)))</f>
        <v>0</v>
      </c>
      <c r="AC81" s="22" t="n">
        <f aca="false">ROUND(Z81-AA81-AB81,2)</f>
        <v>0</v>
      </c>
      <c r="AD81" s="22" t="n">
        <f aca="false">AG80*(1+H$7)</f>
        <v>0</v>
      </c>
      <c r="AE81" s="22" t="n">
        <f aca="false">MIN(AD81,H$8)</f>
        <v>0</v>
      </c>
      <c r="AF81" s="22" t="n">
        <f aca="false">MAX(0,MIN(AD81-AE81,$C81-(P81+T81+X81+AB81)))</f>
        <v>0</v>
      </c>
      <c r="AG81" s="22" t="n">
        <f aca="false">ROUND(AD81-AE81-AF81,2)</f>
        <v>0</v>
      </c>
      <c r="AH81" s="22" t="n">
        <f aca="false">AK80*(1+I$7)</f>
        <v>0</v>
      </c>
      <c r="AI81" s="22" t="n">
        <f aca="false">MIN(AH81,I$8)</f>
        <v>0</v>
      </c>
      <c r="AJ81" s="22" t="n">
        <f aca="false">MAX(0,MIN(AH81-AI81,$C81-(P81+T81+X81+AB81+AF81)))</f>
        <v>0</v>
      </c>
      <c r="AK81" s="22" t="n">
        <f aca="false">ROUND(AH81-AI81-AJ81,2)</f>
        <v>0</v>
      </c>
      <c r="AL81" s="22" t="n">
        <f aca="false">AO80*(1+J$7)</f>
        <v>0</v>
      </c>
      <c r="AM81" s="22" t="n">
        <f aca="false">MIN(AL81,J$8)</f>
        <v>0</v>
      </c>
      <c r="AN81" s="22" t="n">
        <f aca="false">MAX(0,MIN(AL81-AM81,$C81-(P81+T81+X81+AB81+AF81+AJ81)))</f>
        <v>0</v>
      </c>
      <c r="AO81" s="22" t="n">
        <f aca="false">ROUND(AL81-AM81-AN81,2)</f>
        <v>0</v>
      </c>
      <c r="AP81" s="22" t="n">
        <f aca="false">AS80*(1+K$7)</f>
        <v>0</v>
      </c>
      <c r="AQ81" s="22" t="n">
        <f aca="false">MIN(AP81,K$8)</f>
        <v>0</v>
      </c>
      <c r="AR81" s="22" t="n">
        <f aca="false">MAX(0,MIN(AP81-AQ81,$C81-(P81+T81+X81+AB81+AF81+AJ81+AN81)))</f>
        <v>0</v>
      </c>
      <c r="AS81" s="22" t="n">
        <f aca="false">ROUND(AP81-AQ81-AR81,2)</f>
        <v>0</v>
      </c>
      <c r="AT81" s="22" t="n">
        <f aca="false">AW80*(1+L$7)</f>
        <v>0</v>
      </c>
      <c r="AU81" s="22" t="n">
        <f aca="false">MIN(AT81,L$8)</f>
        <v>0</v>
      </c>
      <c r="AV81" s="22" t="n">
        <f aca="false">MAX(0,MIN(AT81-AU81,$C81-(P81+T81+X81+AB81+AF81+AJ81+AN81+AR81)))</f>
        <v>0</v>
      </c>
      <c r="AW81" s="22" t="n">
        <f aca="false">ROUND(AT81-AU81-AV81,2)</f>
        <v>0</v>
      </c>
      <c r="AX81" s="22" t="n">
        <f aca="false">BA80*(1+M$7)</f>
        <v>0</v>
      </c>
      <c r="AY81" s="22" t="n">
        <f aca="false">MIN(AX81,M$8)</f>
        <v>0</v>
      </c>
      <c r="AZ81" s="22" t="n">
        <f aca="false">MAX(0,MIN(AX81-AY81,$C81-(P81+T81+X81+AB81+AF81+AJ81+AN81+AR81+AV81)))</f>
        <v>0</v>
      </c>
      <c r="BA81" s="22" t="n">
        <f aca="false">ROUND(AX81-AY81-AZ81,2)</f>
        <v>0</v>
      </c>
    </row>
    <row r="82" customFormat="false" ht="15" hidden="false" customHeight="false" outlineLevel="0" collapsed="false">
      <c r="A82" s="0" t="n">
        <v>72</v>
      </c>
      <c r="B82" s="39" t="n">
        <f aca="false">EDATE(Borçlar!$K$7,71)</f>
        <v>48458</v>
      </c>
      <c r="C82" s="36" t="n">
        <f aca="false">MAX(0,Borçlar!$K$8-(O82+S82+W82+AA82+AE82+AI82+AM82+AQ82+AU82+AY82))</f>
        <v>19000</v>
      </c>
      <c r="D82" s="36" t="n">
        <f aca="false">O82+P82+S82+T82+W82+X82+AA82+AB82+AE82+AF82+AI82+AJ82+AM82+AN82+AQ82+AR82+AU82+AV82+AY82+AZ82</f>
        <v>0</v>
      </c>
      <c r="E82" s="36" t="n">
        <f aca="false">(N82+R82+V82+Z82+AD82+AH82+AL82+AP82+AT82+AX82)-(F81)</f>
        <v>0</v>
      </c>
      <c r="F82" s="36" t="n">
        <f aca="false">Q82+U82+Y82+AC82+AG82+AK82+AO82+AS82+AW82+BA82</f>
        <v>0</v>
      </c>
      <c r="N82" s="22" t="n">
        <f aca="false">Q81*(1+D$7)</f>
        <v>0</v>
      </c>
      <c r="O82" s="22" t="n">
        <f aca="false">MIN(N82,D$8)</f>
        <v>0</v>
      </c>
      <c r="P82" s="22" t="n">
        <f aca="false">MAX(0,MIN(N82-O82,$C82-(0)))</f>
        <v>0</v>
      </c>
      <c r="Q82" s="22" t="n">
        <f aca="false">ROUND(N82-O82-P82,2)</f>
        <v>0</v>
      </c>
      <c r="R82" s="22" t="n">
        <f aca="false">U81*(1+E$7)</f>
        <v>0</v>
      </c>
      <c r="S82" s="22" t="n">
        <f aca="false">MIN(R82,E$8)</f>
        <v>0</v>
      </c>
      <c r="T82" s="22" t="n">
        <f aca="false">MAX(0,MIN(R82-S82,$C82-(P82)))</f>
        <v>0</v>
      </c>
      <c r="U82" s="22" t="n">
        <f aca="false">ROUND(R82-S82-T82,2)</f>
        <v>0</v>
      </c>
      <c r="V82" s="22" t="n">
        <f aca="false">Y81*(1+F$7)</f>
        <v>0</v>
      </c>
      <c r="W82" s="22" t="n">
        <f aca="false">MIN(V82,F$8)</f>
        <v>0</v>
      </c>
      <c r="X82" s="22" t="n">
        <f aca="false">MAX(0,MIN(V82-W82,$C82-(P82+T82)))</f>
        <v>0</v>
      </c>
      <c r="Y82" s="22" t="n">
        <f aca="false">ROUND(V82-W82-X82,2)</f>
        <v>0</v>
      </c>
      <c r="Z82" s="22" t="n">
        <f aca="false">AC81*(1+G$7)</f>
        <v>0</v>
      </c>
      <c r="AA82" s="22" t="n">
        <f aca="false">MIN(Z82,G$8)</f>
        <v>0</v>
      </c>
      <c r="AB82" s="22" t="n">
        <f aca="false">MAX(0,MIN(Z82-AA82,$C82-(P82+T82+X82)))</f>
        <v>0</v>
      </c>
      <c r="AC82" s="22" t="n">
        <f aca="false">ROUND(Z82-AA82-AB82,2)</f>
        <v>0</v>
      </c>
      <c r="AD82" s="22" t="n">
        <f aca="false">AG81*(1+H$7)</f>
        <v>0</v>
      </c>
      <c r="AE82" s="22" t="n">
        <f aca="false">MIN(AD82,H$8)</f>
        <v>0</v>
      </c>
      <c r="AF82" s="22" t="n">
        <f aca="false">MAX(0,MIN(AD82-AE82,$C82-(P82+T82+X82+AB82)))</f>
        <v>0</v>
      </c>
      <c r="AG82" s="22" t="n">
        <f aca="false">ROUND(AD82-AE82-AF82,2)</f>
        <v>0</v>
      </c>
      <c r="AH82" s="22" t="n">
        <f aca="false">AK81*(1+I$7)</f>
        <v>0</v>
      </c>
      <c r="AI82" s="22" t="n">
        <f aca="false">MIN(AH82,I$8)</f>
        <v>0</v>
      </c>
      <c r="AJ82" s="22" t="n">
        <f aca="false">MAX(0,MIN(AH82-AI82,$C82-(P82+T82+X82+AB82+AF82)))</f>
        <v>0</v>
      </c>
      <c r="AK82" s="22" t="n">
        <f aca="false">ROUND(AH82-AI82-AJ82,2)</f>
        <v>0</v>
      </c>
      <c r="AL82" s="22" t="n">
        <f aca="false">AO81*(1+J$7)</f>
        <v>0</v>
      </c>
      <c r="AM82" s="22" t="n">
        <f aca="false">MIN(AL82,J$8)</f>
        <v>0</v>
      </c>
      <c r="AN82" s="22" t="n">
        <f aca="false">MAX(0,MIN(AL82-AM82,$C82-(P82+T82+X82+AB82+AF82+AJ82)))</f>
        <v>0</v>
      </c>
      <c r="AO82" s="22" t="n">
        <f aca="false">ROUND(AL82-AM82-AN82,2)</f>
        <v>0</v>
      </c>
      <c r="AP82" s="22" t="n">
        <f aca="false">AS81*(1+K$7)</f>
        <v>0</v>
      </c>
      <c r="AQ82" s="22" t="n">
        <f aca="false">MIN(AP82,K$8)</f>
        <v>0</v>
      </c>
      <c r="AR82" s="22" t="n">
        <f aca="false">MAX(0,MIN(AP82-AQ82,$C82-(P82+T82+X82+AB82+AF82+AJ82+AN82)))</f>
        <v>0</v>
      </c>
      <c r="AS82" s="22" t="n">
        <f aca="false">ROUND(AP82-AQ82-AR82,2)</f>
        <v>0</v>
      </c>
      <c r="AT82" s="22" t="n">
        <f aca="false">AW81*(1+L$7)</f>
        <v>0</v>
      </c>
      <c r="AU82" s="22" t="n">
        <f aca="false">MIN(AT82,L$8)</f>
        <v>0</v>
      </c>
      <c r="AV82" s="22" t="n">
        <f aca="false">MAX(0,MIN(AT82-AU82,$C82-(P82+T82+X82+AB82+AF82+AJ82+AN82+AR82)))</f>
        <v>0</v>
      </c>
      <c r="AW82" s="22" t="n">
        <f aca="false">ROUND(AT82-AU82-AV82,2)</f>
        <v>0</v>
      </c>
      <c r="AX82" s="22" t="n">
        <f aca="false">BA81*(1+M$7)</f>
        <v>0</v>
      </c>
      <c r="AY82" s="22" t="n">
        <f aca="false">MIN(AX82,M$8)</f>
        <v>0</v>
      </c>
      <c r="AZ82" s="22" t="n">
        <f aca="false">MAX(0,MIN(AX82-AY82,$C82-(P82+T82+X82+AB82+AF82+AJ82+AN82+AR82+AV82)))</f>
        <v>0</v>
      </c>
      <c r="BA82" s="22" t="n">
        <f aca="false">ROUND(AX82-AY82-AZ82,2)</f>
        <v>0</v>
      </c>
    </row>
    <row r="83" customFormat="false" ht="15" hidden="false" customHeight="false" outlineLevel="0" collapsed="false">
      <c r="A83" s="0" t="n">
        <v>73</v>
      </c>
      <c r="B83" s="39" t="n">
        <f aca="false">EDATE(Borçlar!$K$7,72)</f>
        <v>48488</v>
      </c>
      <c r="C83" s="36" t="n">
        <f aca="false">MAX(0,Borçlar!$K$8-(O83+S83+W83+AA83+AE83+AI83+AM83+AQ83+AU83+AY83))</f>
        <v>19000</v>
      </c>
      <c r="D83" s="36" t="n">
        <f aca="false">O83+P83+S83+T83+W83+X83+AA83+AB83+AE83+AF83+AI83+AJ83+AM83+AN83+AQ83+AR83+AU83+AV83+AY83+AZ83</f>
        <v>0</v>
      </c>
      <c r="E83" s="36" t="n">
        <f aca="false">(N83+R83+V83+Z83+AD83+AH83+AL83+AP83+AT83+AX83)-(F82)</f>
        <v>0</v>
      </c>
      <c r="F83" s="36" t="n">
        <f aca="false">Q83+U83+Y83+AC83+AG83+AK83+AO83+AS83+AW83+BA83</f>
        <v>0</v>
      </c>
      <c r="N83" s="22" t="n">
        <f aca="false">Q82*(1+D$7)</f>
        <v>0</v>
      </c>
      <c r="O83" s="22" t="n">
        <f aca="false">MIN(N83,D$8)</f>
        <v>0</v>
      </c>
      <c r="P83" s="22" t="n">
        <f aca="false">MAX(0,MIN(N83-O83,$C83-(0)))</f>
        <v>0</v>
      </c>
      <c r="Q83" s="22" t="n">
        <f aca="false">ROUND(N83-O83-P83,2)</f>
        <v>0</v>
      </c>
      <c r="R83" s="22" t="n">
        <f aca="false">U82*(1+E$7)</f>
        <v>0</v>
      </c>
      <c r="S83" s="22" t="n">
        <f aca="false">MIN(R83,E$8)</f>
        <v>0</v>
      </c>
      <c r="T83" s="22" t="n">
        <f aca="false">MAX(0,MIN(R83-S83,$C83-(P83)))</f>
        <v>0</v>
      </c>
      <c r="U83" s="22" t="n">
        <f aca="false">ROUND(R83-S83-T83,2)</f>
        <v>0</v>
      </c>
      <c r="V83" s="22" t="n">
        <f aca="false">Y82*(1+F$7)</f>
        <v>0</v>
      </c>
      <c r="W83" s="22" t="n">
        <f aca="false">MIN(V83,F$8)</f>
        <v>0</v>
      </c>
      <c r="X83" s="22" t="n">
        <f aca="false">MAX(0,MIN(V83-W83,$C83-(P83+T83)))</f>
        <v>0</v>
      </c>
      <c r="Y83" s="22" t="n">
        <f aca="false">ROUND(V83-W83-X83,2)</f>
        <v>0</v>
      </c>
      <c r="Z83" s="22" t="n">
        <f aca="false">AC82*(1+G$7)</f>
        <v>0</v>
      </c>
      <c r="AA83" s="22" t="n">
        <f aca="false">MIN(Z83,G$8)</f>
        <v>0</v>
      </c>
      <c r="AB83" s="22" t="n">
        <f aca="false">MAX(0,MIN(Z83-AA83,$C83-(P83+T83+X83)))</f>
        <v>0</v>
      </c>
      <c r="AC83" s="22" t="n">
        <f aca="false">ROUND(Z83-AA83-AB83,2)</f>
        <v>0</v>
      </c>
      <c r="AD83" s="22" t="n">
        <f aca="false">AG82*(1+H$7)</f>
        <v>0</v>
      </c>
      <c r="AE83" s="22" t="n">
        <f aca="false">MIN(AD83,H$8)</f>
        <v>0</v>
      </c>
      <c r="AF83" s="22" t="n">
        <f aca="false">MAX(0,MIN(AD83-AE83,$C83-(P83+T83+X83+AB83)))</f>
        <v>0</v>
      </c>
      <c r="AG83" s="22" t="n">
        <f aca="false">ROUND(AD83-AE83-AF83,2)</f>
        <v>0</v>
      </c>
      <c r="AH83" s="22" t="n">
        <f aca="false">AK82*(1+I$7)</f>
        <v>0</v>
      </c>
      <c r="AI83" s="22" t="n">
        <f aca="false">MIN(AH83,I$8)</f>
        <v>0</v>
      </c>
      <c r="AJ83" s="22" t="n">
        <f aca="false">MAX(0,MIN(AH83-AI83,$C83-(P83+T83+X83+AB83+AF83)))</f>
        <v>0</v>
      </c>
      <c r="AK83" s="22" t="n">
        <f aca="false">ROUND(AH83-AI83-AJ83,2)</f>
        <v>0</v>
      </c>
      <c r="AL83" s="22" t="n">
        <f aca="false">AO82*(1+J$7)</f>
        <v>0</v>
      </c>
      <c r="AM83" s="22" t="n">
        <f aca="false">MIN(AL83,J$8)</f>
        <v>0</v>
      </c>
      <c r="AN83" s="22" t="n">
        <f aca="false">MAX(0,MIN(AL83-AM83,$C83-(P83+T83+X83+AB83+AF83+AJ83)))</f>
        <v>0</v>
      </c>
      <c r="AO83" s="22" t="n">
        <f aca="false">ROUND(AL83-AM83-AN83,2)</f>
        <v>0</v>
      </c>
      <c r="AP83" s="22" t="n">
        <f aca="false">AS82*(1+K$7)</f>
        <v>0</v>
      </c>
      <c r="AQ83" s="22" t="n">
        <f aca="false">MIN(AP83,K$8)</f>
        <v>0</v>
      </c>
      <c r="AR83" s="22" t="n">
        <f aca="false">MAX(0,MIN(AP83-AQ83,$C83-(P83+T83+X83+AB83+AF83+AJ83+AN83)))</f>
        <v>0</v>
      </c>
      <c r="AS83" s="22" t="n">
        <f aca="false">ROUND(AP83-AQ83-AR83,2)</f>
        <v>0</v>
      </c>
      <c r="AT83" s="22" t="n">
        <f aca="false">AW82*(1+L$7)</f>
        <v>0</v>
      </c>
      <c r="AU83" s="22" t="n">
        <f aca="false">MIN(AT83,L$8)</f>
        <v>0</v>
      </c>
      <c r="AV83" s="22" t="n">
        <f aca="false">MAX(0,MIN(AT83-AU83,$C83-(P83+T83+X83+AB83+AF83+AJ83+AN83+AR83)))</f>
        <v>0</v>
      </c>
      <c r="AW83" s="22" t="n">
        <f aca="false">ROUND(AT83-AU83-AV83,2)</f>
        <v>0</v>
      </c>
      <c r="AX83" s="22" t="n">
        <f aca="false">BA82*(1+M$7)</f>
        <v>0</v>
      </c>
      <c r="AY83" s="22" t="n">
        <f aca="false">MIN(AX83,M$8)</f>
        <v>0</v>
      </c>
      <c r="AZ83" s="22" t="n">
        <f aca="false">MAX(0,MIN(AX83-AY83,$C83-(P83+T83+X83+AB83+AF83+AJ83+AN83+AR83+AV83)))</f>
        <v>0</v>
      </c>
      <c r="BA83" s="22" t="n">
        <f aca="false">ROUND(AX83-AY83-AZ83,2)</f>
        <v>0</v>
      </c>
    </row>
    <row r="84" customFormat="false" ht="15" hidden="false" customHeight="false" outlineLevel="0" collapsed="false">
      <c r="A84" s="0" t="n">
        <v>74</v>
      </c>
      <c r="B84" s="39" t="n">
        <f aca="false">EDATE(Borçlar!$K$7,73)</f>
        <v>48519</v>
      </c>
      <c r="C84" s="36" t="n">
        <f aca="false">MAX(0,Borçlar!$K$8-(O84+S84+W84+AA84+AE84+AI84+AM84+AQ84+AU84+AY84))</f>
        <v>19000</v>
      </c>
      <c r="D84" s="36" t="n">
        <f aca="false">O84+P84+S84+T84+W84+X84+AA84+AB84+AE84+AF84+AI84+AJ84+AM84+AN84+AQ84+AR84+AU84+AV84+AY84+AZ84</f>
        <v>0</v>
      </c>
      <c r="E84" s="36" t="n">
        <f aca="false">(N84+R84+V84+Z84+AD84+AH84+AL84+AP84+AT84+AX84)-(F83)</f>
        <v>0</v>
      </c>
      <c r="F84" s="36" t="n">
        <f aca="false">Q84+U84+Y84+AC84+AG84+AK84+AO84+AS84+AW84+BA84</f>
        <v>0</v>
      </c>
      <c r="N84" s="22" t="n">
        <f aca="false">Q83*(1+D$7)</f>
        <v>0</v>
      </c>
      <c r="O84" s="22" t="n">
        <f aca="false">MIN(N84,D$8)</f>
        <v>0</v>
      </c>
      <c r="P84" s="22" t="n">
        <f aca="false">MAX(0,MIN(N84-O84,$C84-(0)))</f>
        <v>0</v>
      </c>
      <c r="Q84" s="22" t="n">
        <f aca="false">ROUND(N84-O84-P84,2)</f>
        <v>0</v>
      </c>
      <c r="R84" s="22" t="n">
        <f aca="false">U83*(1+E$7)</f>
        <v>0</v>
      </c>
      <c r="S84" s="22" t="n">
        <f aca="false">MIN(R84,E$8)</f>
        <v>0</v>
      </c>
      <c r="T84" s="22" t="n">
        <f aca="false">MAX(0,MIN(R84-S84,$C84-(P84)))</f>
        <v>0</v>
      </c>
      <c r="U84" s="22" t="n">
        <f aca="false">ROUND(R84-S84-T84,2)</f>
        <v>0</v>
      </c>
      <c r="V84" s="22" t="n">
        <f aca="false">Y83*(1+F$7)</f>
        <v>0</v>
      </c>
      <c r="W84" s="22" t="n">
        <f aca="false">MIN(V84,F$8)</f>
        <v>0</v>
      </c>
      <c r="X84" s="22" t="n">
        <f aca="false">MAX(0,MIN(V84-W84,$C84-(P84+T84)))</f>
        <v>0</v>
      </c>
      <c r="Y84" s="22" t="n">
        <f aca="false">ROUND(V84-W84-X84,2)</f>
        <v>0</v>
      </c>
      <c r="Z84" s="22" t="n">
        <f aca="false">AC83*(1+G$7)</f>
        <v>0</v>
      </c>
      <c r="AA84" s="22" t="n">
        <f aca="false">MIN(Z84,G$8)</f>
        <v>0</v>
      </c>
      <c r="AB84" s="22" t="n">
        <f aca="false">MAX(0,MIN(Z84-AA84,$C84-(P84+T84+X84)))</f>
        <v>0</v>
      </c>
      <c r="AC84" s="22" t="n">
        <f aca="false">ROUND(Z84-AA84-AB84,2)</f>
        <v>0</v>
      </c>
      <c r="AD84" s="22" t="n">
        <f aca="false">AG83*(1+H$7)</f>
        <v>0</v>
      </c>
      <c r="AE84" s="22" t="n">
        <f aca="false">MIN(AD84,H$8)</f>
        <v>0</v>
      </c>
      <c r="AF84" s="22" t="n">
        <f aca="false">MAX(0,MIN(AD84-AE84,$C84-(P84+T84+X84+AB84)))</f>
        <v>0</v>
      </c>
      <c r="AG84" s="22" t="n">
        <f aca="false">ROUND(AD84-AE84-AF84,2)</f>
        <v>0</v>
      </c>
      <c r="AH84" s="22" t="n">
        <f aca="false">AK83*(1+I$7)</f>
        <v>0</v>
      </c>
      <c r="AI84" s="22" t="n">
        <f aca="false">MIN(AH84,I$8)</f>
        <v>0</v>
      </c>
      <c r="AJ84" s="22" t="n">
        <f aca="false">MAX(0,MIN(AH84-AI84,$C84-(P84+T84+X84+AB84+AF84)))</f>
        <v>0</v>
      </c>
      <c r="AK84" s="22" t="n">
        <f aca="false">ROUND(AH84-AI84-AJ84,2)</f>
        <v>0</v>
      </c>
      <c r="AL84" s="22" t="n">
        <f aca="false">AO83*(1+J$7)</f>
        <v>0</v>
      </c>
      <c r="AM84" s="22" t="n">
        <f aca="false">MIN(AL84,J$8)</f>
        <v>0</v>
      </c>
      <c r="AN84" s="22" t="n">
        <f aca="false">MAX(0,MIN(AL84-AM84,$C84-(P84+T84+X84+AB84+AF84+AJ84)))</f>
        <v>0</v>
      </c>
      <c r="AO84" s="22" t="n">
        <f aca="false">ROUND(AL84-AM84-AN84,2)</f>
        <v>0</v>
      </c>
      <c r="AP84" s="22" t="n">
        <f aca="false">AS83*(1+K$7)</f>
        <v>0</v>
      </c>
      <c r="AQ84" s="22" t="n">
        <f aca="false">MIN(AP84,K$8)</f>
        <v>0</v>
      </c>
      <c r="AR84" s="22" t="n">
        <f aca="false">MAX(0,MIN(AP84-AQ84,$C84-(P84+T84+X84+AB84+AF84+AJ84+AN84)))</f>
        <v>0</v>
      </c>
      <c r="AS84" s="22" t="n">
        <f aca="false">ROUND(AP84-AQ84-AR84,2)</f>
        <v>0</v>
      </c>
      <c r="AT84" s="22" t="n">
        <f aca="false">AW83*(1+L$7)</f>
        <v>0</v>
      </c>
      <c r="AU84" s="22" t="n">
        <f aca="false">MIN(AT84,L$8)</f>
        <v>0</v>
      </c>
      <c r="AV84" s="22" t="n">
        <f aca="false">MAX(0,MIN(AT84-AU84,$C84-(P84+T84+X84+AB84+AF84+AJ84+AN84+AR84)))</f>
        <v>0</v>
      </c>
      <c r="AW84" s="22" t="n">
        <f aca="false">ROUND(AT84-AU84-AV84,2)</f>
        <v>0</v>
      </c>
      <c r="AX84" s="22" t="n">
        <f aca="false">BA83*(1+M$7)</f>
        <v>0</v>
      </c>
      <c r="AY84" s="22" t="n">
        <f aca="false">MIN(AX84,M$8)</f>
        <v>0</v>
      </c>
      <c r="AZ84" s="22" t="n">
        <f aca="false">MAX(0,MIN(AX84-AY84,$C84-(P84+T84+X84+AB84+AF84+AJ84+AN84+AR84+AV84)))</f>
        <v>0</v>
      </c>
      <c r="BA84" s="22" t="n">
        <f aca="false">ROUND(AX84-AY84-AZ84,2)</f>
        <v>0</v>
      </c>
    </row>
    <row r="85" customFormat="false" ht="15" hidden="false" customHeight="false" outlineLevel="0" collapsed="false">
      <c r="A85" s="0" t="n">
        <v>75</v>
      </c>
      <c r="B85" s="39" t="n">
        <f aca="false">EDATE(Borçlar!$K$7,74)</f>
        <v>48549</v>
      </c>
      <c r="C85" s="36" t="n">
        <f aca="false">MAX(0,Borçlar!$K$8-(O85+S85+W85+AA85+AE85+AI85+AM85+AQ85+AU85+AY85))</f>
        <v>19000</v>
      </c>
      <c r="D85" s="36" t="n">
        <f aca="false">O85+P85+S85+T85+W85+X85+AA85+AB85+AE85+AF85+AI85+AJ85+AM85+AN85+AQ85+AR85+AU85+AV85+AY85+AZ85</f>
        <v>0</v>
      </c>
      <c r="E85" s="36" t="n">
        <f aca="false">(N85+R85+V85+Z85+AD85+AH85+AL85+AP85+AT85+AX85)-(F84)</f>
        <v>0</v>
      </c>
      <c r="F85" s="36" t="n">
        <f aca="false">Q85+U85+Y85+AC85+AG85+AK85+AO85+AS85+AW85+BA85</f>
        <v>0</v>
      </c>
      <c r="N85" s="22" t="n">
        <f aca="false">Q84*(1+D$7)</f>
        <v>0</v>
      </c>
      <c r="O85" s="22" t="n">
        <f aca="false">MIN(N85,D$8)</f>
        <v>0</v>
      </c>
      <c r="P85" s="22" t="n">
        <f aca="false">MAX(0,MIN(N85-O85,$C85-(0)))</f>
        <v>0</v>
      </c>
      <c r="Q85" s="22" t="n">
        <f aca="false">ROUND(N85-O85-P85,2)</f>
        <v>0</v>
      </c>
      <c r="R85" s="22" t="n">
        <f aca="false">U84*(1+E$7)</f>
        <v>0</v>
      </c>
      <c r="S85" s="22" t="n">
        <f aca="false">MIN(R85,E$8)</f>
        <v>0</v>
      </c>
      <c r="T85" s="22" t="n">
        <f aca="false">MAX(0,MIN(R85-S85,$C85-(P85)))</f>
        <v>0</v>
      </c>
      <c r="U85" s="22" t="n">
        <f aca="false">ROUND(R85-S85-T85,2)</f>
        <v>0</v>
      </c>
      <c r="V85" s="22" t="n">
        <f aca="false">Y84*(1+F$7)</f>
        <v>0</v>
      </c>
      <c r="W85" s="22" t="n">
        <f aca="false">MIN(V85,F$8)</f>
        <v>0</v>
      </c>
      <c r="X85" s="22" t="n">
        <f aca="false">MAX(0,MIN(V85-W85,$C85-(P85+T85)))</f>
        <v>0</v>
      </c>
      <c r="Y85" s="22" t="n">
        <f aca="false">ROUND(V85-W85-X85,2)</f>
        <v>0</v>
      </c>
      <c r="Z85" s="22" t="n">
        <f aca="false">AC84*(1+G$7)</f>
        <v>0</v>
      </c>
      <c r="AA85" s="22" t="n">
        <f aca="false">MIN(Z85,G$8)</f>
        <v>0</v>
      </c>
      <c r="AB85" s="22" t="n">
        <f aca="false">MAX(0,MIN(Z85-AA85,$C85-(P85+T85+X85)))</f>
        <v>0</v>
      </c>
      <c r="AC85" s="22" t="n">
        <f aca="false">ROUND(Z85-AA85-AB85,2)</f>
        <v>0</v>
      </c>
      <c r="AD85" s="22" t="n">
        <f aca="false">AG84*(1+H$7)</f>
        <v>0</v>
      </c>
      <c r="AE85" s="22" t="n">
        <f aca="false">MIN(AD85,H$8)</f>
        <v>0</v>
      </c>
      <c r="AF85" s="22" t="n">
        <f aca="false">MAX(0,MIN(AD85-AE85,$C85-(P85+T85+X85+AB85)))</f>
        <v>0</v>
      </c>
      <c r="AG85" s="22" t="n">
        <f aca="false">ROUND(AD85-AE85-AF85,2)</f>
        <v>0</v>
      </c>
      <c r="AH85" s="22" t="n">
        <f aca="false">AK84*(1+I$7)</f>
        <v>0</v>
      </c>
      <c r="AI85" s="22" t="n">
        <f aca="false">MIN(AH85,I$8)</f>
        <v>0</v>
      </c>
      <c r="AJ85" s="22" t="n">
        <f aca="false">MAX(0,MIN(AH85-AI85,$C85-(P85+T85+X85+AB85+AF85)))</f>
        <v>0</v>
      </c>
      <c r="AK85" s="22" t="n">
        <f aca="false">ROUND(AH85-AI85-AJ85,2)</f>
        <v>0</v>
      </c>
      <c r="AL85" s="22" t="n">
        <f aca="false">AO84*(1+J$7)</f>
        <v>0</v>
      </c>
      <c r="AM85" s="22" t="n">
        <f aca="false">MIN(AL85,J$8)</f>
        <v>0</v>
      </c>
      <c r="AN85" s="22" t="n">
        <f aca="false">MAX(0,MIN(AL85-AM85,$C85-(P85+T85+X85+AB85+AF85+AJ85)))</f>
        <v>0</v>
      </c>
      <c r="AO85" s="22" t="n">
        <f aca="false">ROUND(AL85-AM85-AN85,2)</f>
        <v>0</v>
      </c>
      <c r="AP85" s="22" t="n">
        <f aca="false">AS84*(1+K$7)</f>
        <v>0</v>
      </c>
      <c r="AQ85" s="22" t="n">
        <f aca="false">MIN(AP85,K$8)</f>
        <v>0</v>
      </c>
      <c r="AR85" s="22" t="n">
        <f aca="false">MAX(0,MIN(AP85-AQ85,$C85-(P85+T85+X85+AB85+AF85+AJ85+AN85)))</f>
        <v>0</v>
      </c>
      <c r="AS85" s="22" t="n">
        <f aca="false">ROUND(AP85-AQ85-AR85,2)</f>
        <v>0</v>
      </c>
      <c r="AT85" s="22" t="n">
        <f aca="false">AW84*(1+L$7)</f>
        <v>0</v>
      </c>
      <c r="AU85" s="22" t="n">
        <f aca="false">MIN(AT85,L$8)</f>
        <v>0</v>
      </c>
      <c r="AV85" s="22" t="n">
        <f aca="false">MAX(0,MIN(AT85-AU85,$C85-(P85+T85+X85+AB85+AF85+AJ85+AN85+AR85)))</f>
        <v>0</v>
      </c>
      <c r="AW85" s="22" t="n">
        <f aca="false">ROUND(AT85-AU85-AV85,2)</f>
        <v>0</v>
      </c>
      <c r="AX85" s="22" t="n">
        <f aca="false">BA84*(1+M$7)</f>
        <v>0</v>
      </c>
      <c r="AY85" s="22" t="n">
        <f aca="false">MIN(AX85,M$8)</f>
        <v>0</v>
      </c>
      <c r="AZ85" s="22" t="n">
        <f aca="false">MAX(0,MIN(AX85-AY85,$C85-(P85+T85+X85+AB85+AF85+AJ85+AN85+AR85+AV85)))</f>
        <v>0</v>
      </c>
      <c r="BA85" s="22" t="n">
        <f aca="false">ROUND(AX85-AY85-AZ85,2)</f>
        <v>0</v>
      </c>
    </row>
    <row r="86" customFormat="false" ht="15" hidden="false" customHeight="false" outlineLevel="0" collapsed="false">
      <c r="A86" s="0" t="n">
        <v>76</v>
      </c>
      <c r="B86" s="39" t="n">
        <f aca="false">EDATE(Borçlar!$K$7,75)</f>
        <v>48580</v>
      </c>
      <c r="C86" s="36" t="n">
        <f aca="false">MAX(0,Borçlar!$K$8-(O86+S86+W86+AA86+AE86+AI86+AM86+AQ86+AU86+AY86))</f>
        <v>19000</v>
      </c>
      <c r="D86" s="36" t="n">
        <f aca="false">O86+P86+S86+T86+W86+X86+AA86+AB86+AE86+AF86+AI86+AJ86+AM86+AN86+AQ86+AR86+AU86+AV86+AY86+AZ86</f>
        <v>0</v>
      </c>
      <c r="E86" s="36" t="n">
        <f aca="false">(N86+R86+V86+Z86+AD86+AH86+AL86+AP86+AT86+AX86)-(F85)</f>
        <v>0</v>
      </c>
      <c r="F86" s="36" t="n">
        <f aca="false">Q86+U86+Y86+AC86+AG86+AK86+AO86+AS86+AW86+BA86</f>
        <v>0</v>
      </c>
      <c r="N86" s="22" t="n">
        <f aca="false">Q85*(1+D$7)</f>
        <v>0</v>
      </c>
      <c r="O86" s="22" t="n">
        <f aca="false">MIN(N86,D$8)</f>
        <v>0</v>
      </c>
      <c r="P86" s="22" t="n">
        <f aca="false">MAX(0,MIN(N86-O86,$C86-(0)))</f>
        <v>0</v>
      </c>
      <c r="Q86" s="22" t="n">
        <f aca="false">ROUND(N86-O86-P86,2)</f>
        <v>0</v>
      </c>
      <c r="R86" s="22" t="n">
        <f aca="false">U85*(1+E$7)</f>
        <v>0</v>
      </c>
      <c r="S86" s="22" t="n">
        <f aca="false">MIN(R86,E$8)</f>
        <v>0</v>
      </c>
      <c r="T86" s="22" t="n">
        <f aca="false">MAX(0,MIN(R86-S86,$C86-(P86)))</f>
        <v>0</v>
      </c>
      <c r="U86" s="22" t="n">
        <f aca="false">ROUND(R86-S86-T86,2)</f>
        <v>0</v>
      </c>
      <c r="V86" s="22" t="n">
        <f aca="false">Y85*(1+F$7)</f>
        <v>0</v>
      </c>
      <c r="W86" s="22" t="n">
        <f aca="false">MIN(V86,F$8)</f>
        <v>0</v>
      </c>
      <c r="X86" s="22" t="n">
        <f aca="false">MAX(0,MIN(V86-W86,$C86-(P86+T86)))</f>
        <v>0</v>
      </c>
      <c r="Y86" s="22" t="n">
        <f aca="false">ROUND(V86-W86-X86,2)</f>
        <v>0</v>
      </c>
      <c r="Z86" s="22" t="n">
        <f aca="false">AC85*(1+G$7)</f>
        <v>0</v>
      </c>
      <c r="AA86" s="22" t="n">
        <f aca="false">MIN(Z86,G$8)</f>
        <v>0</v>
      </c>
      <c r="AB86" s="22" t="n">
        <f aca="false">MAX(0,MIN(Z86-AA86,$C86-(P86+T86+X86)))</f>
        <v>0</v>
      </c>
      <c r="AC86" s="22" t="n">
        <f aca="false">ROUND(Z86-AA86-AB86,2)</f>
        <v>0</v>
      </c>
      <c r="AD86" s="22" t="n">
        <f aca="false">AG85*(1+H$7)</f>
        <v>0</v>
      </c>
      <c r="AE86" s="22" t="n">
        <f aca="false">MIN(AD86,H$8)</f>
        <v>0</v>
      </c>
      <c r="AF86" s="22" t="n">
        <f aca="false">MAX(0,MIN(AD86-AE86,$C86-(P86+T86+X86+AB86)))</f>
        <v>0</v>
      </c>
      <c r="AG86" s="22" t="n">
        <f aca="false">ROUND(AD86-AE86-AF86,2)</f>
        <v>0</v>
      </c>
      <c r="AH86" s="22" t="n">
        <f aca="false">AK85*(1+I$7)</f>
        <v>0</v>
      </c>
      <c r="AI86" s="22" t="n">
        <f aca="false">MIN(AH86,I$8)</f>
        <v>0</v>
      </c>
      <c r="AJ86" s="22" t="n">
        <f aca="false">MAX(0,MIN(AH86-AI86,$C86-(P86+T86+X86+AB86+AF86)))</f>
        <v>0</v>
      </c>
      <c r="AK86" s="22" t="n">
        <f aca="false">ROUND(AH86-AI86-AJ86,2)</f>
        <v>0</v>
      </c>
      <c r="AL86" s="22" t="n">
        <f aca="false">AO85*(1+J$7)</f>
        <v>0</v>
      </c>
      <c r="AM86" s="22" t="n">
        <f aca="false">MIN(AL86,J$8)</f>
        <v>0</v>
      </c>
      <c r="AN86" s="22" t="n">
        <f aca="false">MAX(0,MIN(AL86-AM86,$C86-(P86+T86+X86+AB86+AF86+AJ86)))</f>
        <v>0</v>
      </c>
      <c r="AO86" s="22" t="n">
        <f aca="false">ROUND(AL86-AM86-AN86,2)</f>
        <v>0</v>
      </c>
      <c r="AP86" s="22" t="n">
        <f aca="false">AS85*(1+K$7)</f>
        <v>0</v>
      </c>
      <c r="AQ86" s="22" t="n">
        <f aca="false">MIN(AP86,K$8)</f>
        <v>0</v>
      </c>
      <c r="AR86" s="22" t="n">
        <f aca="false">MAX(0,MIN(AP86-AQ86,$C86-(P86+T86+X86+AB86+AF86+AJ86+AN86)))</f>
        <v>0</v>
      </c>
      <c r="AS86" s="22" t="n">
        <f aca="false">ROUND(AP86-AQ86-AR86,2)</f>
        <v>0</v>
      </c>
      <c r="AT86" s="22" t="n">
        <f aca="false">AW85*(1+L$7)</f>
        <v>0</v>
      </c>
      <c r="AU86" s="22" t="n">
        <f aca="false">MIN(AT86,L$8)</f>
        <v>0</v>
      </c>
      <c r="AV86" s="22" t="n">
        <f aca="false">MAX(0,MIN(AT86-AU86,$C86-(P86+T86+X86+AB86+AF86+AJ86+AN86+AR86)))</f>
        <v>0</v>
      </c>
      <c r="AW86" s="22" t="n">
        <f aca="false">ROUND(AT86-AU86-AV86,2)</f>
        <v>0</v>
      </c>
      <c r="AX86" s="22" t="n">
        <f aca="false">BA85*(1+M$7)</f>
        <v>0</v>
      </c>
      <c r="AY86" s="22" t="n">
        <f aca="false">MIN(AX86,M$8)</f>
        <v>0</v>
      </c>
      <c r="AZ86" s="22" t="n">
        <f aca="false">MAX(0,MIN(AX86-AY86,$C86-(P86+T86+X86+AB86+AF86+AJ86+AN86+AR86+AV86)))</f>
        <v>0</v>
      </c>
      <c r="BA86" s="22" t="n">
        <f aca="false">ROUND(AX86-AY86-AZ86,2)</f>
        <v>0</v>
      </c>
    </row>
    <row r="87" customFormat="false" ht="15" hidden="false" customHeight="false" outlineLevel="0" collapsed="false">
      <c r="A87" s="0" t="n">
        <v>77</v>
      </c>
      <c r="B87" s="39" t="n">
        <f aca="false">EDATE(Borçlar!$K$7,76)</f>
        <v>48611</v>
      </c>
      <c r="C87" s="36" t="n">
        <f aca="false">MAX(0,Borçlar!$K$8-(O87+S87+W87+AA87+AE87+AI87+AM87+AQ87+AU87+AY87))</f>
        <v>19000</v>
      </c>
      <c r="D87" s="36" t="n">
        <f aca="false">O87+P87+S87+T87+W87+X87+AA87+AB87+AE87+AF87+AI87+AJ87+AM87+AN87+AQ87+AR87+AU87+AV87+AY87+AZ87</f>
        <v>0</v>
      </c>
      <c r="E87" s="36" t="n">
        <f aca="false">(N87+R87+V87+Z87+AD87+AH87+AL87+AP87+AT87+AX87)-(F86)</f>
        <v>0</v>
      </c>
      <c r="F87" s="36" t="n">
        <f aca="false">Q87+U87+Y87+AC87+AG87+AK87+AO87+AS87+AW87+BA87</f>
        <v>0</v>
      </c>
      <c r="N87" s="22" t="n">
        <f aca="false">Q86*(1+D$7)</f>
        <v>0</v>
      </c>
      <c r="O87" s="22" t="n">
        <f aca="false">MIN(N87,D$8)</f>
        <v>0</v>
      </c>
      <c r="P87" s="22" t="n">
        <f aca="false">MAX(0,MIN(N87-O87,$C87-(0)))</f>
        <v>0</v>
      </c>
      <c r="Q87" s="22" t="n">
        <f aca="false">ROUND(N87-O87-P87,2)</f>
        <v>0</v>
      </c>
      <c r="R87" s="22" t="n">
        <f aca="false">U86*(1+E$7)</f>
        <v>0</v>
      </c>
      <c r="S87" s="22" t="n">
        <f aca="false">MIN(R87,E$8)</f>
        <v>0</v>
      </c>
      <c r="T87" s="22" t="n">
        <f aca="false">MAX(0,MIN(R87-S87,$C87-(P87)))</f>
        <v>0</v>
      </c>
      <c r="U87" s="22" t="n">
        <f aca="false">ROUND(R87-S87-T87,2)</f>
        <v>0</v>
      </c>
      <c r="V87" s="22" t="n">
        <f aca="false">Y86*(1+F$7)</f>
        <v>0</v>
      </c>
      <c r="W87" s="22" t="n">
        <f aca="false">MIN(V87,F$8)</f>
        <v>0</v>
      </c>
      <c r="X87" s="22" t="n">
        <f aca="false">MAX(0,MIN(V87-W87,$C87-(P87+T87)))</f>
        <v>0</v>
      </c>
      <c r="Y87" s="22" t="n">
        <f aca="false">ROUND(V87-W87-X87,2)</f>
        <v>0</v>
      </c>
      <c r="Z87" s="22" t="n">
        <f aca="false">AC86*(1+G$7)</f>
        <v>0</v>
      </c>
      <c r="AA87" s="22" t="n">
        <f aca="false">MIN(Z87,G$8)</f>
        <v>0</v>
      </c>
      <c r="AB87" s="22" t="n">
        <f aca="false">MAX(0,MIN(Z87-AA87,$C87-(P87+T87+X87)))</f>
        <v>0</v>
      </c>
      <c r="AC87" s="22" t="n">
        <f aca="false">ROUND(Z87-AA87-AB87,2)</f>
        <v>0</v>
      </c>
      <c r="AD87" s="22" t="n">
        <f aca="false">AG86*(1+H$7)</f>
        <v>0</v>
      </c>
      <c r="AE87" s="22" t="n">
        <f aca="false">MIN(AD87,H$8)</f>
        <v>0</v>
      </c>
      <c r="AF87" s="22" t="n">
        <f aca="false">MAX(0,MIN(AD87-AE87,$C87-(P87+T87+X87+AB87)))</f>
        <v>0</v>
      </c>
      <c r="AG87" s="22" t="n">
        <f aca="false">ROUND(AD87-AE87-AF87,2)</f>
        <v>0</v>
      </c>
      <c r="AH87" s="22" t="n">
        <f aca="false">AK86*(1+I$7)</f>
        <v>0</v>
      </c>
      <c r="AI87" s="22" t="n">
        <f aca="false">MIN(AH87,I$8)</f>
        <v>0</v>
      </c>
      <c r="AJ87" s="22" t="n">
        <f aca="false">MAX(0,MIN(AH87-AI87,$C87-(P87+T87+X87+AB87+AF87)))</f>
        <v>0</v>
      </c>
      <c r="AK87" s="22" t="n">
        <f aca="false">ROUND(AH87-AI87-AJ87,2)</f>
        <v>0</v>
      </c>
      <c r="AL87" s="22" t="n">
        <f aca="false">AO86*(1+J$7)</f>
        <v>0</v>
      </c>
      <c r="AM87" s="22" t="n">
        <f aca="false">MIN(AL87,J$8)</f>
        <v>0</v>
      </c>
      <c r="AN87" s="22" t="n">
        <f aca="false">MAX(0,MIN(AL87-AM87,$C87-(P87+T87+X87+AB87+AF87+AJ87)))</f>
        <v>0</v>
      </c>
      <c r="AO87" s="22" t="n">
        <f aca="false">ROUND(AL87-AM87-AN87,2)</f>
        <v>0</v>
      </c>
      <c r="AP87" s="22" t="n">
        <f aca="false">AS86*(1+K$7)</f>
        <v>0</v>
      </c>
      <c r="AQ87" s="22" t="n">
        <f aca="false">MIN(AP87,K$8)</f>
        <v>0</v>
      </c>
      <c r="AR87" s="22" t="n">
        <f aca="false">MAX(0,MIN(AP87-AQ87,$C87-(P87+T87+X87+AB87+AF87+AJ87+AN87)))</f>
        <v>0</v>
      </c>
      <c r="AS87" s="22" t="n">
        <f aca="false">ROUND(AP87-AQ87-AR87,2)</f>
        <v>0</v>
      </c>
      <c r="AT87" s="22" t="n">
        <f aca="false">AW86*(1+L$7)</f>
        <v>0</v>
      </c>
      <c r="AU87" s="22" t="n">
        <f aca="false">MIN(AT87,L$8)</f>
        <v>0</v>
      </c>
      <c r="AV87" s="22" t="n">
        <f aca="false">MAX(0,MIN(AT87-AU87,$C87-(P87+T87+X87+AB87+AF87+AJ87+AN87+AR87)))</f>
        <v>0</v>
      </c>
      <c r="AW87" s="22" t="n">
        <f aca="false">ROUND(AT87-AU87-AV87,2)</f>
        <v>0</v>
      </c>
      <c r="AX87" s="22" t="n">
        <f aca="false">BA86*(1+M$7)</f>
        <v>0</v>
      </c>
      <c r="AY87" s="22" t="n">
        <f aca="false">MIN(AX87,M$8)</f>
        <v>0</v>
      </c>
      <c r="AZ87" s="22" t="n">
        <f aca="false">MAX(0,MIN(AX87-AY87,$C87-(P87+T87+X87+AB87+AF87+AJ87+AN87+AR87+AV87)))</f>
        <v>0</v>
      </c>
      <c r="BA87" s="22" t="n">
        <f aca="false">ROUND(AX87-AY87-AZ87,2)</f>
        <v>0</v>
      </c>
    </row>
    <row r="88" customFormat="false" ht="15" hidden="false" customHeight="false" outlineLevel="0" collapsed="false">
      <c r="A88" s="0" t="n">
        <v>78</v>
      </c>
      <c r="B88" s="39" t="n">
        <f aca="false">EDATE(Borçlar!$K$7,77)</f>
        <v>48639</v>
      </c>
      <c r="C88" s="36" t="n">
        <f aca="false">MAX(0,Borçlar!$K$8-(O88+S88+W88+AA88+AE88+AI88+AM88+AQ88+AU88+AY88))</f>
        <v>19000</v>
      </c>
      <c r="D88" s="36" t="n">
        <f aca="false">O88+P88+S88+T88+W88+X88+AA88+AB88+AE88+AF88+AI88+AJ88+AM88+AN88+AQ88+AR88+AU88+AV88+AY88+AZ88</f>
        <v>0</v>
      </c>
      <c r="E88" s="36" t="n">
        <f aca="false">(N88+R88+V88+Z88+AD88+AH88+AL88+AP88+AT88+AX88)-(F87)</f>
        <v>0</v>
      </c>
      <c r="F88" s="36" t="n">
        <f aca="false">Q88+U88+Y88+AC88+AG88+AK88+AO88+AS88+AW88+BA88</f>
        <v>0</v>
      </c>
      <c r="N88" s="22" t="n">
        <f aca="false">Q87*(1+D$7)</f>
        <v>0</v>
      </c>
      <c r="O88" s="22" t="n">
        <f aca="false">MIN(N88,D$8)</f>
        <v>0</v>
      </c>
      <c r="P88" s="22" t="n">
        <f aca="false">MAX(0,MIN(N88-O88,$C88-(0)))</f>
        <v>0</v>
      </c>
      <c r="Q88" s="22" t="n">
        <f aca="false">ROUND(N88-O88-P88,2)</f>
        <v>0</v>
      </c>
      <c r="R88" s="22" t="n">
        <f aca="false">U87*(1+E$7)</f>
        <v>0</v>
      </c>
      <c r="S88" s="22" t="n">
        <f aca="false">MIN(R88,E$8)</f>
        <v>0</v>
      </c>
      <c r="T88" s="22" t="n">
        <f aca="false">MAX(0,MIN(R88-S88,$C88-(P88)))</f>
        <v>0</v>
      </c>
      <c r="U88" s="22" t="n">
        <f aca="false">ROUND(R88-S88-T88,2)</f>
        <v>0</v>
      </c>
      <c r="V88" s="22" t="n">
        <f aca="false">Y87*(1+F$7)</f>
        <v>0</v>
      </c>
      <c r="W88" s="22" t="n">
        <f aca="false">MIN(V88,F$8)</f>
        <v>0</v>
      </c>
      <c r="X88" s="22" t="n">
        <f aca="false">MAX(0,MIN(V88-W88,$C88-(P88+T88)))</f>
        <v>0</v>
      </c>
      <c r="Y88" s="22" t="n">
        <f aca="false">ROUND(V88-W88-X88,2)</f>
        <v>0</v>
      </c>
      <c r="Z88" s="22" t="n">
        <f aca="false">AC87*(1+G$7)</f>
        <v>0</v>
      </c>
      <c r="AA88" s="22" t="n">
        <f aca="false">MIN(Z88,G$8)</f>
        <v>0</v>
      </c>
      <c r="AB88" s="22" t="n">
        <f aca="false">MAX(0,MIN(Z88-AA88,$C88-(P88+T88+X88)))</f>
        <v>0</v>
      </c>
      <c r="AC88" s="22" t="n">
        <f aca="false">ROUND(Z88-AA88-AB88,2)</f>
        <v>0</v>
      </c>
      <c r="AD88" s="22" t="n">
        <f aca="false">AG87*(1+H$7)</f>
        <v>0</v>
      </c>
      <c r="AE88" s="22" t="n">
        <f aca="false">MIN(AD88,H$8)</f>
        <v>0</v>
      </c>
      <c r="AF88" s="22" t="n">
        <f aca="false">MAX(0,MIN(AD88-AE88,$C88-(P88+T88+X88+AB88)))</f>
        <v>0</v>
      </c>
      <c r="AG88" s="22" t="n">
        <f aca="false">ROUND(AD88-AE88-AF88,2)</f>
        <v>0</v>
      </c>
      <c r="AH88" s="22" t="n">
        <f aca="false">AK87*(1+I$7)</f>
        <v>0</v>
      </c>
      <c r="AI88" s="22" t="n">
        <f aca="false">MIN(AH88,I$8)</f>
        <v>0</v>
      </c>
      <c r="AJ88" s="22" t="n">
        <f aca="false">MAX(0,MIN(AH88-AI88,$C88-(P88+T88+X88+AB88+AF88)))</f>
        <v>0</v>
      </c>
      <c r="AK88" s="22" t="n">
        <f aca="false">ROUND(AH88-AI88-AJ88,2)</f>
        <v>0</v>
      </c>
      <c r="AL88" s="22" t="n">
        <f aca="false">AO87*(1+J$7)</f>
        <v>0</v>
      </c>
      <c r="AM88" s="22" t="n">
        <f aca="false">MIN(AL88,J$8)</f>
        <v>0</v>
      </c>
      <c r="AN88" s="22" t="n">
        <f aca="false">MAX(0,MIN(AL88-AM88,$C88-(P88+T88+X88+AB88+AF88+AJ88)))</f>
        <v>0</v>
      </c>
      <c r="AO88" s="22" t="n">
        <f aca="false">ROUND(AL88-AM88-AN88,2)</f>
        <v>0</v>
      </c>
      <c r="AP88" s="22" t="n">
        <f aca="false">AS87*(1+K$7)</f>
        <v>0</v>
      </c>
      <c r="AQ88" s="22" t="n">
        <f aca="false">MIN(AP88,K$8)</f>
        <v>0</v>
      </c>
      <c r="AR88" s="22" t="n">
        <f aca="false">MAX(0,MIN(AP88-AQ88,$C88-(P88+T88+X88+AB88+AF88+AJ88+AN88)))</f>
        <v>0</v>
      </c>
      <c r="AS88" s="22" t="n">
        <f aca="false">ROUND(AP88-AQ88-AR88,2)</f>
        <v>0</v>
      </c>
      <c r="AT88" s="22" t="n">
        <f aca="false">AW87*(1+L$7)</f>
        <v>0</v>
      </c>
      <c r="AU88" s="22" t="n">
        <f aca="false">MIN(AT88,L$8)</f>
        <v>0</v>
      </c>
      <c r="AV88" s="22" t="n">
        <f aca="false">MAX(0,MIN(AT88-AU88,$C88-(P88+T88+X88+AB88+AF88+AJ88+AN88+AR88)))</f>
        <v>0</v>
      </c>
      <c r="AW88" s="22" t="n">
        <f aca="false">ROUND(AT88-AU88-AV88,2)</f>
        <v>0</v>
      </c>
      <c r="AX88" s="22" t="n">
        <f aca="false">BA87*(1+M$7)</f>
        <v>0</v>
      </c>
      <c r="AY88" s="22" t="n">
        <f aca="false">MIN(AX88,M$8)</f>
        <v>0</v>
      </c>
      <c r="AZ88" s="22" t="n">
        <f aca="false">MAX(0,MIN(AX88-AY88,$C88-(P88+T88+X88+AB88+AF88+AJ88+AN88+AR88+AV88)))</f>
        <v>0</v>
      </c>
      <c r="BA88" s="22" t="n">
        <f aca="false">ROUND(AX88-AY88-AZ88,2)</f>
        <v>0</v>
      </c>
    </row>
    <row r="89" customFormat="false" ht="15" hidden="false" customHeight="false" outlineLevel="0" collapsed="false">
      <c r="A89" s="0" t="n">
        <v>79</v>
      </c>
      <c r="B89" s="39" t="n">
        <f aca="false">EDATE(Borçlar!$K$7,78)</f>
        <v>48670</v>
      </c>
      <c r="C89" s="36" t="n">
        <f aca="false">MAX(0,Borçlar!$K$8-(O89+S89+W89+AA89+AE89+AI89+AM89+AQ89+AU89+AY89))</f>
        <v>19000</v>
      </c>
      <c r="D89" s="36" t="n">
        <f aca="false">O89+P89+S89+T89+W89+X89+AA89+AB89+AE89+AF89+AI89+AJ89+AM89+AN89+AQ89+AR89+AU89+AV89+AY89+AZ89</f>
        <v>0</v>
      </c>
      <c r="E89" s="36" t="n">
        <f aca="false">(N89+R89+V89+Z89+AD89+AH89+AL89+AP89+AT89+AX89)-(F88)</f>
        <v>0</v>
      </c>
      <c r="F89" s="36" t="n">
        <f aca="false">Q89+U89+Y89+AC89+AG89+AK89+AO89+AS89+AW89+BA89</f>
        <v>0</v>
      </c>
      <c r="N89" s="22" t="n">
        <f aca="false">Q88*(1+D$7)</f>
        <v>0</v>
      </c>
      <c r="O89" s="22" t="n">
        <f aca="false">MIN(N89,D$8)</f>
        <v>0</v>
      </c>
      <c r="P89" s="22" t="n">
        <f aca="false">MAX(0,MIN(N89-O89,$C89-(0)))</f>
        <v>0</v>
      </c>
      <c r="Q89" s="22" t="n">
        <f aca="false">ROUND(N89-O89-P89,2)</f>
        <v>0</v>
      </c>
      <c r="R89" s="22" t="n">
        <f aca="false">U88*(1+E$7)</f>
        <v>0</v>
      </c>
      <c r="S89" s="22" t="n">
        <f aca="false">MIN(R89,E$8)</f>
        <v>0</v>
      </c>
      <c r="T89" s="22" t="n">
        <f aca="false">MAX(0,MIN(R89-S89,$C89-(P89)))</f>
        <v>0</v>
      </c>
      <c r="U89" s="22" t="n">
        <f aca="false">ROUND(R89-S89-T89,2)</f>
        <v>0</v>
      </c>
      <c r="V89" s="22" t="n">
        <f aca="false">Y88*(1+F$7)</f>
        <v>0</v>
      </c>
      <c r="W89" s="22" t="n">
        <f aca="false">MIN(V89,F$8)</f>
        <v>0</v>
      </c>
      <c r="X89" s="22" t="n">
        <f aca="false">MAX(0,MIN(V89-W89,$C89-(P89+T89)))</f>
        <v>0</v>
      </c>
      <c r="Y89" s="22" t="n">
        <f aca="false">ROUND(V89-W89-X89,2)</f>
        <v>0</v>
      </c>
      <c r="Z89" s="22" t="n">
        <f aca="false">AC88*(1+G$7)</f>
        <v>0</v>
      </c>
      <c r="AA89" s="22" t="n">
        <f aca="false">MIN(Z89,G$8)</f>
        <v>0</v>
      </c>
      <c r="AB89" s="22" t="n">
        <f aca="false">MAX(0,MIN(Z89-AA89,$C89-(P89+T89+X89)))</f>
        <v>0</v>
      </c>
      <c r="AC89" s="22" t="n">
        <f aca="false">ROUND(Z89-AA89-AB89,2)</f>
        <v>0</v>
      </c>
      <c r="AD89" s="22" t="n">
        <f aca="false">AG88*(1+H$7)</f>
        <v>0</v>
      </c>
      <c r="AE89" s="22" t="n">
        <f aca="false">MIN(AD89,H$8)</f>
        <v>0</v>
      </c>
      <c r="AF89" s="22" t="n">
        <f aca="false">MAX(0,MIN(AD89-AE89,$C89-(P89+T89+X89+AB89)))</f>
        <v>0</v>
      </c>
      <c r="AG89" s="22" t="n">
        <f aca="false">ROUND(AD89-AE89-AF89,2)</f>
        <v>0</v>
      </c>
      <c r="AH89" s="22" t="n">
        <f aca="false">AK88*(1+I$7)</f>
        <v>0</v>
      </c>
      <c r="AI89" s="22" t="n">
        <f aca="false">MIN(AH89,I$8)</f>
        <v>0</v>
      </c>
      <c r="AJ89" s="22" t="n">
        <f aca="false">MAX(0,MIN(AH89-AI89,$C89-(P89+T89+X89+AB89+AF89)))</f>
        <v>0</v>
      </c>
      <c r="AK89" s="22" t="n">
        <f aca="false">ROUND(AH89-AI89-AJ89,2)</f>
        <v>0</v>
      </c>
      <c r="AL89" s="22" t="n">
        <f aca="false">AO88*(1+J$7)</f>
        <v>0</v>
      </c>
      <c r="AM89" s="22" t="n">
        <f aca="false">MIN(AL89,J$8)</f>
        <v>0</v>
      </c>
      <c r="AN89" s="22" t="n">
        <f aca="false">MAX(0,MIN(AL89-AM89,$C89-(P89+T89+X89+AB89+AF89+AJ89)))</f>
        <v>0</v>
      </c>
      <c r="AO89" s="22" t="n">
        <f aca="false">ROUND(AL89-AM89-AN89,2)</f>
        <v>0</v>
      </c>
      <c r="AP89" s="22" t="n">
        <f aca="false">AS88*(1+K$7)</f>
        <v>0</v>
      </c>
      <c r="AQ89" s="22" t="n">
        <f aca="false">MIN(AP89,K$8)</f>
        <v>0</v>
      </c>
      <c r="AR89" s="22" t="n">
        <f aca="false">MAX(0,MIN(AP89-AQ89,$C89-(P89+T89+X89+AB89+AF89+AJ89+AN89)))</f>
        <v>0</v>
      </c>
      <c r="AS89" s="22" t="n">
        <f aca="false">ROUND(AP89-AQ89-AR89,2)</f>
        <v>0</v>
      </c>
      <c r="AT89" s="22" t="n">
        <f aca="false">AW88*(1+L$7)</f>
        <v>0</v>
      </c>
      <c r="AU89" s="22" t="n">
        <f aca="false">MIN(AT89,L$8)</f>
        <v>0</v>
      </c>
      <c r="AV89" s="22" t="n">
        <f aca="false">MAX(0,MIN(AT89-AU89,$C89-(P89+T89+X89+AB89+AF89+AJ89+AN89+AR89)))</f>
        <v>0</v>
      </c>
      <c r="AW89" s="22" t="n">
        <f aca="false">ROUND(AT89-AU89-AV89,2)</f>
        <v>0</v>
      </c>
      <c r="AX89" s="22" t="n">
        <f aca="false">BA88*(1+M$7)</f>
        <v>0</v>
      </c>
      <c r="AY89" s="22" t="n">
        <f aca="false">MIN(AX89,M$8)</f>
        <v>0</v>
      </c>
      <c r="AZ89" s="22" t="n">
        <f aca="false">MAX(0,MIN(AX89-AY89,$C89-(P89+T89+X89+AB89+AF89+AJ89+AN89+AR89+AV89)))</f>
        <v>0</v>
      </c>
      <c r="BA89" s="22" t="n">
        <f aca="false">ROUND(AX89-AY89-AZ89,2)</f>
        <v>0</v>
      </c>
    </row>
    <row r="90" customFormat="false" ht="15" hidden="false" customHeight="false" outlineLevel="0" collapsed="false">
      <c r="A90" s="0" t="n">
        <v>80</v>
      </c>
      <c r="B90" s="39" t="n">
        <f aca="false">EDATE(Borçlar!$K$7,79)</f>
        <v>48700</v>
      </c>
      <c r="C90" s="36" t="n">
        <f aca="false">MAX(0,Borçlar!$K$8-(O90+S90+W90+AA90+AE90+AI90+AM90+AQ90+AU90+AY90))</f>
        <v>19000</v>
      </c>
      <c r="D90" s="36" t="n">
        <f aca="false">O90+P90+S90+T90+W90+X90+AA90+AB90+AE90+AF90+AI90+AJ90+AM90+AN90+AQ90+AR90+AU90+AV90+AY90+AZ90</f>
        <v>0</v>
      </c>
      <c r="E90" s="36" t="n">
        <f aca="false">(N90+R90+V90+Z90+AD90+AH90+AL90+AP90+AT90+AX90)-(F89)</f>
        <v>0</v>
      </c>
      <c r="F90" s="36" t="n">
        <f aca="false">Q90+U90+Y90+AC90+AG90+AK90+AO90+AS90+AW90+BA90</f>
        <v>0</v>
      </c>
      <c r="N90" s="22" t="n">
        <f aca="false">Q89*(1+D$7)</f>
        <v>0</v>
      </c>
      <c r="O90" s="22" t="n">
        <f aca="false">MIN(N90,D$8)</f>
        <v>0</v>
      </c>
      <c r="P90" s="22" t="n">
        <f aca="false">MAX(0,MIN(N90-O90,$C90-(0)))</f>
        <v>0</v>
      </c>
      <c r="Q90" s="22" t="n">
        <f aca="false">ROUND(N90-O90-P90,2)</f>
        <v>0</v>
      </c>
      <c r="R90" s="22" t="n">
        <f aca="false">U89*(1+E$7)</f>
        <v>0</v>
      </c>
      <c r="S90" s="22" t="n">
        <f aca="false">MIN(R90,E$8)</f>
        <v>0</v>
      </c>
      <c r="T90" s="22" t="n">
        <f aca="false">MAX(0,MIN(R90-S90,$C90-(P90)))</f>
        <v>0</v>
      </c>
      <c r="U90" s="22" t="n">
        <f aca="false">ROUND(R90-S90-T90,2)</f>
        <v>0</v>
      </c>
      <c r="V90" s="22" t="n">
        <f aca="false">Y89*(1+F$7)</f>
        <v>0</v>
      </c>
      <c r="W90" s="22" t="n">
        <f aca="false">MIN(V90,F$8)</f>
        <v>0</v>
      </c>
      <c r="X90" s="22" t="n">
        <f aca="false">MAX(0,MIN(V90-W90,$C90-(P90+T90)))</f>
        <v>0</v>
      </c>
      <c r="Y90" s="22" t="n">
        <f aca="false">ROUND(V90-W90-X90,2)</f>
        <v>0</v>
      </c>
      <c r="Z90" s="22" t="n">
        <f aca="false">AC89*(1+G$7)</f>
        <v>0</v>
      </c>
      <c r="AA90" s="22" t="n">
        <f aca="false">MIN(Z90,G$8)</f>
        <v>0</v>
      </c>
      <c r="AB90" s="22" t="n">
        <f aca="false">MAX(0,MIN(Z90-AA90,$C90-(P90+T90+X90)))</f>
        <v>0</v>
      </c>
      <c r="AC90" s="22" t="n">
        <f aca="false">ROUND(Z90-AA90-AB90,2)</f>
        <v>0</v>
      </c>
      <c r="AD90" s="22" t="n">
        <f aca="false">AG89*(1+H$7)</f>
        <v>0</v>
      </c>
      <c r="AE90" s="22" t="n">
        <f aca="false">MIN(AD90,H$8)</f>
        <v>0</v>
      </c>
      <c r="AF90" s="22" t="n">
        <f aca="false">MAX(0,MIN(AD90-AE90,$C90-(P90+T90+X90+AB90)))</f>
        <v>0</v>
      </c>
      <c r="AG90" s="22" t="n">
        <f aca="false">ROUND(AD90-AE90-AF90,2)</f>
        <v>0</v>
      </c>
      <c r="AH90" s="22" t="n">
        <f aca="false">AK89*(1+I$7)</f>
        <v>0</v>
      </c>
      <c r="AI90" s="22" t="n">
        <f aca="false">MIN(AH90,I$8)</f>
        <v>0</v>
      </c>
      <c r="AJ90" s="22" t="n">
        <f aca="false">MAX(0,MIN(AH90-AI90,$C90-(P90+T90+X90+AB90+AF90)))</f>
        <v>0</v>
      </c>
      <c r="AK90" s="22" t="n">
        <f aca="false">ROUND(AH90-AI90-AJ90,2)</f>
        <v>0</v>
      </c>
      <c r="AL90" s="22" t="n">
        <f aca="false">AO89*(1+J$7)</f>
        <v>0</v>
      </c>
      <c r="AM90" s="22" t="n">
        <f aca="false">MIN(AL90,J$8)</f>
        <v>0</v>
      </c>
      <c r="AN90" s="22" t="n">
        <f aca="false">MAX(0,MIN(AL90-AM90,$C90-(P90+T90+X90+AB90+AF90+AJ90)))</f>
        <v>0</v>
      </c>
      <c r="AO90" s="22" t="n">
        <f aca="false">ROUND(AL90-AM90-AN90,2)</f>
        <v>0</v>
      </c>
      <c r="AP90" s="22" t="n">
        <f aca="false">AS89*(1+K$7)</f>
        <v>0</v>
      </c>
      <c r="AQ90" s="22" t="n">
        <f aca="false">MIN(AP90,K$8)</f>
        <v>0</v>
      </c>
      <c r="AR90" s="22" t="n">
        <f aca="false">MAX(0,MIN(AP90-AQ90,$C90-(P90+T90+X90+AB90+AF90+AJ90+AN90)))</f>
        <v>0</v>
      </c>
      <c r="AS90" s="22" t="n">
        <f aca="false">ROUND(AP90-AQ90-AR90,2)</f>
        <v>0</v>
      </c>
      <c r="AT90" s="22" t="n">
        <f aca="false">AW89*(1+L$7)</f>
        <v>0</v>
      </c>
      <c r="AU90" s="22" t="n">
        <f aca="false">MIN(AT90,L$8)</f>
        <v>0</v>
      </c>
      <c r="AV90" s="22" t="n">
        <f aca="false">MAX(0,MIN(AT90-AU90,$C90-(P90+T90+X90+AB90+AF90+AJ90+AN90+AR90)))</f>
        <v>0</v>
      </c>
      <c r="AW90" s="22" t="n">
        <f aca="false">ROUND(AT90-AU90-AV90,2)</f>
        <v>0</v>
      </c>
      <c r="AX90" s="22" t="n">
        <f aca="false">BA89*(1+M$7)</f>
        <v>0</v>
      </c>
      <c r="AY90" s="22" t="n">
        <f aca="false">MIN(AX90,M$8)</f>
        <v>0</v>
      </c>
      <c r="AZ90" s="22" t="n">
        <f aca="false">MAX(0,MIN(AX90-AY90,$C90-(P90+T90+X90+AB90+AF90+AJ90+AN90+AR90+AV90)))</f>
        <v>0</v>
      </c>
      <c r="BA90" s="22" t="n">
        <f aca="false">ROUND(AX90-AY90-AZ90,2)</f>
        <v>0</v>
      </c>
    </row>
    <row r="91" customFormat="false" ht="15" hidden="false" customHeight="false" outlineLevel="0" collapsed="false">
      <c r="A91" s="0" t="n">
        <v>81</v>
      </c>
      <c r="B91" s="39" t="n">
        <f aca="false">EDATE(Borçlar!$K$7,80)</f>
        <v>48731</v>
      </c>
      <c r="C91" s="36" t="n">
        <f aca="false">MAX(0,Borçlar!$K$8-(O91+S91+W91+AA91+AE91+AI91+AM91+AQ91+AU91+AY91))</f>
        <v>19000</v>
      </c>
      <c r="D91" s="36" t="n">
        <f aca="false">O91+P91+S91+T91+W91+X91+AA91+AB91+AE91+AF91+AI91+AJ91+AM91+AN91+AQ91+AR91+AU91+AV91+AY91+AZ91</f>
        <v>0</v>
      </c>
      <c r="E91" s="36" t="n">
        <f aca="false">(N91+R91+V91+Z91+AD91+AH91+AL91+AP91+AT91+AX91)-(F90)</f>
        <v>0</v>
      </c>
      <c r="F91" s="36" t="n">
        <f aca="false">Q91+U91+Y91+AC91+AG91+AK91+AO91+AS91+AW91+BA91</f>
        <v>0</v>
      </c>
      <c r="N91" s="22" t="n">
        <f aca="false">Q90*(1+D$7)</f>
        <v>0</v>
      </c>
      <c r="O91" s="22" t="n">
        <f aca="false">MIN(N91,D$8)</f>
        <v>0</v>
      </c>
      <c r="P91" s="22" t="n">
        <f aca="false">MAX(0,MIN(N91-O91,$C91-(0)))</f>
        <v>0</v>
      </c>
      <c r="Q91" s="22" t="n">
        <f aca="false">ROUND(N91-O91-P91,2)</f>
        <v>0</v>
      </c>
      <c r="R91" s="22" t="n">
        <f aca="false">U90*(1+E$7)</f>
        <v>0</v>
      </c>
      <c r="S91" s="22" t="n">
        <f aca="false">MIN(R91,E$8)</f>
        <v>0</v>
      </c>
      <c r="T91" s="22" t="n">
        <f aca="false">MAX(0,MIN(R91-S91,$C91-(P91)))</f>
        <v>0</v>
      </c>
      <c r="U91" s="22" t="n">
        <f aca="false">ROUND(R91-S91-T91,2)</f>
        <v>0</v>
      </c>
      <c r="V91" s="22" t="n">
        <f aca="false">Y90*(1+F$7)</f>
        <v>0</v>
      </c>
      <c r="W91" s="22" t="n">
        <f aca="false">MIN(V91,F$8)</f>
        <v>0</v>
      </c>
      <c r="X91" s="22" t="n">
        <f aca="false">MAX(0,MIN(V91-W91,$C91-(P91+T91)))</f>
        <v>0</v>
      </c>
      <c r="Y91" s="22" t="n">
        <f aca="false">ROUND(V91-W91-X91,2)</f>
        <v>0</v>
      </c>
      <c r="Z91" s="22" t="n">
        <f aca="false">AC90*(1+G$7)</f>
        <v>0</v>
      </c>
      <c r="AA91" s="22" t="n">
        <f aca="false">MIN(Z91,G$8)</f>
        <v>0</v>
      </c>
      <c r="AB91" s="22" t="n">
        <f aca="false">MAX(0,MIN(Z91-AA91,$C91-(P91+T91+X91)))</f>
        <v>0</v>
      </c>
      <c r="AC91" s="22" t="n">
        <f aca="false">ROUND(Z91-AA91-AB91,2)</f>
        <v>0</v>
      </c>
      <c r="AD91" s="22" t="n">
        <f aca="false">AG90*(1+H$7)</f>
        <v>0</v>
      </c>
      <c r="AE91" s="22" t="n">
        <f aca="false">MIN(AD91,H$8)</f>
        <v>0</v>
      </c>
      <c r="AF91" s="22" t="n">
        <f aca="false">MAX(0,MIN(AD91-AE91,$C91-(P91+T91+X91+AB91)))</f>
        <v>0</v>
      </c>
      <c r="AG91" s="22" t="n">
        <f aca="false">ROUND(AD91-AE91-AF91,2)</f>
        <v>0</v>
      </c>
      <c r="AH91" s="22" t="n">
        <f aca="false">AK90*(1+I$7)</f>
        <v>0</v>
      </c>
      <c r="AI91" s="22" t="n">
        <f aca="false">MIN(AH91,I$8)</f>
        <v>0</v>
      </c>
      <c r="AJ91" s="22" t="n">
        <f aca="false">MAX(0,MIN(AH91-AI91,$C91-(P91+T91+X91+AB91+AF91)))</f>
        <v>0</v>
      </c>
      <c r="AK91" s="22" t="n">
        <f aca="false">ROUND(AH91-AI91-AJ91,2)</f>
        <v>0</v>
      </c>
      <c r="AL91" s="22" t="n">
        <f aca="false">AO90*(1+J$7)</f>
        <v>0</v>
      </c>
      <c r="AM91" s="22" t="n">
        <f aca="false">MIN(AL91,J$8)</f>
        <v>0</v>
      </c>
      <c r="AN91" s="22" t="n">
        <f aca="false">MAX(0,MIN(AL91-AM91,$C91-(P91+T91+X91+AB91+AF91+AJ91)))</f>
        <v>0</v>
      </c>
      <c r="AO91" s="22" t="n">
        <f aca="false">ROUND(AL91-AM91-AN91,2)</f>
        <v>0</v>
      </c>
      <c r="AP91" s="22" t="n">
        <f aca="false">AS90*(1+K$7)</f>
        <v>0</v>
      </c>
      <c r="AQ91" s="22" t="n">
        <f aca="false">MIN(AP91,K$8)</f>
        <v>0</v>
      </c>
      <c r="AR91" s="22" t="n">
        <f aca="false">MAX(0,MIN(AP91-AQ91,$C91-(P91+T91+X91+AB91+AF91+AJ91+AN91)))</f>
        <v>0</v>
      </c>
      <c r="AS91" s="22" t="n">
        <f aca="false">ROUND(AP91-AQ91-AR91,2)</f>
        <v>0</v>
      </c>
      <c r="AT91" s="22" t="n">
        <f aca="false">AW90*(1+L$7)</f>
        <v>0</v>
      </c>
      <c r="AU91" s="22" t="n">
        <f aca="false">MIN(AT91,L$8)</f>
        <v>0</v>
      </c>
      <c r="AV91" s="22" t="n">
        <f aca="false">MAX(0,MIN(AT91-AU91,$C91-(P91+T91+X91+AB91+AF91+AJ91+AN91+AR91)))</f>
        <v>0</v>
      </c>
      <c r="AW91" s="22" t="n">
        <f aca="false">ROUND(AT91-AU91-AV91,2)</f>
        <v>0</v>
      </c>
      <c r="AX91" s="22" t="n">
        <f aca="false">BA90*(1+M$7)</f>
        <v>0</v>
      </c>
      <c r="AY91" s="22" t="n">
        <f aca="false">MIN(AX91,M$8)</f>
        <v>0</v>
      </c>
      <c r="AZ91" s="22" t="n">
        <f aca="false">MAX(0,MIN(AX91-AY91,$C91-(P91+T91+X91+AB91+AF91+AJ91+AN91+AR91+AV91)))</f>
        <v>0</v>
      </c>
      <c r="BA91" s="22" t="n">
        <f aca="false">ROUND(AX91-AY91-AZ91,2)</f>
        <v>0</v>
      </c>
    </row>
    <row r="92" customFormat="false" ht="15" hidden="false" customHeight="false" outlineLevel="0" collapsed="false">
      <c r="A92" s="0" t="n">
        <v>82</v>
      </c>
      <c r="B92" s="39" t="n">
        <f aca="false">EDATE(Borçlar!$K$7,81)</f>
        <v>48761</v>
      </c>
      <c r="C92" s="36" t="n">
        <f aca="false">MAX(0,Borçlar!$K$8-(O92+S92+W92+AA92+AE92+AI92+AM92+AQ92+AU92+AY92))</f>
        <v>19000</v>
      </c>
      <c r="D92" s="36" t="n">
        <f aca="false">O92+P92+S92+T92+W92+X92+AA92+AB92+AE92+AF92+AI92+AJ92+AM92+AN92+AQ92+AR92+AU92+AV92+AY92+AZ92</f>
        <v>0</v>
      </c>
      <c r="E92" s="36" t="n">
        <f aca="false">(N92+R92+V92+Z92+AD92+AH92+AL92+AP92+AT92+AX92)-(F91)</f>
        <v>0</v>
      </c>
      <c r="F92" s="36" t="n">
        <f aca="false">Q92+U92+Y92+AC92+AG92+AK92+AO92+AS92+AW92+BA92</f>
        <v>0</v>
      </c>
      <c r="N92" s="22" t="n">
        <f aca="false">Q91*(1+D$7)</f>
        <v>0</v>
      </c>
      <c r="O92" s="22" t="n">
        <f aca="false">MIN(N92,D$8)</f>
        <v>0</v>
      </c>
      <c r="P92" s="22" t="n">
        <f aca="false">MAX(0,MIN(N92-O92,$C92-(0)))</f>
        <v>0</v>
      </c>
      <c r="Q92" s="22" t="n">
        <f aca="false">ROUND(N92-O92-P92,2)</f>
        <v>0</v>
      </c>
      <c r="R92" s="22" t="n">
        <f aca="false">U91*(1+E$7)</f>
        <v>0</v>
      </c>
      <c r="S92" s="22" t="n">
        <f aca="false">MIN(R92,E$8)</f>
        <v>0</v>
      </c>
      <c r="T92" s="22" t="n">
        <f aca="false">MAX(0,MIN(R92-S92,$C92-(P92)))</f>
        <v>0</v>
      </c>
      <c r="U92" s="22" t="n">
        <f aca="false">ROUND(R92-S92-T92,2)</f>
        <v>0</v>
      </c>
      <c r="V92" s="22" t="n">
        <f aca="false">Y91*(1+F$7)</f>
        <v>0</v>
      </c>
      <c r="W92" s="22" t="n">
        <f aca="false">MIN(V92,F$8)</f>
        <v>0</v>
      </c>
      <c r="X92" s="22" t="n">
        <f aca="false">MAX(0,MIN(V92-W92,$C92-(P92+T92)))</f>
        <v>0</v>
      </c>
      <c r="Y92" s="22" t="n">
        <f aca="false">ROUND(V92-W92-X92,2)</f>
        <v>0</v>
      </c>
      <c r="Z92" s="22" t="n">
        <f aca="false">AC91*(1+G$7)</f>
        <v>0</v>
      </c>
      <c r="AA92" s="22" t="n">
        <f aca="false">MIN(Z92,G$8)</f>
        <v>0</v>
      </c>
      <c r="AB92" s="22" t="n">
        <f aca="false">MAX(0,MIN(Z92-AA92,$C92-(P92+T92+X92)))</f>
        <v>0</v>
      </c>
      <c r="AC92" s="22" t="n">
        <f aca="false">ROUND(Z92-AA92-AB92,2)</f>
        <v>0</v>
      </c>
      <c r="AD92" s="22" t="n">
        <f aca="false">AG91*(1+H$7)</f>
        <v>0</v>
      </c>
      <c r="AE92" s="22" t="n">
        <f aca="false">MIN(AD92,H$8)</f>
        <v>0</v>
      </c>
      <c r="AF92" s="22" t="n">
        <f aca="false">MAX(0,MIN(AD92-AE92,$C92-(P92+T92+X92+AB92)))</f>
        <v>0</v>
      </c>
      <c r="AG92" s="22" t="n">
        <f aca="false">ROUND(AD92-AE92-AF92,2)</f>
        <v>0</v>
      </c>
      <c r="AH92" s="22" t="n">
        <f aca="false">AK91*(1+I$7)</f>
        <v>0</v>
      </c>
      <c r="AI92" s="22" t="n">
        <f aca="false">MIN(AH92,I$8)</f>
        <v>0</v>
      </c>
      <c r="AJ92" s="22" t="n">
        <f aca="false">MAX(0,MIN(AH92-AI92,$C92-(P92+T92+X92+AB92+AF92)))</f>
        <v>0</v>
      </c>
      <c r="AK92" s="22" t="n">
        <f aca="false">ROUND(AH92-AI92-AJ92,2)</f>
        <v>0</v>
      </c>
      <c r="AL92" s="22" t="n">
        <f aca="false">AO91*(1+J$7)</f>
        <v>0</v>
      </c>
      <c r="AM92" s="22" t="n">
        <f aca="false">MIN(AL92,J$8)</f>
        <v>0</v>
      </c>
      <c r="AN92" s="22" t="n">
        <f aca="false">MAX(0,MIN(AL92-AM92,$C92-(P92+T92+X92+AB92+AF92+AJ92)))</f>
        <v>0</v>
      </c>
      <c r="AO92" s="22" t="n">
        <f aca="false">ROUND(AL92-AM92-AN92,2)</f>
        <v>0</v>
      </c>
      <c r="AP92" s="22" t="n">
        <f aca="false">AS91*(1+K$7)</f>
        <v>0</v>
      </c>
      <c r="AQ92" s="22" t="n">
        <f aca="false">MIN(AP92,K$8)</f>
        <v>0</v>
      </c>
      <c r="AR92" s="22" t="n">
        <f aca="false">MAX(0,MIN(AP92-AQ92,$C92-(P92+T92+X92+AB92+AF92+AJ92+AN92)))</f>
        <v>0</v>
      </c>
      <c r="AS92" s="22" t="n">
        <f aca="false">ROUND(AP92-AQ92-AR92,2)</f>
        <v>0</v>
      </c>
      <c r="AT92" s="22" t="n">
        <f aca="false">AW91*(1+L$7)</f>
        <v>0</v>
      </c>
      <c r="AU92" s="22" t="n">
        <f aca="false">MIN(AT92,L$8)</f>
        <v>0</v>
      </c>
      <c r="AV92" s="22" t="n">
        <f aca="false">MAX(0,MIN(AT92-AU92,$C92-(P92+T92+X92+AB92+AF92+AJ92+AN92+AR92)))</f>
        <v>0</v>
      </c>
      <c r="AW92" s="22" t="n">
        <f aca="false">ROUND(AT92-AU92-AV92,2)</f>
        <v>0</v>
      </c>
      <c r="AX92" s="22" t="n">
        <f aca="false">BA91*(1+M$7)</f>
        <v>0</v>
      </c>
      <c r="AY92" s="22" t="n">
        <f aca="false">MIN(AX92,M$8)</f>
        <v>0</v>
      </c>
      <c r="AZ92" s="22" t="n">
        <f aca="false">MAX(0,MIN(AX92-AY92,$C92-(P92+T92+X92+AB92+AF92+AJ92+AN92+AR92+AV92)))</f>
        <v>0</v>
      </c>
      <c r="BA92" s="22" t="n">
        <f aca="false">ROUND(AX92-AY92-AZ92,2)</f>
        <v>0</v>
      </c>
    </row>
    <row r="93" customFormat="false" ht="15" hidden="false" customHeight="false" outlineLevel="0" collapsed="false">
      <c r="A93" s="0" t="n">
        <v>83</v>
      </c>
      <c r="B93" s="39" t="n">
        <f aca="false">EDATE(Borçlar!$K$7,82)</f>
        <v>48792</v>
      </c>
      <c r="C93" s="36" t="n">
        <f aca="false">MAX(0,Borçlar!$K$8-(O93+S93+W93+AA93+AE93+AI93+AM93+AQ93+AU93+AY93))</f>
        <v>19000</v>
      </c>
      <c r="D93" s="36" t="n">
        <f aca="false">O93+P93+S93+T93+W93+X93+AA93+AB93+AE93+AF93+AI93+AJ93+AM93+AN93+AQ93+AR93+AU93+AV93+AY93+AZ93</f>
        <v>0</v>
      </c>
      <c r="E93" s="36" t="n">
        <f aca="false">(N93+R93+V93+Z93+AD93+AH93+AL93+AP93+AT93+AX93)-(F92)</f>
        <v>0</v>
      </c>
      <c r="F93" s="36" t="n">
        <f aca="false">Q93+U93+Y93+AC93+AG93+AK93+AO93+AS93+AW93+BA93</f>
        <v>0</v>
      </c>
      <c r="N93" s="22" t="n">
        <f aca="false">Q92*(1+D$7)</f>
        <v>0</v>
      </c>
      <c r="O93" s="22" t="n">
        <f aca="false">MIN(N93,D$8)</f>
        <v>0</v>
      </c>
      <c r="P93" s="22" t="n">
        <f aca="false">MAX(0,MIN(N93-O93,$C93-(0)))</f>
        <v>0</v>
      </c>
      <c r="Q93" s="22" t="n">
        <f aca="false">ROUND(N93-O93-P93,2)</f>
        <v>0</v>
      </c>
      <c r="R93" s="22" t="n">
        <f aca="false">U92*(1+E$7)</f>
        <v>0</v>
      </c>
      <c r="S93" s="22" t="n">
        <f aca="false">MIN(R93,E$8)</f>
        <v>0</v>
      </c>
      <c r="T93" s="22" t="n">
        <f aca="false">MAX(0,MIN(R93-S93,$C93-(P93)))</f>
        <v>0</v>
      </c>
      <c r="U93" s="22" t="n">
        <f aca="false">ROUND(R93-S93-T93,2)</f>
        <v>0</v>
      </c>
      <c r="V93" s="22" t="n">
        <f aca="false">Y92*(1+F$7)</f>
        <v>0</v>
      </c>
      <c r="W93" s="22" t="n">
        <f aca="false">MIN(V93,F$8)</f>
        <v>0</v>
      </c>
      <c r="X93" s="22" t="n">
        <f aca="false">MAX(0,MIN(V93-W93,$C93-(P93+T93)))</f>
        <v>0</v>
      </c>
      <c r="Y93" s="22" t="n">
        <f aca="false">ROUND(V93-W93-X93,2)</f>
        <v>0</v>
      </c>
      <c r="Z93" s="22" t="n">
        <f aca="false">AC92*(1+G$7)</f>
        <v>0</v>
      </c>
      <c r="AA93" s="22" t="n">
        <f aca="false">MIN(Z93,G$8)</f>
        <v>0</v>
      </c>
      <c r="AB93" s="22" t="n">
        <f aca="false">MAX(0,MIN(Z93-AA93,$C93-(P93+T93+X93)))</f>
        <v>0</v>
      </c>
      <c r="AC93" s="22" t="n">
        <f aca="false">ROUND(Z93-AA93-AB93,2)</f>
        <v>0</v>
      </c>
      <c r="AD93" s="22" t="n">
        <f aca="false">AG92*(1+H$7)</f>
        <v>0</v>
      </c>
      <c r="AE93" s="22" t="n">
        <f aca="false">MIN(AD93,H$8)</f>
        <v>0</v>
      </c>
      <c r="AF93" s="22" t="n">
        <f aca="false">MAX(0,MIN(AD93-AE93,$C93-(P93+T93+X93+AB93)))</f>
        <v>0</v>
      </c>
      <c r="AG93" s="22" t="n">
        <f aca="false">ROUND(AD93-AE93-AF93,2)</f>
        <v>0</v>
      </c>
      <c r="AH93" s="22" t="n">
        <f aca="false">AK92*(1+I$7)</f>
        <v>0</v>
      </c>
      <c r="AI93" s="22" t="n">
        <f aca="false">MIN(AH93,I$8)</f>
        <v>0</v>
      </c>
      <c r="AJ93" s="22" t="n">
        <f aca="false">MAX(0,MIN(AH93-AI93,$C93-(P93+T93+X93+AB93+AF93)))</f>
        <v>0</v>
      </c>
      <c r="AK93" s="22" t="n">
        <f aca="false">ROUND(AH93-AI93-AJ93,2)</f>
        <v>0</v>
      </c>
      <c r="AL93" s="22" t="n">
        <f aca="false">AO92*(1+J$7)</f>
        <v>0</v>
      </c>
      <c r="AM93" s="22" t="n">
        <f aca="false">MIN(AL93,J$8)</f>
        <v>0</v>
      </c>
      <c r="AN93" s="22" t="n">
        <f aca="false">MAX(0,MIN(AL93-AM93,$C93-(P93+T93+X93+AB93+AF93+AJ93)))</f>
        <v>0</v>
      </c>
      <c r="AO93" s="22" t="n">
        <f aca="false">ROUND(AL93-AM93-AN93,2)</f>
        <v>0</v>
      </c>
      <c r="AP93" s="22" t="n">
        <f aca="false">AS92*(1+K$7)</f>
        <v>0</v>
      </c>
      <c r="AQ93" s="22" t="n">
        <f aca="false">MIN(AP93,K$8)</f>
        <v>0</v>
      </c>
      <c r="AR93" s="22" t="n">
        <f aca="false">MAX(0,MIN(AP93-AQ93,$C93-(P93+T93+X93+AB93+AF93+AJ93+AN93)))</f>
        <v>0</v>
      </c>
      <c r="AS93" s="22" t="n">
        <f aca="false">ROUND(AP93-AQ93-AR93,2)</f>
        <v>0</v>
      </c>
      <c r="AT93" s="22" t="n">
        <f aca="false">AW92*(1+L$7)</f>
        <v>0</v>
      </c>
      <c r="AU93" s="22" t="n">
        <f aca="false">MIN(AT93,L$8)</f>
        <v>0</v>
      </c>
      <c r="AV93" s="22" t="n">
        <f aca="false">MAX(0,MIN(AT93-AU93,$C93-(P93+T93+X93+AB93+AF93+AJ93+AN93+AR93)))</f>
        <v>0</v>
      </c>
      <c r="AW93" s="22" t="n">
        <f aca="false">ROUND(AT93-AU93-AV93,2)</f>
        <v>0</v>
      </c>
      <c r="AX93" s="22" t="n">
        <f aca="false">BA92*(1+M$7)</f>
        <v>0</v>
      </c>
      <c r="AY93" s="22" t="n">
        <f aca="false">MIN(AX93,M$8)</f>
        <v>0</v>
      </c>
      <c r="AZ93" s="22" t="n">
        <f aca="false">MAX(0,MIN(AX93-AY93,$C93-(P93+T93+X93+AB93+AF93+AJ93+AN93+AR93+AV93)))</f>
        <v>0</v>
      </c>
      <c r="BA93" s="22" t="n">
        <f aca="false">ROUND(AX93-AY93-AZ93,2)</f>
        <v>0</v>
      </c>
    </row>
    <row r="94" customFormat="false" ht="15" hidden="false" customHeight="false" outlineLevel="0" collapsed="false">
      <c r="A94" s="0" t="n">
        <v>84</v>
      </c>
      <c r="B94" s="39" t="n">
        <f aca="false">EDATE(Borçlar!$K$7,83)</f>
        <v>48823</v>
      </c>
      <c r="C94" s="36" t="n">
        <f aca="false">MAX(0,Borçlar!$K$8-(O94+S94+W94+AA94+AE94+AI94+AM94+AQ94+AU94+AY94))</f>
        <v>19000</v>
      </c>
      <c r="D94" s="36" t="n">
        <f aca="false">O94+P94+S94+T94+W94+X94+AA94+AB94+AE94+AF94+AI94+AJ94+AM94+AN94+AQ94+AR94+AU94+AV94+AY94+AZ94</f>
        <v>0</v>
      </c>
      <c r="E94" s="36" t="n">
        <f aca="false">(N94+R94+V94+Z94+AD94+AH94+AL94+AP94+AT94+AX94)-(F93)</f>
        <v>0</v>
      </c>
      <c r="F94" s="36" t="n">
        <f aca="false">Q94+U94+Y94+AC94+AG94+AK94+AO94+AS94+AW94+BA94</f>
        <v>0</v>
      </c>
      <c r="N94" s="22" t="n">
        <f aca="false">Q93*(1+D$7)</f>
        <v>0</v>
      </c>
      <c r="O94" s="22" t="n">
        <f aca="false">MIN(N94,D$8)</f>
        <v>0</v>
      </c>
      <c r="P94" s="22" t="n">
        <f aca="false">MAX(0,MIN(N94-O94,$C94-(0)))</f>
        <v>0</v>
      </c>
      <c r="Q94" s="22" t="n">
        <f aca="false">ROUND(N94-O94-P94,2)</f>
        <v>0</v>
      </c>
      <c r="R94" s="22" t="n">
        <f aca="false">U93*(1+E$7)</f>
        <v>0</v>
      </c>
      <c r="S94" s="22" t="n">
        <f aca="false">MIN(R94,E$8)</f>
        <v>0</v>
      </c>
      <c r="T94" s="22" t="n">
        <f aca="false">MAX(0,MIN(R94-S94,$C94-(P94)))</f>
        <v>0</v>
      </c>
      <c r="U94" s="22" t="n">
        <f aca="false">ROUND(R94-S94-T94,2)</f>
        <v>0</v>
      </c>
      <c r="V94" s="22" t="n">
        <f aca="false">Y93*(1+F$7)</f>
        <v>0</v>
      </c>
      <c r="W94" s="22" t="n">
        <f aca="false">MIN(V94,F$8)</f>
        <v>0</v>
      </c>
      <c r="X94" s="22" t="n">
        <f aca="false">MAX(0,MIN(V94-W94,$C94-(P94+T94)))</f>
        <v>0</v>
      </c>
      <c r="Y94" s="22" t="n">
        <f aca="false">ROUND(V94-W94-X94,2)</f>
        <v>0</v>
      </c>
      <c r="Z94" s="22" t="n">
        <f aca="false">AC93*(1+G$7)</f>
        <v>0</v>
      </c>
      <c r="AA94" s="22" t="n">
        <f aca="false">MIN(Z94,G$8)</f>
        <v>0</v>
      </c>
      <c r="AB94" s="22" t="n">
        <f aca="false">MAX(0,MIN(Z94-AA94,$C94-(P94+T94+X94)))</f>
        <v>0</v>
      </c>
      <c r="AC94" s="22" t="n">
        <f aca="false">ROUND(Z94-AA94-AB94,2)</f>
        <v>0</v>
      </c>
      <c r="AD94" s="22" t="n">
        <f aca="false">AG93*(1+H$7)</f>
        <v>0</v>
      </c>
      <c r="AE94" s="22" t="n">
        <f aca="false">MIN(AD94,H$8)</f>
        <v>0</v>
      </c>
      <c r="AF94" s="22" t="n">
        <f aca="false">MAX(0,MIN(AD94-AE94,$C94-(P94+T94+X94+AB94)))</f>
        <v>0</v>
      </c>
      <c r="AG94" s="22" t="n">
        <f aca="false">ROUND(AD94-AE94-AF94,2)</f>
        <v>0</v>
      </c>
      <c r="AH94" s="22" t="n">
        <f aca="false">AK93*(1+I$7)</f>
        <v>0</v>
      </c>
      <c r="AI94" s="22" t="n">
        <f aca="false">MIN(AH94,I$8)</f>
        <v>0</v>
      </c>
      <c r="AJ94" s="22" t="n">
        <f aca="false">MAX(0,MIN(AH94-AI94,$C94-(P94+T94+X94+AB94+AF94)))</f>
        <v>0</v>
      </c>
      <c r="AK94" s="22" t="n">
        <f aca="false">ROUND(AH94-AI94-AJ94,2)</f>
        <v>0</v>
      </c>
      <c r="AL94" s="22" t="n">
        <f aca="false">AO93*(1+J$7)</f>
        <v>0</v>
      </c>
      <c r="AM94" s="22" t="n">
        <f aca="false">MIN(AL94,J$8)</f>
        <v>0</v>
      </c>
      <c r="AN94" s="22" t="n">
        <f aca="false">MAX(0,MIN(AL94-AM94,$C94-(P94+T94+X94+AB94+AF94+AJ94)))</f>
        <v>0</v>
      </c>
      <c r="AO94" s="22" t="n">
        <f aca="false">ROUND(AL94-AM94-AN94,2)</f>
        <v>0</v>
      </c>
      <c r="AP94" s="22" t="n">
        <f aca="false">AS93*(1+K$7)</f>
        <v>0</v>
      </c>
      <c r="AQ94" s="22" t="n">
        <f aca="false">MIN(AP94,K$8)</f>
        <v>0</v>
      </c>
      <c r="AR94" s="22" t="n">
        <f aca="false">MAX(0,MIN(AP94-AQ94,$C94-(P94+T94+X94+AB94+AF94+AJ94+AN94)))</f>
        <v>0</v>
      </c>
      <c r="AS94" s="22" t="n">
        <f aca="false">ROUND(AP94-AQ94-AR94,2)</f>
        <v>0</v>
      </c>
      <c r="AT94" s="22" t="n">
        <f aca="false">AW93*(1+L$7)</f>
        <v>0</v>
      </c>
      <c r="AU94" s="22" t="n">
        <f aca="false">MIN(AT94,L$8)</f>
        <v>0</v>
      </c>
      <c r="AV94" s="22" t="n">
        <f aca="false">MAX(0,MIN(AT94-AU94,$C94-(P94+T94+X94+AB94+AF94+AJ94+AN94+AR94)))</f>
        <v>0</v>
      </c>
      <c r="AW94" s="22" t="n">
        <f aca="false">ROUND(AT94-AU94-AV94,2)</f>
        <v>0</v>
      </c>
      <c r="AX94" s="22" t="n">
        <f aca="false">BA93*(1+M$7)</f>
        <v>0</v>
      </c>
      <c r="AY94" s="22" t="n">
        <f aca="false">MIN(AX94,M$8)</f>
        <v>0</v>
      </c>
      <c r="AZ94" s="22" t="n">
        <f aca="false">MAX(0,MIN(AX94-AY94,$C94-(P94+T94+X94+AB94+AF94+AJ94+AN94+AR94+AV94)))</f>
        <v>0</v>
      </c>
      <c r="BA94" s="22" t="n">
        <f aca="false">ROUND(AX94-AY94-AZ94,2)</f>
        <v>0</v>
      </c>
    </row>
    <row r="95" customFormat="false" ht="15" hidden="false" customHeight="false" outlineLevel="0" collapsed="false">
      <c r="A95" s="0" t="n">
        <v>85</v>
      </c>
      <c r="B95" s="39" t="n">
        <f aca="false">EDATE(Borçlar!$K$7,84)</f>
        <v>48853</v>
      </c>
      <c r="C95" s="36" t="n">
        <f aca="false">MAX(0,Borçlar!$K$8-(O95+S95+W95+AA95+AE95+AI95+AM95+AQ95+AU95+AY95))</f>
        <v>19000</v>
      </c>
      <c r="D95" s="36" t="n">
        <f aca="false">O95+P95+S95+T95+W95+X95+AA95+AB95+AE95+AF95+AI95+AJ95+AM95+AN95+AQ95+AR95+AU95+AV95+AY95+AZ95</f>
        <v>0</v>
      </c>
      <c r="E95" s="36" t="n">
        <f aca="false">(N95+R95+V95+Z95+AD95+AH95+AL95+AP95+AT95+AX95)-(F94)</f>
        <v>0</v>
      </c>
      <c r="F95" s="36" t="n">
        <f aca="false">Q95+U95+Y95+AC95+AG95+AK95+AO95+AS95+AW95+BA95</f>
        <v>0</v>
      </c>
      <c r="N95" s="22" t="n">
        <f aca="false">Q94*(1+D$7)</f>
        <v>0</v>
      </c>
      <c r="O95" s="22" t="n">
        <f aca="false">MIN(N95,D$8)</f>
        <v>0</v>
      </c>
      <c r="P95" s="22" t="n">
        <f aca="false">MAX(0,MIN(N95-O95,$C95-(0)))</f>
        <v>0</v>
      </c>
      <c r="Q95" s="22" t="n">
        <f aca="false">ROUND(N95-O95-P95,2)</f>
        <v>0</v>
      </c>
      <c r="R95" s="22" t="n">
        <f aca="false">U94*(1+E$7)</f>
        <v>0</v>
      </c>
      <c r="S95" s="22" t="n">
        <f aca="false">MIN(R95,E$8)</f>
        <v>0</v>
      </c>
      <c r="T95" s="22" t="n">
        <f aca="false">MAX(0,MIN(R95-S95,$C95-(P95)))</f>
        <v>0</v>
      </c>
      <c r="U95" s="22" t="n">
        <f aca="false">ROUND(R95-S95-T95,2)</f>
        <v>0</v>
      </c>
      <c r="V95" s="22" t="n">
        <f aca="false">Y94*(1+F$7)</f>
        <v>0</v>
      </c>
      <c r="W95" s="22" t="n">
        <f aca="false">MIN(V95,F$8)</f>
        <v>0</v>
      </c>
      <c r="X95" s="22" t="n">
        <f aca="false">MAX(0,MIN(V95-W95,$C95-(P95+T95)))</f>
        <v>0</v>
      </c>
      <c r="Y95" s="22" t="n">
        <f aca="false">ROUND(V95-W95-X95,2)</f>
        <v>0</v>
      </c>
      <c r="Z95" s="22" t="n">
        <f aca="false">AC94*(1+G$7)</f>
        <v>0</v>
      </c>
      <c r="AA95" s="22" t="n">
        <f aca="false">MIN(Z95,G$8)</f>
        <v>0</v>
      </c>
      <c r="AB95" s="22" t="n">
        <f aca="false">MAX(0,MIN(Z95-AA95,$C95-(P95+T95+X95)))</f>
        <v>0</v>
      </c>
      <c r="AC95" s="22" t="n">
        <f aca="false">ROUND(Z95-AA95-AB95,2)</f>
        <v>0</v>
      </c>
      <c r="AD95" s="22" t="n">
        <f aca="false">AG94*(1+H$7)</f>
        <v>0</v>
      </c>
      <c r="AE95" s="22" t="n">
        <f aca="false">MIN(AD95,H$8)</f>
        <v>0</v>
      </c>
      <c r="AF95" s="22" t="n">
        <f aca="false">MAX(0,MIN(AD95-AE95,$C95-(P95+T95+X95+AB95)))</f>
        <v>0</v>
      </c>
      <c r="AG95" s="22" t="n">
        <f aca="false">ROUND(AD95-AE95-AF95,2)</f>
        <v>0</v>
      </c>
      <c r="AH95" s="22" t="n">
        <f aca="false">AK94*(1+I$7)</f>
        <v>0</v>
      </c>
      <c r="AI95" s="22" t="n">
        <f aca="false">MIN(AH95,I$8)</f>
        <v>0</v>
      </c>
      <c r="AJ95" s="22" t="n">
        <f aca="false">MAX(0,MIN(AH95-AI95,$C95-(P95+T95+X95+AB95+AF95)))</f>
        <v>0</v>
      </c>
      <c r="AK95" s="22" t="n">
        <f aca="false">ROUND(AH95-AI95-AJ95,2)</f>
        <v>0</v>
      </c>
      <c r="AL95" s="22" t="n">
        <f aca="false">AO94*(1+J$7)</f>
        <v>0</v>
      </c>
      <c r="AM95" s="22" t="n">
        <f aca="false">MIN(AL95,J$8)</f>
        <v>0</v>
      </c>
      <c r="AN95" s="22" t="n">
        <f aca="false">MAX(0,MIN(AL95-AM95,$C95-(P95+T95+X95+AB95+AF95+AJ95)))</f>
        <v>0</v>
      </c>
      <c r="AO95" s="22" t="n">
        <f aca="false">ROUND(AL95-AM95-AN95,2)</f>
        <v>0</v>
      </c>
      <c r="AP95" s="22" t="n">
        <f aca="false">AS94*(1+K$7)</f>
        <v>0</v>
      </c>
      <c r="AQ95" s="22" t="n">
        <f aca="false">MIN(AP95,K$8)</f>
        <v>0</v>
      </c>
      <c r="AR95" s="22" t="n">
        <f aca="false">MAX(0,MIN(AP95-AQ95,$C95-(P95+T95+X95+AB95+AF95+AJ95+AN95)))</f>
        <v>0</v>
      </c>
      <c r="AS95" s="22" t="n">
        <f aca="false">ROUND(AP95-AQ95-AR95,2)</f>
        <v>0</v>
      </c>
      <c r="AT95" s="22" t="n">
        <f aca="false">AW94*(1+L$7)</f>
        <v>0</v>
      </c>
      <c r="AU95" s="22" t="n">
        <f aca="false">MIN(AT95,L$8)</f>
        <v>0</v>
      </c>
      <c r="AV95" s="22" t="n">
        <f aca="false">MAX(0,MIN(AT95-AU95,$C95-(P95+T95+X95+AB95+AF95+AJ95+AN95+AR95)))</f>
        <v>0</v>
      </c>
      <c r="AW95" s="22" t="n">
        <f aca="false">ROUND(AT95-AU95-AV95,2)</f>
        <v>0</v>
      </c>
      <c r="AX95" s="22" t="n">
        <f aca="false">BA94*(1+M$7)</f>
        <v>0</v>
      </c>
      <c r="AY95" s="22" t="n">
        <f aca="false">MIN(AX95,M$8)</f>
        <v>0</v>
      </c>
      <c r="AZ95" s="22" t="n">
        <f aca="false">MAX(0,MIN(AX95-AY95,$C95-(P95+T95+X95+AB95+AF95+AJ95+AN95+AR95+AV95)))</f>
        <v>0</v>
      </c>
      <c r="BA95" s="22" t="n">
        <f aca="false">ROUND(AX95-AY95-AZ95,2)</f>
        <v>0</v>
      </c>
    </row>
    <row r="96" customFormat="false" ht="15" hidden="false" customHeight="false" outlineLevel="0" collapsed="false">
      <c r="A96" s="0" t="n">
        <v>86</v>
      </c>
      <c r="B96" s="39" t="n">
        <f aca="false">EDATE(Borçlar!$K$7,85)</f>
        <v>48884</v>
      </c>
      <c r="C96" s="36" t="n">
        <f aca="false">MAX(0,Borçlar!$K$8-(O96+S96+W96+AA96+AE96+AI96+AM96+AQ96+AU96+AY96))</f>
        <v>19000</v>
      </c>
      <c r="D96" s="36" t="n">
        <f aca="false">O96+P96+S96+T96+W96+X96+AA96+AB96+AE96+AF96+AI96+AJ96+AM96+AN96+AQ96+AR96+AU96+AV96+AY96+AZ96</f>
        <v>0</v>
      </c>
      <c r="E96" s="36" t="n">
        <f aca="false">(N96+R96+V96+Z96+AD96+AH96+AL96+AP96+AT96+AX96)-(F95)</f>
        <v>0</v>
      </c>
      <c r="F96" s="36" t="n">
        <f aca="false">Q96+U96+Y96+AC96+AG96+AK96+AO96+AS96+AW96+BA96</f>
        <v>0</v>
      </c>
      <c r="N96" s="22" t="n">
        <f aca="false">Q95*(1+D$7)</f>
        <v>0</v>
      </c>
      <c r="O96" s="22" t="n">
        <f aca="false">MIN(N96,D$8)</f>
        <v>0</v>
      </c>
      <c r="P96" s="22" t="n">
        <f aca="false">MAX(0,MIN(N96-O96,$C96-(0)))</f>
        <v>0</v>
      </c>
      <c r="Q96" s="22" t="n">
        <f aca="false">ROUND(N96-O96-P96,2)</f>
        <v>0</v>
      </c>
      <c r="R96" s="22" t="n">
        <f aca="false">U95*(1+E$7)</f>
        <v>0</v>
      </c>
      <c r="S96" s="22" t="n">
        <f aca="false">MIN(R96,E$8)</f>
        <v>0</v>
      </c>
      <c r="T96" s="22" t="n">
        <f aca="false">MAX(0,MIN(R96-S96,$C96-(P96)))</f>
        <v>0</v>
      </c>
      <c r="U96" s="22" t="n">
        <f aca="false">ROUND(R96-S96-T96,2)</f>
        <v>0</v>
      </c>
      <c r="V96" s="22" t="n">
        <f aca="false">Y95*(1+F$7)</f>
        <v>0</v>
      </c>
      <c r="W96" s="22" t="n">
        <f aca="false">MIN(V96,F$8)</f>
        <v>0</v>
      </c>
      <c r="X96" s="22" t="n">
        <f aca="false">MAX(0,MIN(V96-W96,$C96-(P96+T96)))</f>
        <v>0</v>
      </c>
      <c r="Y96" s="22" t="n">
        <f aca="false">ROUND(V96-W96-X96,2)</f>
        <v>0</v>
      </c>
      <c r="Z96" s="22" t="n">
        <f aca="false">AC95*(1+G$7)</f>
        <v>0</v>
      </c>
      <c r="AA96" s="22" t="n">
        <f aca="false">MIN(Z96,G$8)</f>
        <v>0</v>
      </c>
      <c r="AB96" s="22" t="n">
        <f aca="false">MAX(0,MIN(Z96-AA96,$C96-(P96+T96+X96)))</f>
        <v>0</v>
      </c>
      <c r="AC96" s="22" t="n">
        <f aca="false">ROUND(Z96-AA96-AB96,2)</f>
        <v>0</v>
      </c>
      <c r="AD96" s="22" t="n">
        <f aca="false">AG95*(1+H$7)</f>
        <v>0</v>
      </c>
      <c r="AE96" s="22" t="n">
        <f aca="false">MIN(AD96,H$8)</f>
        <v>0</v>
      </c>
      <c r="AF96" s="22" t="n">
        <f aca="false">MAX(0,MIN(AD96-AE96,$C96-(P96+T96+X96+AB96)))</f>
        <v>0</v>
      </c>
      <c r="AG96" s="22" t="n">
        <f aca="false">ROUND(AD96-AE96-AF96,2)</f>
        <v>0</v>
      </c>
      <c r="AH96" s="22" t="n">
        <f aca="false">AK95*(1+I$7)</f>
        <v>0</v>
      </c>
      <c r="AI96" s="22" t="n">
        <f aca="false">MIN(AH96,I$8)</f>
        <v>0</v>
      </c>
      <c r="AJ96" s="22" t="n">
        <f aca="false">MAX(0,MIN(AH96-AI96,$C96-(P96+T96+X96+AB96+AF96)))</f>
        <v>0</v>
      </c>
      <c r="AK96" s="22" t="n">
        <f aca="false">ROUND(AH96-AI96-AJ96,2)</f>
        <v>0</v>
      </c>
      <c r="AL96" s="22" t="n">
        <f aca="false">AO95*(1+J$7)</f>
        <v>0</v>
      </c>
      <c r="AM96" s="22" t="n">
        <f aca="false">MIN(AL96,J$8)</f>
        <v>0</v>
      </c>
      <c r="AN96" s="22" t="n">
        <f aca="false">MAX(0,MIN(AL96-AM96,$C96-(P96+T96+X96+AB96+AF96+AJ96)))</f>
        <v>0</v>
      </c>
      <c r="AO96" s="22" t="n">
        <f aca="false">ROUND(AL96-AM96-AN96,2)</f>
        <v>0</v>
      </c>
      <c r="AP96" s="22" t="n">
        <f aca="false">AS95*(1+K$7)</f>
        <v>0</v>
      </c>
      <c r="AQ96" s="22" t="n">
        <f aca="false">MIN(AP96,K$8)</f>
        <v>0</v>
      </c>
      <c r="AR96" s="22" t="n">
        <f aca="false">MAX(0,MIN(AP96-AQ96,$C96-(P96+T96+X96+AB96+AF96+AJ96+AN96)))</f>
        <v>0</v>
      </c>
      <c r="AS96" s="22" t="n">
        <f aca="false">ROUND(AP96-AQ96-AR96,2)</f>
        <v>0</v>
      </c>
      <c r="AT96" s="22" t="n">
        <f aca="false">AW95*(1+L$7)</f>
        <v>0</v>
      </c>
      <c r="AU96" s="22" t="n">
        <f aca="false">MIN(AT96,L$8)</f>
        <v>0</v>
      </c>
      <c r="AV96" s="22" t="n">
        <f aca="false">MAX(0,MIN(AT96-AU96,$C96-(P96+T96+X96+AB96+AF96+AJ96+AN96+AR96)))</f>
        <v>0</v>
      </c>
      <c r="AW96" s="22" t="n">
        <f aca="false">ROUND(AT96-AU96-AV96,2)</f>
        <v>0</v>
      </c>
      <c r="AX96" s="22" t="n">
        <f aca="false">BA95*(1+M$7)</f>
        <v>0</v>
      </c>
      <c r="AY96" s="22" t="n">
        <f aca="false">MIN(AX96,M$8)</f>
        <v>0</v>
      </c>
      <c r="AZ96" s="22" t="n">
        <f aca="false">MAX(0,MIN(AX96-AY96,$C96-(P96+T96+X96+AB96+AF96+AJ96+AN96+AR96+AV96)))</f>
        <v>0</v>
      </c>
      <c r="BA96" s="22" t="n">
        <f aca="false">ROUND(AX96-AY96-AZ96,2)</f>
        <v>0</v>
      </c>
    </row>
    <row r="97" customFormat="false" ht="15" hidden="false" customHeight="false" outlineLevel="0" collapsed="false">
      <c r="A97" s="0" t="n">
        <v>87</v>
      </c>
      <c r="B97" s="39" t="n">
        <f aca="false">EDATE(Borçlar!$K$7,86)</f>
        <v>48914</v>
      </c>
      <c r="C97" s="36" t="n">
        <f aca="false">MAX(0,Borçlar!$K$8-(O97+S97+W97+AA97+AE97+AI97+AM97+AQ97+AU97+AY97))</f>
        <v>19000</v>
      </c>
      <c r="D97" s="36" t="n">
        <f aca="false">O97+P97+S97+T97+W97+X97+AA97+AB97+AE97+AF97+AI97+AJ97+AM97+AN97+AQ97+AR97+AU97+AV97+AY97+AZ97</f>
        <v>0</v>
      </c>
      <c r="E97" s="36" t="n">
        <f aca="false">(N97+R97+V97+Z97+AD97+AH97+AL97+AP97+AT97+AX97)-(F96)</f>
        <v>0</v>
      </c>
      <c r="F97" s="36" t="n">
        <f aca="false">Q97+U97+Y97+AC97+AG97+AK97+AO97+AS97+AW97+BA97</f>
        <v>0</v>
      </c>
      <c r="N97" s="22" t="n">
        <f aca="false">Q96*(1+D$7)</f>
        <v>0</v>
      </c>
      <c r="O97" s="22" t="n">
        <f aca="false">MIN(N97,D$8)</f>
        <v>0</v>
      </c>
      <c r="P97" s="22" t="n">
        <f aca="false">MAX(0,MIN(N97-O97,$C97-(0)))</f>
        <v>0</v>
      </c>
      <c r="Q97" s="22" t="n">
        <f aca="false">ROUND(N97-O97-P97,2)</f>
        <v>0</v>
      </c>
      <c r="R97" s="22" t="n">
        <f aca="false">U96*(1+E$7)</f>
        <v>0</v>
      </c>
      <c r="S97" s="22" t="n">
        <f aca="false">MIN(R97,E$8)</f>
        <v>0</v>
      </c>
      <c r="T97" s="22" t="n">
        <f aca="false">MAX(0,MIN(R97-S97,$C97-(P97)))</f>
        <v>0</v>
      </c>
      <c r="U97" s="22" t="n">
        <f aca="false">ROUND(R97-S97-T97,2)</f>
        <v>0</v>
      </c>
      <c r="V97" s="22" t="n">
        <f aca="false">Y96*(1+F$7)</f>
        <v>0</v>
      </c>
      <c r="W97" s="22" t="n">
        <f aca="false">MIN(V97,F$8)</f>
        <v>0</v>
      </c>
      <c r="X97" s="22" t="n">
        <f aca="false">MAX(0,MIN(V97-W97,$C97-(P97+T97)))</f>
        <v>0</v>
      </c>
      <c r="Y97" s="22" t="n">
        <f aca="false">ROUND(V97-W97-X97,2)</f>
        <v>0</v>
      </c>
      <c r="Z97" s="22" t="n">
        <f aca="false">AC96*(1+G$7)</f>
        <v>0</v>
      </c>
      <c r="AA97" s="22" t="n">
        <f aca="false">MIN(Z97,G$8)</f>
        <v>0</v>
      </c>
      <c r="AB97" s="22" t="n">
        <f aca="false">MAX(0,MIN(Z97-AA97,$C97-(P97+T97+X97)))</f>
        <v>0</v>
      </c>
      <c r="AC97" s="22" t="n">
        <f aca="false">ROUND(Z97-AA97-AB97,2)</f>
        <v>0</v>
      </c>
      <c r="AD97" s="22" t="n">
        <f aca="false">AG96*(1+H$7)</f>
        <v>0</v>
      </c>
      <c r="AE97" s="22" t="n">
        <f aca="false">MIN(AD97,H$8)</f>
        <v>0</v>
      </c>
      <c r="AF97" s="22" t="n">
        <f aca="false">MAX(0,MIN(AD97-AE97,$C97-(P97+T97+X97+AB97)))</f>
        <v>0</v>
      </c>
      <c r="AG97" s="22" t="n">
        <f aca="false">ROUND(AD97-AE97-AF97,2)</f>
        <v>0</v>
      </c>
      <c r="AH97" s="22" t="n">
        <f aca="false">AK96*(1+I$7)</f>
        <v>0</v>
      </c>
      <c r="AI97" s="22" t="n">
        <f aca="false">MIN(AH97,I$8)</f>
        <v>0</v>
      </c>
      <c r="AJ97" s="22" t="n">
        <f aca="false">MAX(0,MIN(AH97-AI97,$C97-(P97+T97+X97+AB97+AF97)))</f>
        <v>0</v>
      </c>
      <c r="AK97" s="22" t="n">
        <f aca="false">ROUND(AH97-AI97-AJ97,2)</f>
        <v>0</v>
      </c>
      <c r="AL97" s="22" t="n">
        <f aca="false">AO96*(1+J$7)</f>
        <v>0</v>
      </c>
      <c r="AM97" s="22" t="n">
        <f aca="false">MIN(AL97,J$8)</f>
        <v>0</v>
      </c>
      <c r="AN97" s="22" t="n">
        <f aca="false">MAX(0,MIN(AL97-AM97,$C97-(P97+T97+X97+AB97+AF97+AJ97)))</f>
        <v>0</v>
      </c>
      <c r="AO97" s="22" t="n">
        <f aca="false">ROUND(AL97-AM97-AN97,2)</f>
        <v>0</v>
      </c>
      <c r="AP97" s="22" t="n">
        <f aca="false">AS96*(1+K$7)</f>
        <v>0</v>
      </c>
      <c r="AQ97" s="22" t="n">
        <f aca="false">MIN(AP97,K$8)</f>
        <v>0</v>
      </c>
      <c r="AR97" s="22" t="n">
        <f aca="false">MAX(0,MIN(AP97-AQ97,$C97-(P97+T97+X97+AB97+AF97+AJ97+AN97)))</f>
        <v>0</v>
      </c>
      <c r="AS97" s="22" t="n">
        <f aca="false">ROUND(AP97-AQ97-AR97,2)</f>
        <v>0</v>
      </c>
      <c r="AT97" s="22" t="n">
        <f aca="false">AW96*(1+L$7)</f>
        <v>0</v>
      </c>
      <c r="AU97" s="22" t="n">
        <f aca="false">MIN(AT97,L$8)</f>
        <v>0</v>
      </c>
      <c r="AV97" s="22" t="n">
        <f aca="false">MAX(0,MIN(AT97-AU97,$C97-(P97+T97+X97+AB97+AF97+AJ97+AN97+AR97)))</f>
        <v>0</v>
      </c>
      <c r="AW97" s="22" t="n">
        <f aca="false">ROUND(AT97-AU97-AV97,2)</f>
        <v>0</v>
      </c>
      <c r="AX97" s="22" t="n">
        <f aca="false">BA96*(1+M$7)</f>
        <v>0</v>
      </c>
      <c r="AY97" s="22" t="n">
        <f aca="false">MIN(AX97,M$8)</f>
        <v>0</v>
      </c>
      <c r="AZ97" s="22" t="n">
        <f aca="false">MAX(0,MIN(AX97-AY97,$C97-(P97+T97+X97+AB97+AF97+AJ97+AN97+AR97+AV97)))</f>
        <v>0</v>
      </c>
      <c r="BA97" s="22" t="n">
        <f aca="false">ROUND(AX97-AY97-AZ97,2)</f>
        <v>0</v>
      </c>
    </row>
    <row r="98" customFormat="false" ht="15" hidden="false" customHeight="false" outlineLevel="0" collapsed="false">
      <c r="A98" s="0" t="n">
        <v>88</v>
      </c>
      <c r="B98" s="39" t="n">
        <f aca="false">EDATE(Borçlar!$K$7,87)</f>
        <v>48945</v>
      </c>
      <c r="C98" s="36" t="n">
        <f aca="false">MAX(0,Borçlar!$K$8-(O98+S98+W98+AA98+AE98+AI98+AM98+AQ98+AU98+AY98))</f>
        <v>19000</v>
      </c>
      <c r="D98" s="36" t="n">
        <f aca="false">O98+P98+S98+T98+W98+X98+AA98+AB98+AE98+AF98+AI98+AJ98+AM98+AN98+AQ98+AR98+AU98+AV98+AY98+AZ98</f>
        <v>0</v>
      </c>
      <c r="E98" s="36" t="n">
        <f aca="false">(N98+R98+V98+Z98+AD98+AH98+AL98+AP98+AT98+AX98)-(F97)</f>
        <v>0</v>
      </c>
      <c r="F98" s="36" t="n">
        <f aca="false">Q98+U98+Y98+AC98+AG98+AK98+AO98+AS98+AW98+BA98</f>
        <v>0</v>
      </c>
      <c r="N98" s="22" t="n">
        <f aca="false">Q97*(1+D$7)</f>
        <v>0</v>
      </c>
      <c r="O98" s="22" t="n">
        <f aca="false">MIN(N98,D$8)</f>
        <v>0</v>
      </c>
      <c r="P98" s="22" t="n">
        <f aca="false">MAX(0,MIN(N98-O98,$C98-(0)))</f>
        <v>0</v>
      </c>
      <c r="Q98" s="22" t="n">
        <f aca="false">ROUND(N98-O98-P98,2)</f>
        <v>0</v>
      </c>
      <c r="R98" s="22" t="n">
        <f aca="false">U97*(1+E$7)</f>
        <v>0</v>
      </c>
      <c r="S98" s="22" t="n">
        <f aca="false">MIN(R98,E$8)</f>
        <v>0</v>
      </c>
      <c r="T98" s="22" t="n">
        <f aca="false">MAX(0,MIN(R98-S98,$C98-(P98)))</f>
        <v>0</v>
      </c>
      <c r="U98" s="22" t="n">
        <f aca="false">ROUND(R98-S98-T98,2)</f>
        <v>0</v>
      </c>
      <c r="V98" s="22" t="n">
        <f aca="false">Y97*(1+F$7)</f>
        <v>0</v>
      </c>
      <c r="W98" s="22" t="n">
        <f aca="false">MIN(V98,F$8)</f>
        <v>0</v>
      </c>
      <c r="X98" s="22" t="n">
        <f aca="false">MAX(0,MIN(V98-W98,$C98-(P98+T98)))</f>
        <v>0</v>
      </c>
      <c r="Y98" s="22" t="n">
        <f aca="false">ROUND(V98-W98-X98,2)</f>
        <v>0</v>
      </c>
      <c r="Z98" s="22" t="n">
        <f aca="false">AC97*(1+G$7)</f>
        <v>0</v>
      </c>
      <c r="AA98" s="22" t="n">
        <f aca="false">MIN(Z98,G$8)</f>
        <v>0</v>
      </c>
      <c r="AB98" s="22" t="n">
        <f aca="false">MAX(0,MIN(Z98-AA98,$C98-(P98+T98+X98)))</f>
        <v>0</v>
      </c>
      <c r="AC98" s="22" t="n">
        <f aca="false">ROUND(Z98-AA98-AB98,2)</f>
        <v>0</v>
      </c>
      <c r="AD98" s="22" t="n">
        <f aca="false">AG97*(1+H$7)</f>
        <v>0</v>
      </c>
      <c r="AE98" s="22" t="n">
        <f aca="false">MIN(AD98,H$8)</f>
        <v>0</v>
      </c>
      <c r="AF98" s="22" t="n">
        <f aca="false">MAX(0,MIN(AD98-AE98,$C98-(P98+T98+X98+AB98)))</f>
        <v>0</v>
      </c>
      <c r="AG98" s="22" t="n">
        <f aca="false">ROUND(AD98-AE98-AF98,2)</f>
        <v>0</v>
      </c>
      <c r="AH98" s="22" t="n">
        <f aca="false">AK97*(1+I$7)</f>
        <v>0</v>
      </c>
      <c r="AI98" s="22" t="n">
        <f aca="false">MIN(AH98,I$8)</f>
        <v>0</v>
      </c>
      <c r="AJ98" s="22" t="n">
        <f aca="false">MAX(0,MIN(AH98-AI98,$C98-(P98+T98+X98+AB98+AF98)))</f>
        <v>0</v>
      </c>
      <c r="AK98" s="22" t="n">
        <f aca="false">ROUND(AH98-AI98-AJ98,2)</f>
        <v>0</v>
      </c>
      <c r="AL98" s="22" t="n">
        <f aca="false">AO97*(1+J$7)</f>
        <v>0</v>
      </c>
      <c r="AM98" s="22" t="n">
        <f aca="false">MIN(AL98,J$8)</f>
        <v>0</v>
      </c>
      <c r="AN98" s="22" t="n">
        <f aca="false">MAX(0,MIN(AL98-AM98,$C98-(P98+T98+X98+AB98+AF98+AJ98)))</f>
        <v>0</v>
      </c>
      <c r="AO98" s="22" t="n">
        <f aca="false">ROUND(AL98-AM98-AN98,2)</f>
        <v>0</v>
      </c>
      <c r="AP98" s="22" t="n">
        <f aca="false">AS97*(1+K$7)</f>
        <v>0</v>
      </c>
      <c r="AQ98" s="22" t="n">
        <f aca="false">MIN(AP98,K$8)</f>
        <v>0</v>
      </c>
      <c r="AR98" s="22" t="n">
        <f aca="false">MAX(0,MIN(AP98-AQ98,$C98-(P98+T98+X98+AB98+AF98+AJ98+AN98)))</f>
        <v>0</v>
      </c>
      <c r="AS98" s="22" t="n">
        <f aca="false">ROUND(AP98-AQ98-AR98,2)</f>
        <v>0</v>
      </c>
      <c r="AT98" s="22" t="n">
        <f aca="false">AW97*(1+L$7)</f>
        <v>0</v>
      </c>
      <c r="AU98" s="22" t="n">
        <f aca="false">MIN(AT98,L$8)</f>
        <v>0</v>
      </c>
      <c r="AV98" s="22" t="n">
        <f aca="false">MAX(0,MIN(AT98-AU98,$C98-(P98+T98+X98+AB98+AF98+AJ98+AN98+AR98)))</f>
        <v>0</v>
      </c>
      <c r="AW98" s="22" t="n">
        <f aca="false">ROUND(AT98-AU98-AV98,2)</f>
        <v>0</v>
      </c>
      <c r="AX98" s="22" t="n">
        <f aca="false">BA97*(1+M$7)</f>
        <v>0</v>
      </c>
      <c r="AY98" s="22" t="n">
        <f aca="false">MIN(AX98,M$8)</f>
        <v>0</v>
      </c>
      <c r="AZ98" s="22" t="n">
        <f aca="false">MAX(0,MIN(AX98-AY98,$C98-(P98+T98+X98+AB98+AF98+AJ98+AN98+AR98+AV98)))</f>
        <v>0</v>
      </c>
      <c r="BA98" s="22" t="n">
        <f aca="false">ROUND(AX98-AY98-AZ98,2)</f>
        <v>0</v>
      </c>
    </row>
    <row r="99" customFormat="false" ht="15" hidden="false" customHeight="false" outlineLevel="0" collapsed="false">
      <c r="A99" s="0" t="n">
        <v>89</v>
      </c>
      <c r="B99" s="39" t="n">
        <f aca="false">EDATE(Borçlar!$K$7,88)</f>
        <v>48976</v>
      </c>
      <c r="C99" s="36" t="n">
        <f aca="false">MAX(0,Borçlar!$K$8-(O99+S99+W99+AA99+AE99+AI99+AM99+AQ99+AU99+AY99))</f>
        <v>19000</v>
      </c>
      <c r="D99" s="36" t="n">
        <f aca="false">O99+P99+S99+T99+W99+X99+AA99+AB99+AE99+AF99+AI99+AJ99+AM99+AN99+AQ99+AR99+AU99+AV99+AY99+AZ99</f>
        <v>0</v>
      </c>
      <c r="E99" s="36" t="n">
        <f aca="false">(N99+R99+V99+Z99+AD99+AH99+AL99+AP99+AT99+AX99)-(F98)</f>
        <v>0</v>
      </c>
      <c r="F99" s="36" t="n">
        <f aca="false">Q99+U99+Y99+AC99+AG99+AK99+AO99+AS99+AW99+BA99</f>
        <v>0</v>
      </c>
      <c r="N99" s="22" t="n">
        <f aca="false">Q98*(1+D$7)</f>
        <v>0</v>
      </c>
      <c r="O99" s="22" t="n">
        <f aca="false">MIN(N99,D$8)</f>
        <v>0</v>
      </c>
      <c r="P99" s="22" t="n">
        <f aca="false">MAX(0,MIN(N99-O99,$C99-(0)))</f>
        <v>0</v>
      </c>
      <c r="Q99" s="22" t="n">
        <f aca="false">ROUND(N99-O99-P99,2)</f>
        <v>0</v>
      </c>
      <c r="R99" s="22" t="n">
        <f aca="false">U98*(1+E$7)</f>
        <v>0</v>
      </c>
      <c r="S99" s="22" t="n">
        <f aca="false">MIN(R99,E$8)</f>
        <v>0</v>
      </c>
      <c r="T99" s="22" t="n">
        <f aca="false">MAX(0,MIN(R99-S99,$C99-(P99)))</f>
        <v>0</v>
      </c>
      <c r="U99" s="22" t="n">
        <f aca="false">ROUND(R99-S99-T99,2)</f>
        <v>0</v>
      </c>
      <c r="V99" s="22" t="n">
        <f aca="false">Y98*(1+F$7)</f>
        <v>0</v>
      </c>
      <c r="W99" s="22" t="n">
        <f aca="false">MIN(V99,F$8)</f>
        <v>0</v>
      </c>
      <c r="X99" s="22" t="n">
        <f aca="false">MAX(0,MIN(V99-W99,$C99-(P99+T99)))</f>
        <v>0</v>
      </c>
      <c r="Y99" s="22" t="n">
        <f aca="false">ROUND(V99-W99-X99,2)</f>
        <v>0</v>
      </c>
      <c r="Z99" s="22" t="n">
        <f aca="false">AC98*(1+G$7)</f>
        <v>0</v>
      </c>
      <c r="AA99" s="22" t="n">
        <f aca="false">MIN(Z99,G$8)</f>
        <v>0</v>
      </c>
      <c r="AB99" s="22" t="n">
        <f aca="false">MAX(0,MIN(Z99-AA99,$C99-(P99+T99+X99)))</f>
        <v>0</v>
      </c>
      <c r="AC99" s="22" t="n">
        <f aca="false">ROUND(Z99-AA99-AB99,2)</f>
        <v>0</v>
      </c>
      <c r="AD99" s="22" t="n">
        <f aca="false">AG98*(1+H$7)</f>
        <v>0</v>
      </c>
      <c r="AE99" s="22" t="n">
        <f aca="false">MIN(AD99,H$8)</f>
        <v>0</v>
      </c>
      <c r="AF99" s="22" t="n">
        <f aca="false">MAX(0,MIN(AD99-AE99,$C99-(P99+T99+X99+AB99)))</f>
        <v>0</v>
      </c>
      <c r="AG99" s="22" t="n">
        <f aca="false">ROUND(AD99-AE99-AF99,2)</f>
        <v>0</v>
      </c>
      <c r="AH99" s="22" t="n">
        <f aca="false">AK98*(1+I$7)</f>
        <v>0</v>
      </c>
      <c r="AI99" s="22" t="n">
        <f aca="false">MIN(AH99,I$8)</f>
        <v>0</v>
      </c>
      <c r="AJ99" s="22" t="n">
        <f aca="false">MAX(0,MIN(AH99-AI99,$C99-(P99+T99+X99+AB99+AF99)))</f>
        <v>0</v>
      </c>
      <c r="AK99" s="22" t="n">
        <f aca="false">ROUND(AH99-AI99-AJ99,2)</f>
        <v>0</v>
      </c>
      <c r="AL99" s="22" t="n">
        <f aca="false">AO98*(1+J$7)</f>
        <v>0</v>
      </c>
      <c r="AM99" s="22" t="n">
        <f aca="false">MIN(AL99,J$8)</f>
        <v>0</v>
      </c>
      <c r="AN99" s="22" t="n">
        <f aca="false">MAX(0,MIN(AL99-AM99,$C99-(P99+T99+X99+AB99+AF99+AJ99)))</f>
        <v>0</v>
      </c>
      <c r="AO99" s="22" t="n">
        <f aca="false">ROUND(AL99-AM99-AN99,2)</f>
        <v>0</v>
      </c>
      <c r="AP99" s="22" t="n">
        <f aca="false">AS98*(1+K$7)</f>
        <v>0</v>
      </c>
      <c r="AQ99" s="22" t="n">
        <f aca="false">MIN(AP99,K$8)</f>
        <v>0</v>
      </c>
      <c r="AR99" s="22" t="n">
        <f aca="false">MAX(0,MIN(AP99-AQ99,$C99-(P99+T99+X99+AB99+AF99+AJ99+AN99)))</f>
        <v>0</v>
      </c>
      <c r="AS99" s="22" t="n">
        <f aca="false">ROUND(AP99-AQ99-AR99,2)</f>
        <v>0</v>
      </c>
      <c r="AT99" s="22" t="n">
        <f aca="false">AW98*(1+L$7)</f>
        <v>0</v>
      </c>
      <c r="AU99" s="22" t="n">
        <f aca="false">MIN(AT99,L$8)</f>
        <v>0</v>
      </c>
      <c r="AV99" s="22" t="n">
        <f aca="false">MAX(0,MIN(AT99-AU99,$C99-(P99+T99+X99+AB99+AF99+AJ99+AN99+AR99)))</f>
        <v>0</v>
      </c>
      <c r="AW99" s="22" t="n">
        <f aca="false">ROUND(AT99-AU99-AV99,2)</f>
        <v>0</v>
      </c>
      <c r="AX99" s="22" t="n">
        <f aca="false">BA98*(1+M$7)</f>
        <v>0</v>
      </c>
      <c r="AY99" s="22" t="n">
        <f aca="false">MIN(AX99,M$8)</f>
        <v>0</v>
      </c>
      <c r="AZ99" s="22" t="n">
        <f aca="false">MAX(0,MIN(AX99-AY99,$C99-(P99+T99+X99+AB99+AF99+AJ99+AN99+AR99+AV99)))</f>
        <v>0</v>
      </c>
      <c r="BA99" s="22" t="n">
        <f aca="false">ROUND(AX99-AY99-AZ99,2)</f>
        <v>0</v>
      </c>
    </row>
    <row r="100" customFormat="false" ht="15" hidden="false" customHeight="false" outlineLevel="0" collapsed="false">
      <c r="A100" s="0" t="n">
        <v>90</v>
      </c>
      <c r="B100" s="39" t="n">
        <f aca="false">EDATE(Borçlar!$K$7,89)</f>
        <v>49004</v>
      </c>
      <c r="C100" s="36" t="n">
        <f aca="false">MAX(0,Borçlar!$K$8-(O100+S100+W100+AA100+AE100+AI100+AM100+AQ100+AU100+AY100))</f>
        <v>19000</v>
      </c>
      <c r="D100" s="36" t="n">
        <f aca="false">O100+P100+S100+T100+W100+X100+AA100+AB100+AE100+AF100+AI100+AJ100+AM100+AN100+AQ100+AR100+AU100+AV100+AY100+AZ100</f>
        <v>0</v>
      </c>
      <c r="E100" s="36" t="n">
        <f aca="false">(N100+R100+V100+Z100+AD100+AH100+AL100+AP100+AT100+AX100)-(F99)</f>
        <v>0</v>
      </c>
      <c r="F100" s="36" t="n">
        <f aca="false">Q100+U100+Y100+AC100+AG100+AK100+AO100+AS100+AW100+BA100</f>
        <v>0</v>
      </c>
      <c r="N100" s="22" t="n">
        <f aca="false">Q99*(1+D$7)</f>
        <v>0</v>
      </c>
      <c r="O100" s="22" t="n">
        <f aca="false">MIN(N100,D$8)</f>
        <v>0</v>
      </c>
      <c r="P100" s="22" t="n">
        <f aca="false">MAX(0,MIN(N100-O100,$C100-(0)))</f>
        <v>0</v>
      </c>
      <c r="Q100" s="22" t="n">
        <f aca="false">ROUND(N100-O100-P100,2)</f>
        <v>0</v>
      </c>
      <c r="R100" s="22" t="n">
        <f aca="false">U99*(1+E$7)</f>
        <v>0</v>
      </c>
      <c r="S100" s="22" t="n">
        <f aca="false">MIN(R100,E$8)</f>
        <v>0</v>
      </c>
      <c r="T100" s="22" t="n">
        <f aca="false">MAX(0,MIN(R100-S100,$C100-(P100)))</f>
        <v>0</v>
      </c>
      <c r="U100" s="22" t="n">
        <f aca="false">ROUND(R100-S100-T100,2)</f>
        <v>0</v>
      </c>
      <c r="V100" s="22" t="n">
        <f aca="false">Y99*(1+F$7)</f>
        <v>0</v>
      </c>
      <c r="W100" s="22" t="n">
        <f aca="false">MIN(V100,F$8)</f>
        <v>0</v>
      </c>
      <c r="X100" s="22" t="n">
        <f aca="false">MAX(0,MIN(V100-W100,$C100-(P100+T100)))</f>
        <v>0</v>
      </c>
      <c r="Y100" s="22" t="n">
        <f aca="false">ROUND(V100-W100-X100,2)</f>
        <v>0</v>
      </c>
      <c r="Z100" s="22" t="n">
        <f aca="false">AC99*(1+G$7)</f>
        <v>0</v>
      </c>
      <c r="AA100" s="22" t="n">
        <f aca="false">MIN(Z100,G$8)</f>
        <v>0</v>
      </c>
      <c r="AB100" s="22" t="n">
        <f aca="false">MAX(0,MIN(Z100-AA100,$C100-(P100+T100+X100)))</f>
        <v>0</v>
      </c>
      <c r="AC100" s="22" t="n">
        <f aca="false">ROUND(Z100-AA100-AB100,2)</f>
        <v>0</v>
      </c>
      <c r="AD100" s="22" t="n">
        <f aca="false">AG99*(1+H$7)</f>
        <v>0</v>
      </c>
      <c r="AE100" s="22" t="n">
        <f aca="false">MIN(AD100,H$8)</f>
        <v>0</v>
      </c>
      <c r="AF100" s="22" t="n">
        <f aca="false">MAX(0,MIN(AD100-AE100,$C100-(P100+T100+X100+AB100)))</f>
        <v>0</v>
      </c>
      <c r="AG100" s="22" t="n">
        <f aca="false">ROUND(AD100-AE100-AF100,2)</f>
        <v>0</v>
      </c>
      <c r="AH100" s="22" t="n">
        <f aca="false">AK99*(1+I$7)</f>
        <v>0</v>
      </c>
      <c r="AI100" s="22" t="n">
        <f aca="false">MIN(AH100,I$8)</f>
        <v>0</v>
      </c>
      <c r="AJ100" s="22" t="n">
        <f aca="false">MAX(0,MIN(AH100-AI100,$C100-(P100+T100+X100+AB100+AF100)))</f>
        <v>0</v>
      </c>
      <c r="AK100" s="22" t="n">
        <f aca="false">ROUND(AH100-AI100-AJ100,2)</f>
        <v>0</v>
      </c>
      <c r="AL100" s="22" t="n">
        <f aca="false">AO99*(1+J$7)</f>
        <v>0</v>
      </c>
      <c r="AM100" s="22" t="n">
        <f aca="false">MIN(AL100,J$8)</f>
        <v>0</v>
      </c>
      <c r="AN100" s="22" t="n">
        <f aca="false">MAX(0,MIN(AL100-AM100,$C100-(P100+T100+X100+AB100+AF100+AJ100)))</f>
        <v>0</v>
      </c>
      <c r="AO100" s="22" t="n">
        <f aca="false">ROUND(AL100-AM100-AN100,2)</f>
        <v>0</v>
      </c>
      <c r="AP100" s="22" t="n">
        <f aca="false">AS99*(1+K$7)</f>
        <v>0</v>
      </c>
      <c r="AQ100" s="22" t="n">
        <f aca="false">MIN(AP100,K$8)</f>
        <v>0</v>
      </c>
      <c r="AR100" s="22" t="n">
        <f aca="false">MAX(0,MIN(AP100-AQ100,$C100-(P100+T100+X100+AB100+AF100+AJ100+AN100)))</f>
        <v>0</v>
      </c>
      <c r="AS100" s="22" t="n">
        <f aca="false">ROUND(AP100-AQ100-AR100,2)</f>
        <v>0</v>
      </c>
      <c r="AT100" s="22" t="n">
        <f aca="false">AW99*(1+L$7)</f>
        <v>0</v>
      </c>
      <c r="AU100" s="22" t="n">
        <f aca="false">MIN(AT100,L$8)</f>
        <v>0</v>
      </c>
      <c r="AV100" s="22" t="n">
        <f aca="false">MAX(0,MIN(AT100-AU100,$C100-(P100+T100+X100+AB100+AF100+AJ100+AN100+AR100)))</f>
        <v>0</v>
      </c>
      <c r="AW100" s="22" t="n">
        <f aca="false">ROUND(AT100-AU100-AV100,2)</f>
        <v>0</v>
      </c>
      <c r="AX100" s="22" t="n">
        <f aca="false">BA99*(1+M$7)</f>
        <v>0</v>
      </c>
      <c r="AY100" s="22" t="n">
        <f aca="false">MIN(AX100,M$8)</f>
        <v>0</v>
      </c>
      <c r="AZ100" s="22" t="n">
        <f aca="false">MAX(0,MIN(AX100-AY100,$C100-(P100+T100+X100+AB100+AF100+AJ100+AN100+AR100+AV100)))</f>
        <v>0</v>
      </c>
      <c r="BA100" s="22" t="n">
        <f aca="false">ROUND(AX100-AY100-AZ100,2)</f>
        <v>0</v>
      </c>
    </row>
    <row r="101" customFormat="false" ht="15" hidden="false" customHeight="false" outlineLevel="0" collapsed="false">
      <c r="A101" s="0" t="n">
        <v>91</v>
      </c>
      <c r="B101" s="39" t="n">
        <f aca="false">EDATE(Borçlar!$K$7,90)</f>
        <v>49035</v>
      </c>
      <c r="C101" s="36" t="n">
        <f aca="false">MAX(0,Borçlar!$K$8-(O101+S101+W101+AA101+AE101+AI101+AM101+AQ101+AU101+AY101))</f>
        <v>19000</v>
      </c>
      <c r="D101" s="36" t="n">
        <f aca="false">O101+P101+S101+T101+W101+X101+AA101+AB101+AE101+AF101+AI101+AJ101+AM101+AN101+AQ101+AR101+AU101+AV101+AY101+AZ101</f>
        <v>0</v>
      </c>
      <c r="E101" s="36" t="n">
        <f aca="false">(N101+R101+V101+Z101+AD101+AH101+AL101+AP101+AT101+AX101)-(F100)</f>
        <v>0</v>
      </c>
      <c r="F101" s="36" t="n">
        <f aca="false">Q101+U101+Y101+AC101+AG101+AK101+AO101+AS101+AW101+BA101</f>
        <v>0</v>
      </c>
      <c r="N101" s="22" t="n">
        <f aca="false">Q100*(1+D$7)</f>
        <v>0</v>
      </c>
      <c r="O101" s="22" t="n">
        <f aca="false">MIN(N101,D$8)</f>
        <v>0</v>
      </c>
      <c r="P101" s="22" t="n">
        <f aca="false">MAX(0,MIN(N101-O101,$C101-(0)))</f>
        <v>0</v>
      </c>
      <c r="Q101" s="22" t="n">
        <f aca="false">ROUND(N101-O101-P101,2)</f>
        <v>0</v>
      </c>
      <c r="R101" s="22" t="n">
        <f aca="false">U100*(1+E$7)</f>
        <v>0</v>
      </c>
      <c r="S101" s="22" t="n">
        <f aca="false">MIN(R101,E$8)</f>
        <v>0</v>
      </c>
      <c r="T101" s="22" t="n">
        <f aca="false">MAX(0,MIN(R101-S101,$C101-(P101)))</f>
        <v>0</v>
      </c>
      <c r="U101" s="22" t="n">
        <f aca="false">ROUND(R101-S101-T101,2)</f>
        <v>0</v>
      </c>
      <c r="V101" s="22" t="n">
        <f aca="false">Y100*(1+F$7)</f>
        <v>0</v>
      </c>
      <c r="W101" s="22" t="n">
        <f aca="false">MIN(V101,F$8)</f>
        <v>0</v>
      </c>
      <c r="X101" s="22" t="n">
        <f aca="false">MAX(0,MIN(V101-W101,$C101-(P101+T101)))</f>
        <v>0</v>
      </c>
      <c r="Y101" s="22" t="n">
        <f aca="false">ROUND(V101-W101-X101,2)</f>
        <v>0</v>
      </c>
      <c r="Z101" s="22" t="n">
        <f aca="false">AC100*(1+G$7)</f>
        <v>0</v>
      </c>
      <c r="AA101" s="22" t="n">
        <f aca="false">MIN(Z101,G$8)</f>
        <v>0</v>
      </c>
      <c r="AB101" s="22" t="n">
        <f aca="false">MAX(0,MIN(Z101-AA101,$C101-(P101+T101+X101)))</f>
        <v>0</v>
      </c>
      <c r="AC101" s="22" t="n">
        <f aca="false">ROUND(Z101-AA101-AB101,2)</f>
        <v>0</v>
      </c>
      <c r="AD101" s="22" t="n">
        <f aca="false">AG100*(1+H$7)</f>
        <v>0</v>
      </c>
      <c r="AE101" s="22" t="n">
        <f aca="false">MIN(AD101,H$8)</f>
        <v>0</v>
      </c>
      <c r="AF101" s="22" t="n">
        <f aca="false">MAX(0,MIN(AD101-AE101,$C101-(P101+T101+X101+AB101)))</f>
        <v>0</v>
      </c>
      <c r="AG101" s="22" t="n">
        <f aca="false">ROUND(AD101-AE101-AF101,2)</f>
        <v>0</v>
      </c>
      <c r="AH101" s="22" t="n">
        <f aca="false">AK100*(1+I$7)</f>
        <v>0</v>
      </c>
      <c r="AI101" s="22" t="n">
        <f aca="false">MIN(AH101,I$8)</f>
        <v>0</v>
      </c>
      <c r="AJ101" s="22" t="n">
        <f aca="false">MAX(0,MIN(AH101-AI101,$C101-(P101+T101+X101+AB101+AF101)))</f>
        <v>0</v>
      </c>
      <c r="AK101" s="22" t="n">
        <f aca="false">ROUND(AH101-AI101-AJ101,2)</f>
        <v>0</v>
      </c>
      <c r="AL101" s="22" t="n">
        <f aca="false">AO100*(1+J$7)</f>
        <v>0</v>
      </c>
      <c r="AM101" s="22" t="n">
        <f aca="false">MIN(AL101,J$8)</f>
        <v>0</v>
      </c>
      <c r="AN101" s="22" t="n">
        <f aca="false">MAX(0,MIN(AL101-AM101,$C101-(P101+T101+X101+AB101+AF101+AJ101)))</f>
        <v>0</v>
      </c>
      <c r="AO101" s="22" t="n">
        <f aca="false">ROUND(AL101-AM101-AN101,2)</f>
        <v>0</v>
      </c>
      <c r="AP101" s="22" t="n">
        <f aca="false">AS100*(1+K$7)</f>
        <v>0</v>
      </c>
      <c r="AQ101" s="22" t="n">
        <f aca="false">MIN(AP101,K$8)</f>
        <v>0</v>
      </c>
      <c r="AR101" s="22" t="n">
        <f aca="false">MAX(0,MIN(AP101-AQ101,$C101-(P101+T101+X101+AB101+AF101+AJ101+AN101)))</f>
        <v>0</v>
      </c>
      <c r="AS101" s="22" t="n">
        <f aca="false">ROUND(AP101-AQ101-AR101,2)</f>
        <v>0</v>
      </c>
      <c r="AT101" s="22" t="n">
        <f aca="false">AW100*(1+L$7)</f>
        <v>0</v>
      </c>
      <c r="AU101" s="22" t="n">
        <f aca="false">MIN(AT101,L$8)</f>
        <v>0</v>
      </c>
      <c r="AV101" s="22" t="n">
        <f aca="false">MAX(0,MIN(AT101-AU101,$C101-(P101+T101+X101+AB101+AF101+AJ101+AN101+AR101)))</f>
        <v>0</v>
      </c>
      <c r="AW101" s="22" t="n">
        <f aca="false">ROUND(AT101-AU101-AV101,2)</f>
        <v>0</v>
      </c>
      <c r="AX101" s="22" t="n">
        <f aca="false">BA100*(1+M$7)</f>
        <v>0</v>
      </c>
      <c r="AY101" s="22" t="n">
        <f aca="false">MIN(AX101,M$8)</f>
        <v>0</v>
      </c>
      <c r="AZ101" s="22" t="n">
        <f aca="false">MAX(0,MIN(AX101-AY101,$C101-(P101+T101+X101+AB101+AF101+AJ101+AN101+AR101+AV101)))</f>
        <v>0</v>
      </c>
      <c r="BA101" s="22" t="n">
        <f aca="false">ROUND(AX101-AY101-AZ101,2)</f>
        <v>0</v>
      </c>
    </row>
    <row r="102" customFormat="false" ht="15" hidden="false" customHeight="false" outlineLevel="0" collapsed="false">
      <c r="A102" s="0" t="n">
        <v>92</v>
      </c>
      <c r="B102" s="39" t="n">
        <f aca="false">EDATE(Borçlar!$K$7,91)</f>
        <v>49065</v>
      </c>
      <c r="C102" s="36" t="n">
        <f aca="false">MAX(0,Borçlar!$K$8-(O102+S102+W102+AA102+AE102+AI102+AM102+AQ102+AU102+AY102))</f>
        <v>19000</v>
      </c>
      <c r="D102" s="36" t="n">
        <f aca="false">O102+P102+S102+T102+W102+X102+AA102+AB102+AE102+AF102+AI102+AJ102+AM102+AN102+AQ102+AR102+AU102+AV102+AY102+AZ102</f>
        <v>0</v>
      </c>
      <c r="E102" s="36" t="n">
        <f aca="false">(N102+R102+V102+Z102+AD102+AH102+AL102+AP102+AT102+AX102)-(F101)</f>
        <v>0</v>
      </c>
      <c r="F102" s="36" t="n">
        <f aca="false">Q102+U102+Y102+AC102+AG102+AK102+AO102+AS102+AW102+BA102</f>
        <v>0</v>
      </c>
      <c r="N102" s="22" t="n">
        <f aca="false">Q101*(1+D$7)</f>
        <v>0</v>
      </c>
      <c r="O102" s="22" t="n">
        <f aca="false">MIN(N102,D$8)</f>
        <v>0</v>
      </c>
      <c r="P102" s="22" t="n">
        <f aca="false">MAX(0,MIN(N102-O102,$C102-(0)))</f>
        <v>0</v>
      </c>
      <c r="Q102" s="22" t="n">
        <f aca="false">ROUND(N102-O102-P102,2)</f>
        <v>0</v>
      </c>
      <c r="R102" s="22" t="n">
        <f aca="false">U101*(1+E$7)</f>
        <v>0</v>
      </c>
      <c r="S102" s="22" t="n">
        <f aca="false">MIN(R102,E$8)</f>
        <v>0</v>
      </c>
      <c r="T102" s="22" t="n">
        <f aca="false">MAX(0,MIN(R102-S102,$C102-(P102)))</f>
        <v>0</v>
      </c>
      <c r="U102" s="22" t="n">
        <f aca="false">ROUND(R102-S102-T102,2)</f>
        <v>0</v>
      </c>
      <c r="V102" s="22" t="n">
        <f aca="false">Y101*(1+F$7)</f>
        <v>0</v>
      </c>
      <c r="W102" s="22" t="n">
        <f aca="false">MIN(V102,F$8)</f>
        <v>0</v>
      </c>
      <c r="X102" s="22" t="n">
        <f aca="false">MAX(0,MIN(V102-W102,$C102-(P102+T102)))</f>
        <v>0</v>
      </c>
      <c r="Y102" s="22" t="n">
        <f aca="false">ROUND(V102-W102-X102,2)</f>
        <v>0</v>
      </c>
      <c r="Z102" s="22" t="n">
        <f aca="false">AC101*(1+G$7)</f>
        <v>0</v>
      </c>
      <c r="AA102" s="22" t="n">
        <f aca="false">MIN(Z102,G$8)</f>
        <v>0</v>
      </c>
      <c r="AB102" s="22" t="n">
        <f aca="false">MAX(0,MIN(Z102-AA102,$C102-(P102+T102+X102)))</f>
        <v>0</v>
      </c>
      <c r="AC102" s="22" t="n">
        <f aca="false">ROUND(Z102-AA102-AB102,2)</f>
        <v>0</v>
      </c>
      <c r="AD102" s="22" t="n">
        <f aca="false">AG101*(1+H$7)</f>
        <v>0</v>
      </c>
      <c r="AE102" s="22" t="n">
        <f aca="false">MIN(AD102,H$8)</f>
        <v>0</v>
      </c>
      <c r="AF102" s="22" t="n">
        <f aca="false">MAX(0,MIN(AD102-AE102,$C102-(P102+T102+X102+AB102)))</f>
        <v>0</v>
      </c>
      <c r="AG102" s="22" t="n">
        <f aca="false">ROUND(AD102-AE102-AF102,2)</f>
        <v>0</v>
      </c>
      <c r="AH102" s="22" t="n">
        <f aca="false">AK101*(1+I$7)</f>
        <v>0</v>
      </c>
      <c r="AI102" s="22" t="n">
        <f aca="false">MIN(AH102,I$8)</f>
        <v>0</v>
      </c>
      <c r="AJ102" s="22" t="n">
        <f aca="false">MAX(0,MIN(AH102-AI102,$C102-(P102+T102+X102+AB102+AF102)))</f>
        <v>0</v>
      </c>
      <c r="AK102" s="22" t="n">
        <f aca="false">ROUND(AH102-AI102-AJ102,2)</f>
        <v>0</v>
      </c>
      <c r="AL102" s="22" t="n">
        <f aca="false">AO101*(1+J$7)</f>
        <v>0</v>
      </c>
      <c r="AM102" s="22" t="n">
        <f aca="false">MIN(AL102,J$8)</f>
        <v>0</v>
      </c>
      <c r="AN102" s="22" t="n">
        <f aca="false">MAX(0,MIN(AL102-AM102,$C102-(P102+T102+X102+AB102+AF102+AJ102)))</f>
        <v>0</v>
      </c>
      <c r="AO102" s="22" t="n">
        <f aca="false">ROUND(AL102-AM102-AN102,2)</f>
        <v>0</v>
      </c>
      <c r="AP102" s="22" t="n">
        <f aca="false">AS101*(1+K$7)</f>
        <v>0</v>
      </c>
      <c r="AQ102" s="22" t="n">
        <f aca="false">MIN(AP102,K$8)</f>
        <v>0</v>
      </c>
      <c r="AR102" s="22" t="n">
        <f aca="false">MAX(0,MIN(AP102-AQ102,$C102-(P102+T102+X102+AB102+AF102+AJ102+AN102)))</f>
        <v>0</v>
      </c>
      <c r="AS102" s="22" t="n">
        <f aca="false">ROUND(AP102-AQ102-AR102,2)</f>
        <v>0</v>
      </c>
      <c r="AT102" s="22" t="n">
        <f aca="false">AW101*(1+L$7)</f>
        <v>0</v>
      </c>
      <c r="AU102" s="22" t="n">
        <f aca="false">MIN(AT102,L$8)</f>
        <v>0</v>
      </c>
      <c r="AV102" s="22" t="n">
        <f aca="false">MAX(0,MIN(AT102-AU102,$C102-(P102+T102+X102+AB102+AF102+AJ102+AN102+AR102)))</f>
        <v>0</v>
      </c>
      <c r="AW102" s="22" t="n">
        <f aca="false">ROUND(AT102-AU102-AV102,2)</f>
        <v>0</v>
      </c>
      <c r="AX102" s="22" t="n">
        <f aca="false">BA101*(1+M$7)</f>
        <v>0</v>
      </c>
      <c r="AY102" s="22" t="n">
        <f aca="false">MIN(AX102,M$8)</f>
        <v>0</v>
      </c>
      <c r="AZ102" s="22" t="n">
        <f aca="false">MAX(0,MIN(AX102-AY102,$C102-(P102+T102+X102+AB102+AF102+AJ102+AN102+AR102+AV102)))</f>
        <v>0</v>
      </c>
      <c r="BA102" s="22" t="n">
        <f aca="false">ROUND(AX102-AY102-AZ102,2)</f>
        <v>0</v>
      </c>
    </row>
    <row r="103" customFormat="false" ht="15" hidden="false" customHeight="false" outlineLevel="0" collapsed="false">
      <c r="A103" s="0" t="n">
        <v>93</v>
      </c>
      <c r="B103" s="39" t="n">
        <f aca="false">EDATE(Borçlar!$K$7,92)</f>
        <v>49096</v>
      </c>
      <c r="C103" s="36" t="n">
        <f aca="false">MAX(0,Borçlar!$K$8-(O103+S103+W103+AA103+AE103+AI103+AM103+AQ103+AU103+AY103))</f>
        <v>19000</v>
      </c>
      <c r="D103" s="36" t="n">
        <f aca="false">O103+P103+S103+T103+W103+X103+AA103+AB103+AE103+AF103+AI103+AJ103+AM103+AN103+AQ103+AR103+AU103+AV103+AY103+AZ103</f>
        <v>0</v>
      </c>
      <c r="E103" s="36" t="n">
        <f aca="false">(N103+R103+V103+Z103+AD103+AH103+AL103+AP103+AT103+AX103)-(F102)</f>
        <v>0</v>
      </c>
      <c r="F103" s="36" t="n">
        <f aca="false">Q103+U103+Y103+AC103+AG103+AK103+AO103+AS103+AW103+BA103</f>
        <v>0</v>
      </c>
      <c r="N103" s="22" t="n">
        <f aca="false">Q102*(1+D$7)</f>
        <v>0</v>
      </c>
      <c r="O103" s="22" t="n">
        <f aca="false">MIN(N103,D$8)</f>
        <v>0</v>
      </c>
      <c r="P103" s="22" t="n">
        <f aca="false">MAX(0,MIN(N103-O103,$C103-(0)))</f>
        <v>0</v>
      </c>
      <c r="Q103" s="22" t="n">
        <f aca="false">ROUND(N103-O103-P103,2)</f>
        <v>0</v>
      </c>
      <c r="R103" s="22" t="n">
        <f aca="false">U102*(1+E$7)</f>
        <v>0</v>
      </c>
      <c r="S103" s="22" t="n">
        <f aca="false">MIN(R103,E$8)</f>
        <v>0</v>
      </c>
      <c r="T103" s="22" t="n">
        <f aca="false">MAX(0,MIN(R103-S103,$C103-(P103)))</f>
        <v>0</v>
      </c>
      <c r="U103" s="22" t="n">
        <f aca="false">ROUND(R103-S103-T103,2)</f>
        <v>0</v>
      </c>
      <c r="V103" s="22" t="n">
        <f aca="false">Y102*(1+F$7)</f>
        <v>0</v>
      </c>
      <c r="W103" s="22" t="n">
        <f aca="false">MIN(V103,F$8)</f>
        <v>0</v>
      </c>
      <c r="X103" s="22" t="n">
        <f aca="false">MAX(0,MIN(V103-W103,$C103-(P103+T103)))</f>
        <v>0</v>
      </c>
      <c r="Y103" s="22" t="n">
        <f aca="false">ROUND(V103-W103-X103,2)</f>
        <v>0</v>
      </c>
      <c r="Z103" s="22" t="n">
        <f aca="false">AC102*(1+G$7)</f>
        <v>0</v>
      </c>
      <c r="AA103" s="22" t="n">
        <f aca="false">MIN(Z103,G$8)</f>
        <v>0</v>
      </c>
      <c r="AB103" s="22" t="n">
        <f aca="false">MAX(0,MIN(Z103-AA103,$C103-(P103+T103+X103)))</f>
        <v>0</v>
      </c>
      <c r="AC103" s="22" t="n">
        <f aca="false">ROUND(Z103-AA103-AB103,2)</f>
        <v>0</v>
      </c>
      <c r="AD103" s="22" t="n">
        <f aca="false">AG102*(1+H$7)</f>
        <v>0</v>
      </c>
      <c r="AE103" s="22" t="n">
        <f aca="false">MIN(AD103,H$8)</f>
        <v>0</v>
      </c>
      <c r="AF103" s="22" t="n">
        <f aca="false">MAX(0,MIN(AD103-AE103,$C103-(P103+T103+X103+AB103)))</f>
        <v>0</v>
      </c>
      <c r="AG103" s="22" t="n">
        <f aca="false">ROUND(AD103-AE103-AF103,2)</f>
        <v>0</v>
      </c>
      <c r="AH103" s="22" t="n">
        <f aca="false">AK102*(1+I$7)</f>
        <v>0</v>
      </c>
      <c r="AI103" s="22" t="n">
        <f aca="false">MIN(AH103,I$8)</f>
        <v>0</v>
      </c>
      <c r="AJ103" s="22" t="n">
        <f aca="false">MAX(0,MIN(AH103-AI103,$C103-(P103+T103+X103+AB103+AF103)))</f>
        <v>0</v>
      </c>
      <c r="AK103" s="22" t="n">
        <f aca="false">ROUND(AH103-AI103-AJ103,2)</f>
        <v>0</v>
      </c>
      <c r="AL103" s="22" t="n">
        <f aca="false">AO102*(1+J$7)</f>
        <v>0</v>
      </c>
      <c r="AM103" s="22" t="n">
        <f aca="false">MIN(AL103,J$8)</f>
        <v>0</v>
      </c>
      <c r="AN103" s="22" t="n">
        <f aca="false">MAX(0,MIN(AL103-AM103,$C103-(P103+T103+X103+AB103+AF103+AJ103)))</f>
        <v>0</v>
      </c>
      <c r="AO103" s="22" t="n">
        <f aca="false">ROUND(AL103-AM103-AN103,2)</f>
        <v>0</v>
      </c>
      <c r="AP103" s="22" t="n">
        <f aca="false">AS102*(1+K$7)</f>
        <v>0</v>
      </c>
      <c r="AQ103" s="22" t="n">
        <f aca="false">MIN(AP103,K$8)</f>
        <v>0</v>
      </c>
      <c r="AR103" s="22" t="n">
        <f aca="false">MAX(0,MIN(AP103-AQ103,$C103-(P103+T103+X103+AB103+AF103+AJ103+AN103)))</f>
        <v>0</v>
      </c>
      <c r="AS103" s="22" t="n">
        <f aca="false">ROUND(AP103-AQ103-AR103,2)</f>
        <v>0</v>
      </c>
      <c r="AT103" s="22" t="n">
        <f aca="false">AW102*(1+L$7)</f>
        <v>0</v>
      </c>
      <c r="AU103" s="22" t="n">
        <f aca="false">MIN(AT103,L$8)</f>
        <v>0</v>
      </c>
      <c r="AV103" s="22" t="n">
        <f aca="false">MAX(0,MIN(AT103-AU103,$C103-(P103+T103+X103+AB103+AF103+AJ103+AN103+AR103)))</f>
        <v>0</v>
      </c>
      <c r="AW103" s="22" t="n">
        <f aca="false">ROUND(AT103-AU103-AV103,2)</f>
        <v>0</v>
      </c>
      <c r="AX103" s="22" t="n">
        <f aca="false">BA102*(1+M$7)</f>
        <v>0</v>
      </c>
      <c r="AY103" s="22" t="n">
        <f aca="false">MIN(AX103,M$8)</f>
        <v>0</v>
      </c>
      <c r="AZ103" s="22" t="n">
        <f aca="false">MAX(0,MIN(AX103-AY103,$C103-(P103+T103+X103+AB103+AF103+AJ103+AN103+AR103+AV103)))</f>
        <v>0</v>
      </c>
      <c r="BA103" s="22" t="n">
        <f aca="false">ROUND(AX103-AY103-AZ103,2)</f>
        <v>0</v>
      </c>
    </row>
    <row r="104" customFormat="false" ht="15" hidden="false" customHeight="false" outlineLevel="0" collapsed="false">
      <c r="A104" s="0" t="n">
        <v>94</v>
      </c>
      <c r="B104" s="39" t="n">
        <f aca="false">EDATE(Borçlar!$K$7,93)</f>
        <v>49126</v>
      </c>
      <c r="C104" s="36" t="n">
        <f aca="false">MAX(0,Borçlar!$K$8-(O104+S104+W104+AA104+AE104+AI104+AM104+AQ104+AU104+AY104))</f>
        <v>19000</v>
      </c>
      <c r="D104" s="36" t="n">
        <f aca="false">O104+P104+S104+T104+W104+X104+AA104+AB104+AE104+AF104+AI104+AJ104+AM104+AN104+AQ104+AR104+AU104+AV104+AY104+AZ104</f>
        <v>0</v>
      </c>
      <c r="E104" s="36" t="n">
        <f aca="false">(N104+R104+V104+Z104+AD104+AH104+AL104+AP104+AT104+AX104)-(F103)</f>
        <v>0</v>
      </c>
      <c r="F104" s="36" t="n">
        <f aca="false">Q104+U104+Y104+AC104+AG104+AK104+AO104+AS104+AW104+BA104</f>
        <v>0</v>
      </c>
      <c r="N104" s="22" t="n">
        <f aca="false">Q103*(1+D$7)</f>
        <v>0</v>
      </c>
      <c r="O104" s="22" t="n">
        <f aca="false">MIN(N104,D$8)</f>
        <v>0</v>
      </c>
      <c r="P104" s="22" t="n">
        <f aca="false">MAX(0,MIN(N104-O104,$C104-(0)))</f>
        <v>0</v>
      </c>
      <c r="Q104" s="22" t="n">
        <f aca="false">ROUND(N104-O104-P104,2)</f>
        <v>0</v>
      </c>
      <c r="R104" s="22" t="n">
        <f aca="false">U103*(1+E$7)</f>
        <v>0</v>
      </c>
      <c r="S104" s="22" t="n">
        <f aca="false">MIN(R104,E$8)</f>
        <v>0</v>
      </c>
      <c r="T104" s="22" t="n">
        <f aca="false">MAX(0,MIN(R104-S104,$C104-(P104)))</f>
        <v>0</v>
      </c>
      <c r="U104" s="22" t="n">
        <f aca="false">ROUND(R104-S104-T104,2)</f>
        <v>0</v>
      </c>
      <c r="V104" s="22" t="n">
        <f aca="false">Y103*(1+F$7)</f>
        <v>0</v>
      </c>
      <c r="W104" s="22" t="n">
        <f aca="false">MIN(V104,F$8)</f>
        <v>0</v>
      </c>
      <c r="X104" s="22" t="n">
        <f aca="false">MAX(0,MIN(V104-W104,$C104-(P104+T104)))</f>
        <v>0</v>
      </c>
      <c r="Y104" s="22" t="n">
        <f aca="false">ROUND(V104-W104-X104,2)</f>
        <v>0</v>
      </c>
      <c r="Z104" s="22" t="n">
        <f aca="false">AC103*(1+G$7)</f>
        <v>0</v>
      </c>
      <c r="AA104" s="22" t="n">
        <f aca="false">MIN(Z104,G$8)</f>
        <v>0</v>
      </c>
      <c r="AB104" s="22" t="n">
        <f aca="false">MAX(0,MIN(Z104-AA104,$C104-(P104+T104+X104)))</f>
        <v>0</v>
      </c>
      <c r="AC104" s="22" t="n">
        <f aca="false">ROUND(Z104-AA104-AB104,2)</f>
        <v>0</v>
      </c>
      <c r="AD104" s="22" t="n">
        <f aca="false">AG103*(1+H$7)</f>
        <v>0</v>
      </c>
      <c r="AE104" s="22" t="n">
        <f aca="false">MIN(AD104,H$8)</f>
        <v>0</v>
      </c>
      <c r="AF104" s="22" t="n">
        <f aca="false">MAX(0,MIN(AD104-AE104,$C104-(P104+T104+X104+AB104)))</f>
        <v>0</v>
      </c>
      <c r="AG104" s="22" t="n">
        <f aca="false">ROUND(AD104-AE104-AF104,2)</f>
        <v>0</v>
      </c>
      <c r="AH104" s="22" t="n">
        <f aca="false">AK103*(1+I$7)</f>
        <v>0</v>
      </c>
      <c r="AI104" s="22" t="n">
        <f aca="false">MIN(AH104,I$8)</f>
        <v>0</v>
      </c>
      <c r="AJ104" s="22" t="n">
        <f aca="false">MAX(0,MIN(AH104-AI104,$C104-(P104+T104+X104+AB104+AF104)))</f>
        <v>0</v>
      </c>
      <c r="AK104" s="22" t="n">
        <f aca="false">ROUND(AH104-AI104-AJ104,2)</f>
        <v>0</v>
      </c>
      <c r="AL104" s="22" t="n">
        <f aca="false">AO103*(1+J$7)</f>
        <v>0</v>
      </c>
      <c r="AM104" s="22" t="n">
        <f aca="false">MIN(AL104,J$8)</f>
        <v>0</v>
      </c>
      <c r="AN104" s="22" t="n">
        <f aca="false">MAX(0,MIN(AL104-AM104,$C104-(P104+T104+X104+AB104+AF104+AJ104)))</f>
        <v>0</v>
      </c>
      <c r="AO104" s="22" t="n">
        <f aca="false">ROUND(AL104-AM104-AN104,2)</f>
        <v>0</v>
      </c>
      <c r="AP104" s="22" t="n">
        <f aca="false">AS103*(1+K$7)</f>
        <v>0</v>
      </c>
      <c r="AQ104" s="22" t="n">
        <f aca="false">MIN(AP104,K$8)</f>
        <v>0</v>
      </c>
      <c r="AR104" s="22" t="n">
        <f aca="false">MAX(0,MIN(AP104-AQ104,$C104-(P104+T104+X104+AB104+AF104+AJ104+AN104)))</f>
        <v>0</v>
      </c>
      <c r="AS104" s="22" t="n">
        <f aca="false">ROUND(AP104-AQ104-AR104,2)</f>
        <v>0</v>
      </c>
      <c r="AT104" s="22" t="n">
        <f aca="false">AW103*(1+L$7)</f>
        <v>0</v>
      </c>
      <c r="AU104" s="22" t="n">
        <f aca="false">MIN(AT104,L$8)</f>
        <v>0</v>
      </c>
      <c r="AV104" s="22" t="n">
        <f aca="false">MAX(0,MIN(AT104-AU104,$C104-(P104+T104+X104+AB104+AF104+AJ104+AN104+AR104)))</f>
        <v>0</v>
      </c>
      <c r="AW104" s="22" t="n">
        <f aca="false">ROUND(AT104-AU104-AV104,2)</f>
        <v>0</v>
      </c>
      <c r="AX104" s="22" t="n">
        <f aca="false">BA103*(1+M$7)</f>
        <v>0</v>
      </c>
      <c r="AY104" s="22" t="n">
        <f aca="false">MIN(AX104,M$8)</f>
        <v>0</v>
      </c>
      <c r="AZ104" s="22" t="n">
        <f aca="false">MAX(0,MIN(AX104-AY104,$C104-(P104+T104+X104+AB104+AF104+AJ104+AN104+AR104+AV104)))</f>
        <v>0</v>
      </c>
      <c r="BA104" s="22" t="n">
        <f aca="false">ROUND(AX104-AY104-AZ104,2)</f>
        <v>0</v>
      </c>
    </row>
    <row r="105" customFormat="false" ht="15" hidden="false" customHeight="false" outlineLevel="0" collapsed="false">
      <c r="A105" s="0" t="n">
        <v>95</v>
      </c>
      <c r="B105" s="39" t="n">
        <f aca="false">EDATE(Borçlar!$K$7,94)</f>
        <v>49157</v>
      </c>
      <c r="C105" s="36" t="n">
        <f aca="false">MAX(0,Borçlar!$K$8-(O105+S105+W105+AA105+AE105+AI105+AM105+AQ105+AU105+AY105))</f>
        <v>19000</v>
      </c>
      <c r="D105" s="36" t="n">
        <f aca="false">O105+P105+S105+T105+W105+X105+AA105+AB105+AE105+AF105+AI105+AJ105+AM105+AN105+AQ105+AR105+AU105+AV105+AY105+AZ105</f>
        <v>0</v>
      </c>
      <c r="E105" s="36" t="n">
        <f aca="false">(N105+R105+V105+Z105+AD105+AH105+AL105+AP105+AT105+AX105)-(F104)</f>
        <v>0</v>
      </c>
      <c r="F105" s="36" t="n">
        <f aca="false">Q105+U105+Y105+AC105+AG105+AK105+AO105+AS105+AW105+BA105</f>
        <v>0</v>
      </c>
      <c r="N105" s="22" t="n">
        <f aca="false">Q104*(1+D$7)</f>
        <v>0</v>
      </c>
      <c r="O105" s="22" t="n">
        <f aca="false">MIN(N105,D$8)</f>
        <v>0</v>
      </c>
      <c r="P105" s="22" t="n">
        <f aca="false">MAX(0,MIN(N105-O105,$C105-(0)))</f>
        <v>0</v>
      </c>
      <c r="Q105" s="22" t="n">
        <f aca="false">ROUND(N105-O105-P105,2)</f>
        <v>0</v>
      </c>
      <c r="R105" s="22" t="n">
        <f aca="false">U104*(1+E$7)</f>
        <v>0</v>
      </c>
      <c r="S105" s="22" t="n">
        <f aca="false">MIN(R105,E$8)</f>
        <v>0</v>
      </c>
      <c r="T105" s="22" t="n">
        <f aca="false">MAX(0,MIN(R105-S105,$C105-(P105)))</f>
        <v>0</v>
      </c>
      <c r="U105" s="22" t="n">
        <f aca="false">ROUND(R105-S105-T105,2)</f>
        <v>0</v>
      </c>
      <c r="V105" s="22" t="n">
        <f aca="false">Y104*(1+F$7)</f>
        <v>0</v>
      </c>
      <c r="W105" s="22" t="n">
        <f aca="false">MIN(V105,F$8)</f>
        <v>0</v>
      </c>
      <c r="X105" s="22" t="n">
        <f aca="false">MAX(0,MIN(V105-W105,$C105-(P105+T105)))</f>
        <v>0</v>
      </c>
      <c r="Y105" s="22" t="n">
        <f aca="false">ROUND(V105-W105-X105,2)</f>
        <v>0</v>
      </c>
      <c r="Z105" s="22" t="n">
        <f aca="false">AC104*(1+G$7)</f>
        <v>0</v>
      </c>
      <c r="AA105" s="22" t="n">
        <f aca="false">MIN(Z105,G$8)</f>
        <v>0</v>
      </c>
      <c r="AB105" s="22" t="n">
        <f aca="false">MAX(0,MIN(Z105-AA105,$C105-(P105+T105+X105)))</f>
        <v>0</v>
      </c>
      <c r="AC105" s="22" t="n">
        <f aca="false">ROUND(Z105-AA105-AB105,2)</f>
        <v>0</v>
      </c>
      <c r="AD105" s="22" t="n">
        <f aca="false">AG104*(1+H$7)</f>
        <v>0</v>
      </c>
      <c r="AE105" s="22" t="n">
        <f aca="false">MIN(AD105,H$8)</f>
        <v>0</v>
      </c>
      <c r="AF105" s="22" t="n">
        <f aca="false">MAX(0,MIN(AD105-AE105,$C105-(P105+T105+X105+AB105)))</f>
        <v>0</v>
      </c>
      <c r="AG105" s="22" t="n">
        <f aca="false">ROUND(AD105-AE105-AF105,2)</f>
        <v>0</v>
      </c>
      <c r="AH105" s="22" t="n">
        <f aca="false">AK104*(1+I$7)</f>
        <v>0</v>
      </c>
      <c r="AI105" s="22" t="n">
        <f aca="false">MIN(AH105,I$8)</f>
        <v>0</v>
      </c>
      <c r="AJ105" s="22" t="n">
        <f aca="false">MAX(0,MIN(AH105-AI105,$C105-(P105+T105+X105+AB105+AF105)))</f>
        <v>0</v>
      </c>
      <c r="AK105" s="22" t="n">
        <f aca="false">ROUND(AH105-AI105-AJ105,2)</f>
        <v>0</v>
      </c>
      <c r="AL105" s="22" t="n">
        <f aca="false">AO104*(1+J$7)</f>
        <v>0</v>
      </c>
      <c r="AM105" s="22" t="n">
        <f aca="false">MIN(AL105,J$8)</f>
        <v>0</v>
      </c>
      <c r="AN105" s="22" t="n">
        <f aca="false">MAX(0,MIN(AL105-AM105,$C105-(P105+T105+X105+AB105+AF105+AJ105)))</f>
        <v>0</v>
      </c>
      <c r="AO105" s="22" t="n">
        <f aca="false">ROUND(AL105-AM105-AN105,2)</f>
        <v>0</v>
      </c>
      <c r="AP105" s="22" t="n">
        <f aca="false">AS104*(1+K$7)</f>
        <v>0</v>
      </c>
      <c r="AQ105" s="22" t="n">
        <f aca="false">MIN(AP105,K$8)</f>
        <v>0</v>
      </c>
      <c r="AR105" s="22" t="n">
        <f aca="false">MAX(0,MIN(AP105-AQ105,$C105-(P105+T105+X105+AB105+AF105+AJ105+AN105)))</f>
        <v>0</v>
      </c>
      <c r="AS105" s="22" t="n">
        <f aca="false">ROUND(AP105-AQ105-AR105,2)</f>
        <v>0</v>
      </c>
      <c r="AT105" s="22" t="n">
        <f aca="false">AW104*(1+L$7)</f>
        <v>0</v>
      </c>
      <c r="AU105" s="22" t="n">
        <f aca="false">MIN(AT105,L$8)</f>
        <v>0</v>
      </c>
      <c r="AV105" s="22" t="n">
        <f aca="false">MAX(0,MIN(AT105-AU105,$C105-(P105+T105+X105+AB105+AF105+AJ105+AN105+AR105)))</f>
        <v>0</v>
      </c>
      <c r="AW105" s="22" t="n">
        <f aca="false">ROUND(AT105-AU105-AV105,2)</f>
        <v>0</v>
      </c>
      <c r="AX105" s="22" t="n">
        <f aca="false">BA104*(1+M$7)</f>
        <v>0</v>
      </c>
      <c r="AY105" s="22" t="n">
        <f aca="false">MIN(AX105,M$8)</f>
        <v>0</v>
      </c>
      <c r="AZ105" s="22" t="n">
        <f aca="false">MAX(0,MIN(AX105-AY105,$C105-(P105+T105+X105+AB105+AF105+AJ105+AN105+AR105+AV105)))</f>
        <v>0</v>
      </c>
      <c r="BA105" s="22" t="n">
        <f aca="false">ROUND(AX105-AY105-AZ105,2)</f>
        <v>0</v>
      </c>
    </row>
    <row r="106" customFormat="false" ht="15" hidden="false" customHeight="false" outlineLevel="0" collapsed="false">
      <c r="A106" s="0" t="n">
        <v>96</v>
      </c>
      <c r="B106" s="39" t="n">
        <f aca="false">EDATE(Borçlar!$K$7,95)</f>
        <v>49188</v>
      </c>
      <c r="C106" s="36" t="n">
        <f aca="false">MAX(0,Borçlar!$K$8-(O106+S106+W106+AA106+AE106+AI106+AM106+AQ106+AU106+AY106))</f>
        <v>19000</v>
      </c>
      <c r="D106" s="36" t="n">
        <f aca="false">O106+P106+S106+T106+W106+X106+AA106+AB106+AE106+AF106+AI106+AJ106+AM106+AN106+AQ106+AR106+AU106+AV106+AY106+AZ106</f>
        <v>0</v>
      </c>
      <c r="E106" s="36" t="n">
        <f aca="false">(N106+R106+V106+Z106+AD106+AH106+AL106+AP106+AT106+AX106)-(F105)</f>
        <v>0</v>
      </c>
      <c r="F106" s="36" t="n">
        <f aca="false">Q106+U106+Y106+AC106+AG106+AK106+AO106+AS106+AW106+BA106</f>
        <v>0</v>
      </c>
      <c r="N106" s="22" t="n">
        <f aca="false">Q105*(1+D$7)</f>
        <v>0</v>
      </c>
      <c r="O106" s="22" t="n">
        <f aca="false">MIN(N106,D$8)</f>
        <v>0</v>
      </c>
      <c r="P106" s="22" t="n">
        <f aca="false">MAX(0,MIN(N106-O106,$C106-(0)))</f>
        <v>0</v>
      </c>
      <c r="Q106" s="22" t="n">
        <f aca="false">ROUND(N106-O106-P106,2)</f>
        <v>0</v>
      </c>
      <c r="R106" s="22" t="n">
        <f aca="false">U105*(1+E$7)</f>
        <v>0</v>
      </c>
      <c r="S106" s="22" t="n">
        <f aca="false">MIN(R106,E$8)</f>
        <v>0</v>
      </c>
      <c r="T106" s="22" t="n">
        <f aca="false">MAX(0,MIN(R106-S106,$C106-(P106)))</f>
        <v>0</v>
      </c>
      <c r="U106" s="22" t="n">
        <f aca="false">ROUND(R106-S106-T106,2)</f>
        <v>0</v>
      </c>
      <c r="V106" s="22" t="n">
        <f aca="false">Y105*(1+F$7)</f>
        <v>0</v>
      </c>
      <c r="W106" s="22" t="n">
        <f aca="false">MIN(V106,F$8)</f>
        <v>0</v>
      </c>
      <c r="X106" s="22" t="n">
        <f aca="false">MAX(0,MIN(V106-W106,$C106-(P106+T106)))</f>
        <v>0</v>
      </c>
      <c r="Y106" s="22" t="n">
        <f aca="false">ROUND(V106-W106-X106,2)</f>
        <v>0</v>
      </c>
      <c r="Z106" s="22" t="n">
        <f aca="false">AC105*(1+G$7)</f>
        <v>0</v>
      </c>
      <c r="AA106" s="22" t="n">
        <f aca="false">MIN(Z106,G$8)</f>
        <v>0</v>
      </c>
      <c r="AB106" s="22" t="n">
        <f aca="false">MAX(0,MIN(Z106-AA106,$C106-(P106+T106+X106)))</f>
        <v>0</v>
      </c>
      <c r="AC106" s="22" t="n">
        <f aca="false">ROUND(Z106-AA106-AB106,2)</f>
        <v>0</v>
      </c>
      <c r="AD106" s="22" t="n">
        <f aca="false">AG105*(1+H$7)</f>
        <v>0</v>
      </c>
      <c r="AE106" s="22" t="n">
        <f aca="false">MIN(AD106,H$8)</f>
        <v>0</v>
      </c>
      <c r="AF106" s="22" t="n">
        <f aca="false">MAX(0,MIN(AD106-AE106,$C106-(P106+T106+X106+AB106)))</f>
        <v>0</v>
      </c>
      <c r="AG106" s="22" t="n">
        <f aca="false">ROUND(AD106-AE106-AF106,2)</f>
        <v>0</v>
      </c>
      <c r="AH106" s="22" t="n">
        <f aca="false">AK105*(1+I$7)</f>
        <v>0</v>
      </c>
      <c r="AI106" s="22" t="n">
        <f aca="false">MIN(AH106,I$8)</f>
        <v>0</v>
      </c>
      <c r="AJ106" s="22" t="n">
        <f aca="false">MAX(0,MIN(AH106-AI106,$C106-(P106+T106+X106+AB106+AF106)))</f>
        <v>0</v>
      </c>
      <c r="AK106" s="22" t="n">
        <f aca="false">ROUND(AH106-AI106-AJ106,2)</f>
        <v>0</v>
      </c>
      <c r="AL106" s="22" t="n">
        <f aca="false">AO105*(1+J$7)</f>
        <v>0</v>
      </c>
      <c r="AM106" s="22" t="n">
        <f aca="false">MIN(AL106,J$8)</f>
        <v>0</v>
      </c>
      <c r="AN106" s="22" t="n">
        <f aca="false">MAX(0,MIN(AL106-AM106,$C106-(P106+T106+X106+AB106+AF106+AJ106)))</f>
        <v>0</v>
      </c>
      <c r="AO106" s="22" t="n">
        <f aca="false">ROUND(AL106-AM106-AN106,2)</f>
        <v>0</v>
      </c>
      <c r="AP106" s="22" t="n">
        <f aca="false">AS105*(1+K$7)</f>
        <v>0</v>
      </c>
      <c r="AQ106" s="22" t="n">
        <f aca="false">MIN(AP106,K$8)</f>
        <v>0</v>
      </c>
      <c r="AR106" s="22" t="n">
        <f aca="false">MAX(0,MIN(AP106-AQ106,$C106-(P106+T106+X106+AB106+AF106+AJ106+AN106)))</f>
        <v>0</v>
      </c>
      <c r="AS106" s="22" t="n">
        <f aca="false">ROUND(AP106-AQ106-AR106,2)</f>
        <v>0</v>
      </c>
      <c r="AT106" s="22" t="n">
        <f aca="false">AW105*(1+L$7)</f>
        <v>0</v>
      </c>
      <c r="AU106" s="22" t="n">
        <f aca="false">MIN(AT106,L$8)</f>
        <v>0</v>
      </c>
      <c r="AV106" s="22" t="n">
        <f aca="false">MAX(0,MIN(AT106-AU106,$C106-(P106+T106+X106+AB106+AF106+AJ106+AN106+AR106)))</f>
        <v>0</v>
      </c>
      <c r="AW106" s="22" t="n">
        <f aca="false">ROUND(AT106-AU106-AV106,2)</f>
        <v>0</v>
      </c>
      <c r="AX106" s="22" t="n">
        <f aca="false">BA105*(1+M$7)</f>
        <v>0</v>
      </c>
      <c r="AY106" s="22" t="n">
        <f aca="false">MIN(AX106,M$8)</f>
        <v>0</v>
      </c>
      <c r="AZ106" s="22" t="n">
        <f aca="false">MAX(0,MIN(AX106-AY106,$C106-(P106+T106+X106+AB106+AF106+AJ106+AN106+AR106+AV106)))</f>
        <v>0</v>
      </c>
      <c r="BA106" s="22" t="n">
        <f aca="false">ROUND(AX106-AY106-AZ106,2)</f>
        <v>0</v>
      </c>
    </row>
    <row r="107" customFormat="false" ht="15" hidden="false" customHeight="false" outlineLevel="0" collapsed="false">
      <c r="A107" s="0" t="n">
        <v>97</v>
      </c>
      <c r="B107" s="39" t="n">
        <f aca="false">EDATE(Borçlar!$K$7,96)</f>
        <v>49218</v>
      </c>
      <c r="C107" s="36" t="n">
        <f aca="false">MAX(0,Borçlar!$K$8-(O107+S107+W107+AA107+AE107+AI107+AM107+AQ107+AU107+AY107))</f>
        <v>19000</v>
      </c>
      <c r="D107" s="36" t="n">
        <f aca="false">O107+P107+S107+T107+W107+X107+AA107+AB107+AE107+AF107+AI107+AJ107+AM107+AN107+AQ107+AR107+AU107+AV107+AY107+AZ107</f>
        <v>0</v>
      </c>
      <c r="E107" s="36" t="n">
        <f aca="false">(N107+R107+V107+Z107+AD107+AH107+AL107+AP107+AT107+AX107)-(F106)</f>
        <v>0</v>
      </c>
      <c r="F107" s="36" t="n">
        <f aca="false">Q107+U107+Y107+AC107+AG107+AK107+AO107+AS107+AW107+BA107</f>
        <v>0</v>
      </c>
      <c r="N107" s="22" t="n">
        <f aca="false">Q106*(1+D$7)</f>
        <v>0</v>
      </c>
      <c r="O107" s="22" t="n">
        <f aca="false">MIN(N107,D$8)</f>
        <v>0</v>
      </c>
      <c r="P107" s="22" t="n">
        <f aca="false">MAX(0,MIN(N107-O107,$C107-(0)))</f>
        <v>0</v>
      </c>
      <c r="Q107" s="22" t="n">
        <f aca="false">ROUND(N107-O107-P107,2)</f>
        <v>0</v>
      </c>
      <c r="R107" s="22" t="n">
        <f aca="false">U106*(1+E$7)</f>
        <v>0</v>
      </c>
      <c r="S107" s="22" t="n">
        <f aca="false">MIN(R107,E$8)</f>
        <v>0</v>
      </c>
      <c r="T107" s="22" t="n">
        <f aca="false">MAX(0,MIN(R107-S107,$C107-(P107)))</f>
        <v>0</v>
      </c>
      <c r="U107" s="22" t="n">
        <f aca="false">ROUND(R107-S107-T107,2)</f>
        <v>0</v>
      </c>
      <c r="V107" s="22" t="n">
        <f aca="false">Y106*(1+F$7)</f>
        <v>0</v>
      </c>
      <c r="W107" s="22" t="n">
        <f aca="false">MIN(V107,F$8)</f>
        <v>0</v>
      </c>
      <c r="X107" s="22" t="n">
        <f aca="false">MAX(0,MIN(V107-W107,$C107-(P107+T107)))</f>
        <v>0</v>
      </c>
      <c r="Y107" s="22" t="n">
        <f aca="false">ROUND(V107-W107-X107,2)</f>
        <v>0</v>
      </c>
      <c r="Z107" s="22" t="n">
        <f aca="false">AC106*(1+G$7)</f>
        <v>0</v>
      </c>
      <c r="AA107" s="22" t="n">
        <f aca="false">MIN(Z107,G$8)</f>
        <v>0</v>
      </c>
      <c r="AB107" s="22" t="n">
        <f aca="false">MAX(0,MIN(Z107-AA107,$C107-(P107+T107+X107)))</f>
        <v>0</v>
      </c>
      <c r="AC107" s="22" t="n">
        <f aca="false">ROUND(Z107-AA107-AB107,2)</f>
        <v>0</v>
      </c>
      <c r="AD107" s="22" t="n">
        <f aca="false">AG106*(1+H$7)</f>
        <v>0</v>
      </c>
      <c r="AE107" s="22" t="n">
        <f aca="false">MIN(AD107,H$8)</f>
        <v>0</v>
      </c>
      <c r="AF107" s="22" t="n">
        <f aca="false">MAX(0,MIN(AD107-AE107,$C107-(P107+T107+X107+AB107)))</f>
        <v>0</v>
      </c>
      <c r="AG107" s="22" t="n">
        <f aca="false">ROUND(AD107-AE107-AF107,2)</f>
        <v>0</v>
      </c>
      <c r="AH107" s="22" t="n">
        <f aca="false">AK106*(1+I$7)</f>
        <v>0</v>
      </c>
      <c r="AI107" s="22" t="n">
        <f aca="false">MIN(AH107,I$8)</f>
        <v>0</v>
      </c>
      <c r="AJ107" s="22" t="n">
        <f aca="false">MAX(0,MIN(AH107-AI107,$C107-(P107+T107+X107+AB107+AF107)))</f>
        <v>0</v>
      </c>
      <c r="AK107" s="22" t="n">
        <f aca="false">ROUND(AH107-AI107-AJ107,2)</f>
        <v>0</v>
      </c>
      <c r="AL107" s="22" t="n">
        <f aca="false">AO106*(1+J$7)</f>
        <v>0</v>
      </c>
      <c r="AM107" s="22" t="n">
        <f aca="false">MIN(AL107,J$8)</f>
        <v>0</v>
      </c>
      <c r="AN107" s="22" t="n">
        <f aca="false">MAX(0,MIN(AL107-AM107,$C107-(P107+T107+X107+AB107+AF107+AJ107)))</f>
        <v>0</v>
      </c>
      <c r="AO107" s="22" t="n">
        <f aca="false">ROUND(AL107-AM107-AN107,2)</f>
        <v>0</v>
      </c>
      <c r="AP107" s="22" t="n">
        <f aca="false">AS106*(1+K$7)</f>
        <v>0</v>
      </c>
      <c r="AQ107" s="22" t="n">
        <f aca="false">MIN(AP107,K$8)</f>
        <v>0</v>
      </c>
      <c r="AR107" s="22" t="n">
        <f aca="false">MAX(0,MIN(AP107-AQ107,$C107-(P107+T107+X107+AB107+AF107+AJ107+AN107)))</f>
        <v>0</v>
      </c>
      <c r="AS107" s="22" t="n">
        <f aca="false">ROUND(AP107-AQ107-AR107,2)</f>
        <v>0</v>
      </c>
      <c r="AT107" s="22" t="n">
        <f aca="false">AW106*(1+L$7)</f>
        <v>0</v>
      </c>
      <c r="AU107" s="22" t="n">
        <f aca="false">MIN(AT107,L$8)</f>
        <v>0</v>
      </c>
      <c r="AV107" s="22" t="n">
        <f aca="false">MAX(0,MIN(AT107-AU107,$C107-(P107+T107+X107+AB107+AF107+AJ107+AN107+AR107)))</f>
        <v>0</v>
      </c>
      <c r="AW107" s="22" t="n">
        <f aca="false">ROUND(AT107-AU107-AV107,2)</f>
        <v>0</v>
      </c>
      <c r="AX107" s="22" t="n">
        <f aca="false">BA106*(1+M$7)</f>
        <v>0</v>
      </c>
      <c r="AY107" s="22" t="n">
        <f aca="false">MIN(AX107,M$8)</f>
        <v>0</v>
      </c>
      <c r="AZ107" s="22" t="n">
        <f aca="false">MAX(0,MIN(AX107-AY107,$C107-(P107+T107+X107+AB107+AF107+AJ107+AN107+AR107+AV107)))</f>
        <v>0</v>
      </c>
      <c r="BA107" s="22" t="n">
        <f aca="false">ROUND(AX107-AY107-AZ107,2)</f>
        <v>0</v>
      </c>
    </row>
    <row r="108" customFormat="false" ht="15" hidden="false" customHeight="false" outlineLevel="0" collapsed="false">
      <c r="A108" s="0" t="n">
        <v>98</v>
      </c>
      <c r="B108" s="39" t="n">
        <f aca="false">EDATE(Borçlar!$K$7,97)</f>
        <v>49249</v>
      </c>
      <c r="C108" s="36" t="n">
        <f aca="false">MAX(0,Borçlar!$K$8-(O108+S108+W108+AA108+AE108+AI108+AM108+AQ108+AU108+AY108))</f>
        <v>19000</v>
      </c>
      <c r="D108" s="36" t="n">
        <f aca="false">O108+P108+S108+T108+W108+X108+AA108+AB108+AE108+AF108+AI108+AJ108+AM108+AN108+AQ108+AR108+AU108+AV108+AY108+AZ108</f>
        <v>0</v>
      </c>
      <c r="E108" s="36" t="n">
        <f aca="false">(N108+R108+V108+Z108+AD108+AH108+AL108+AP108+AT108+AX108)-(F107)</f>
        <v>0</v>
      </c>
      <c r="F108" s="36" t="n">
        <f aca="false">Q108+U108+Y108+AC108+AG108+AK108+AO108+AS108+AW108+BA108</f>
        <v>0</v>
      </c>
      <c r="N108" s="22" t="n">
        <f aca="false">Q107*(1+D$7)</f>
        <v>0</v>
      </c>
      <c r="O108" s="22" t="n">
        <f aca="false">MIN(N108,D$8)</f>
        <v>0</v>
      </c>
      <c r="P108" s="22" t="n">
        <f aca="false">MAX(0,MIN(N108-O108,$C108-(0)))</f>
        <v>0</v>
      </c>
      <c r="Q108" s="22" t="n">
        <f aca="false">ROUND(N108-O108-P108,2)</f>
        <v>0</v>
      </c>
      <c r="R108" s="22" t="n">
        <f aca="false">U107*(1+E$7)</f>
        <v>0</v>
      </c>
      <c r="S108" s="22" t="n">
        <f aca="false">MIN(R108,E$8)</f>
        <v>0</v>
      </c>
      <c r="T108" s="22" t="n">
        <f aca="false">MAX(0,MIN(R108-S108,$C108-(P108)))</f>
        <v>0</v>
      </c>
      <c r="U108" s="22" t="n">
        <f aca="false">ROUND(R108-S108-T108,2)</f>
        <v>0</v>
      </c>
      <c r="V108" s="22" t="n">
        <f aca="false">Y107*(1+F$7)</f>
        <v>0</v>
      </c>
      <c r="W108" s="22" t="n">
        <f aca="false">MIN(V108,F$8)</f>
        <v>0</v>
      </c>
      <c r="X108" s="22" t="n">
        <f aca="false">MAX(0,MIN(V108-W108,$C108-(P108+T108)))</f>
        <v>0</v>
      </c>
      <c r="Y108" s="22" t="n">
        <f aca="false">ROUND(V108-W108-X108,2)</f>
        <v>0</v>
      </c>
      <c r="Z108" s="22" t="n">
        <f aca="false">AC107*(1+G$7)</f>
        <v>0</v>
      </c>
      <c r="AA108" s="22" t="n">
        <f aca="false">MIN(Z108,G$8)</f>
        <v>0</v>
      </c>
      <c r="AB108" s="22" t="n">
        <f aca="false">MAX(0,MIN(Z108-AA108,$C108-(P108+T108+X108)))</f>
        <v>0</v>
      </c>
      <c r="AC108" s="22" t="n">
        <f aca="false">ROUND(Z108-AA108-AB108,2)</f>
        <v>0</v>
      </c>
      <c r="AD108" s="22" t="n">
        <f aca="false">AG107*(1+H$7)</f>
        <v>0</v>
      </c>
      <c r="AE108" s="22" t="n">
        <f aca="false">MIN(AD108,H$8)</f>
        <v>0</v>
      </c>
      <c r="AF108" s="22" t="n">
        <f aca="false">MAX(0,MIN(AD108-AE108,$C108-(P108+T108+X108+AB108)))</f>
        <v>0</v>
      </c>
      <c r="AG108" s="22" t="n">
        <f aca="false">ROUND(AD108-AE108-AF108,2)</f>
        <v>0</v>
      </c>
      <c r="AH108" s="22" t="n">
        <f aca="false">AK107*(1+I$7)</f>
        <v>0</v>
      </c>
      <c r="AI108" s="22" t="n">
        <f aca="false">MIN(AH108,I$8)</f>
        <v>0</v>
      </c>
      <c r="AJ108" s="22" t="n">
        <f aca="false">MAX(0,MIN(AH108-AI108,$C108-(P108+T108+X108+AB108+AF108)))</f>
        <v>0</v>
      </c>
      <c r="AK108" s="22" t="n">
        <f aca="false">ROUND(AH108-AI108-AJ108,2)</f>
        <v>0</v>
      </c>
      <c r="AL108" s="22" t="n">
        <f aca="false">AO107*(1+J$7)</f>
        <v>0</v>
      </c>
      <c r="AM108" s="22" t="n">
        <f aca="false">MIN(AL108,J$8)</f>
        <v>0</v>
      </c>
      <c r="AN108" s="22" t="n">
        <f aca="false">MAX(0,MIN(AL108-AM108,$C108-(P108+T108+X108+AB108+AF108+AJ108)))</f>
        <v>0</v>
      </c>
      <c r="AO108" s="22" t="n">
        <f aca="false">ROUND(AL108-AM108-AN108,2)</f>
        <v>0</v>
      </c>
      <c r="AP108" s="22" t="n">
        <f aca="false">AS107*(1+K$7)</f>
        <v>0</v>
      </c>
      <c r="AQ108" s="22" t="n">
        <f aca="false">MIN(AP108,K$8)</f>
        <v>0</v>
      </c>
      <c r="AR108" s="22" t="n">
        <f aca="false">MAX(0,MIN(AP108-AQ108,$C108-(P108+T108+X108+AB108+AF108+AJ108+AN108)))</f>
        <v>0</v>
      </c>
      <c r="AS108" s="22" t="n">
        <f aca="false">ROUND(AP108-AQ108-AR108,2)</f>
        <v>0</v>
      </c>
      <c r="AT108" s="22" t="n">
        <f aca="false">AW107*(1+L$7)</f>
        <v>0</v>
      </c>
      <c r="AU108" s="22" t="n">
        <f aca="false">MIN(AT108,L$8)</f>
        <v>0</v>
      </c>
      <c r="AV108" s="22" t="n">
        <f aca="false">MAX(0,MIN(AT108-AU108,$C108-(P108+T108+X108+AB108+AF108+AJ108+AN108+AR108)))</f>
        <v>0</v>
      </c>
      <c r="AW108" s="22" t="n">
        <f aca="false">ROUND(AT108-AU108-AV108,2)</f>
        <v>0</v>
      </c>
      <c r="AX108" s="22" t="n">
        <f aca="false">BA107*(1+M$7)</f>
        <v>0</v>
      </c>
      <c r="AY108" s="22" t="n">
        <f aca="false">MIN(AX108,M$8)</f>
        <v>0</v>
      </c>
      <c r="AZ108" s="22" t="n">
        <f aca="false">MAX(0,MIN(AX108-AY108,$C108-(P108+T108+X108+AB108+AF108+AJ108+AN108+AR108+AV108)))</f>
        <v>0</v>
      </c>
      <c r="BA108" s="22" t="n">
        <f aca="false">ROUND(AX108-AY108-AZ108,2)</f>
        <v>0</v>
      </c>
    </row>
    <row r="109" customFormat="false" ht="15" hidden="false" customHeight="false" outlineLevel="0" collapsed="false">
      <c r="A109" s="0" t="n">
        <v>99</v>
      </c>
      <c r="B109" s="39" t="n">
        <f aca="false">EDATE(Borçlar!$K$7,98)</f>
        <v>49279</v>
      </c>
      <c r="C109" s="36" t="n">
        <f aca="false">MAX(0,Borçlar!$K$8-(O109+S109+W109+AA109+AE109+AI109+AM109+AQ109+AU109+AY109))</f>
        <v>19000</v>
      </c>
      <c r="D109" s="36" t="n">
        <f aca="false">O109+P109+S109+T109+W109+X109+AA109+AB109+AE109+AF109+AI109+AJ109+AM109+AN109+AQ109+AR109+AU109+AV109+AY109+AZ109</f>
        <v>0</v>
      </c>
      <c r="E109" s="36" t="n">
        <f aca="false">(N109+R109+V109+Z109+AD109+AH109+AL109+AP109+AT109+AX109)-(F108)</f>
        <v>0</v>
      </c>
      <c r="F109" s="36" t="n">
        <f aca="false">Q109+U109+Y109+AC109+AG109+AK109+AO109+AS109+AW109+BA109</f>
        <v>0</v>
      </c>
      <c r="N109" s="22" t="n">
        <f aca="false">Q108*(1+D$7)</f>
        <v>0</v>
      </c>
      <c r="O109" s="22" t="n">
        <f aca="false">MIN(N109,D$8)</f>
        <v>0</v>
      </c>
      <c r="P109" s="22" t="n">
        <f aca="false">MAX(0,MIN(N109-O109,$C109-(0)))</f>
        <v>0</v>
      </c>
      <c r="Q109" s="22" t="n">
        <f aca="false">ROUND(N109-O109-P109,2)</f>
        <v>0</v>
      </c>
      <c r="R109" s="22" t="n">
        <f aca="false">U108*(1+E$7)</f>
        <v>0</v>
      </c>
      <c r="S109" s="22" t="n">
        <f aca="false">MIN(R109,E$8)</f>
        <v>0</v>
      </c>
      <c r="T109" s="22" t="n">
        <f aca="false">MAX(0,MIN(R109-S109,$C109-(P109)))</f>
        <v>0</v>
      </c>
      <c r="U109" s="22" t="n">
        <f aca="false">ROUND(R109-S109-T109,2)</f>
        <v>0</v>
      </c>
      <c r="V109" s="22" t="n">
        <f aca="false">Y108*(1+F$7)</f>
        <v>0</v>
      </c>
      <c r="W109" s="22" t="n">
        <f aca="false">MIN(V109,F$8)</f>
        <v>0</v>
      </c>
      <c r="X109" s="22" t="n">
        <f aca="false">MAX(0,MIN(V109-W109,$C109-(P109+T109)))</f>
        <v>0</v>
      </c>
      <c r="Y109" s="22" t="n">
        <f aca="false">ROUND(V109-W109-X109,2)</f>
        <v>0</v>
      </c>
      <c r="Z109" s="22" t="n">
        <f aca="false">AC108*(1+G$7)</f>
        <v>0</v>
      </c>
      <c r="AA109" s="22" t="n">
        <f aca="false">MIN(Z109,G$8)</f>
        <v>0</v>
      </c>
      <c r="AB109" s="22" t="n">
        <f aca="false">MAX(0,MIN(Z109-AA109,$C109-(P109+T109+X109)))</f>
        <v>0</v>
      </c>
      <c r="AC109" s="22" t="n">
        <f aca="false">ROUND(Z109-AA109-AB109,2)</f>
        <v>0</v>
      </c>
      <c r="AD109" s="22" t="n">
        <f aca="false">AG108*(1+H$7)</f>
        <v>0</v>
      </c>
      <c r="AE109" s="22" t="n">
        <f aca="false">MIN(AD109,H$8)</f>
        <v>0</v>
      </c>
      <c r="AF109" s="22" t="n">
        <f aca="false">MAX(0,MIN(AD109-AE109,$C109-(P109+T109+X109+AB109)))</f>
        <v>0</v>
      </c>
      <c r="AG109" s="22" t="n">
        <f aca="false">ROUND(AD109-AE109-AF109,2)</f>
        <v>0</v>
      </c>
      <c r="AH109" s="22" t="n">
        <f aca="false">AK108*(1+I$7)</f>
        <v>0</v>
      </c>
      <c r="AI109" s="22" t="n">
        <f aca="false">MIN(AH109,I$8)</f>
        <v>0</v>
      </c>
      <c r="AJ109" s="22" t="n">
        <f aca="false">MAX(0,MIN(AH109-AI109,$C109-(P109+T109+X109+AB109+AF109)))</f>
        <v>0</v>
      </c>
      <c r="AK109" s="22" t="n">
        <f aca="false">ROUND(AH109-AI109-AJ109,2)</f>
        <v>0</v>
      </c>
      <c r="AL109" s="22" t="n">
        <f aca="false">AO108*(1+J$7)</f>
        <v>0</v>
      </c>
      <c r="AM109" s="22" t="n">
        <f aca="false">MIN(AL109,J$8)</f>
        <v>0</v>
      </c>
      <c r="AN109" s="22" t="n">
        <f aca="false">MAX(0,MIN(AL109-AM109,$C109-(P109+T109+X109+AB109+AF109+AJ109)))</f>
        <v>0</v>
      </c>
      <c r="AO109" s="22" t="n">
        <f aca="false">ROUND(AL109-AM109-AN109,2)</f>
        <v>0</v>
      </c>
      <c r="AP109" s="22" t="n">
        <f aca="false">AS108*(1+K$7)</f>
        <v>0</v>
      </c>
      <c r="AQ109" s="22" t="n">
        <f aca="false">MIN(AP109,K$8)</f>
        <v>0</v>
      </c>
      <c r="AR109" s="22" t="n">
        <f aca="false">MAX(0,MIN(AP109-AQ109,$C109-(P109+T109+X109+AB109+AF109+AJ109+AN109)))</f>
        <v>0</v>
      </c>
      <c r="AS109" s="22" t="n">
        <f aca="false">ROUND(AP109-AQ109-AR109,2)</f>
        <v>0</v>
      </c>
      <c r="AT109" s="22" t="n">
        <f aca="false">AW108*(1+L$7)</f>
        <v>0</v>
      </c>
      <c r="AU109" s="22" t="n">
        <f aca="false">MIN(AT109,L$8)</f>
        <v>0</v>
      </c>
      <c r="AV109" s="22" t="n">
        <f aca="false">MAX(0,MIN(AT109-AU109,$C109-(P109+T109+X109+AB109+AF109+AJ109+AN109+AR109)))</f>
        <v>0</v>
      </c>
      <c r="AW109" s="22" t="n">
        <f aca="false">ROUND(AT109-AU109-AV109,2)</f>
        <v>0</v>
      </c>
      <c r="AX109" s="22" t="n">
        <f aca="false">BA108*(1+M$7)</f>
        <v>0</v>
      </c>
      <c r="AY109" s="22" t="n">
        <f aca="false">MIN(AX109,M$8)</f>
        <v>0</v>
      </c>
      <c r="AZ109" s="22" t="n">
        <f aca="false">MAX(0,MIN(AX109-AY109,$C109-(P109+T109+X109+AB109+AF109+AJ109+AN109+AR109+AV109)))</f>
        <v>0</v>
      </c>
      <c r="BA109" s="22" t="n">
        <f aca="false">ROUND(AX109-AY109-AZ109,2)</f>
        <v>0</v>
      </c>
    </row>
    <row r="110" customFormat="false" ht="15" hidden="false" customHeight="false" outlineLevel="0" collapsed="false">
      <c r="A110" s="0" t="n">
        <v>100</v>
      </c>
      <c r="B110" s="39" t="n">
        <f aca="false">EDATE(Borçlar!$K$7,99)</f>
        <v>49310</v>
      </c>
      <c r="C110" s="36" t="n">
        <f aca="false">MAX(0,Borçlar!$K$8-(O110+S110+W110+AA110+AE110+AI110+AM110+AQ110+AU110+AY110))</f>
        <v>19000</v>
      </c>
      <c r="D110" s="36" t="n">
        <f aca="false">O110+P110+S110+T110+W110+X110+AA110+AB110+AE110+AF110+AI110+AJ110+AM110+AN110+AQ110+AR110+AU110+AV110+AY110+AZ110</f>
        <v>0</v>
      </c>
      <c r="E110" s="36" t="n">
        <f aca="false">(N110+R110+V110+Z110+AD110+AH110+AL110+AP110+AT110+AX110)-(F109)</f>
        <v>0</v>
      </c>
      <c r="F110" s="36" t="n">
        <f aca="false">Q110+U110+Y110+AC110+AG110+AK110+AO110+AS110+AW110+BA110</f>
        <v>0</v>
      </c>
      <c r="N110" s="22" t="n">
        <f aca="false">Q109*(1+D$7)</f>
        <v>0</v>
      </c>
      <c r="O110" s="22" t="n">
        <f aca="false">MIN(N110,D$8)</f>
        <v>0</v>
      </c>
      <c r="P110" s="22" t="n">
        <f aca="false">MAX(0,MIN(N110-O110,$C110-(0)))</f>
        <v>0</v>
      </c>
      <c r="Q110" s="22" t="n">
        <f aca="false">ROUND(N110-O110-P110,2)</f>
        <v>0</v>
      </c>
      <c r="R110" s="22" t="n">
        <f aca="false">U109*(1+E$7)</f>
        <v>0</v>
      </c>
      <c r="S110" s="22" t="n">
        <f aca="false">MIN(R110,E$8)</f>
        <v>0</v>
      </c>
      <c r="T110" s="22" t="n">
        <f aca="false">MAX(0,MIN(R110-S110,$C110-(P110)))</f>
        <v>0</v>
      </c>
      <c r="U110" s="22" t="n">
        <f aca="false">ROUND(R110-S110-T110,2)</f>
        <v>0</v>
      </c>
      <c r="V110" s="22" t="n">
        <f aca="false">Y109*(1+F$7)</f>
        <v>0</v>
      </c>
      <c r="W110" s="22" t="n">
        <f aca="false">MIN(V110,F$8)</f>
        <v>0</v>
      </c>
      <c r="X110" s="22" t="n">
        <f aca="false">MAX(0,MIN(V110-W110,$C110-(P110+T110)))</f>
        <v>0</v>
      </c>
      <c r="Y110" s="22" t="n">
        <f aca="false">ROUND(V110-W110-X110,2)</f>
        <v>0</v>
      </c>
      <c r="Z110" s="22" t="n">
        <f aca="false">AC109*(1+G$7)</f>
        <v>0</v>
      </c>
      <c r="AA110" s="22" t="n">
        <f aca="false">MIN(Z110,G$8)</f>
        <v>0</v>
      </c>
      <c r="AB110" s="22" t="n">
        <f aca="false">MAX(0,MIN(Z110-AA110,$C110-(P110+T110+X110)))</f>
        <v>0</v>
      </c>
      <c r="AC110" s="22" t="n">
        <f aca="false">ROUND(Z110-AA110-AB110,2)</f>
        <v>0</v>
      </c>
      <c r="AD110" s="22" t="n">
        <f aca="false">AG109*(1+H$7)</f>
        <v>0</v>
      </c>
      <c r="AE110" s="22" t="n">
        <f aca="false">MIN(AD110,H$8)</f>
        <v>0</v>
      </c>
      <c r="AF110" s="22" t="n">
        <f aca="false">MAX(0,MIN(AD110-AE110,$C110-(P110+T110+X110+AB110)))</f>
        <v>0</v>
      </c>
      <c r="AG110" s="22" t="n">
        <f aca="false">ROUND(AD110-AE110-AF110,2)</f>
        <v>0</v>
      </c>
      <c r="AH110" s="22" t="n">
        <f aca="false">AK109*(1+I$7)</f>
        <v>0</v>
      </c>
      <c r="AI110" s="22" t="n">
        <f aca="false">MIN(AH110,I$8)</f>
        <v>0</v>
      </c>
      <c r="AJ110" s="22" t="n">
        <f aca="false">MAX(0,MIN(AH110-AI110,$C110-(P110+T110+X110+AB110+AF110)))</f>
        <v>0</v>
      </c>
      <c r="AK110" s="22" t="n">
        <f aca="false">ROUND(AH110-AI110-AJ110,2)</f>
        <v>0</v>
      </c>
      <c r="AL110" s="22" t="n">
        <f aca="false">AO109*(1+J$7)</f>
        <v>0</v>
      </c>
      <c r="AM110" s="22" t="n">
        <f aca="false">MIN(AL110,J$8)</f>
        <v>0</v>
      </c>
      <c r="AN110" s="22" t="n">
        <f aca="false">MAX(0,MIN(AL110-AM110,$C110-(P110+T110+X110+AB110+AF110+AJ110)))</f>
        <v>0</v>
      </c>
      <c r="AO110" s="22" t="n">
        <f aca="false">ROUND(AL110-AM110-AN110,2)</f>
        <v>0</v>
      </c>
      <c r="AP110" s="22" t="n">
        <f aca="false">AS109*(1+K$7)</f>
        <v>0</v>
      </c>
      <c r="AQ110" s="22" t="n">
        <f aca="false">MIN(AP110,K$8)</f>
        <v>0</v>
      </c>
      <c r="AR110" s="22" t="n">
        <f aca="false">MAX(0,MIN(AP110-AQ110,$C110-(P110+T110+X110+AB110+AF110+AJ110+AN110)))</f>
        <v>0</v>
      </c>
      <c r="AS110" s="22" t="n">
        <f aca="false">ROUND(AP110-AQ110-AR110,2)</f>
        <v>0</v>
      </c>
      <c r="AT110" s="22" t="n">
        <f aca="false">AW109*(1+L$7)</f>
        <v>0</v>
      </c>
      <c r="AU110" s="22" t="n">
        <f aca="false">MIN(AT110,L$8)</f>
        <v>0</v>
      </c>
      <c r="AV110" s="22" t="n">
        <f aca="false">MAX(0,MIN(AT110-AU110,$C110-(P110+T110+X110+AB110+AF110+AJ110+AN110+AR110)))</f>
        <v>0</v>
      </c>
      <c r="AW110" s="22" t="n">
        <f aca="false">ROUND(AT110-AU110-AV110,2)</f>
        <v>0</v>
      </c>
      <c r="AX110" s="22" t="n">
        <f aca="false">BA109*(1+M$7)</f>
        <v>0</v>
      </c>
      <c r="AY110" s="22" t="n">
        <f aca="false">MIN(AX110,M$8)</f>
        <v>0</v>
      </c>
      <c r="AZ110" s="22" t="n">
        <f aca="false">MAX(0,MIN(AX110-AY110,$C110-(P110+T110+X110+AB110+AF110+AJ110+AN110+AR110+AV110)))</f>
        <v>0</v>
      </c>
      <c r="BA110" s="22" t="n">
        <f aca="false">ROUND(AX110-AY110-AZ110,2)</f>
        <v>0</v>
      </c>
    </row>
    <row r="111" customFormat="false" ht="15" hidden="false" customHeight="false" outlineLevel="0" collapsed="false">
      <c r="A111" s="0" t="n">
        <v>101</v>
      </c>
      <c r="B111" s="39" t="n">
        <f aca="false">EDATE(Borçlar!$K$7,100)</f>
        <v>49341</v>
      </c>
      <c r="C111" s="36" t="n">
        <f aca="false">MAX(0,Borçlar!$K$8-(O111+S111+W111+AA111+AE111+AI111+AM111+AQ111+AU111+AY111))</f>
        <v>19000</v>
      </c>
      <c r="D111" s="36" t="n">
        <f aca="false">O111+P111+S111+T111+W111+X111+AA111+AB111+AE111+AF111+AI111+AJ111+AM111+AN111+AQ111+AR111+AU111+AV111+AY111+AZ111</f>
        <v>0</v>
      </c>
      <c r="E111" s="36" t="n">
        <f aca="false">(N111+R111+V111+Z111+AD111+AH111+AL111+AP111+AT111+AX111)-(F110)</f>
        <v>0</v>
      </c>
      <c r="F111" s="36" t="n">
        <f aca="false">Q111+U111+Y111+AC111+AG111+AK111+AO111+AS111+AW111+BA111</f>
        <v>0</v>
      </c>
      <c r="N111" s="22" t="n">
        <f aca="false">Q110*(1+D$7)</f>
        <v>0</v>
      </c>
      <c r="O111" s="22" t="n">
        <f aca="false">MIN(N111,D$8)</f>
        <v>0</v>
      </c>
      <c r="P111" s="22" t="n">
        <f aca="false">MAX(0,MIN(N111-O111,$C111-(0)))</f>
        <v>0</v>
      </c>
      <c r="Q111" s="22" t="n">
        <f aca="false">ROUND(N111-O111-P111,2)</f>
        <v>0</v>
      </c>
      <c r="R111" s="22" t="n">
        <f aca="false">U110*(1+E$7)</f>
        <v>0</v>
      </c>
      <c r="S111" s="22" t="n">
        <f aca="false">MIN(R111,E$8)</f>
        <v>0</v>
      </c>
      <c r="T111" s="22" t="n">
        <f aca="false">MAX(0,MIN(R111-S111,$C111-(P111)))</f>
        <v>0</v>
      </c>
      <c r="U111" s="22" t="n">
        <f aca="false">ROUND(R111-S111-T111,2)</f>
        <v>0</v>
      </c>
      <c r="V111" s="22" t="n">
        <f aca="false">Y110*(1+F$7)</f>
        <v>0</v>
      </c>
      <c r="W111" s="22" t="n">
        <f aca="false">MIN(V111,F$8)</f>
        <v>0</v>
      </c>
      <c r="X111" s="22" t="n">
        <f aca="false">MAX(0,MIN(V111-W111,$C111-(P111+T111)))</f>
        <v>0</v>
      </c>
      <c r="Y111" s="22" t="n">
        <f aca="false">ROUND(V111-W111-X111,2)</f>
        <v>0</v>
      </c>
      <c r="Z111" s="22" t="n">
        <f aca="false">AC110*(1+G$7)</f>
        <v>0</v>
      </c>
      <c r="AA111" s="22" t="n">
        <f aca="false">MIN(Z111,G$8)</f>
        <v>0</v>
      </c>
      <c r="AB111" s="22" t="n">
        <f aca="false">MAX(0,MIN(Z111-AA111,$C111-(P111+T111+X111)))</f>
        <v>0</v>
      </c>
      <c r="AC111" s="22" t="n">
        <f aca="false">ROUND(Z111-AA111-AB111,2)</f>
        <v>0</v>
      </c>
      <c r="AD111" s="22" t="n">
        <f aca="false">AG110*(1+H$7)</f>
        <v>0</v>
      </c>
      <c r="AE111" s="22" t="n">
        <f aca="false">MIN(AD111,H$8)</f>
        <v>0</v>
      </c>
      <c r="AF111" s="22" t="n">
        <f aca="false">MAX(0,MIN(AD111-AE111,$C111-(P111+T111+X111+AB111)))</f>
        <v>0</v>
      </c>
      <c r="AG111" s="22" t="n">
        <f aca="false">ROUND(AD111-AE111-AF111,2)</f>
        <v>0</v>
      </c>
      <c r="AH111" s="22" t="n">
        <f aca="false">AK110*(1+I$7)</f>
        <v>0</v>
      </c>
      <c r="AI111" s="22" t="n">
        <f aca="false">MIN(AH111,I$8)</f>
        <v>0</v>
      </c>
      <c r="AJ111" s="22" t="n">
        <f aca="false">MAX(0,MIN(AH111-AI111,$C111-(P111+T111+X111+AB111+AF111)))</f>
        <v>0</v>
      </c>
      <c r="AK111" s="22" t="n">
        <f aca="false">ROUND(AH111-AI111-AJ111,2)</f>
        <v>0</v>
      </c>
      <c r="AL111" s="22" t="n">
        <f aca="false">AO110*(1+J$7)</f>
        <v>0</v>
      </c>
      <c r="AM111" s="22" t="n">
        <f aca="false">MIN(AL111,J$8)</f>
        <v>0</v>
      </c>
      <c r="AN111" s="22" t="n">
        <f aca="false">MAX(0,MIN(AL111-AM111,$C111-(P111+T111+X111+AB111+AF111+AJ111)))</f>
        <v>0</v>
      </c>
      <c r="AO111" s="22" t="n">
        <f aca="false">ROUND(AL111-AM111-AN111,2)</f>
        <v>0</v>
      </c>
      <c r="AP111" s="22" t="n">
        <f aca="false">AS110*(1+K$7)</f>
        <v>0</v>
      </c>
      <c r="AQ111" s="22" t="n">
        <f aca="false">MIN(AP111,K$8)</f>
        <v>0</v>
      </c>
      <c r="AR111" s="22" t="n">
        <f aca="false">MAX(0,MIN(AP111-AQ111,$C111-(P111+T111+X111+AB111+AF111+AJ111+AN111)))</f>
        <v>0</v>
      </c>
      <c r="AS111" s="22" t="n">
        <f aca="false">ROUND(AP111-AQ111-AR111,2)</f>
        <v>0</v>
      </c>
      <c r="AT111" s="22" t="n">
        <f aca="false">AW110*(1+L$7)</f>
        <v>0</v>
      </c>
      <c r="AU111" s="22" t="n">
        <f aca="false">MIN(AT111,L$8)</f>
        <v>0</v>
      </c>
      <c r="AV111" s="22" t="n">
        <f aca="false">MAX(0,MIN(AT111-AU111,$C111-(P111+T111+X111+AB111+AF111+AJ111+AN111+AR111)))</f>
        <v>0</v>
      </c>
      <c r="AW111" s="22" t="n">
        <f aca="false">ROUND(AT111-AU111-AV111,2)</f>
        <v>0</v>
      </c>
      <c r="AX111" s="22" t="n">
        <f aca="false">BA110*(1+M$7)</f>
        <v>0</v>
      </c>
      <c r="AY111" s="22" t="n">
        <f aca="false">MIN(AX111,M$8)</f>
        <v>0</v>
      </c>
      <c r="AZ111" s="22" t="n">
        <f aca="false">MAX(0,MIN(AX111-AY111,$C111-(P111+T111+X111+AB111+AF111+AJ111+AN111+AR111+AV111)))</f>
        <v>0</v>
      </c>
      <c r="BA111" s="22" t="n">
        <f aca="false">ROUND(AX111-AY111-AZ111,2)</f>
        <v>0</v>
      </c>
    </row>
    <row r="112" customFormat="false" ht="15" hidden="false" customHeight="false" outlineLevel="0" collapsed="false">
      <c r="A112" s="0" t="n">
        <v>102</v>
      </c>
      <c r="B112" s="39" t="n">
        <f aca="false">EDATE(Borçlar!$K$7,101)</f>
        <v>49369</v>
      </c>
      <c r="C112" s="36" t="n">
        <f aca="false">MAX(0,Borçlar!$K$8-(O112+S112+W112+AA112+AE112+AI112+AM112+AQ112+AU112+AY112))</f>
        <v>19000</v>
      </c>
      <c r="D112" s="36" t="n">
        <f aca="false">O112+P112+S112+T112+W112+X112+AA112+AB112+AE112+AF112+AI112+AJ112+AM112+AN112+AQ112+AR112+AU112+AV112+AY112+AZ112</f>
        <v>0</v>
      </c>
      <c r="E112" s="36" t="n">
        <f aca="false">(N112+R112+V112+Z112+AD112+AH112+AL112+AP112+AT112+AX112)-(F111)</f>
        <v>0</v>
      </c>
      <c r="F112" s="36" t="n">
        <f aca="false">Q112+U112+Y112+AC112+AG112+AK112+AO112+AS112+AW112+BA112</f>
        <v>0</v>
      </c>
      <c r="N112" s="22" t="n">
        <f aca="false">Q111*(1+D$7)</f>
        <v>0</v>
      </c>
      <c r="O112" s="22" t="n">
        <f aca="false">MIN(N112,D$8)</f>
        <v>0</v>
      </c>
      <c r="P112" s="22" t="n">
        <f aca="false">MAX(0,MIN(N112-O112,$C112-(0)))</f>
        <v>0</v>
      </c>
      <c r="Q112" s="22" t="n">
        <f aca="false">ROUND(N112-O112-P112,2)</f>
        <v>0</v>
      </c>
      <c r="R112" s="22" t="n">
        <f aca="false">U111*(1+E$7)</f>
        <v>0</v>
      </c>
      <c r="S112" s="22" t="n">
        <f aca="false">MIN(R112,E$8)</f>
        <v>0</v>
      </c>
      <c r="T112" s="22" t="n">
        <f aca="false">MAX(0,MIN(R112-S112,$C112-(P112)))</f>
        <v>0</v>
      </c>
      <c r="U112" s="22" t="n">
        <f aca="false">ROUND(R112-S112-T112,2)</f>
        <v>0</v>
      </c>
      <c r="V112" s="22" t="n">
        <f aca="false">Y111*(1+F$7)</f>
        <v>0</v>
      </c>
      <c r="W112" s="22" t="n">
        <f aca="false">MIN(V112,F$8)</f>
        <v>0</v>
      </c>
      <c r="X112" s="22" t="n">
        <f aca="false">MAX(0,MIN(V112-W112,$C112-(P112+T112)))</f>
        <v>0</v>
      </c>
      <c r="Y112" s="22" t="n">
        <f aca="false">ROUND(V112-W112-X112,2)</f>
        <v>0</v>
      </c>
      <c r="Z112" s="22" t="n">
        <f aca="false">AC111*(1+G$7)</f>
        <v>0</v>
      </c>
      <c r="AA112" s="22" t="n">
        <f aca="false">MIN(Z112,G$8)</f>
        <v>0</v>
      </c>
      <c r="AB112" s="22" t="n">
        <f aca="false">MAX(0,MIN(Z112-AA112,$C112-(P112+T112+X112)))</f>
        <v>0</v>
      </c>
      <c r="AC112" s="22" t="n">
        <f aca="false">ROUND(Z112-AA112-AB112,2)</f>
        <v>0</v>
      </c>
      <c r="AD112" s="22" t="n">
        <f aca="false">AG111*(1+H$7)</f>
        <v>0</v>
      </c>
      <c r="AE112" s="22" t="n">
        <f aca="false">MIN(AD112,H$8)</f>
        <v>0</v>
      </c>
      <c r="AF112" s="22" t="n">
        <f aca="false">MAX(0,MIN(AD112-AE112,$C112-(P112+T112+X112+AB112)))</f>
        <v>0</v>
      </c>
      <c r="AG112" s="22" t="n">
        <f aca="false">ROUND(AD112-AE112-AF112,2)</f>
        <v>0</v>
      </c>
      <c r="AH112" s="22" t="n">
        <f aca="false">AK111*(1+I$7)</f>
        <v>0</v>
      </c>
      <c r="AI112" s="22" t="n">
        <f aca="false">MIN(AH112,I$8)</f>
        <v>0</v>
      </c>
      <c r="AJ112" s="22" t="n">
        <f aca="false">MAX(0,MIN(AH112-AI112,$C112-(P112+T112+X112+AB112+AF112)))</f>
        <v>0</v>
      </c>
      <c r="AK112" s="22" t="n">
        <f aca="false">ROUND(AH112-AI112-AJ112,2)</f>
        <v>0</v>
      </c>
      <c r="AL112" s="22" t="n">
        <f aca="false">AO111*(1+J$7)</f>
        <v>0</v>
      </c>
      <c r="AM112" s="22" t="n">
        <f aca="false">MIN(AL112,J$8)</f>
        <v>0</v>
      </c>
      <c r="AN112" s="22" t="n">
        <f aca="false">MAX(0,MIN(AL112-AM112,$C112-(P112+T112+X112+AB112+AF112+AJ112)))</f>
        <v>0</v>
      </c>
      <c r="AO112" s="22" t="n">
        <f aca="false">ROUND(AL112-AM112-AN112,2)</f>
        <v>0</v>
      </c>
      <c r="AP112" s="22" t="n">
        <f aca="false">AS111*(1+K$7)</f>
        <v>0</v>
      </c>
      <c r="AQ112" s="22" t="n">
        <f aca="false">MIN(AP112,K$8)</f>
        <v>0</v>
      </c>
      <c r="AR112" s="22" t="n">
        <f aca="false">MAX(0,MIN(AP112-AQ112,$C112-(P112+T112+X112+AB112+AF112+AJ112+AN112)))</f>
        <v>0</v>
      </c>
      <c r="AS112" s="22" t="n">
        <f aca="false">ROUND(AP112-AQ112-AR112,2)</f>
        <v>0</v>
      </c>
      <c r="AT112" s="22" t="n">
        <f aca="false">AW111*(1+L$7)</f>
        <v>0</v>
      </c>
      <c r="AU112" s="22" t="n">
        <f aca="false">MIN(AT112,L$8)</f>
        <v>0</v>
      </c>
      <c r="AV112" s="22" t="n">
        <f aca="false">MAX(0,MIN(AT112-AU112,$C112-(P112+T112+X112+AB112+AF112+AJ112+AN112+AR112)))</f>
        <v>0</v>
      </c>
      <c r="AW112" s="22" t="n">
        <f aca="false">ROUND(AT112-AU112-AV112,2)</f>
        <v>0</v>
      </c>
      <c r="AX112" s="22" t="n">
        <f aca="false">BA111*(1+M$7)</f>
        <v>0</v>
      </c>
      <c r="AY112" s="22" t="n">
        <f aca="false">MIN(AX112,M$8)</f>
        <v>0</v>
      </c>
      <c r="AZ112" s="22" t="n">
        <f aca="false">MAX(0,MIN(AX112-AY112,$C112-(P112+T112+X112+AB112+AF112+AJ112+AN112+AR112+AV112)))</f>
        <v>0</v>
      </c>
      <c r="BA112" s="22" t="n">
        <f aca="false">ROUND(AX112-AY112-AZ112,2)</f>
        <v>0</v>
      </c>
    </row>
    <row r="113" customFormat="false" ht="15" hidden="false" customHeight="false" outlineLevel="0" collapsed="false">
      <c r="A113" s="0" t="n">
        <v>103</v>
      </c>
      <c r="B113" s="39" t="n">
        <f aca="false">EDATE(Borçlar!$K$7,102)</f>
        <v>49400</v>
      </c>
      <c r="C113" s="36" t="n">
        <f aca="false">MAX(0,Borçlar!$K$8-(O113+S113+W113+AA113+AE113+AI113+AM113+AQ113+AU113+AY113))</f>
        <v>19000</v>
      </c>
      <c r="D113" s="36" t="n">
        <f aca="false">O113+P113+S113+T113+W113+X113+AA113+AB113+AE113+AF113+AI113+AJ113+AM113+AN113+AQ113+AR113+AU113+AV113+AY113+AZ113</f>
        <v>0</v>
      </c>
      <c r="E113" s="36" t="n">
        <f aca="false">(N113+R113+V113+Z113+AD113+AH113+AL113+AP113+AT113+AX113)-(F112)</f>
        <v>0</v>
      </c>
      <c r="F113" s="36" t="n">
        <f aca="false">Q113+U113+Y113+AC113+AG113+AK113+AO113+AS113+AW113+BA113</f>
        <v>0</v>
      </c>
      <c r="N113" s="22" t="n">
        <f aca="false">Q112*(1+D$7)</f>
        <v>0</v>
      </c>
      <c r="O113" s="22" t="n">
        <f aca="false">MIN(N113,D$8)</f>
        <v>0</v>
      </c>
      <c r="P113" s="22" t="n">
        <f aca="false">MAX(0,MIN(N113-O113,$C113-(0)))</f>
        <v>0</v>
      </c>
      <c r="Q113" s="22" t="n">
        <f aca="false">ROUND(N113-O113-P113,2)</f>
        <v>0</v>
      </c>
      <c r="R113" s="22" t="n">
        <f aca="false">U112*(1+E$7)</f>
        <v>0</v>
      </c>
      <c r="S113" s="22" t="n">
        <f aca="false">MIN(R113,E$8)</f>
        <v>0</v>
      </c>
      <c r="T113" s="22" t="n">
        <f aca="false">MAX(0,MIN(R113-S113,$C113-(P113)))</f>
        <v>0</v>
      </c>
      <c r="U113" s="22" t="n">
        <f aca="false">ROUND(R113-S113-T113,2)</f>
        <v>0</v>
      </c>
      <c r="V113" s="22" t="n">
        <f aca="false">Y112*(1+F$7)</f>
        <v>0</v>
      </c>
      <c r="W113" s="22" t="n">
        <f aca="false">MIN(V113,F$8)</f>
        <v>0</v>
      </c>
      <c r="X113" s="22" t="n">
        <f aca="false">MAX(0,MIN(V113-W113,$C113-(P113+T113)))</f>
        <v>0</v>
      </c>
      <c r="Y113" s="22" t="n">
        <f aca="false">ROUND(V113-W113-X113,2)</f>
        <v>0</v>
      </c>
      <c r="Z113" s="22" t="n">
        <f aca="false">AC112*(1+G$7)</f>
        <v>0</v>
      </c>
      <c r="AA113" s="22" t="n">
        <f aca="false">MIN(Z113,G$8)</f>
        <v>0</v>
      </c>
      <c r="AB113" s="22" t="n">
        <f aca="false">MAX(0,MIN(Z113-AA113,$C113-(P113+T113+X113)))</f>
        <v>0</v>
      </c>
      <c r="AC113" s="22" t="n">
        <f aca="false">ROUND(Z113-AA113-AB113,2)</f>
        <v>0</v>
      </c>
      <c r="AD113" s="22" t="n">
        <f aca="false">AG112*(1+H$7)</f>
        <v>0</v>
      </c>
      <c r="AE113" s="22" t="n">
        <f aca="false">MIN(AD113,H$8)</f>
        <v>0</v>
      </c>
      <c r="AF113" s="22" t="n">
        <f aca="false">MAX(0,MIN(AD113-AE113,$C113-(P113+T113+X113+AB113)))</f>
        <v>0</v>
      </c>
      <c r="AG113" s="22" t="n">
        <f aca="false">ROUND(AD113-AE113-AF113,2)</f>
        <v>0</v>
      </c>
      <c r="AH113" s="22" t="n">
        <f aca="false">AK112*(1+I$7)</f>
        <v>0</v>
      </c>
      <c r="AI113" s="22" t="n">
        <f aca="false">MIN(AH113,I$8)</f>
        <v>0</v>
      </c>
      <c r="AJ113" s="22" t="n">
        <f aca="false">MAX(0,MIN(AH113-AI113,$C113-(P113+T113+X113+AB113+AF113)))</f>
        <v>0</v>
      </c>
      <c r="AK113" s="22" t="n">
        <f aca="false">ROUND(AH113-AI113-AJ113,2)</f>
        <v>0</v>
      </c>
      <c r="AL113" s="22" t="n">
        <f aca="false">AO112*(1+J$7)</f>
        <v>0</v>
      </c>
      <c r="AM113" s="22" t="n">
        <f aca="false">MIN(AL113,J$8)</f>
        <v>0</v>
      </c>
      <c r="AN113" s="22" t="n">
        <f aca="false">MAX(0,MIN(AL113-AM113,$C113-(P113+T113+X113+AB113+AF113+AJ113)))</f>
        <v>0</v>
      </c>
      <c r="AO113" s="22" t="n">
        <f aca="false">ROUND(AL113-AM113-AN113,2)</f>
        <v>0</v>
      </c>
      <c r="AP113" s="22" t="n">
        <f aca="false">AS112*(1+K$7)</f>
        <v>0</v>
      </c>
      <c r="AQ113" s="22" t="n">
        <f aca="false">MIN(AP113,K$8)</f>
        <v>0</v>
      </c>
      <c r="AR113" s="22" t="n">
        <f aca="false">MAX(0,MIN(AP113-AQ113,$C113-(P113+T113+X113+AB113+AF113+AJ113+AN113)))</f>
        <v>0</v>
      </c>
      <c r="AS113" s="22" t="n">
        <f aca="false">ROUND(AP113-AQ113-AR113,2)</f>
        <v>0</v>
      </c>
      <c r="AT113" s="22" t="n">
        <f aca="false">AW112*(1+L$7)</f>
        <v>0</v>
      </c>
      <c r="AU113" s="22" t="n">
        <f aca="false">MIN(AT113,L$8)</f>
        <v>0</v>
      </c>
      <c r="AV113" s="22" t="n">
        <f aca="false">MAX(0,MIN(AT113-AU113,$C113-(P113+T113+X113+AB113+AF113+AJ113+AN113+AR113)))</f>
        <v>0</v>
      </c>
      <c r="AW113" s="22" t="n">
        <f aca="false">ROUND(AT113-AU113-AV113,2)</f>
        <v>0</v>
      </c>
      <c r="AX113" s="22" t="n">
        <f aca="false">BA112*(1+M$7)</f>
        <v>0</v>
      </c>
      <c r="AY113" s="22" t="n">
        <f aca="false">MIN(AX113,M$8)</f>
        <v>0</v>
      </c>
      <c r="AZ113" s="22" t="n">
        <f aca="false">MAX(0,MIN(AX113-AY113,$C113-(P113+T113+X113+AB113+AF113+AJ113+AN113+AR113+AV113)))</f>
        <v>0</v>
      </c>
      <c r="BA113" s="22" t="n">
        <f aca="false">ROUND(AX113-AY113-AZ113,2)</f>
        <v>0</v>
      </c>
    </row>
    <row r="114" customFormat="false" ht="15" hidden="false" customHeight="false" outlineLevel="0" collapsed="false">
      <c r="A114" s="0" t="n">
        <v>104</v>
      </c>
      <c r="B114" s="39" t="n">
        <f aca="false">EDATE(Borçlar!$K$7,103)</f>
        <v>49430</v>
      </c>
      <c r="C114" s="36" t="n">
        <f aca="false">MAX(0,Borçlar!$K$8-(O114+S114+W114+AA114+AE114+AI114+AM114+AQ114+AU114+AY114))</f>
        <v>19000</v>
      </c>
      <c r="D114" s="36" t="n">
        <f aca="false">O114+P114+S114+T114+W114+X114+AA114+AB114+AE114+AF114+AI114+AJ114+AM114+AN114+AQ114+AR114+AU114+AV114+AY114+AZ114</f>
        <v>0</v>
      </c>
      <c r="E114" s="36" t="n">
        <f aca="false">(N114+R114+V114+Z114+AD114+AH114+AL114+AP114+AT114+AX114)-(F113)</f>
        <v>0</v>
      </c>
      <c r="F114" s="36" t="n">
        <f aca="false">Q114+U114+Y114+AC114+AG114+AK114+AO114+AS114+AW114+BA114</f>
        <v>0</v>
      </c>
      <c r="N114" s="22" t="n">
        <f aca="false">Q113*(1+D$7)</f>
        <v>0</v>
      </c>
      <c r="O114" s="22" t="n">
        <f aca="false">MIN(N114,D$8)</f>
        <v>0</v>
      </c>
      <c r="P114" s="22" t="n">
        <f aca="false">MAX(0,MIN(N114-O114,$C114-(0)))</f>
        <v>0</v>
      </c>
      <c r="Q114" s="22" t="n">
        <f aca="false">ROUND(N114-O114-P114,2)</f>
        <v>0</v>
      </c>
      <c r="R114" s="22" t="n">
        <f aca="false">U113*(1+E$7)</f>
        <v>0</v>
      </c>
      <c r="S114" s="22" t="n">
        <f aca="false">MIN(R114,E$8)</f>
        <v>0</v>
      </c>
      <c r="T114" s="22" t="n">
        <f aca="false">MAX(0,MIN(R114-S114,$C114-(P114)))</f>
        <v>0</v>
      </c>
      <c r="U114" s="22" t="n">
        <f aca="false">ROUND(R114-S114-T114,2)</f>
        <v>0</v>
      </c>
      <c r="V114" s="22" t="n">
        <f aca="false">Y113*(1+F$7)</f>
        <v>0</v>
      </c>
      <c r="W114" s="22" t="n">
        <f aca="false">MIN(V114,F$8)</f>
        <v>0</v>
      </c>
      <c r="X114" s="22" t="n">
        <f aca="false">MAX(0,MIN(V114-W114,$C114-(P114+T114)))</f>
        <v>0</v>
      </c>
      <c r="Y114" s="22" t="n">
        <f aca="false">ROUND(V114-W114-X114,2)</f>
        <v>0</v>
      </c>
      <c r="Z114" s="22" t="n">
        <f aca="false">AC113*(1+G$7)</f>
        <v>0</v>
      </c>
      <c r="AA114" s="22" t="n">
        <f aca="false">MIN(Z114,G$8)</f>
        <v>0</v>
      </c>
      <c r="AB114" s="22" t="n">
        <f aca="false">MAX(0,MIN(Z114-AA114,$C114-(P114+T114+X114)))</f>
        <v>0</v>
      </c>
      <c r="AC114" s="22" t="n">
        <f aca="false">ROUND(Z114-AA114-AB114,2)</f>
        <v>0</v>
      </c>
      <c r="AD114" s="22" t="n">
        <f aca="false">AG113*(1+H$7)</f>
        <v>0</v>
      </c>
      <c r="AE114" s="22" t="n">
        <f aca="false">MIN(AD114,H$8)</f>
        <v>0</v>
      </c>
      <c r="AF114" s="22" t="n">
        <f aca="false">MAX(0,MIN(AD114-AE114,$C114-(P114+T114+X114+AB114)))</f>
        <v>0</v>
      </c>
      <c r="AG114" s="22" t="n">
        <f aca="false">ROUND(AD114-AE114-AF114,2)</f>
        <v>0</v>
      </c>
      <c r="AH114" s="22" t="n">
        <f aca="false">AK113*(1+I$7)</f>
        <v>0</v>
      </c>
      <c r="AI114" s="22" t="n">
        <f aca="false">MIN(AH114,I$8)</f>
        <v>0</v>
      </c>
      <c r="AJ114" s="22" t="n">
        <f aca="false">MAX(0,MIN(AH114-AI114,$C114-(P114+T114+X114+AB114+AF114)))</f>
        <v>0</v>
      </c>
      <c r="AK114" s="22" t="n">
        <f aca="false">ROUND(AH114-AI114-AJ114,2)</f>
        <v>0</v>
      </c>
      <c r="AL114" s="22" t="n">
        <f aca="false">AO113*(1+J$7)</f>
        <v>0</v>
      </c>
      <c r="AM114" s="22" t="n">
        <f aca="false">MIN(AL114,J$8)</f>
        <v>0</v>
      </c>
      <c r="AN114" s="22" t="n">
        <f aca="false">MAX(0,MIN(AL114-AM114,$C114-(P114+T114+X114+AB114+AF114+AJ114)))</f>
        <v>0</v>
      </c>
      <c r="AO114" s="22" t="n">
        <f aca="false">ROUND(AL114-AM114-AN114,2)</f>
        <v>0</v>
      </c>
      <c r="AP114" s="22" t="n">
        <f aca="false">AS113*(1+K$7)</f>
        <v>0</v>
      </c>
      <c r="AQ114" s="22" t="n">
        <f aca="false">MIN(AP114,K$8)</f>
        <v>0</v>
      </c>
      <c r="AR114" s="22" t="n">
        <f aca="false">MAX(0,MIN(AP114-AQ114,$C114-(P114+T114+X114+AB114+AF114+AJ114+AN114)))</f>
        <v>0</v>
      </c>
      <c r="AS114" s="22" t="n">
        <f aca="false">ROUND(AP114-AQ114-AR114,2)</f>
        <v>0</v>
      </c>
      <c r="AT114" s="22" t="n">
        <f aca="false">AW113*(1+L$7)</f>
        <v>0</v>
      </c>
      <c r="AU114" s="22" t="n">
        <f aca="false">MIN(AT114,L$8)</f>
        <v>0</v>
      </c>
      <c r="AV114" s="22" t="n">
        <f aca="false">MAX(0,MIN(AT114-AU114,$C114-(P114+T114+X114+AB114+AF114+AJ114+AN114+AR114)))</f>
        <v>0</v>
      </c>
      <c r="AW114" s="22" t="n">
        <f aca="false">ROUND(AT114-AU114-AV114,2)</f>
        <v>0</v>
      </c>
      <c r="AX114" s="22" t="n">
        <f aca="false">BA113*(1+M$7)</f>
        <v>0</v>
      </c>
      <c r="AY114" s="22" t="n">
        <f aca="false">MIN(AX114,M$8)</f>
        <v>0</v>
      </c>
      <c r="AZ114" s="22" t="n">
        <f aca="false">MAX(0,MIN(AX114-AY114,$C114-(P114+T114+X114+AB114+AF114+AJ114+AN114+AR114+AV114)))</f>
        <v>0</v>
      </c>
      <c r="BA114" s="22" t="n">
        <f aca="false">ROUND(AX114-AY114-AZ114,2)</f>
        <v>0</v>
      </c>
    </row>
    <row r="115" customFormat="false" ht="15" hidden="false" customHeight="false" outlineLevel="0" collapsed="false">
      <c r="A115" s="0" t="n">
        <v>105</v>
      </c>
      <c r="B115" s="39" t="n">
        <f aca="false">EDATE(Borçlar!$K$7,104)</f>
        <v>49461</v>
      </c>
      <c r="C115" s="36" t="n">
        <f aca="false">MAX(0,Borçlar!$K$8-(O115+S115+W115+AA115+AE115+AI115+AM115+AQ115+AU115+AY115))</f>
        <v>19000</v>
      </c>
      <c r="D115" s="36" t="n">
        <f aca="false">O115+P115+S115+T115+W115+X115+AA115+AB115+AE115+AF115+AI115+AJ115+AM115+AN115+AQ115+AR115+AU115+AV115+AY115+AZ115</f>
        <v>0</v>
      </c>
      <c r="E115" s="36" t="n">
        <f aca="false">(N115+R115+V115+Z115+AD115+AH115+AL115+AP115+AT115+AX115)-(F114)</f>
        <v>0</v>
      </c>
      <c r="F115" s="36" t="n">
        <f aca="false">Q115+U115+Y115+AC115+AG115+AK115+AO115+AS115+AW115+BA115</f>
        <v>0</v>
      </c>
      <c r="N115" s="22" t="n">
        <f aca="false">Q114*(1+D$7)</f>
        <v>0</v>
      </c>
      <c r="O115" s="22" t="n">
        <f aca="false">MIN(N115,D$8)</f>
        <v>0</v>
      </c>
      <c r="P115" s="22" t="n">
        <f aca="false">MAX(0,MIN(N115-O115,$C115-(0)))</f>
        <v>0</v>
      </c>
      <c r="Q115" s="22" t="n">
        <f aca="false">ROUND(N115-O115-P115,2)</f>
        <v>0</v>
      </c>
      <c r="R115" s="22" t="n">
        <f aca="false">U114*(1+E$7)</f>
        <v>0</v>
      </c>
      <c r="S115" s="22" t="n">
        <f aca="false">MIN(R115,E$8)</f>
        <v>0</v>
      </c>
      <c r="T115" s="22" t="n">
        <f aca="false">MAX(0,MIN(R115-S115,$C115-(P115)))</f>
        <v>0</v>
      </c>
      <c r="U115" s="22" t="n">
        <f aca="false">ROUND(R115-S115-T115,2)</f>
        <v>0</v>
      </c>
      <c r="V115" s="22" t="n">
        <f aca="false">Y114*(1+F$7)</f>
        <v>0</v>
      </c>
      <c r="W115" s="22" t="n">
        <f aca="false">MIN(V115,F$8)</f>
        <v>0</v>
      </c>
      <c r="X115" s="22" t="n">
        <f aca="false">MAX(0,MIN(V115-W115,$C115-(P115+T115)))</f>
        <v>0</v>
      </c>
      <c r="Y115" s="22" t="n">
        <f aca="false">ROUND(V115-W115-X115,2)</f>
        <v>0</v>
      </c>
      <c r="Z115" s="22" t="n">
        <f aca="false">AC114*(1+G$7)</f>
        <v>0</v>
      </c>
      <c r="AA115" s="22" t="n">
        <f aca="false">MIN(Z115,G$8)</f>
        <v>0</v>
      </c>
      <c r="AB115" s="22" t="n">
        <f aca="false">MAX(0,MIN(Z115-AA115,$C115-(P115+T115+X115)))</f>
        <v>0</v>
      </c>
      <c r="AC115" s="22" t="n">
        <f aca="false">ROUND(Z115-AA115-AB115,2)</f>
        <v>0</v>
      </c>
      <c r="AD115" s="22" t="n">
        <f aca="false">AG114*(1+H$7)</f>
        <v>0</v>
      </c>
      <c r="AE115" s="22" t="n">
        <f aca="false">MIN(AD115,H$8)</f>
        <v>0</v>
      </c>
      <c r="AF115" s="22" t="n">
        <f aca="false">MAX(0,MIN(AD115-AE115,$C115-(P115+T115+X115+AB115)))</f>
        <v>0</v>
      </c>
      <c r="AG115" s="22" t="n">
        <f aca="false">ROUND(AD115-AE115-AF115,2)</f>
        <v>0</v>
      </c>
      <c r="AH115" s="22" t="n">
        <f aca="false">AK114*(1+I$7)</f>
        <v>0</v>
      </c>
      <c r="AI115" s="22" t="n">
        <f aca="false">MIN(AH115,I$8)</f>
        <v>0</v>
      </c>
      <c r="AJ115" s="22" t="n">
        <f aca="false">MAX(0,MIN(AH115-AI115,$C115-(P115+T115+X115+AB115+AF115)))</f>
        <v>0</v>
      </c>
      <c r="AK115" s="22" t="n">
        <f aca="false">ROUND(AH115-AI115-AJ115,2)</f>
        <v>0</v>
      </c>
      <c r="AL115" s="22" t="n">
        <f aca="false">AO114*(1+J$7)</f>
        <v>0</v>
      </c>
      <c r="AM115" s="22" t="n">
        <f aca="false">MIN(AL115,J$8)</f>
        <v>0</v>
      </c>
      <c r="AN115" s="22" t="n">
        <f aca="false">MAX(0,MIN(AL115-AM115,$C115-(P115+T115+X115+AB115+AF115+AJ115)))</f>
        <v>0</v>
      </c>
      <c r="AO115" s="22" t="n">
        <f aca="false">ROUND(AL115-AM115-AN115,2)</f>
        <v>0</v>
      </c>
      <c r="AP115" s="22" t="n">
        <f aca="false">AS114*(1+K$7)</f>
        <v>0</v>
      </c>
      <c r="AQ115" s="22" t="n">
        <f aca="false">MIN(AP115,K$8)</f>
        <v>0</v>
      </c>
      <c r="AR115" s="22" t="n">
        <f aca="false">MAX(0,MIN(AP115-AQ115,$C115-(P115+T115+X115+AB115+AF115+AJ115+AN115)))</f>
        <v>0</v>
      </c>
      <c r="AS115" s="22" t="n">
        <f aca="false">ROUND(AP115-AQ115-AR115,2)</f>
        <v>0</v>
      </c>
      <c r="AT115" s="22" t="n">
        <f aca="false">AW114*(1+L$7)</f>
        <v>0</v>
      </c>
      <c r="AU115" s="22" t="n">
        <f aca="false">MIN(AT115,L$8)</f>
        <v>0</v>
      </c>
      <c r="AV115" s="22" t="n">
        <f aca="false">MAX(0,MIN(AT115-AU115,$C115-(P115+T115+X115+AB115+AF115+AJ115+AN115+AR115)))</f>
        <v>0</v>
      </c>
      <c r="AW115" s="22" t="n">
        <f aca="false">ROUND(AT115-AU115-AV115,2)</f>
        <v>0</v>
      </c>
      <c r="AX115" s="22" t="n">
        <f aca="false">BA114*(1+M$7)</f>
        <v>0</v>
      </c>
      <c r="AY115" s="22" t="n">
        <f aca="false">MIN(AX115,M$8)</f>
        <v>0</v>
      </c>
      <c r="AZ115" s="22" t="n">
        <f aca="false">MAX(0,MIN(AX115-AY115,$C115-(P115+T115+X115+AB115+AF115+AJ115+AN115+AR115+AV115)))</f>
        <v>0</v>
      </c>
      <c r="BA115" s="22" t="n">
        <f aca="false">ROUND(AX115-AY115-AZ115,2)</f>
        <v>0</v>
      </c>
    </row>
    <row r="116" customFormat="false" ht="15" hidden="false" customHeight="false" outlineLevel="0" collapsed="false">
      <c r="A116" s="0" t="n">
        <v>106</v>
      </c>
      <c r="B116" s="39" t="n">
        <f aca="false">EDATE(Borçlar!$K$7,105)</f>
        <v>49491</v>
      </c>
      <c r="C116" s="36" t="n">
        <f aca="false">MAX(0,Borçlar!$K$8-(O116+S116+W116+AA116+AE116+AI116+AM116+AQ116+AU116+AY116))</f>
        <v>19000</v>
      </c>
      <c r="D116" s="36" t="n">
        <f aca="false">O116+P116+S116+T116+W116+X116+AA116+AB116+AE116+AF116+AI116+AJ116+AM116+AN116+AQ116+AR116+AU116+AV116+AY116+AZ116</f>
        <v>0</v>
      </c>
      <c r="E116" s="36" t="n">
        <f aca="false">(N116+R116+V116+Z116+AD116+AH116+AL116+AP116+AT116+AX116)-(F115)</f>
        <v>0</v>
      </c>
      <c r="F116" s="36" t="n">
        <f aca="false">Q116+U116+Y116+AC116+AG116+AK116+AO116+AS116+AW116+BA116</f>
        <v>0</v>
      </c>
      <c r="N116" s="22" t="n">
        <f aca="false">Q115*(1+D$7)</f>
        <v>0</v>
      </c>
      <c r="O116" s="22" t="n">
        <f aca="false">MIN(N116,D$8)</f>
        <v>0</v>
      </c>
      <c r="P116" s="22" t="n">
        <f aca="false">MAX(0,MIN(N116-O116,$C116-(0)))</f>
        <v>0</v>
      </c>
      <c r="Q116" s="22" t="n">
        <f aca="false">ROUND(N116-O116-P116,2)</f>
        <v>0</v>
      </c>
      <c r="R116" s="22" t="n">
        <f aca="false">U115*(1+E$7)</f>
        <v>0</v>
      </c>
      <c r="S116" s="22" t="n">
        <f aca="false">MIN(R116,E$8)</f>
        <v>0</v>
      </c>
      <c r="T116" s="22" t="n">
        <f aca="false">MAX(0,MIN(R116-S116,$C116-(P116)))</f>
        <v>0</v>
      </c>
      <c r="U116" s="22" t="n">
        <f aca="false">ROUND(R116-S116-T116,2)</f>
        <v>0</v>
      </c>
      <c r="V116" s="22" t="n">
        <f aca="false">Y115*(1+F$7)</f>
        <v>0</v>
      </c>
      <c r="W116" s="22" t="n">
        <f aca="false">MIN(V116,F$8)</f>
        <v>0</v>
      </c>
      <c r="X116" s="22" t="n">
        <f aca="false">MAX(0,MIN(V116-W116,$C116-(P116+T116)))</f>
        <v>0</v>
      </c>
      <c r="Y116" s="22" t="n">
        <f aca="false">ROUND(V116-W116-X116,2)</f>
        <v>0</v>
      </c>
      <c r="Z116" s="22" t="n">
        <f aca="false">AC115*(1+G$7)</f>
        <v>0</v>
      </c>
      <c r="AA116" s="22" t="n">
        <f aca="false">MIN(Z116,G$8)</f>
        <v>0</v>
      </c>
      <c r="AB116" s="22" t="n">
        <f aca="false">MAX(0,MIN(Z116-AA116,$C116-(P116+T116+X116)))</f>
        <v>0</v>
      </c>
      <c r="AC116" s="22" t="n">
        <f aca="false">ROUND(Z116-AA116-AB116,2)</f>
        <v>0</v>
      </c>
      <c r="AD116" s="22" t="n">
        <f aca="false">AG115*(1+H$7)</f>
        <v>0</v>
      </c>
      <c r="AE116" s="22" t="n">
        <f aca="false">MIN(AD116,H$8)</f>
        <v>0</v>
      </c>
      <c r="AF116" s="22" t="n">
        <f aca="false">MAX(0,MIN(AD116-AE116,$C116-(P116+T116+X116+AB116)))</f>
        <v>0</v>
      </c>
      <c r="AG116" s="22" t="n">
        <f aca="false">ROUND(AD116-AE116-AF116,2)</f>
        <v>0</v>
      </c>
      <c r="AH116" s="22" t="n">
        <f aca="false">AK115*(1+I$7)</f>
        <v>0</v>
      </c>
      <c r="AI116" s="22" t="n">
        <f aca="false">MIN(AH116,I$8)</f>
        <v>0</v>
      </c>
      <c r="AJ116" s="22" t="n">
        <f aca="false">MAX(0,MIN(AH116-AI116,$C116-(P116+T116+X116+AB116+AF116)))</f>
        <v>0</v>
      </c>
      <c r="AK116" s="22" t="n">
        <f aca="false">ROUND(AH116-AI116-AJ116,2)</f>
        <v>0</v>
      </c>
      <c r="AL116" s="22" t="n">
        <f aca="false">AO115*(1+J$7)</f>
        <v>0</v>
      </c>
      <c r="AM116" s="22" t="n">
        <f aca="false">MIN(AL116,J$8)</f>
        <v>0</v>
      </c>
      <c r="AN116" s="22" t="n">
        <f aca="false">MAX(0,MIN(AL116-AM116,$C116-(P116+T116+X116+AB116+AF116+AJ116)))</f>
        <v>0</v>
      </c>
      <c r="AO116" s="22" t="n">
        <f aca="false">ROUND(AL116-AM116-AN116,2)</f>
        <v>0</v>
      </c>
      <c r="AP116" s="22" t="n">
        <f aca="false">AS115*(1+K$7)</f>
        <v>0</v>
      </c>
      <c r="AQ116" s="22" t="n">
        <f aca="false">MIN(AP116,K$8)</f>
        <v>0</v>
      </c>
      <c r="AR116" s="22" t="n">
        <f aca="false">MAX(0,MIN(AP116-AQ116,$C116-(P116+T116+X116+AB116+AF116+AJ116+AN116)))</f>
        <v>0</v>
      </c>
      <c r="AS116" s="22" t="n">
        <f aca="false">ROUND(AP116-AQ116-AR116,2)</f>
        <v>0</v>
      </c>
      <c r="AT116" s="22" t="n">
        <f aca="false">AW115*(1+L$7)</f>
        <v>0</v>
      </c>
      <c r="AU116" s="22" t="n">
        <f aca="false">MIN(AT116,L$8)</f>
        <v>0</v>
      </c>
      <c r="AV116" s="22" t="n">
        <f aca="false">MAX(0,MIN(AT116-AU116,$C116-(P116+T116+X116+AB116+AF116+AJ116+AN116+AR116)))</f>
        <v>0</v>
      </c>
      <c r="AW116" s="22" t="n">
        <f aca="false">ROUND(AT116-AU116-AV116,2)</f>
        <v>0</v>
      </c>
      <c r="AX116" s="22" t="n">
        <f aca="false">BA115*(1+M$7)</f>
        <v>0</v>
      </c>
      <c r="AY116" s="22" t="n">
        <f aca="false">MIN(AX116,M$8)</f>
        <v>0</v>
      </c>
      <c r="AZ116" s="22" t="n">
        <f aca="false">MAX(0,MIN(AX116-AY116,$C116-(P116+T116+X116+AB116+AF116+AJ116+AN116+AR116+AV116)))</f>
        <v>0</v>
      </c>
      <c r="BA116" s="22" t="n">
        <f aca="false">ROUND(AX116-AY116-AZ116,2)</f>
        <v>0</v>
      </c>
    </row>
    <row r="117" customFormat="false" ht="15" hidden="false" customHeight="false" outlineLevel="0" collapsed="false">
      <c r="A117" s="0" t="n">
        <v>107</v>
      </c>
      <c r="B117" s="39" t="n">
        <f aca="false">EDATE(Borçlar!$K$7,106)</f>
        <v>49522</v>
      </c>
      <c r="C117" s="36" t="n">
        <f aca="false">MAX(0,Borçlar!$K$8-(O117+S117+W117+AA117+AE117+AI117+AM117+AQ117+AU117+AY117))</f>
        <v>19000</v>
      </c>
      <c r="D117" s="36" t="n">
        <f aca="false">O117+P117+S117+T117+W117+X117+AA117+AB117+AE117+AF117+AI117+AJ117+AM117+AN117+AQ117+AR117+AU117+AV117+AY117+AZ117</f>
        <v>0</v>
      </c>
      <c r="E117" s="36" t="n">
        <f aca="false">(N117+R117+V117+Z117+AD117+AH117+AL117+AP117+AT117+AX117)-(F116)</f>
        <v>0</v>
      </c>
      <c r="F117" s="36" t="n">
        <f aca="false">Q117+U117+Y117+AC117+AG117+AK117+AO117+AS117+AW117+BA117</f>
        <v>0</v>
      </c>
      <c r="N117" s="22" t="n">
        <f aca="false">Q116*(1+D$7)</f>
        <v>0</v>
      </c>
      <c r="O117" s="22" t="n">
        <f aca="false">MIN(N117,D$8)</f>
        <v>0</v>
      </c>
      <c r="P117" s="22" t="n">
        <f aca="false">MAX(0,MIN(N117-O117,$C117-(0)))</f>
        <v>0</v>
      </c>
      <c r="Q117" s="22" t="n">
        <f aca="false">ROUND(N117-O117-P117,2)</f>
        <v>0</v>
      </c>
      <c r="R117" s="22" t="n">
        <f aca="false">U116*(1+E$7)</f>
        <v>0</v>
      </c>
      <c r="S117" s="22" t="n">
        <f aca="false">MIN(R117,E$8)</f>
        <v>0</v>
      </c>
      <c r="T117" s="22" t="n">
        <f aca="false">MAX(0,MIN(R117-S117,$C117-(P117)))</f>
        <v>0</v>
      </c>
      <c r="U117" s="22" t="n">
        <f aca="false">ROUND(R117-S117-T117,2)</f>
        <v>0</v>
      </c>
      <c r="V117" s="22" t="n">
        <f aca="false">Y116*(1+F$7)</f>
        <v>0</v>
      </c>
      <c r="W117" s="22" t="n">
        <f aca="false">MIN(V117,F$8)</f>
        <v>0</v>
      </c>
      <c r="X117" s="22" t="n">
        <f aca="false">MAX(0,MIN(V117-W117,$C117-(P117+T117)))</f>
        <v>0</v>
      </c>
      <c r="Y117" s="22" t="n">
        <f aca="false">ROUND(V117-W117-X117,2)</f>
        <v>0</v>
      </c>
      <c r="Z117" s="22" t="n">
        <f aca="false">AC116*(1+G$7)</f>
        <v>0</v>
      </c>
      <c r="AA117" s="22" t="n">
        <f aca="false">MIN(Z117,G$8)</f>
        <v>0</v>
      </c>
      <c r="AB117" s="22" t="n">
        <f aca="false">MAX(0,MIN(Z117-AA117,$C117-(P117+T117+X117)))</f>
        <v>0</v>
      </c>
      <c r="AC117" s="22" t="n">
        <f aca="false">ROUND(Z117-AA117-AB117,2)</f>
        <v>0</v>
      </c>
      <c r="AD117" s="22" t="n">
        <f aca="false">AG116*(1+H$7)</f>
        <v>0</v>
      </c>
      <c r="AE117" s="22" t="n">
        <f aca="false">MIN(AD117,H$8)</f>
        <v>0</v>
      </c>
      <c r="AF117" s="22" t="n">
        <f aca="false">MAX(0,MIN(AD117-AE117,$C117-(P117+T117+X117+AB117)))</f>
        <v>0</v>
      </c>
      <c r="AG117" s="22" t="n">
        <f aca="false">ROUND(AD117-AE117-AF117,2)</f>
        <v>0</v>
      </c>
      <c r="AH117" s="22" t="n">
        <f aca="false">AK116*(1+I$7)</f>
        <v>0</v>
      </c>
      <c r="AI117" s="22" t="n">
        <f aca="false">MIN(AH117,I$8)</f>
        <v>0</v>
      </c>
      <c r="AJ117" s="22" t="n">
        <f aca="false">MAX(0,MIN(AH117-AI117,$C117-(P117+T117+X117+AB117+AF117)))</f>
        <v>0</v>
      </c>
      <c r="AK117" s="22" t="n">
        <f aca="false">ROUND(AH117-AI117-AJ117,2)</f>
        <v>0</v>
      </c>
      <c r="AL117" s="22" t="n">
        <f aca="false">AO116*(1+J$7)</f>
        <v>0</v>
      </c>
      <c r="AM117" s="22" t="n">
        <f aca="false">MIN(AL117,J$8)</f>
        <v>0</v>
      </c>
      <c r="AN117" s="22" t="n">
        <f aca="false">MAX(0,MIN(AL117-AM117,$C117-(P117+T117+X117+AB117+AF117+AJ117)))</f>
        <v>0</v>
      </c>
      <c r="AO117" s="22" t="n">
        <f aca="false">ROUND(AL117-AM117-AN117,2)</f>
        <v>0</v>
      </c>
      <c r="AP117" s="22" t="n">
        <f aca="false">AS116*(1+K$7)</f>
        <v>0</v>
      </c>
      <c r="AQ117" s="22" t="n">
        <f aca="false">MIN(AP117,K$8)</f>
        <v>0</v>
      </c>
      <c r="AR117" s="22" t="n">
        <f aca="false">MAX(0,MIN(AP117-AQ117,$C117-(P117+T117+X117+AB117+AF117+AJ117+AN117)))</f>
        <v>0</v>
      </c>
      <c r="AS117" s="22" t="n">
        <f aca="false">ROUND(AP117-AQ117-AR117,2)</f>
        <v>0</v>
      </c>
      <c r="AT117" s="22" t="n">
        <f aca="false">AW116*(1+L$7)</f>
        <v>0</v>
      </c>
      <c r="AU117" s="22" t="n">
        <f aca="false">MIN(AT117,L$8)</f>
        <v>0</v>
      </c>
      <c r="AV117" s="22" t="n">
        <f aca="false">MAX(0,MIN(AT117-AU117,$C117-(P117+T117+X117+AB117+AF117+AJ117+AN117+AR117)))</f>
        <v>0</v>
      </c>
      <c r="AW117" s="22" t="n">
        <f aca="false">ROUND(AT117-AU117-AV117,2)</f>
        <v>0</v>
      </c>
      <c r="AX117" s="22" t="n">
        <f aca="false">BA116*(1+M$7)</f>
        <v>0</v>
      </c>
      <c r="AY117" s="22" t="n">
        <f aca="false">MIN(AX117,M$8)</f>
        <v>0</v>
      </c>
      <c r="AZ117" s="22" t="n">
        <f aca="false">MAX(0,MIN(AX117-AY117,$C117-(P117+T117+X117+AB117+AF117+AJ117+AN117+AR117+AV117)))</f>
        <v>0</v>
      </c>
      <c r="BA117" s="22" t="n">
        <f aca="false">ROUND(AX117-AY117-AZ117,2)</f>
        <v>0</v>
      </c>
    </row>
    <row r="118" customFormat="false" ht="15" hidden="false" customHeight="false" outlineLevel="0" collapsed="false">
      <c r="A118" s="0" t="n">
        <v>108</v>
      </c>
      <c r="B118" s="39" t="n">
        <f aca="false">EDATE(Borçlar!$K$7,107)</f>
        <v>49553</v>
      </c>
      <c r="C118" s="36" t="n">
        <f aca="false">MAX(0,Borçlar!$K$8-(O118+S118+W118+AA118+AE118+AI118+AM118+AQ118+AU118+AY118))</f>
        <v>19000</v>
      </c>
      <c r="D118" s="36" t="n">
        <f aca="false">O118+P118+S118+T118+W118+X118+AA118+AB118+AE118+AF118+AI118+AJ118+AM118+AN118+AQ118+AR118+AU118+AV118+AY118+AZ118</f>
        <v>0</v>
      </c>
      <c r="E118" s="36" t="n">
        <f aca="false">(N118+R118+V118+Z118+AD118+AH118+AL118+AP118+AT118+AX118)-(F117)</f>
        <v>0</v>
      </c>
      <c r="F118" s="36" t="n">
        <f aca="false">Q118+U118+Y118+AC118+AG118+AK118+AO118+AS118+AW118+BA118</f>
        <v>0</v>
      </c>
      <c r="N118" s="22" t="n">
        <f aca="false">Q117*(1+D$7)</f>
        <v>0</v>
      </c>
      <c r="O118" s="22" t="n">
        <f aca="false">MIN(N118,D$8)</f>
        <v>0</v>
      </c>
      <c r="P118" s="22" t="n">
        <f aca="false">MAX(0,MIN(N118-O118,$C118-(0)))</f>
        <v>0</v>
      </c>
      <c r="Q118" s="22" t="n">
        <f aca="false">ROUND(N118-O118-P118,2)</f>
        <v>0</v>
      </c>
      <c r="R118" s="22" t="n">
        <f aca="false">U117*(1+E$7)</f>
        <v>0</v>
      </c>
      <c r="S118" s="22" t="n">
        <f aca="false">MIN(R118,E$8)</f>
        <v>0</v>
      </c>
      <c r="T118" s="22" t="n">
        <f aca="false">MAX(0,MIN(R118-S118,$C118-(P118)))</f>
        <v>0</v>
      </c>
      <c r="U118" s="22" t="n">
        <f aca="false">ROUND(R118-S118-T118,2)</f>
        <v>0</v>
      </c>
      <c r="V118" s="22" t="n">
        <f aca="false">Y117*(1+F$7)</f>
        <v>0</v>
      </c>
      <c r="W118" s="22" t="n">
        <f aca="false">MIN(V118,F$8)</f>
        <v>0</v>
      </c>
      <c r="X118" s="22" t="n">
        <f aca="false">MAX(0,MIN(V118-W118,$C118-(P118+T118)))</f>
        <v>0</v>
      </c>
      <c r="Y118" s="22" t="n">
        <f aca="false">ROUND(V118-W118-X118,2)</f>
        <v>0</v>
      </c>
      <c r="Z118" s="22" t="n">
        <f aca="false">AC117*(1+G$7)</f>
        <v>0</v>
      </c>
      <c r="AA118" s="22" t="n">
        <f aca="false">MIN(Z118,G$8)</f>
        <v>0</v>
      </c>
      <c r="AB118" s="22" t="n">
        <f aca="false">MAX(0,MIN(Z118-AA118,$C118-(P118+T118+X118)))</f>
        <v>0</v>
      </c>
      <c r="AC118" s="22" t="n">
        <f aca="false">ROUND(Z118-AA118-AB118,2)</f>
        <v>0</v>
      </c>
      <c r="AD118" s="22" t="n">
        <f aca="false">AG117*(1+H$7)</f>
        <v>0</v>
      </c>
      <c r="AE118" s="22" t="n">
        <f aca="false">MIN(AD118,H$8)</f>
        <v>0</v>
      </c>
      <c r="AF118" s="22" t="n">
        <f aca="false">MAX(0,MIN(AD118-AE118,$C118-(P118+T118+X118+AB118)))</f>
        <v>0</v>
      </c>
      <c r="AG118" s="22" t="n">
        <f aca="false">ROUND(AD118-AE118-AF118,2)</f>
        <v>0</v>
      </c>
      <c r="AH118" s="22" t="n">
        <f aca="false">AK117*(1+I$7)</f>
        <v>0</v>
      </c>
      <c r="AI118" s="22" t="n">
        <f aca="false">MIN(AH118,I$8)</f>
        <v>0</v>
      </c>
      <c r="AJ118" s="22" t="n">
        <f aca="false">MAX(0,MIN(AH118-AI118,$C118-(P118+T118+X118+AB118+AF118)))</f>
        <v>0</v>
      </c>
      <c r="AK118" s="22" t="n">
        <f aca="false">ROUND(AH118-AI118-AJ118,2)</f>
        <v>0</v>
      </c>
      <c r="AL118" s="22" t="n">
        <f aca="false">AO117*(1+J$7)</f>
        <v>0</v>
      </c>
      <c r="AM118" s="22" t="n">
        <f aca="false">MIN(AL118,J$8)</f>
        <v>0</v>
      </c>
      <c r="AN118" s="22" t="n">
        <f aca="false">MAX(0,MIN(AL118-AM118,$C118-(P118+T118+X118+AB118+AF118+AJ118)))</f>
        <v>0</v>
      </c>
      <c r="AO118" s="22" t="n">
        <f aca="false">ROUND(AL118-AM118-AN118,2)</f>
        <v>0</v>
      </c>
      <c r="AP118" s="22" t="n">
        <f aca="false">AS117*(1+K$7)</f>
        <v>0</v>
      </c>
      <c r="AQ118" s="22" t="n">
        <f aca="false">MIN(AP118,K$8)</f>
        <v>0</v>
      </c>
      <c r="AR118" s="22" t="n">
        <f aca="false">MAX(0,MIN(AP118-AQ118,$C118-(P118+T118+X118+AB118+AF118+AJ118+AN118)))</f>
        <v>0</v>
      </c>
      <c r="AS118" s="22" t="n">
        <f aca="false">ROUND(AP118-AQ118-AR118,2)</f>
        <v>0</v>
      </c>
      <c r="AT118" s="22" t="n">
        <f aca="false">AW117*(1+L$7)</f>
        <v>0</v>
      </c>
      <c r="AU118" s="22" t="n">
        <f aca="false">MIN(AT118,L$8)</f>
        <v>0</v>
      </c>
      <c r="AV118" s="22" t="n">
        <f aca="false">MAX(0,MIN(AT118-AU118,$C118-(P118+T118+X118+AB118+AF118+AJ118+AN118+AR118)))</f>
        <v>0</v>
      </c>
      <c r="AW118" s="22" t="n">
        <f aca="false">ROUND(AT118-AU118-AV118,2)</f>
        <v>0</v>
      </c>
      <c r="AX118" s="22" t="n">
        <f aca="false">BA117*(1+M$7)</f>
        <v>0</v>
      </c>
      <c r="AY118" s="22" t="n">
        <f aca="false">MIN(AX118,M$8)</f>
        <v>0</v>
      </c>
      <c r="AZ118" s="22" t="n">
        <f aca="false">MAX(0,MIN(AX118-AY118,$C118-(P118+T118+X118+AB118+AF118+AJ118+AN118+AR118+AV118)))</f>
        <v>0</v>
      </c>
      <c r="BA118" s="22" t="n">
        <f aca="false">ROUND(AX118-AY118-AZ118,2)</f>
        <v>0</v>
      </c>
    </row>
    <row r="119" customFormat="false" ht="15" hidden="false" customHeight="false" outlineLevel="0" collapsed="false">
      <c r="A119" s="0" t="n">
        <v>109</v>
      </c>
      <c r="B119" s="39" t="n">
        <f aca="false">EDATE(Borçlar!$K$7,108)</f>
        <v>49583</v>
      </c>
      <c r="C119" s="36" t="n">
        <f aca="false">MAX(0,Borçlar!$K$8-(O119+S119+W119+AA119+AE119+AI119+AM119+AQ119+AU119+AY119))</f>
        <v>19000</v>
      </c>
      <c r="D119" s="36" t="n">
        <f aca="false">O119+P119+S119+T119+W119+X119+AA119+AB119+AE119+AF119+AI119+AJ119+AM119+AN119+AQ119+AR119+AU119+AV119+AY119+AZ119</f>
        <v>0</v>
      </c>
      <c r="E119" s="36" t="n">
        <f aca="false">(N119+R119+V119+Z119+AD119+AH119+AL119+AP119+AT119+AX119)-(F118)</f>
        <v>0</v>
      </c>
      <c r="F119" s="36" t="n">
        <f aca="false">Q119+U119+Y119+AC119+AG119+AK119+AO119+AS119+AW119+BA119</f>
        <v>0</v>
      </c>
      <c r="N119" s="22" t="n">
        <f aca="false">Q118*(1+D$7)</f>
        <v>0</v>
      </c>
      <c r="O119" s="22" t="n">
        <f aca="false">MIN(N119,D$8)</f>
        <v>0</v>
      </c>
      <c r="P119" s="22" t="n">
        <f aca="false">MAX(0,MIN(N119-O119,$C119-(0)))</f>
        <v>0</v>
      </c>
      <c r="Q119" s="22" t="n">
        <f aca="false">ROUND(N119-O119-P119,2)</f>
        <v>0</v>
      </c>
      <c r="R119" s="22" t="n">
        <f aca="false">U118*(1+E$7)</f>
        <v>0</v>
      </c>
      <c r="S119" s="22" t="n">
        <f aca="false">MIN(R119,E$8)</f>
        <v>0</v>
      </c>
      <c r="T119" s="22" t="n">
        <f aca="false">MAX(0,MIN(R119-S119,$C119-(P119)))</f>
        <v>0</v>
      </c>
      <c r="U119" s="22" t="n">
        <f aca="false">ROUND(R119-S119-T119,2)</f>
        <v>0</v>
      </c>
      <c r="V119" s="22" t="n">
        <f aca="false">Y118*(1+F$7)</f>
        <v>0</v>
      </c>
      <c r="W119" s="22" t="n">
        <f aca="false">MIN(V119,F$8)</f>
        <v>0</v>
      </c>
      <c r="X119" s="22" t="n">
        <f aca="false">MAX(0,MIN(V119-W119,$C119-(P119+T119)))</f>
        <v>0</v>
      </c>
      <c r="Y119" s="22" t="n">
        <f aca="false">ROUND(V119-W119-X119,2)</f>
        <v>0</v>
      </c>
      <c r="Z119" s="22" t="n">
        <f aca="false">AC118*(1+G$7)</f>
        <v>0</v>
      </c>
      <c r="AA119" s="22" t="n">
        <f aca="false">MIN(Z119,G$8)</f>
        <v>0</v>
      </c>
      <c r="AB119" s="22" t="n">
        <f aca="false">MAX(0,MIN(Z119-AA119,$C119-(P119+T119+X119)))</f>
        <v>0</v>
      </c>
      <c r="AC119" s="22" t="n">
        <f aca="false">ROUND(Z119-AA119-AB119,2)</f>
        <v>0</v>
      </c>
      <c r="AD119" s="22" t="n">
        <f aca="false">AG118*(1+H$7)</f>
        <v>0</v>
      </c>
      <c r="AE119" s="22" t="n">
        <f aca="false">MIN(AD119,H$8)</f>
        <v>0</v>
      </c>
      <c r="AF119" s="22" t="n">
        <f aca="false">MAX(0,MIN(AD119-AE119,$C119-(P119+T119+X119+AB119)))</f>
        <v>0</v>
      </c>
      <c r="AG119" s="22" t="n">
        <f aca="false">ROUND(AD119-AE119-AF119,2)</f>
        <v>0</v>
      </c>
      <c r="AH119" s="22" t="n">
        <f aca="false">AK118*(1+I$7)</f>
        <v>0</v>
      </c>
      <c r="AI119" s="22" t="n">
        <f aca="false">MIN(AH119,I$8)</f>
        <v>0</v>
      </c>
      <c r="AJ119" s="22" t="n">
        <f aca="false">MAX(0,MIN(AH119-AI119,$C119-(P119+T119+X119+AB119+AF119)))</f>
        <v>0</v>
      </c>
      <c r="AK119" s="22" t="n">
        <f aca="false">ROUND(AH119-AI119-AJ119,2)</f>
        <v>0</v>
      </c>
      <c r="AL119" s="22" t="n">
        <f aca="false">AO118*(1+J$7)</f>
        <v>0</v>
      </c>
      <c r="AM119" s="22" t="n">
        <f aca="false">MIN(AL119,J$8)</f>
        <v>0</v>
      </c>
      <c r="AN119" s="22" t="n">
        <f aca="false">MAX(0,MIN(AL119-AM119,$C119-(P119+T119+X119+AB119+AF119+AJ119)))</f>
        <v>0</v>
      </c>
      <c r="AO119" s="22" t="n">
        <f aca="false">ROUND(AL119-AM119-AN119,2)</f>
        <v>0</v>
      </c>
      <c r="AP119" s="22" t="n">
        <f aca="false">AS118*(1+K$7)</f>
        <v>0</v>
      </c>
      <c r="AQ119" s="22" t="n">
        <f aca="false">MIN(AP119,K$8)</f>
        <v>0</v>
      </c>
      <c r="AR119" s="22" t="n">
        <f aca="false">MAX(0,MIN(AP119-AQ119,$C119-(P119+T119+X119+AB119+AF119+AJ119+AN119)))</f>
        <v>0</v>
      </c>
      <c r="AS119" s="22" t="n">
        <f aca="false">ROUND(AP119-AQ119-AR119,2)</f>
        <v>0</v>
      </c>
      <c r="AT119" s="22" t="n">
        <f aca="false">AW118*(1+L$7)</f>
        <v>0</v>
      </c>
      <c r="AU119" s="22" t="n">
        <f aca="false">MIN(AT119,L$8)</f>
        <v>0</v>
      </c>
      <c r="AV119" s="22" t="n">
        <f aca="false">MAX(0,MIN(AT119-AU119,$C119-(P119+T119+X119+AB119+AF119+AJ119+AN119+AR119)))</f>
        <v>0</v>
      </c>
      <c r="AW119" s="22" t="n">
        <f aca="false">ROUND(AT119-AU119-AV119,2)</f>
        <v>0</v>
      </c>
      <c r="AX119" s="22" t="n">
        <f aca="false">BA118*(1+M$7)</f>
        <v>0</v>
      </c>
      <c r="AY119" s="22" t="n">
        <f aca="false">MIN(AX119,M$8)</f>
        <v>0</v>
      </c>
      <c r="AZ119" s="22" t="n">
        <f aca="false">MAX(0,MIN(AX119-AY119,$C119-(P119+T119+X119+AB119+AF119+AJ119+AN119+AR119+AV119)))</f>
        <v>0</v>
      </c>
      <c r="BA119" s="22" t="n">
        <f aca="false">ROUND(AX119-AY119-AZ119,2)</f>
        <v>0</v>
      </c>
    </row>
    <row r="120" customFormat="false" ht="15" hidden="false" customHeight="false" outlineLevel="0" collapsed="false">
      <c r="A120" s="0" t="n">
        <v>110</v>
      </c>
      <c r="B120" s="39" t="n">
        <f aca="false">EDATE(Borçlar!$K$7,109)</f>
        <v>49614</v>
      </c>
      <c r="C120" s="36" t="n">
        <f aca="false">MAX(0,Borçlar!$K$8-(O120+S120+W120+AA120+AE120+AI120+AM120+AQ120+AU120+AY120))</f>
        <v>19000</v>
      </c>
      <c r="D120" s="36" t="n">
        <f aca="false">O120+P120+S120+T120+W120+X120+AA120+AB120+AE120+AF120+AI120+AJ120+AM120+AN120+AQ120+AR120+AU120+AV120+AY120+AZ120</f>
        <v>0</v>
      </c>
      <c r="E120" s="36" t="n">
        <f aca="false">(N120+R120+V120+Z120+AD120+AH120+AL120+AP120+AT120+AX120)-(F119)</f>
        <v>0</v>
      </c>
      <c r="F120" s="36" t="n">
        <f aca="false">Q120+U120+Y120+AC120+AG120+AK120+AO120+AS120+AW120+BA120</f>
        <v>0</v>
      </c>
      <c r="N120" s="22" t="n">
        <f aca="false">Q119*(1+D$7)</f>
        <v>0</v>
      </c>
      <c r="O120" s="22" t="n">
        <f aca="false">MIN(N120,D$8)</f>
        <v>0</v>
      </c>
      <c r="P120" s="22" t="n">
        <f aca="false">MAX(0,MIN(N120-O120,$C120-(0)))</f>
        <v>0</v>
      </c>
      <c r="Q120" s="22" t="n">
        <f aca="false">ROUND(N120-O120-P120,2)</f>
        <v>0</v>
      </c>
      <c r="R120" s="22" t="n">
        <f aca="false">U119*(1+E$7)</f>
        <v>0</v>
      </c>
      <c r="S120" s="22" t="n">
        <f aca="false">MIN(R120,E$8)</f>
        <v>0</v>
      </c>
      <c r="T120" s="22" t="n">
        <f aca="false">MAX(0,MIN(R120-S120,$C120-(P120)))</f>
        <v>0</v>
      </c>
      <c r="U120" s="22" t="n">
        <f aca="false">ROUND(R120-S120-T120,2)</f>
        <v>0</v>
      </c>
      <c r="V120" s="22" t="n">
        <f aca="false">Y119*(1+F$7)</f>
        <v>0</v>
      </c>
      <c r="W120" s="22" t="n">
        <f aca="false">MIN(V120,F$8)</f>
        <v>0</v>
      </c>
      <c r="X120" s="22" t="n">
        <f aca="false">MAX(0,MIN(V120-W120,$C120-(P120+T120)))</f>
        <v>0</v>
      </c>
      <c r="Y120" s="22" t="n">
        <f aca="false">ROUND(V120-W120-X120,2)</f>
        <v>0</v>
      </c>
      <c r="Z120" s="22" t="n">
        <f aca="false">AC119*(1+G$7)</f>
        <v>0</v>
      </c>
      <c r="AA120" s="22" t="n">
        <f aca="false">MIN(Z120,G$8)</f>
        <v>0</v>
      </c>
      <c r="AB120" s="22" t="n">
        <f aca="false">MAX(0,MIN(Z120-AA120,$C120-(P120+T120+X120)))</f>
        <v>0</v>
      </c>
      <c r="AC120" s="22" t="n">
        <f aca="false">ROUND(Z120-AA120-AB120,2)</f>
        <v>0</v>
      </c>
      <c r="AD120" s="22" t="n">
        <f aca="false">AG119*(1+H$7)</f>
        <v>0</v>
      </c>
      <c r="AE120" s="22" t="n">
        <f aca="false">MIN(AD120,H$8)</f>
        <v>0</v>
      </c>
      <c r="AF120" s="22" t="n">
        <f aca="false">MAX(0,MIN(AD120-AE120,$C120-(P120+T120+X120+AB120)))</f>
        <v>0</v>
      </c>
      <c r="AG120" s="22" t="n">
        <f aca="false">ROUND(AD120-AE120-AF120,2)</f>
        <v>0</v>
      </c>
      <c r="AH120" s="22" t="n">
        <f aca="false">AK119*(1+I$7)</f>
        <v>0</v>
      </c>
      <c r="AI120" s="22" t="n">
        <f aca="false">MIN(AH120,I$8)</f>
        <v>0</v>
      </c>
      <c r="AJ120" s="22" t="n">
        <f aca="false">MAX(0,MIN(AH120-AI120,$C120-(P120+T120+X120+AB120+AF120)))</f>
        <v>0</v>
      </c>
      <c r="AK120" s="22" t="n">
        <f aca="false">ROUND(AH120-AI120-AJ120,2)</f>
        <v>0</v>
      </c>
      <c r="AL120" s="22" t="n">
        <f aca="false">AO119*(1+J$7)</f>
        <v>0</v>
      </c>
      <c r="AM120" s="22" t="n">
        <f aca="false">MIN(AL120,J$8)</f>
        <v>0</v>
      </c>
      <c r="AN120" s="22" t="n">
        <f aca="false">MAX(0,MIN(AL120-AM120,$C120-(P120+T120+X120+AB120+AF120+AJ120)))</f>
        <v>0</v>
      </c>
      <c r="AO120" s="22" t="n">
        <f aca="false">ROUND(AL120-AM120-AN120,2)</f>
        <v>0</v>
      </c>
      <c r="AP120" s="22" t="n">
        <f aca="false">AS119*(1+K$7)</f>
        <v>0</v>
      </c>
      <c r="AQ120" s="22" t="n">
        <f aca="false">MIN(AP120,K$8)</f>
        <v>0</v>
      </c>
      <c r="AR120" s="22" t="n">
        <f aca="false">MAX(0,MIN(AP120-AQ120,$C120-(P120+T120+X120+AB120+AF120+AJ120+AN120)))</f>
        <v>0</v>
      </c>
      <c r="AS120" s="22" t="n">
        <f aca="false">ROUND(AP120-AQ120-AR120,2)</f>
        <v>0</v>
      </c>
      <c r="AT120" s="22" t="n">
        <f aca="false">AW119*(1+L$7)</f>
        <v>0</v>
      </c>
      <c r="AU120" s="22" t="n">
        <f aca="false">MIN(AT120,L$8)</f>
        <v>0</v>
      </c>
      <c r="AV120" s="22" t="n">
        <f aca="false">MAX(0,MIN(AT120-AU120,$C120-(P120+T120+X120+AB120+AF120+AJ120+AN120+AR120)))</f>
        <v>0</v>
      </c>
      <c r="AW120" s="22" t="n">
        <f aca="false">ROUND(AT120-AU120-AV120,2)</f>
        <v>0</v>
      </c>
      <c r="AX120" s="22" t="n">
        <f aca="false">BA119*(1+M$7)</f>
        <v>0</v>
      </c>
      <c r="AY120" s="22" t="n">
        <f aca="false">MIN(AX120,M$8)</f>
        <v>0</v>
      </c>
      <c r="AZ120" s="22" t="n">
        <f aca="false">MAX(0,MIN(AX120-AY120,$C120-(P120+T120+X120+AB120+AF120+AJ120+AN120+AR120+AV120)))</f>
        <v>0</v>
      </c>
      <c r="BA120" s="22" t="n">
        <f aca="false">ROUND(AX120-AY120-AZ120,2)</f>
        <v>0</v>
      </c>
    </row>
    <row r="121" customFormat="false" ht="15" hidden="false" customHeight="false" outlineLevel="0" collapsed="false">
      <c r="A121" s="0" t="n">
        <v>111</v>
      </c>
      <c r="B121" s="39" t="n">
        <f aca="false">EDATE(Borçlar!$K$7,110)</f>
        <v>49644</v>
      </c>
      <c r="C121" s="36" t="n">
        <f aca="false">MAX(0,Borçlar!$K$8-(O121+S121+W121+AA121+AE121+AI121+AM121+AQ121+AU121+AY121))</f>
        <v>19000</v>
      </c>
      <c r="D121" s="36" t="n">
        <f aca="false">O121+P121+S121+T121+W121+X121+AA121+AB121+AE121+AF121+AI121+AJ121+AM121+AN121+AQ121+AR121+AU121+AV121+AY121+AZ121</f>
        <v>0</v>
      </c>
      <c r="E121" s="36" t="n">
        <f aca="false">(N121+R121+V121+Z121+AD121+AH121+AL121+AP121+AT121+AX121)-(F120)</f>
        <v>0</v>
      </c>
      <c r="F121" s="36" t="n">
        <f aca="false">Q121+U121+Y121+AC121+AG121+AK121+AO121+AS121+AW121+BA121</f>
        <v>0</v>
      </c>
      <c r="N121" s="22" t="n">
        <f aca="false">Q120*(1+D$7)</f>
        <v>0</v>
      </c>
      <c r="O121" s="22" t="n">
        <f aca="false">MIN(N121,D$8)</f>
        <v>0</v>
      </c>
      <c r="P121" s="22" t="n">
        <f aca="false">MAX(0,MIN(N121-O121,$C121-(0)))</f>
        <v>0</v>
      </c>
      <c r="Q121" s="22" t="n">
        <f aca="false">ROUND(N121-O121-P121,2)</f>
        <v>0</v>
      </c>
      <c r="R121" s="22" t="n">
        <f aca="false">U120*(1+E$7)</f>
        <v>0</v>
      </c>
      <c r="S121" s="22" t="n">
        <f aca="false">MIN(R121,E$8)</f>
        <v>0</v>
      </c>
      <c r="T121" s="22" t="n">
        <f aca="false">MAX(0,MIN(R121-S121,$C121-(P121)))</f>
        <v>0</v>
      </c>
      <c r="U121" s="22" t="n">
        <f aca="false">ROUND(R121-S121-T121,2)</f>
        <v>0</v>
      </c>
      <c r="V121" s="22" t="n">
        <f aca="false">Y120*(1+F$7)</f>
        <v>0</v>
      </c>
      <c r="W121" s="22" t="n">
        <f aca="false">MIN(V121,F$8)</f>
        <v>0</v>
      </c>
      <c r="X121" s="22" t="n">
        <f aca="false">MAX(0,MIN(V121-W121,$C121-(P121+T121)))</f>
        <v>0</v>
      </c>
      <c r="Y121" s="22" t="n">
        <f aca="false">ROUND(V121-W121-X121,2)</f>
        <v>0</v>
      </c>
      <c r="Z121" s="22" t="n">
        <f aca="false">AC120*(1+G$7)</f>
        <v>0</v>
      </c>
      <c r="AA121" s="22" t="n">
        <f aca="false">MIN(Z121,G$8)</f>
        <v>0</v>
      </c>
      <c r="AB121" s="22" t="n">
        <f aca="false">MAX(0,MIN(Z121-AA121,$C121-(P121+T121+X121)))</f>
        <v>0</v>
      </c>
      <c r="AC121" s="22" t="n">
        <f aca="false">ROUND(Z121-AA121-AB121,2)</f>
        <v>0</v>
      </c>
      <c r="AD121" s="22" t="n">
        <f aca="false">AG120*(1+H$7)</f>
        <v>0</v>
      </c>
      <c r="AE121" s="22" t="n">
        <f aca="false">MIN(AD121,H$8)</f>
        <v>0</v>
      </c>
      <c r="AF121" s="22" t="n">
        <f aca="false">MAX(0,MIN(AD121-AE121,$C121-(P121+T121+X121+AB121)))</f>
        <v>0</v>
      </c>
      <c r="AG121" s="22" t="n">
        <f aca="false">ROUND(AD121-AE121-AF121,2)</f>
        <v>0</v>
      </c>
      <c r="AH121" s="22" t="n">
        <f aca="false">AK120*(1+I$7)</f>
        <v>0</v>
      </c>
      <c r="AI121" s="22" t="n">
        <f aca="false">MIN(AH121,I$8)</f>
        <v>0</v>
      </c>
      <c r="AJ121" s="22" t="n">
        <f aca="false">MAX(0,MIN(AH121-AI121,$C121-(P121+T121+X121+AB121+AF121)))</f>
        <v>0</v>
      </c>
      <c r="AK121" s="22" t="n">
        <f aca="false">ROUND(AH121-AI121-AJ121,2)</f>
        <v>0</v>
      </c>
      <c r="AL121" s="22" t="n">
        <f aca="false">AO120*(1+J$7)</f>
        <v>0</v>
      </c>
      <c r="AM121" s="22" t="n">
        <f aca="false">MIN(AL121,J$8)</f>
        <v>0</v>
      </c>
      <c r="AN121" s="22" t="n">
        <f aca="false">MAX(0,MIN(AL121-AM121,$C121-(P121+T121+X121+AB121+AF121+AJ121)))</f>
        <v>0</v>
      </c>
      <c r="AO121" s="22" t="n">
        <f aca="false">ROUND(AL121-AM121-AN121,2)</f>
        <v>0</v>
      </c>
      <c r="AP121" s="22" t="n">
        <f aca="false">AS120*(1+K$7)</f>
        <v>0</v>
      </c>
      <c r="AQ121" s="22" t="n">
        <f aca="false">MIN(AP121,K$8)</f>
        <v>0</v>
      </c>
      <c r="AR121" s="22" t="n">
        <f aca="false">MAX(0,MIN(AP121-AQ121,$C121-(P121+T121+X121+AB121+AF121+AJ121+AN121)))</f>
        <v>0</v>
      </c>
      <c r="AS121" s="22" t="n">
        <f aca="false">ROUND(AP121-AQ121-AR121,2)</f>
        <v>0</v>
      </c>
      <c r="AT121" s="22" t="n">
        <f aca="false">AW120*(1+L$7)</f>
        <v>0</v>
      </c>
      <c r="AU121" s="22" t="n">
        <f aca="false">MIN(AT121,L$8)</f>
        <v>0</v>
      </c>
      <c r="AV121" s="22" t="n">
        <f aca="false">MAX(0,MIN(AT121-AU121,$C121-(P121+T121+X121+AB121+AF121+AJ121+AN121+AR121)))</f>
        <v>0</v>
      </c>
      <c r="AW121" s="22" t="n">
        <f aca="false">ROUND(AT121-AU121-AV121,2)</f>
        <v>0</v>
      </c>
      <c r="AX121" s="22" t="n">
        <f aca="false">BA120*(1+M$7)</f>
        <v>0</v>
      </c>
      <c r="AY121" s="22" t="n">
        <f aca="false">MIN(AX121,M$8)</f>
        <v>0</v>
      </c>
      <c r="AZ121" s="22" t="n">
        <f aca="false">MAX(0,MIN(AX121-AY121,$C121-(P121+T121+X121+AB121+AF121+AJ121+AN121+AR121+AV121)))</f>
        <v>0</v>
      </c>
      <c r="BA121" s="22" t="n">
        <f aca="false">ROUND(AX121-AY121-AZ121,2)</f>
        <v>0</v>
      </c>
    </row>
    <row r="122" customFormat="false" ht="15" hidden="false" customHeight="false" outlineLevel="0" collapsed="false">
      <c r="A122" s="0" t="n">
        <v>112</v>
      </c>
      <c r="B122" s="39" t="n">
        <f aca="false">EDATE(Borçlar!$K$7,111)</f>
        <v>49675</v>
      </c>
      <c r="C122" s="36" t="n">
        <f aca="false">MAX(0,Borçlar!$K$8-(O122+S122+W122+AA122+AE122+AI122+AM122+AQ122+AU122+AY122))</f>
        <v>19000</v>
      </c>
      <c r="D122" s="36" t="n">
        <f aca="false">O122+P122+S122+T122+W122+X122+AA122+AB122+AE122+AF122+AI122+AJ122+AM122+AN122+AQ122+AR122+AU122+AV122+AY122+AZ122</f>
        <v>0</v>
      </c>
      <c r="E122" s="36" t="n">
        <f aca="false">(N122+R122+V122+Z122+AD122+AH122+AL122+AP122+AT122+AX122)-(F121)</f>
        <v>0</v>
      </c>
      <c r="F122" s="36" t="n">
        <f aca="false">Q122+U122+Y122+AC122+AG122+AK122+AO122+AS122+AW122+BA122</f>
        <v>0</v>
      </c>
      <c r="N122" s="22" t="n">
        <f aca="false">Q121*(1+D$7)</f>
        <v>0</v>
      </c>
      <c r="O122" s="22" t="n">
        <f aca="false">MIN(N122,D$8)</f>
        <v>0</v>
      </c>
      <c r="P122" s="22" t="n">
        <f aca="false">MAX(0,MIN(N122-O122,$C122-(0)))</f>
        <v>0</v>
      </c>
      <c r="Q122" s="22" t="n">
        <f aca="false">ROUND(N122-O122-P122,2)</f>
        <v>0</v>
      </c>
      <c r="R122" s="22" t="n">
        <f aca="false">U121*(1+E$7)</f>
        <v>0</v>
      </c>
      <c r="S122" s="22" t="n">
        <f aca="false">MIN(R122,E$8)</f>
        <v>0</v>
      </c>
      <c r="T122" s="22" t="n">
        <f aca="false">MAX(0,MIN(R122-S122,$C122-(P122)))</f>
        <v>0</v>
      </c>
      <c r="U122" s="22" t="n">
        <f aca="false">ROUND(R122-S122-T122,2)</f>
        <v>0</v>
      </c>
      <c r="V122" s="22" t="n">
        <f aca="false">Y121*(1+F$7)</f>
        <v>0</v>
      </c>
      <c r="W122" s="22" t="n">
        <f aca="false">MIN(V122,F$8)</f>
        <v>0</v>
      </c>
      <c r="X122" s="22" t="n">
        <f aca="false">MAX(0,MIN(V122-W122,$C122-(P122+T122)))</f>
        <v>0</v>
      </c>
      <c r="Y122" s="22" t="n">
        <f aca="false">ROUND(V122-W122-X122,2)</f>
        <v>0</v>
      </c>
      <c r="Z122" s="22" t="n">
        <f aca="false">AC121*(1+G$7)</f>
        <v>0</v>
      </c>
      <c r="AA122" s="22" t="n">
        <f aca="false">MIN(Z122,G$8)</f>
        <v>0</v>
      </c>
      <c r="AB122" s="22" t="n">
        <f aca="false">MAX(0,MIN(Z122-AA122,$C122-(P122+T122+X122)))</f>
        <v>0</v>
      </c>
      <c r="AC122" s="22" t="n">
        <f aca="false">ROUND(Z122-AA122-AB122,2)</f>
        <v>0</v>
      </c>
      <c r="AD122" s="22" t="n">
        <f aca="false">AG121*(1+H$7)</f>
        <v>0</v>
      </c>
      <c r="AE122" s="22" t="n">
        <f aca="false">MIN(AD122,H$8)</f>
        <v>0</v>
      </c>
      <c r="AF122" s="22" t="n">
        <f aca="false">MAX(0,MIN(AD122-AE122,$C122-(P122+T122+X122+AB122)))</f>
        <v>0</v>
      </c>
      <c r="AG122" s="22" t="n">
        <f aca="false">ROUND(AD122-AE122-AF122,2)</f>
        <v>0</v>
      </c>
      <c r="AH122" s="22" t="n">
        <f aca="false">AK121*(1+I$7)</f>
        <v>0</v>
      </c>
      <c r="AI122" s="22" t="n">
        <f aca="false">MIN(AH122,I$8)</f>
        <v>0</v>
      </c>
      <c r="AJ122" s="22" t="n">
        <f aca="false">MAX(0,MIN(AH122-AI122,$C122-(P122+T122+X122+AB122+AF122)))</f>
        <v>0</v>
      </c>
      <c r="AK122" s="22" t="n">
        <f aca="false">ROUND(AH122-AI122-AJ122,2)</f>
        <v>0</v>
      </c>
      <c r="AL122" s="22" t="n">
        <f aca="false">AO121*(1+J$7)</f>
        <v>0</v>
      </c>
      <c r="AM122" s="22" t="n">
        <f aca="false">MIN(AL122,J$8)</f>
        <v>0</v>
      </c>
      <c r="AN122" s="22" t="n">
        <f aca="false">MAX(0,MIN(AL122-AM122,$C122-(P122+T122+X122+AB122+AF122+AJ122)))</f>
        <v>0</v>
      </c>
      <c r="AO122" s="22" t="n">
        <f aca="false">ROUND(AL122-AM122-AN122,2)</f>
        <v>0</v>
      </c>
      <c r="AP122" s="22" t="n">
        <f aca="false">AS121*(1+K$7)</f>
        <v>0</v>
      </c>
      <c r="AQ122" s="22" t="n">
        <f aca="false">MIN(AP122,K$8)</f>
        <v>0</v>
      </c>
      <c r="AR122" s="22" t="n">
        <f aca="false">MAX(0,MIN(AP122-AQ122,$C122-(P122+T122+X122+AB122+AF122+AJ122+AN122)))</f>
        <v>0</v>
      </c>
      <c r="AS122" s="22" t="n">
        <f aca="false">ROUND(AP122-AQ122-AR122,2)</f>
        <v>0</v>
      </c>
      <c r="AT122" s="22" t="n">
        <f aca="false">AW121*(1+L$7)</f>
        <v>0</v>
      </c>
      <c r="AU122" s="22" t="n">
        <f aca="false">MIN(AT122,L$8)</f>
        <v>0</v>
      </c>
      <c r="AV122" s="22" t="n">
        <f aca="false">MAX(0,MIN(AT122-AU122,$C122-(P122+T122+X122+AB122+AF122+AJ122+AN122+AR122)))</f>
        <v>0</v>
      </c>
      <c r="AW122" s="22" t="n">
        <f aca="false">ROUND(AT122-AU122-AV122,2)</f>
        <v>0</v>
      </c>
      <c r="AX122" s="22" t="n">
        <f aca="false">BA121*(1+M$7)</f>
        <v>0</v>
      </c>
      <c r="AY122" s="22" t="n">
        <f aca="false">MIN(AX122,M$8)</f>
        <v>0</v>
      </c>
      <c r="AZ122" s="22" t="n">
        <f aca="false">MAX(0,MIN(AX122-AY122,$C122-(P122+T122+X122+AB122+AF122+AJ122+AN122+AR122+AV122)))</f>
        <v>0</v>
      </c>
      <c r="BA122" s="22" t="n">
        <f aca="false">ROUND(AX122-AY122-AZ122,2)</f>
        <v>0</v>
      </c>
    </row>
    <row r="123" customFormat="false" ht="15" hidden="false" customHeight="false" outlineLevel="0" collapsed="false">
      <c r="A123" s="0" t="n">
        <v>113</v>
      </c>
      <c r="B123" s="39" t="n">
        <f aca="false">EDATE(Borçlar!$K$7,112)</f>
        <v>49706</v>
      </c>
      <c r="C123" s="36" t="n">
        <f aca="false">MAX(0,Borçlar!$K$8-(O123+S123+W123+AA123+AE123+AI123+AM123+AQ123+AU123+AY123))</f>
        <v>19000</v>
      </c>
      <c r="D123" s="36" t="n">
        <f aca="false">O123+P123+S123+T123+W123+X123+AA123+AB123+AE123+AF123+AI123+AJ123+AM123+AN123+AQ123+AR123+AU123+AV123+AY123+AZ123</f>
        <v>0</v>
      </c>
      <c r="E123" s="36" t="n">
        <f aca="false">(N123+R123+V123+Z123+AD123+AH123+AL123+AP123+AT123+AX123)-(F122)</f>
        <v>0</v>
      </c>
      <c r="F123" s="36" t="n">
        <f aca="false">Q123+U123+Y123+AC123+AG123+AK123+AO123+AS123+AW123+BA123</f>
        <v>0</v>
      </c>
      <c r="N123" s="22" t="n">
        <f aca="false">Q122*(1+D$7)</f>
        <v>0</v>
      </c>
      <c r="O123" s="22" t="n">
        <f aca="false">MIN(N123,D$8)</f>
        <v>0</v>
      </c>
      <c r="P123" s="22" t="n">
        <f aca="false">MAX(0,MIN(N123-O123,$C123-(0)))</f>
        <v>0</v>
      </c>
      <c r="Q123" s="22" t="n">
        <f aca="false">ROUND(N123-O123-P123,2)</f>
        <v>0</v>
      </c>
      <c r="R123" s="22" t="n">
        <f aca="false">U122*(1+E$7)</f>
        <v>0</v>
      </c>
      <c r="S123" s="22" t="n">
        <f aca="false">MIN(R123,E$8)</f>
        <v>0</v>
      </c>
      <c r="T123" s="22" t="n">
        <f aca="false">MAX(0,MIN(R123-S123,$C123-(P123)))</f>
        <v>0</v>
      </c>
      <c r="U123" s="22" t="n">
        <f aca="false">ROUND(R123-S123-T123,2)</f>
        <v>0</v>
      </c>
      <c r="V123" s="22" t="n">
        <f aca="false">Y122*(1+F$7)</f>
        <v>0</v>
      </c>
      <c r="W123" s="22" t="n">
        <f aca="false">MIN(V123,F$8)</f>
        <v>0</v>
      </c>
      <c r="X123" s="22" t="n">
        <f aca="false">MAX(0,MIN(V123-W123,$C123-(P123+T123)))</f>
        <v>0</v>
      </c>
      <c r="Y123" s="22" t="n">
        <f aca="false">ROUND(V123-W123-X123,2)</f>
        <v>0</v>
      </c>
      <c r="Z123" s="22" t="n">
        <f aca="false">AC122*(1+G$7)</f>
        <v>0</v>
      </c>
      <c r="AA123" s="22" t="n">
        <f aca="false">MIN(Z123,G$8)</f>
        <v>0</v>
      </c>
      <c r="AB123" s="22" t="n">
        <f aca="false">MAX(0,MIN(Z123-AA123,$C123-(P123+T123+X123)))</f>
        <v>0</v>
      </c>
      <c r="AC123" s="22" t="n">
        <f aca="false">ROUND(Z123-AA123-AB123,2)</f>
        <v>0</v>
      </c>
      <c r="AD123" s="22" t="n">
        <f aca="false">AG122*(1+H$7)</f>
        <v>0</v>
      </c>
      <c r="AE123" s="22" t="n">
        <f aca="false">MIN(AD123,H$8)</f>
        <v>0</v>
      </c>
      <c r="AF123" s="22" t="n">
        <f aca="false">MAX(0,MIN(AD123-AE123,$C123-(P123+T123+X123+AB123)))</f>
        <v>0</v>
      </c>
      <c r="AG123" s="22" t="n">
        <f aca="false">ROUND(AD123-AE123-AF123,2)</f>
        <v>0</v>
      </c>
      <c r="AH123" s="22" t="n">
        <f aca="false">AK122*(1+I$7)</f>
        <v>0</v>
      </c>
      <c r="AI123" s="22" t="n">
        <f aca="false">MIN(AH123,I$8)</f>
        <v>0</v>
      </c>
      <c r="AJ123" s="22" t="n">
        <f aca="false">MAX(0,MIN(AH123-AI123,$C123-(P123+T123+X123+AB123+AF123)))</f>
        <v>0</v>
      </c>
      <c r="AK123" s="22" t="n">
        <f aca="false">ROUND(AH123-AI123-AJ123,2)</f>
        <v>0</v>
      </c>
      <c r="AL123" s="22" t="n">
        <f aca="false">AO122*(1+J$7)</f>
        <v>0</v>
      </c>
      <c r="AM123" s="22" t="n">
        <f aca="false">MIN(AL123,J$8)</f>
        <v>0</v>
      </c>
      <c r="AN123" s="22" t="n">
        <f aca="false">MAX(0,MIN(AL123-AM123,$C123-(P123+T123+X123+AB123+AF123+AJ123)))</f>
        <v>0</v>
      </c>
      <c r="AO123" s="22" t="n">
        <f aca="false">ROUND(AL123-AM123-AN123,2)</f>
        <v>0</v>
      </c>
      <c r="AP123" s="22" t="n">
        <f aca="false">AS122*(1+K$7)</f>
        <v>0</v>
      </c>
      <c r="AQ123" s="22" t="n">
        <f aca="false">MIN(AP123,K$8)</f>
        <v>0</v>
      </c>
      <c r="AR123" s="22" t="n">
        <f aca="false">MAX(0,MIN(AP123-AQ123,$C123-(P123+T123+X123+AB123+AF123+AJ123+AN123)))</f>
        <v>0</v>
      </c>
      <c r="AS123" s="22" t="n">
        <f aca="false">ROUND(AP123-AQ123-AR123,2)</f>
        <v>0</v>
      </c>
      <c r="AT123" s="22" t="n">
        <f aca="false">AW122*(1+L$7)</f>
        <v>0</v>
      </c>
      <c r="AU123" s="22" t="n">
        <f aca="false">MIN(AT123,L$8)</f>
        <v>0</v>
      </c>
      <c r="AV123" s="22" t="n">
        <f aca="false">MAX(0,MIN(AT123-AU123,$C123-(P123+T123+X123+AB123+AF123+AJ123+AN123+AR123)))</f>
        <v>0</v>
      </c>
      <c r="AW123" s="22" t="n">
        <f aca="false">ROUND(AT123-AU123-AV123,2)</f>
        <v>0</v>
      </c>
      <c r="AX123" s="22" t="n">
        <f aca="false">BA122*(1+M$7)</f>
        <v>0</v>
      </c>
      <c r="AY123" s="22" t="n">
        <f aca="false">MIN(AX123,M$8)</f>
        <v>0</v>
      </c>
      <c r="AZ123" s="22" t="n">
        <f aca="false">MAX(0,MIN(AX123-AY123,$C123-(P123+T123+X123+AB123+AF123+AJ123+AN123+AR123+AV123)))</f>
        <v>0</v>
      </c>
      <c r="BA123" s="22" t="n">
        <f aca="false">ROUND(AX123-AY123-AZ123,2)</f>
        <v>0</v>
      </c>
    </row>
    <row r="124" customFormat="false" ht="15" hidden="false" customHeight="false" outlineLevel="0" collapsed="false">
      <c r="A124" s="0" t="n">
        <v>114</v>
      </c>
      <c r="B124" s="39" t="n">
        <f aca="false">EDATE(Borçlar!$K$7,113)</f>
        <v>49735</v>
      </c>
      <c r="C124" s="36" t="n">
        <f aca="false">MAX(0,Borçlar!$K$8-(O124+S124+W124+AA124+AE124+AI124+AM124+AQ124+AU124+AY124))</f>
        <v>19000</v>
      </c>
      <c r="D124" s="36" t="n">
        <f aca="false">O124+P124+S124+T124+W124+X124+AA124+AB124+AE124+AF124+AI124+AJ124+AM124+AN124+AQ124+AR124+AU124+AV124+AY124+AZ124</f>
        <v>0</v>
      </c>
      <c r="E124" s="36" t="n">
        <f aca="false">(N124+R124+V124+Z124+AD124+AH124+AL124+AP124+AT124+AX124)-(F123)</f>
        <v>0</v>
      </c>
      <c r="F124" s="36" t="n">
        <f aca="false">Q124+U124+Y124+AC124+AG124+AK124+AO124+AS124+AW124+BA124</f>
        <v>0</v>
      </c>
      <c r="N124" s="22" t="n">
        <f aca="false">Q123*(1+D$7)</f>
        <v>0</v>
      </c>
      <c r="O124" s="22" t="n">
        <f aca="false">MIN(N124,D$8)</f>
        <v>0</v>
      </c>
      <c r="P124" s="22" t="n">
        <f aca="false">MAX(0,MIN(N124-O124,$C124-(0)))</f>
        <v>0</v>
      </c>
      <c r="Q124" s="22" t="n">
        <f aca="false">ROUND(N124-O124-P124,2)</f>
        <v>0</v>
      </c>
      <c r="R124" s="22" t="n">
        <f aca="false">U123*(1+E$7)</f>
        <v>0</v>
      </c>
      <c r="S124" s="22" t="n">
        <f aca="false">MIN(R124,E$8)</f>
        <v>0</v>
      </c>
      <c r="T124" s="22" t="n">
        <f aca="false">MAX(0,MIN(R124-S124,$C124-(P124)))</f>
        <v>0</v>
      </c>
      <c r="U124" s="22" t="n">
        <f aca="false">ROUND(R124-S124-T124,2)</f>
        <v>0</v>
      </c>
      <c r="V124" s="22" t="n">
        <f aca="false">Y123*(1+F$7)</f>
        <v>0</v>
      </c>
      <c r="W124" s="22" t="n">
        <f aca="false">MIN(V124,F$8)</f>
        <v>0</v>
      </c>
      <c r="X124" s="22" t="n">
        <f aca="false">MAX(0,MIN(V124-W124,$C124-(P124+T124)))</f>
        <v>0</v>
      </c>
      <c r="Y124" s="22" t="n">
        <f aca="false">ROUND(V124-W124-X124,2)</f>
        <v>0</v>
      </c>
      <c r="Z124" s="22" t="n">
        <f aca="false">AC123*(1+G$7)</f>
        <v>0</v>
      </c>
      <c r="AA124" s="22" t="n">
        <f aca="false">MIN(Z124,G$8)</f>
        <v>0</v>
      </c>
      <c r="AB124" s="22" t="n">
        <f aca="false">MAX(0,MIN(Z124-AA124,$C124-(P124+T124+X124)))</f>
        <v>0</v>
      </c>
      <c r="AC124" s="22" t="n">
        <f aca="false">ROUND(Z124-AA124-AB124,2)</f>
        <v>0</v>
      </c>
      <c r="AD124" s="22" t="n">
        <f aca="false">AG123*(1+H$7)</f>
        <v>0</v>
      </c>
      <c r="AE124" s="22" t="n">
        <f aca="false">MIN(AD124,H$8)</f>
        <v>0</v>
      </c>
      <c r="AF124" s="22" t="n">
        <f aca="false">MAX(0,MIN(AD124-AE124,$C124-(P124+T124+X124+AB124)))</f>
        <v>0</v>
      </c>
      <c r="AG124" s="22" t="n">
        <f aca="false">ROUND(AD124-AE124-AF124,2)</f>
        <v>0</v>
      </c>
      <c r="AH124" s="22" t="n">
        <f aca="false">AK123*(1+I$7)</f>
        <v>0</v>
      </c>
      <c r="AI124" s="22" t="n">
        <f aca="false">MIN(AH124,I$8)</f>
        <v>0</v>
      </c>
      <c r="AJ124" s="22" t="n">
        <f aca="false">MAX(0,MIN(AH124-AI124,$C124-(P124+T124+X124+AB124+AF124)))</f>
        <v>0</v>
      </c>
      <c r="AK124" s="22" t="n">
        <f aca="false">ROUND(AH124-AI124-AJ124,2)</f>
        <v>0</v>
      </c>
      <c r="AL124" s="22" t="n">
        <f aca="false">AO123*(1+J$7)</f>
        <v>0</v>
      </c>
      <c r="AM124" s="22" t="n">
        <f aca="false">MIN(AL124,J$8)</f>
        <v>0</v>
      </c>
      <c r="AN124" s="22" t="n">
        <f aca="false">MAX(0,MIN(AL124-AM124,$C124-(P124+T124+X124+AB124+AF124+AJ124)))</f>
        <v>0</v>
      </c>
      <c r="AO124" s="22" t="n">
        <f aca="false">ROUND(AL124-AM124-AN124,2)</f>
        <v>0</v>
      </c>
      <c r="AP124" s="22" t="n">
        <f aca="false">AS123*(1+K$7)</f>
        <v>0</v>
      </c>
      <c r="AQ124" s="22" t="n">
        <f aca="false">MIN(AP124,K$8)</f>
        <v>0</v>
      </c>
      <c r="AR124" s="22" t="n">
        <f aca="false">MAX(0,MIN(AP124-AQ124,$C124-(P124+T124+X124+AB124+AF124+AJ124+AN124)))</f>
        <v>0</v>
      </c>
      <c r="AS124" s="22" t="n">
        <f aca="false">ROUND(AP124-AQ124-AR124,2)</f>
        <v>0</v>
      </c>
      <c r="AT124" s="22" t="n">
        <f aca="false">AW123*(1+L$7)</f>
        <v>0</v>
      </c>
      <c r="AU124" s="22" t="n">
        <f aca="false">MIN(AT124,L$8)</f>
        <v>0</v>
      </c>
      <c r="AV124" s="22" t="n">
        <f aca="false">MAX(0,MIN(AT124-AU124,$C124-(P124+T124+X124+AB124+AF124+AJ124+AN124+AR124)))</f>
        <v>0</v>
      </c>
      <c r="AW124" s="22" t="n">
        <f aca="false">ROUND(AT124-AU124-AV124,2)</f>
        <v>0</v>
      </c>
      <c r="AX124" s="22" t="n">
        <f aca="false">BA123*(1+M$7)</f>
        <v>0</v>
      </c>
      <c r="AY124" s="22" t="n">
        <f aca="false">MIN(AX124,M$8)</f>
        <v>0</v>
      </c>
      <c r="AZ124" s="22" t="n">
        <f aca="false">MAX(0,MIN(AX124-AY124,$C124-(P124+T124+X124+AB124+AF124+AJ124+AN124+AR124+AV124)))</f>
        <v>0</v>
      </c>
      <c r="BA124" s="22" t="n">
        <f aca="false">ROUND(AX124-AY124-AZ124,2)</f>
        <v>0</v>
      </c>
    </row>
    <row r="125" customFormat="false" ht="15" hidden="false" customHeight="false" outlineLevel="0" collapsed="false">
      <c r="A125" s="0" t="n">
        <v>115</v>
      </c>
      <c r="B125" s="39" t="n">
        <f aca="false">EDATE(Borçlar!$K$7,114)</f>
        <v>49766</v>
      </c>
      <c r="C125" s="36" t="n">
        <f aca="false">MAX(0,Borçlar!$K$8-(O125+S125+W125+AA125+AE125+AI125+AM125+AQ125+AU125+AY125))</f>
        <v>19000</v>
      </c>
      <c r="D125" s="36" t="n">
        <f aca="false">O125+P125+S125+T125+W125+X125+AA125+AB125+AE125+AF125+AI125+AJ125+AM125+AN125+AQ125+AR125+AU125+AV125+AY125+AZ125</f>
        <v>0</v>
      </c>
      <c r="E125" s="36" t="n">
        <f aca="false">(N125+R125+V125+Z125+AD125+AH125+AL125+AP125+AT125+AX125)-(F124)</f>
        <v>0</v>
      </c>
      <c r="F125" s="36" t="n">
        <f aca="false">Q125+U125+Y125+AC125+AG125+AK125+AO125+AS125+AW125+BA125</f>
        <v>0</v>
      </c>
      <c r="N125" s="22" t="n">
        <f aca="false">Q124*(1+D$7)</f>
        <v>0</v>
      </c>
      <c r="O125" s="22" t="n">
        <f aca="false">MIN(N125,D$8)</f>
        <v>0</v>
      </c>
      <c r="P125" s="22" t="n">
        <f aca="false">MAX(0,MIN(N125-O125,$C125-(0)))</f>
        <v>0</v>
      </c>
      <c r="Q125" s="22" t="n">
        <f aca="false">ROUND(N125-O125-P125,2)</f>
        <v>0</v>
      </c>
      <c r="R125" s="22" t="n">
        <f aca="false">U124*(1+E$7)</f>
        <v>0</v>
      </c>
      <c r="S125" s="22" t="n">
        <f aca="false">MIN(R125,E$8)</f>
        <v>0</v>
      </c>
      <c r="T125" s="22" t="n">
        <f aca="false">MAX(0,MIN(R125-S125,$C125-(P125)))</f>
        <v>0</v>
      </c>
      <c r="U125" s="22" t="n">
        <f aca="false">ROUND(R125-S125-T125,2)</f>
        <v>0</v>
      </c>
      <c r="V125" s="22" t="n">
        <f aca="false">Y124*(1+F$7)</f>
        <v>0</v>
      </c>
      <c r="W125" s="22" t="n">
        <f aca="false">MIN(V125,F$8)</f>
        <v>0</v>
      </c>
      <c r="X125" s="22" t="n">
        <f aca="false">MAX(0,MIN(V125-W125,$C125-(P125+T125)))</f>
        <v>0</v>
      </c>
      <c r="Y125" s="22" t="n">
        <f aca="false">ROUND(V125-W125-X125,2)</f>
        <v>0</v>
      </c>
      <c r="Z125" s="22" t="n">
        <f aca="false">AC124*(1+G$7)</f>
        <v>0</v>
      </c>
      <c r="AA125" s="22" t="n">
        <f aca="false">MIN(Z125,G$8)</f>
        <v>0</v>
      </c>
      <c r="AB125" s="22" t="n">
        <f aca="false">MAX(0,MIN(Z125-AA125,$C125-(P125+T125+X125)))</f>
        <v>0</v>
      </c>
      <c r="AC125" s="22" t="n">
        <f aca="false">ROUND(Z125-AA125-AB125,2)</f>
        <v>0</v>
      </c>
      <c r="AD125" s="22" t="n">
        <f aca="false">AG124*(1+H$7)</f>
        <v>0</v>
      </c>
      <c r="AE125" s="22" t="n">
        <f aca="false">MIN(AD125,H$8)</f>
        <v>0</v>
      </c>
      <c r="AF125" s="22" t="n">
        <f aca="false">MAX(0,MIN(AD125-AE125,$C125-(P125+T125+X125+AB125)))</f>
        <v>0</v>
      </c>
      <c r="AG125" s="22" t="n">
        <f aca="false">ROUND(AD125-AE125-AF125,2)</f>
        <v>0</v>
      </c>
      <c r="AH125" s="22" t="n">
        <f aca="false">AK124*(1+I$7)</f>
        <v>0</v>
      </c>
      <c r="AI125" s="22" t="n">
        <f aca="false">MIN(AH125,I$8)</f>
        <v>0</v>
      </c>
      <c r="AJ125" s="22" t="n">
        <f aca="false">MAX(0,MIN(AH125-AI125,$C125-(P125+T125+X125+AB125+AF125)))</f>
        <v>0</v>
      </c>
      <c r="AK125" s="22" t="n">
        <f aca="false">ROUND(AH125-AI125-AJ125,2)</f>
        <v>0</v>
      </c>
      <c r="AL125" s="22" t="n">
        <f aca="false">AO124*(1+J$7)</f>
        <v>0</v>
      </c>
      <c r="AM125" s="22" t="n">
        <f aca="false">MIN(AL125,J$8)</f>
        <v>0</v>
      </c>
      <c r="AN125" s="22" t="n">
        <f aca="false">MAX(0,MIN(AL125-AM125,$C125-(P125+T125+X125+AB125+AF125+AJ125)))</f>
        <v>0</v>
      </c>
      <c r="AO125" s="22" t="n">
        <f aca="false">ROUND(AL125-AM125-AN125,2)</f>
        <v>0</v>
      </c>
      <c r="AP125" s="22" t="n">
        <f aca="false">AS124*(1+K$7)</f>
        <v>0</v>
      </c>
      <c r="AQ125" s="22" t="n">
        <f aca="false">MIN(AP125,K$8)</f>
        <v>0</v>
      </c>
      <c r="AR125" s="22" t="n">
        <f aca="false">MAX(0,MIN(AP125-AQ125,$C125-(P125+T125+X125+AB125+AF125+AJ125+AN125)))</f>
        <v>0</v>
      </c>
      <c r="AS125" s="22" t="n">
        <f aca="false">ROUND(AP125-AQ125-AR125,2)</f>
        <v>0</v>
      </c>
      <c r="AT125" s="22" t="n">
        <f aca="false">AW124*(1+L$7)</f>
        <v>0</v>
      </c>
      <c r="AU125" s="22" t="n">
        <f aca="false">MIN(AT125,L$8)</f>
        <v>0</v>
      </c>
      <c r="AV125" s="22" t="n">
        <f aca="false">MAX(0,MIN(AT125-AU125,$C125-(P125+T125+X125+AB125+AF125+AJ125+AN125+AR125)))</f>
        <v>0</v>
      </c>
      <c r="AW125" s="22" t="n">
        <f aca="false">ROUND(AT125-AU125-AV125,2)</f>
        <v>0</v>
      </c>
      <c r="AX125" s="22" t="n">
        <f aca="false">BA124*(1+M$7)</f>
        <v>0</v>
      </c>
      <c r="AY125" s="22" t="n">
        <f aca="false">MIN(AX125,M$8)</f>
        <v>0</v>
      </c>
      <c r="AZ125" s="22" t="n">
        <f aca="false">MAX(0,MIN(AX125-AY125,$C125-(P125+T125+X125+AB125+AF125+AJ125+AN125+AR125+AV125)))</f>
        <v>0</v>
      </c>
      <c r="BA125" s="22" t="n">
        <f aca="false">ROUND(AX125-AY125-AZ125,2)</f>
        <v>0</v>
      </c>
    </row>
    <row r="126" customFormat="false" ht="15" hidden="false" customHeight="false" outlineLevel="0" collapsed="false">
      <c r="A126" s="0" t="n">
        <v>116</v>
      </c>
      <c r="B126" s="39" t="n">
        <f aca="false">EDATE(Borçlar!$K$7,115)</f>
        <v>49796</v>
      </c>
      <c r="C126" s="36" t="n">
        <f aca="false">MAX(0,Borçlar!$K$8-(O126+S126+W126+AA126+AE126+AI126+AM126+AQ126+AU126+AY126))</f>
        <v>19000</v>
      </c>
      <c r="D126" s="36" t="n">
        <f aca="false">O126+P126+S126+T126+W126+X126+AA126+AB126+AE126+AF126+AI126+AJ126+AM126+AN126+AQ126+AR126+AU126+AV126+AY126+AZ126</f>
        <v>0</v>
      </c>
      <c r="E126" s="36" t="n">
        <f aca="false">(N126+R126+V126+Z126+AD126+AH126+AL126+AP126+AT126+AX126)-(F125)</f>
        <v>0</v>
      </c>
      <c r="F126" s="36" t="n">
        <f aca="false">Q126+U126+Y126+AC126+AG126+AK126+AO126+AS126+AW126+BA126</f>
        <v>0</v>
      </c>
      <c r="N126" s="22" t="n">
        <f aca="false">Q125*(1+D$7)</f>
        <v>0</v>
      </c>
      <c r="O126" s="22" t="n">
        <f aca="false">MIN(N126,D$8)</f>
        <v>0</v>
      </c>
      <c r="P126" s="22" t="n">
        <f aca="false">MAX(0,MIN(N126-O126,$C126-(0)))</f>
        <v>0</v>
      </c>
      <c r="Q126" s="22" t="n">
        <f aca="false">ROUND(N126-O126-P126,2)</f>
        <v>0</v>
      </c>
      <c r="R126" s="22" t="n">
        <f aca="false">U125*(1+E$7)</f>
        <v>0</v>
      </c>
      <c r="S126" s="22" t="n">
        <f aca="false">MIN(R126,E$8)</f>
        <v>0</v>
      </c>
      <c r="T126" s="22" t="n">
        <f aca="false">MAX(0,MIN(R126-S126,$C126-(P126)))</f>
        <v>0</v>
      </c>
      <c r="U126" s="22" t="n">
        <f aca="false">ROUND(R126-S126-T126,2)</f>
        <v>0</v>
      </c>
      <c r="V126" s="22" t="n">
        <f aca="false">Y125*(1+F$7)</f>
        <v>0</v>
      </c>
      <c r="W126" s="22" t="n">
        <f aca="false">MIN(V126,F$8)</f>
        <v>0</v>
      </c>
      <c r="X126" s="22" t="n">
        <f aca="false">MAX(0,MIN(V126-W126,$C126-(P126+T126)))</f>
        <v>0</v>
      </c>
      <c r="Y126" s="22" t="n">
        <f aca="false">ROUND(V126-W126-X126,2)</f>
        <v>0</v>
      </c>
      <c r="Z126" s="22" t="n">
        <f aca="false">AC125*(1+G$7)</f>
        <v>0</v>
      </c>
      <c r="AA126" s="22" t="n">
        <f aca="false">MIN(Z126,G$8)</f>
        <v>0</v>
      </c>
      <c r="AB126" s="22" t="n">
        <f aca="false">MAX(0,MIN(Z126-AA126,$C126-(P126+T126+X126)))</f>
        <v>0</v>
      </c>
      <c r="AC126" s="22" t="n">
        <f aca="false">ROUND(Z126-AA126-AB126,2)</f>
        <v>0</v>
      </c>
      <c r="AD126" s="22" t="n">
        <f aca="false">AG125*(1+H$7)</f>
        <v>0</v>
      </c>
      <c r="AE126" s="22" t="n">
        <f aca="false">MIN(AD126,H$8)</f>
        <v>0</v>
      </c>
      <c r="AF126" s="22" t="n">
        <f aca="false">MAX(0,MIN(AD126-AE126,$C126-(P126+T126+X126+AB126)))</f>
        <v>0</v>
      </c>
      <c r="AG126" s="22" t="n">
        <f aca="false">ROUND(AD126-AE126-AF126,2)</f>
        <v>0</v>
      </c>
      <c r="AH126" s="22" t="n">
        <f aca="false">AK125*(1+I$7)</f>
        <v>0</v>
      </c>
      <c r="AI126" s="22" t="n">
        <f aca="false">MIN(AH126,I$8)</f>
        <v>0</v>
      </c>
      <c r="AJ126" s="22" t="n">
        <f aca="false">MAX(0,MIN(AH126-AI126,$C126-(P126+T126+X126+AB126+AF126)))</f>
        <v>0</v>
      </c>
      <c r="AK126" s="22" t="n">
        <f aca="false">ROUND(AH126-AI126-AJ126,2)</f>
        <v>0</v>
      </c>
      <c r="AL126" s="22" t="n">
        <f aca="false">AO125*(1+J$7)</f>
        <v>0</v>
      </c>
      <c r="AM126" s="22" t="n">
        <f aca="false">MIN(AL126,J$8)</f>
        <v>0</v>
      </c>
      <c r="AN126" s="22" t="n">
        <f aca="false">MAX(0,MIN(AL126-AM126,$C126-(P126+T126+X126+AB126+AF126+AJ126)))</f>
        <v>0</v>
      </c>
      <c r="AO126" s="22" t="n">
        <f aca="false">ROUND(AL126-AM126-AN126,2)</f>
        <v>0</v>
      </c>
      <c r="AP126" s="22" t="n">
        <f aca="false">AS125*(1+K$7)</f>
        <v>0</v>
      </c>
      <c r="AQ126" s="22" t="n">
        <f aca="false">MIN(AP126,K$8)</f>
        <v>0</v>
      </c>
      <c r="AR126" s="22" t="n">
        <f aca="false">MAX(0,MIN(AP126-AQ126,$C126-(P126+T126+X126+AB126+AF126+AJ126+AN126)))</f>
        <v>0</v>
      </c>
      <c r="AS126" s="22" t="n">
        <f aca="false">ROUND(AP126-AQ126-AR126,2)</f>
        <v>0</v>
      </c>
      <c r="AT126" s="22" t="n">
        <f aca="false">AW125*(1+L$7)</f>
        <v>0</v>
      </c>
      <c r="AU126" s="22" t="n">
        <f aca="false">MIN(AT126,L$8)</f>
        <v>0</v>
      </c>
      <c r="AV126" s="22" t="n">
        <f aca="false">MAX(0,MIN(AT126-AU126,$C126-(P126+T126+X126+AB126+AF126+AJ126+AN126+AR126)))</f>
        <v>0</v>
      </c>
      <c r="AW126" s="22" t="n">
        <f aca="false">ROUND(AT126-AU126-AV126,2)</f>
        <v>0</v>
      </c>
      <c r="AX126" s="22" t="n">
        <f aca="false">BA125*(1+M$7)</f>
        <v>0</v>
      </c>
      <c r="AY126" s="22" t="n">
        <f aca="false">MIN(AX126,M$8)</f>
        <v>0</v>
      </c>
      <c r="AZ126" s="22" t="n">
        <f aca="false">MAX(0,MIN(AX126-AY126,$C126-(P126+T126+X126+AB126+AF126+AJ126+AN126+AR126+AV126)))</f>
        <v>0</v>
      </c>
      <c r="BA126" s="22" t="n">
        <f aca="false">ROUND(AX126-AY126-AZ126,2)</f>
        <v>0</v>
      </c>
    </row>
    <row r="127" customFormat="false" ht="15" hidden="false" customHeight="false" outlineLevel="0" collapsed="false">
      <c r="A127" s="0" t="n">
        <v>117</v>
      </c>
      <c r="B127" s="39" t="n">
        <f aca="false">EDATE(Borçlar!$K$7,116)</f>
        <v>49827</v>
      </c>
      <c r="C127" s="36" t="n">
        <f aca="false">MAX(0,Borçlar!$K$8-(O127+S127+W127+AA127+AE127+AI127+AM127+AQ127+AU127+AY127))</f>
        <v>19000</v>
      </c>
      <c r="D127" s="36" t="n">
        <f aca="false">O127+P127+S127+T127+W127+X127+AA127+AB127+AE127+AF127+AI127+AJ127+AM127+AN127+AQ127+AR127+AU127+AV127+AY127+AZ127</f>
        <v>0</v>
      </c>
      <c r="E127" s="36" t="n">
        <f aca="false">(N127+R127+V127+Z127+AD127+AH127+AL127+AP127+AT127+AX127)-(F126)</f>
        <v>0</v>
      </c>
      <c r="F127" s="36" t="n">
        <f aca="false">Q127+U127+Y127+AC127+AG127+AK127+AO127+AS127+AW127+BA127</f>
        <v>0</v>
      </c>
      <c r="N127" s="22" t="n">
        <f aca="false">Q126*(1+D$7)</f>
        <v>0</v>
      </c>
      <c r="O127" s="22" t="n">
        <f aca="false">MIN(N127,D$8)</f>
        <v>0</v>
      </c>
      <c r="P127" s="22" t="n">
        <f aca="false">MAX(0,MIN(N127-O127,$C127-(0)))</f>
        <v>0</v>
      </c>
      <c r="Q127" s="22" t="n">
        <f aca="false">ROUND(N127-O127-P127,2)</f>
        <v>0</v>
      </c>
      <c r="R127" s="22" t="n">
        <f aca="false">U126*(1+E$7)</f>
        <v>0</v>
      </c>
      <c r="S127" s="22" t="n">
        <f aca="false">MIN(R127,E$8)</f>
        <v>0</v>
      </c>
      <c r="T127" s="22" t="n">
        <f aca="false">MAX(0,MIN(R127-S127,$C127-(P127)))</f>
        <v>0</v>
      </c>
      <c r="U127" s="22" t="n">
        <f aca="false">ROUND(R127-S127-T127,2)</f>
        <v>0</v>
      </c>
      <c r="V127" s="22" t="n">
        <f aca="false">Y126*(1+F$7)</f>
        <v>0</v>
      </c>
      <c r="W127" s="22" t="n">
        <f aca="false">MIN(V127,F$8)</f>
        <v>0</v>
      </c>
      <c r="X127" s="22" t="n">
        <f aca="false">MAX(0,MIN(V127-W127,$C127-(P127+T127)))</f>
        <v>0</v>
      </c>
      <c r="Y127" s="22" t="n">
        <f aca="false">ROUND(V127-W127-X127,2)</f>
        <v>0</v>
      </c>
      <c r="Z127" s="22" t="n">
        <f aca="false">AC126*(1+G$7)</f>
        <v>0</v>
      </c>
      <c r="AA127" s="22" t="n">
        <f aca="false">MIN(Z127,G$8)</f>
        <v>0</v>
      </c>
      <c r="AB127" s="22" t="n">
        <f aca="false">MAX(0,MIN(Z127-AA127,$C127-(P127+T127+X127)))</f>
        <v>0</v>
      </c>
      <c r="AC127" s="22" t="n">
        <f aca="false">ROUND(Z127-AA127-AB127,2)</f>
        <v>0</v>
      </c>
      <c r="AD127" s="22" t="n">
        <f aca="false">AG126*(1+H$7)</f>
        <v>0</v>
      </c>
      <c r="AE127" s="22" t="n">
        <f aca="false">MIN(AD127,H$8)</f>
        <v>0</v>
      </c>
      <c r="AF127" s="22" t="n">
        <f aca="false">MAX(0,MIN(AD127-AE127,$C127-(P127+T127+X127+AB127)))</f>
        <v>0</v>
      </c>
      <c r="AG127" s="22" t="n">
        <f aca="false">ROUND(AD127-AE127-AF127,2)</f>
        <v>0</v>
      </c>
      <c r="AH127" s="22" t="n">
        <f aca="false">AK126*(1+I$7)</f>
        <v>0</v>
      </c>
      <c r="AI127" s="22" t="n">
        <f aca="false">MIN(AH127,I$8)</f>
        <v>0</v>
      </c>
      <c r="AJ127" s="22" t="n">
        <f aca="false">MAX(0,MIN(AH127-AI127,$C127-(P127+T127+X127+AB127+AF127)))</f>
        <v>0</v>
      </c>
      <c r="AK127" s="22" t="n">
        <f aca="false">ROUND(AH127-AI127-AJ127,2)</f>
        <v>0</v>
      </c>
      <c r="AL127" s="22" t="n">
        <f aca="false">AO126*(1+J$7)</f>
        <v>0</v>
      </c>
      <c r="AM127" s="22" t="n">
        <f aca="false">MIN(AL127,J$8)</f>
        <v>0</v>
      </c>
      <c r="AN127" s="22" t="n">
        <f aca="false">MAX(0,MIN(AL127-AM127,$C127-(P127+T127+X127+AB127+AF127+AJ127)))</f>
        <v>0</v>
      </c>
      <c r="AO127" s="22" t="n">
        <f aca="false">ROUND(AL127-AM127-AN127,2)</f>
        <v>0</v>
      </c>
      <c r="AP127" s="22" t="n">
        <f aca="false">AS126*(1+K$7)</f>
        <v>0</v>
      </c>
      <c r="AQ127" s="22" t="n">
        <f aca="false">MIN(AP127,K$8)</f>
        <v>0</v>
      </c>
      <c r="AR127" s="22" t="n">
        <f aca="false">MAX(0,MIN(AP127-AQ127,$C127-(P127+T127+X127+AB127+AF127+AJ127+AN127)))</f>
        <v>0</v>
      </c>
      <c r="AS127" s="22" t="n">
        <f aca="false">ROUND(AP127-AQ127-AR127,2)</f>
        <v>0</v>
      </c>
      <c r="AT127" s="22" t="n">
        <f aca="false">AW126*(1+L$7)</f>
        <v>0</v>
      </c>
      <c r="AU127" s="22" t="n">
        <f aca="false">MIN(AT127,L$8)</f>
        <v>0</v>
      </c>
      <c r="AV127" s="22" t="n">
        <f aca="false">MAX(0,MIN(AT127-AU127,$C127-(P127+T127+X127+AB127+AF127+AJ127+AN127+AR127)))</f>
        <v>0</v>
      </c>
      <c r="AW127" s="22" t="n">
        <f aca="false">ROUND(AT127-AU127-AV127,2)</f>
        <v>0</v>
      </c>
      <c r="AX127" s="22" t="n">
        <f aca="false">BA126*(1+M$7)</f>
        <v>0</v>
      </c>
      <c r="AY127" s="22" t="n">
        <f aca="false">MIN(AX127,M$8)</f>
        <v>0</v>
      </c>
      <c r="AZ127" s="22" t="n">
        <f aca="false">MAX(0,MIN(AX127-AY127,$C127-(P127+T127+X127+AB127+AF127+AJ127+AN127+AR127+AV127)))</f>
        <v>0</v>
      </c>
      <c r="BA127" s="22" t="n">
        <f aca="false">ROUND(AX127-AY127-AZ127,2)</f>
        <v>0</v>
      </c>
    </row>
    <row r="128" customFormat="false" ht="15" hidden="false" customHeight="false" outlineLevel="0" collapsed="false">
      <c r="A128" s="0" t="n">
        <v>118</v>
      </c>
      <c r="B128" s="39" t="n">
        <f aca="false">EDATE(Borçlar!$K$7,117)</f>
        <v>49857</v>
      </c>
      <c r="C128" s="36" t="n">
        <f aca="false">MAX(0,Borçlar!$K$8-(O128+S128+W128+AA128+AE128+AI128+AM128+AQ128+AU128+AY128))</f>
        <v>19000</v>
      </c>
      <c r="D128" s="36" t="n">
        <f aca="false">O128+P128+S128+T128+W128+X128+AA128+AB128+AE128+AF128+AI128+AJ128+AM128+AN128+AQ128+AR128+AU128+AV128+AY128+AZ128</f>
        <v>0</v>
      </c>
      <c r="E128" s="36" t="n">
        <f aca="false">(N128+R128+V128+Z128+AD128+AH128+AL128+AP128+AT128+AX128)-(F127)</f>
        <v>0</v>
      </c>
      <c r="F128" s="36" t="n">
        <f aca="false">Q128+U128+Y128+AC128+AG128+AK128+AO128+AS128+AW128+BA128</f>
        <v>0</v>
      </c>
      <c r="N128" s="22" t="n">
        <f aca="false">Q127*(1+D$7)</f>
        <v>0</v>
      </c>
      <c r="O128" s="22" t="n">
        <f aca="false">MIN(N128,D$8)</f>
        <v>0</v>
      </c>
      <c r="P128" s="22" t="n">
        <f aca="false">MAX(0,MIN(N128-O128,$C128-(0)))</f>
        <v>0</v>
      </c>
      <c r="Q128" s="22" t="n">
        <f aca="false">ROUND(N128-O128-P128,2)</f>
        <v>0</v>
      </c>
      <c r="R128" s="22" t="n">
        <f aca="false">U127*(1+E$7)</f>
        <v>0</v>
      </c>
      <c r="S128" s="22" t="n">
        <f aca="false">MIN(R128,E$8)</f>
        <v>0</v>
      </c>
      <c r="T128" s="22" t="n">
        <f aca="false">MAX(0,MIN(R128-S128,$C128-(P128)))</f>
        <v>0</v>
      </c>
      <c r="U128" s="22" t="n">
        <f aca="false">ROUND(R128-S128-T128,2)</f>
        <v>0</v>
      </c>
      <c r="V128" s="22" t="n">
        <f aca="false">Y127*(1+F$7)</f>
        <v>0</v>
      </c>
      <c r="W128" s="22" t="n">
        <f aca="false">MIN(V128,F$8)</f>
        <v>0</v>
      </c>
      <c r="X128" s="22" t="n">
        <f aca="false">MAX(0,MIN(V128-W128,$C128-(P128+T128)))</f>
        <v>0</v>
      </c>
      <c r="Y128" s="22" t="n">
        <f aca="false">ROUND(V128-W128-X128,2)</f>
        <v>0</v>
      </c>
      <c r="Z128" s="22" t="n">
        <f aca="false">AC127*(1+G$7)</f>
        <v>0</v>
      </c>
      <c r="AA128" s="22" t="n">
        <f aca="false">MIN(Z128,G$8)</f>
        <v>0</v>
      </c>
      <c r="AB128" s="22" t="n">
        <f aca="false">MAX(0,MIN(Z128-AA128,$C128-(P128+T128+X128)))</f>
        <v>0</v>
      </c>
      <c r="AC128" s="22" t="n">
        <f aca="false">ROUND(Z128-AA128-AB128,2)</f>
        <v>0</v>
      </c>
      <c r="AD128" s="22" t="n">
        <f aca="false">AG127*(1+H$7)</f>
        <v>0</v>
      </c>
      <c r="AE128" s="22" t="n">
        <f aca="false">MIN(AD128,H$8)</f>
        <v>0</v>
      </c>
      <c r="AF128" s="22" t="n">
        <f aca="false">MAX(0,MIN(AD128-AE128,$C128-(P128+T128+X128+AB128)))</f>
        <v>0</v>
      </c>
      <c r="AG128" s="22" t="n">
        <f aca="false">ROUND(AD128-AE128-AF128,2)</f>
        <v>0</v>
      </c>
      <c r="AH128" s="22" t="n">
        <f aca="false">AK127*(1+I$7)</f>
        <v>0</v>
      </c>
      <c r="AI128" s="22" t="n">
        <f aca="false">MIN(AH128,I$8)</f>
        <v>0</v>
      </c>
      <c r="AJ128" s="22" t="n">
        <f aca="false">MAX(0,MIN(AH128-AI128,$C128-(P128+T128+X128+AB128+AF128)))</f>
        <v>0</v>
      </c>
      <c r="AK128" s="22" t="n">
        <f aca="false">ROUND(AH128-AI128-AJ128,2)</f>
        <v>0</v>
      </c>
      <c r="AL128" s="22" t="n">
        <f aca="false">AO127*(1+J$7)</f>
        <v>0</v>
      </c>
      <c r="AM128" s="22" t="n">
        <f aca="false">MIN(AL128,J$8)</f>
        <v>0</v>
      </c>
      <c r="AN128" s="22" t="n">
        <f aca="false">MAX(0,MIN(AL128-AM128,$C128-(P128+T128+X128+AB128+AF128+AJ128)))</f>
        <v>0</v>
      </c>
      <c r="AO128" s="22" t="n">
        <f aca="false">ROUND(AL128-AM128-AN128,2)</f>
        <v>0</v>
      </c>
      <c r="AP128" s="22" t="n">
        <f aca="false">AS127*(1+K$7)</f>
        <v>0</v>
      </c>
      <c r="AQ128" s="22" t="n">
        <f aca="false">MIN(AP128,K$8)</f>
        <v>0</v>
      </c>
      <c r="AR128" s="22" t="n">
        <f aca="false">MAX(0,MIN(AP128-AQ128,$C128-(P128+T128+X128+AB128+AF128+AJ128+AN128)))</f>
        <v>0</v>
      </c>
      <c r="AS128" s="22" t="n">
        <f aca="false">ROUND(AP128-AQ128-AR128,2)</f>
        <v>0</v>
      </c>
      <c r="AT128" s="22" t="n">
        <f aca="false">AW127*(1+L$7)</f>
        <v>0</v>
      </c>
      <c r="AU128" s="22" t="n">
        <f aca="false">MIN(AT128,L$8)</f>
        <v>0</v>
      </c>
      <c r="AV128" s="22" t="n">
        <f aca="false">MAX(0,MIN(AT128-AU128,$C128-(P128+T128+X128+AB128+AF128+AJ128+AN128+AR128)))</f>
        <v>0</v>
      </c>
      <c r="AW128" s="22" t="n">
        <f aca="false">ROUND(AT128-AU128-AV128,2)</f>
        <v>0</v>
      </c>
      <c r="AX128" s="22" t="n">
        <f aca="false">BA127*(1+M$7)</f>
        <v>0</v>
      </c>
      <c r="AY128" s="22" t="n">
        <f aca="false">MIN(AX128,M$8)</f>
        <v>0</v>
      </c>
      <c r="AZ128" s="22" t="n">
        <f aca="false">MAX(0,MIN(AX128-AY128,$C128-(P128+T128+X128+AB128+AF128+AJ128+AN128+AR128+AV128)))</f>
        <v>0</v>
      </c>
      <c r="BA128" s="22" t="n">
        <f aca="false">ROUND(AX128-AY128-AZ128,2)</f>
        <v>0</v>
      </c>
    </row>
    <row r="129" customFormat="false" ht="15" hidden="false" customHeight="false" outlineLevel="0" collapsed="false">
      <c r="A129" s="0" t="n">
        <v>119</v>
      </c>
      <c r="B129" s="39" t="n">
        <f aca="false">EDATE(Borçlar!$K$7,118)</f>
        <v>49888</v>
      </c>
      <c r="C129" s="36" t="n">
        <f aca="false">MAX(0,Borçlar!$K$8-(O129+S129+W129+AA129+AE129+AI129+AM129+AQ129+AU129+AY129))</f>
        <v>19000</v>
      </c>
      <c r="D129" s="36" t="n">
        <f aca="false">O129+P129+S129+T129+W129+X129+AA129+AB129+AE129+AF129+AI129+AJ129+AM129+AN129+AQ129+AR129+AU129+AV129+AY129+AZ129</f>
        <v>0</v>
      </c>
      <c r="E129" s="36" t="n">
        <f aca="false">(N129+R129+V129+Z129+AD129+AH129+AL129+AP129+AT129+AX129)-(F128)</f>
        <v>0</v>
      </c>
      <c r="F129" s="36" t="n">
        <f aca="false">Q129+U129+Y129+AC129+AG129+AK129+AO129+AS129+AW129+BA129</f>
        <v>0</v>
      </c>
      <c r="N129" s="22" t="n">
        <f aca="false">Q128*(1+D$7)</f>
        <v>0</v>
      </c>
      <c r="O129" s="22" t="n">
        <f aca="false">MIN(N129,D$8)</f>
        <v>0</v>
      </c>
      <c r="P129" s="22" t="n">
        <f aca="false">MAX(0,MIN(N129-O129,$C129-(0)))</f>
        <v>0</v>
      </c>
      <c r="Q129" s="22" t="n">
        <f aca="false">ROUND(N129-O129-P129,2)</f>
        <v>0</v>
      </c>
      <c r="R129" s="22" t="n">
        <f aca="false">U128*(1+E$7)</f>
        <v>0</v>
      </c>
      <c r="S129" s="22" t="n">
        <f aca="false">MIN(R129,E$8)</f>
        <v>0</v>
      </c>
      <c r="T129" s="22" t="n">
        <f aca="false">MAX(0,MIN(R129-S129,$C129-(P129)))</f>
        <v>0</v>
      </c>
      <c r="U129" s="22" t="n">
        <f aca="false">ROUND(R129-S129-T129,2)</f>
        <v>0</v>
      </c>
      <c r="V129" s="22" t="n">
        <f aca="false">Y128*(1+F$7)</f>
        <v>0</v>
      </c>
      <c r="W129" s="22" t="n">
        <f aca="false">MIN(V129,F$8)</f>
        <v>0</v>
      </c>
      <c r="X129" s="22" t="n">
        <f aca="false">MAX(0,MIN(V129-W129,$C129-(P129+T129)))</f>
        <v>0</v>
      </c>
      <c r="Y129" s="22" t="n">
        <f aca="false">ROUND(V129-W129-X129,2)</f>
        <v>0</v>
      </c>
      <c r="Z129" s="22" t="n">
        <f aca="false">AC128*(1+G$7)</f>
        <v>0</v>
      </c>
      <c r="AA129" s="22" t="n">
        <f aca="false">MIN(Z129,G$8)</f>
        <v>0</v>
      </c>
      <c r="AB129" s="22" t="n">
        <f aca="false">MAX(0,MIN(Z129-AA129,$C129-(P129+T129+X129)))</f>
        <v>0</v>
      </c>
      <c r="AC129" s="22" t="n">
        <f aca="false">ROUND(Z129-AA129-AB129,2)</f>
        <v>0</v>
      </c>
      <c r="AD129" s="22" t="n">
        <f aca="false">AG128*(1+H$7)</f>
        <v>0</v>
      </c>
      <c r="AE129" s="22" t="n">
        <f aca="false">MIN(AD129,H$8)</f>
        <v>0</v>
      </c>
      <c r="AF129" s="22" t="n">
        <f aca="false">MAX(0,MIN(AD129-AE129,$C129-(P129+T129+X129+AB129)))</f>
        <v>0</v>
      </c>
      <c r="AG129" s="22" t="n">
        <f aca="false">ROUND(AD129-AE129-AF129,2)</f>
        <v>0</v>
      </c>
      <c r="AH129" s="22" t="n">
        <f aca="false">AK128*(1+I$7)</f>
        <v>0</v>
      </c>
      <c r="AI129" s="22" t="n">
        <f aca="false">MIN(AH129,I$8)</f>
        <v>0</v>
      </c>
      <c r="AJ129" s="22" t="n">
        <f aca="false">MAX(0,MIN(AH129-AI129,$C129-(P129+T129+X129+AB129+AF129)))</f>
        <v>0</v>
      </c>
      <c r="AK129" s="22" t="n">
        <f aca="false">ROUND(AH129-AI129-AJ129,2)</f>
        <v>0</v>
      </c>
      <c r="AL129" s="22" t="n">
        <f aca="false">AO128*(1+J$7)</f>
        <v>0</v>
      </c>
      <c r="AM129" s="22" t="n">
        <f aca="false">MIN(AL129,J$8)</f>
        <v>0</v>
      </c>
      <c r="AN129" s="22" t="n">
        <f aca="false">MAX(0,MIN(AL129-AM129,$C129-(P129+T129+X129+AB129+AF129+AJ129)))</f>
        <v>0</v>
      </c>
      <c r="AO129" s="22" t="n">
        <f aca="false">ROUND(AL129-AM129-AN129,2)</f>
        <v>0</v>
      </c>
      <c r="AP129" s="22" t="n">
        <f aca="false">AS128*(1+K$7)</f>
        <v>0</v>
      </c>
      <c r="AQ129" s="22" t="n">
        <f aca="false">MIN(AP129,K$8)</f>
        <v>0</v>
      </c>
      <c r="AR129" s="22" t="n">
        <f aca="false">MAX(0,MIN(AP129-AQ129,$C129-(P129+T129+X129+AB129+AF129+AJ129+AN129)))</f>
        <v>0</v>
      </c>
      <c r="AS129" s="22" t="n">
        <f aca="false">ROUND(AP129-AQ129-AR129,2)</f>
        <v>0</v>
      </c>
      <c r="AT129" s="22" t="n">
        <f aca="false">AW128*(1+L$7)</f>
        <v>0</v>
      </c>
      <c r="AU129" s="22" t="n">
        <f aca="false">MIN(AT129,L$8)</f>
        <v>0</v>
      </c>
      <c r="AV129" s="22" t="n">
        <f aca="false">MAX(0,MIN(AT129-AU129,$C129-(P129+T129+X129+AB129+AF129+AJ129+AN129+AR129)))</f>
        <v>0</v>
      </c>
      <c r="AW129" s="22" t="n">
        <f aca="false">ROUND(AT129-AU129-AV129,2)</f>
        <v>0</v>
      </c>
      <c r="AX129" s="22" t="n">
        <f aca="false">BA128*(1+M$7)</f>
        <v>0</v>
      </c>
      <c r="AY129" s="22" t="n">
        <f aca="false">MIN(AX129,M$8)</f>
        <v>0</v>
      </c>
      <c r="AZ129" s="22" t="n">
        <f aca="false">MAX(0,MIN(AX129-AY129,$C129-(P129+T129+X129+AB129+AF129+AJ129+AN129+AR129+AV129)))</f>
        <v>0</v>
      </c>
      <c r="BA129" s="22" t="n">
        <f aca="false">ROUND(AX129-AY129-AZ129,2)</f>
        <v>0</v>
      </c>
    </row>
    <row r="130" customFormat="false" ht="15" hidden="false" customHeight="false" outlineLevel="0" collapsed="false">
      <c r="A130" s="0" t="n">
        <v>120</v>
      </c>
      <c r="B130" s="39" t="n">
        <f aca="false">EDATE(Borçlar!$K$7,119)</f>
        <v>49919</v>
      </c>
      <c r="C130" s="36" t="n">
        <f aca="false">MAX(0,Borçlar!$K$8-(O130+S130+W130+AA130+AE130+AI130+AM130+AQ130+AU130+AY130))</f>
        <v>19000</v>
      </c>
      <c r="D130" s="36" t="n">
        <f aca="false">O130+P130+S130+T130+W130+X130+AA130+AB130+AE130+AF130+AI130+AJ130+AM130+AN130+AQ130+AR130+AU130+AV130+AY130+AZ130</f>
        <v>0</v>
      </c>
      <c r="E130" s="36" t="n">
        <f aca="false">(N130+R130+V130+Z130+AD130+AH130+AL130+AP130+AT130+AX130)-(F129)</f>
        <v>0</v>
      </c>
      <c r="F130" s="36" t="n">
        <f aca="false">Q130+U130+Y130+AC130+AG130+AK130+AO130+AS130+AW130+BA130</f>
        <v>0</v>
      </c>
      <c r="N130" s="22" t="n">
        <f aca="false">Q129*(1+D$7)</f>
        <v>0</v>
      </c>
      <c r="O130" s="22" t="n">
        <f aca="false">MIN(N130,D$8)</f>
        <v>0</v>
      </c>
      <c r="P130" s="22" t="n">
        <f aca="false">MAX(0,MIN(N130-O130,$C130-(0)))</f>
        <v>0</v>
      </c>
      <c r="Q130" s="22" t="n">
        <f aca="false">ROUND(N130-O130-P130,2)</f>
        <v>0</v>
      </c>
      <c r="R130" s="22" t="n">
        <f aca="false">U129*(1+E$7)</f>
        <v>0</v>
      </c>
      <c r="S130" s="22" t="n">
        <f aca="false">MIN(R130,E$8)</f>
        <v>0</v>
      </c>
      <c r="T130" s="22" t="n">
        <f aca="false">MAX(0,MIN(R130-S130,$C130-(P130)))</f>
        <v>0</v>
      </c>
      <c r="U130" s="22" t="n">
        <f aca="false">ROUND(R130-S130-T130,2)</f>
        <v>0</v>
      </c>
      <c r="V130" s="22" t="n">
        <f aca="false">Y129*(1+F$7)</f>
        <v>0</v>
      </c>
      <c r="W130" s="22" t="n">
        <f aca="false">MIN(V130,F$8)</f>
        <v>0</v>
      </c>
      <c r="X130" s="22" t="n">
        <f aca="false">MAX(0,MIN(V130-W130,$C130-(P130+T130)))</f>
        <v>0</v>
      </c>
      <c r="Y130" s="22" t="n">
        <f aca="false">ROUND(V130-W130-X130,2)</f>
        <v>0</v>
      </c>
      <c r="Z130" s="22" t="n">
        <f aca="false">AC129*(1+G$7)</f>
        <v>0</v>
      </c>
      <c r="AA130" s="22" t="n">
        <f aca="false">MIN(Z130,G$8)</f>
        <v>0</v>
      </c>
      <c r="AB130" s="22" t="n">
        <f aca="false">MAX(0,MIN(Z130-AA130,$C130-(P130+T130+X130)))</f>
        <v>0</v>
      </c>
      <c r="AC130" s="22" t="n">
        <f aca="false">ROUND(Z130-AA130-AB130,2)</f>
        <v>0</v>
      </c>
      <c r="AD130" s="22" t="n">
        <f aca="false">AG129*(1+H$7)</f>
        <v>0</v>
      </c>
      <c r="AE130" s="22" t="n">
        <f aca="false">MIN(AD130,H$8)</f>
        <v>0</v>
      </c>
      <c r="AF130" s="22" t="n">
        <f aca="false">MAX(0,MIN(AD130-AE130,$C130-(P130+T130+X130+AB130)))</f>
        <v>0</v>
      </c>
      <c r="AG130" s="22" t="n">
        <f aca="false">ROUND(AD130-AE130-AF130,2)</f>
        <v>0</v>
      </c>
      <c r="AH130" s="22" t="n">
        <f aca="false">AK129*(1+I$7)</f>
        <v>0</v>
      </c>
      <c r="AI130" s="22" t="n">
        <f aca="false">MIN(AH130,I$8)</f>
        <v>0</v>
      </c>
      <c r="AJ130" s="22" t="n">
        <f aca="false">MAX(0,MIN(AH130-AI130,$C130-(P130+T130+X130+AB130+AF130)))</f>
        <v>0</v>
      </c>
      <c r="AK130" s="22" t="n">
        <f aca="false">ROUND(AH130-AI130-AJ130,2)</f>
        <v>0</v>
      </c>
      <c r="AL130" s="22" t="n">
        <f aca="false">AO129*(1+J$7)</f>
        <v>0</v>
      </c>
      <c r="AM130" s="22" t="n">
        <f aca="false">MIN(AL130,J$8)</f>
        <v>0</v>
      </c>
      <c r="AN130" s="22" t="n">
        <f aca="false">MAX(0,MIN(AL130-AM130,$C130-(P130+T130+X130+AB130+AF130+AJ130)))</f>
        <v>0</v>
      </c>
      <c r="AO130" s="22" t="n">
        <f aca="false">ROUND(AL130-AM130-AN130,2)</f>
        <v>0</v>
      </c>
      <c r="AP130" s="22" t="n">
        <f aca="false">AS129*(1+K$7)</f>
        <v>0</v>
      </c>
      <c r="AQ130" s="22" t="n">
        <f aca="false">MIN(AP130,K$8)</f>
        <v>0</v>
      </c>
      <c r="AR130" s="22" t="n">
        <f aca="false">MAX(0,MIN(AP130-AQ130,$C130-(P130+T130+X130+AB130+AF130+AJ130+AN130)))</f>
        <v>0</v>
      </c>
      <c r="AS130" s="22" t="n">
        <f aca="false">ROUND(AP130-AQ130-AR130,2)</f>
        <v>0</v>
      </c>
      <c r="AT130" s="22" t="n">
        <f aca="false">AW129*(1+L$7)</f>
        <v>0</v>
      </c>
      <c r="AU130" s="22" t="n">
        <f aca="false">MIN(AT130,L$8)</f>
        <v>0</v>
      </c>
      <c r="AV130" s="22" t="n">
        <f aca="false">MAX(0,MIN(AT130-AU130,$C130-(P130+T130+X130+AB130+AF130+AJ130+AN130+AR130)))</f>
        <v>0</v>
      </c>
      <c r="AW130" s="22" t="n">
        <f aca="false">ROUND(AT130-AU130-AV130,2)</f>
        <v>0</v>
      </c>
      <c r="AX130" s="22" t="n">
        <f aca="false">BA129*(1+M$7)</f>
        <v>0</v>
      </c>
      <c r="AY130" s="22" t="n">
        <f aca="false">MIN(AX130,M$8)</f>
        <v>0</v>
      </c>
      <c r="AZ130" s="22" t="n">
        <f aca="false">MAX(0,MIN(AX130-AY130,$C130-(P130+T130+X130+AB130+AF130+AJ130+AN130+AR130+AV130)))</f>
        <v>0</v>
      </c>
      <c r="BA130" s="22" t="n">
        <f aca="false">ROUND(AX130-AY130-AZ130,2)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A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8" t="s">
        <v>80</v>
      </c>
    </row>
    <row r="2" customFormat="false" ht="15" hidden="false" customHeight="false" outlineLevel="0" collapsed="false">
      <c r="A2" s="9"/>
      <c r="B2" s="34" t="s">
        <v>33</v>
      </c>
      <c r="D2" s="34" t="str">
        <f aca="false">IFERROR(INDEX(Borçlar!$A$5:$A$14,MATCH(1,Borçlar!$E$5:$E$14,0))&amp;"","")</f>
        <v>Kredili hesap</v>
      </c>
      <c r="E2" s="34" t="str">
        <f aca="false">IFERROR(INDEX(Borçlar!$A$5:$A$14,MATCH(2,Borçlar!$E$5:$E$14,0))&amp;"","")</f>
        <v>Kredi kartı</v>
      </c>
      <c r="F2" s="34" t="str">
        <f aca="false">IFERROR(INDEX(Borçlar!$A$5:$A$14,MATCH(3,Borçlar!$E$5:$E$14,0))&amp;"","")</f>
        <v>İhtiyaç kredisi</v>
      </c>
      <c r="G2" s="34" t="str">
        <f aca="false">IFERROR(INDEX(Borçlar!$A$5:$A$14,MATCH(4,Borçlar!$E$5:$E$14,0))&amp;"","")</f>
        <v>Aileden borç</v>
      </c>
      <c r="H2" s="34" t="str">
        <f aca="false">IFERROR(INDEX(Borçlar!$A$5:$A$14,MATCH(5,Borçlar!$E$5:$E$14,0))&amp;"","")</f>
        <v/>
      </c>
      <c r="I2" s="34" t="str">
        <f aca="false">IFERROR(INDEX(Borçlar!$A$5:$A$14,MATCH(6,Borçlar!$E$5:$E$14,0))&amp;"","")</f>
        <v/>
      </c>
      <c r="J2" s="34" t="str">
        <f aca="false">IFERROR(INDEX(Borçlar!$A$5:$A$14,MATCH(7,Borçlar!$E$5:$E$14,0))&amp;"","")</f>
        <v/>
      </c>
      <c r="K2" s="34" t="str">
        <f aca="false">IFERROR(INDEX(Borçlar!$A$5:$A$14,MATCH(8,Borçlar!$E$5:$E$14,0))&amp;"","")</f>
        <v/>
      </c>
      <c r="L2" s="34" t="str">
        <f aca="false">IFERROR(INDEX(Borçlar!$A$5:$A$14,MATCH(9,Borçlar!$E$5:$E$14,0))&amp;"","")</f>
        <v/>
      </c>
      <c r="M2" s="34" t="str">
        <f aca="false">IFERROR(INDEX(Borçlar!$A$5:$A$14,MATCH(10,Borçlar!$E$5:$E$14,0))&amp;"","")</f>
        <v/>
      </c>
    </row>
    <row r="3" customFormat="false" ht="15" hidden="false" customHeight="false" outlineLevel="0" collapsed="false">
      <c r="C3" s="34" t="s">
        <v>37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</row>
    <row r="4" customFormat="false" ht="15" hidden="false" customHeight="false" outlineLevel="0" collapsed="false">
      <c r="B4" s="34" t="s">
        <v>38</v>
      </c>
      <c r="D4" s="35" t="n">
        <f aca="false">IF(D6=0,"",IFERROR(INDEX($B$11:$B$130,MATCH(0,Q11:Q130,0)),"Bitmiyor"))</f>
        <v>47027</v>
      </c>
      <c r="E4" s="35" t="n">
        <f aca="false">IF(E6=0,"",IFERROR(INDEX($B$11:$B$130,MATCH(0,U11:U130,0)),"Bitmiyor"))</f>
        <v>47150</v>
      </c>
      <c r="F4" s="35" t="n">
        <f aca="false">IF(F6=0,"",IFERROR(INDEX($B$11:$B$130,MATCH(0,Y11:Y130,0)),"Bitmiyor"))</f>
        <v>46997</v>
      </c>
      <c r="G4" s="35" t="n">
        <f aca="false">IF(G6=0,"",IFERROR(INDEX($B$11:$B$130,MATCH(0,AC11:AC130,0)),"Bitmiyor"))</f>
        <v>46874</v>
      </c>
      <c r="H4" s="35" t="str">
        <f aca="false">IF(H6=0,"",IFERROR(INDEX($B$11:$B$130,MATCH(0,AG11:AG130,0)),"Bitmiyor"))</f>
        <v/>
      </c>
      <c r="I4" s="35" t="str">
        <f aca="false">IF(I6=0,"",IFERROR(INDEX($B$11:$B$130,MATCH(0,AK11:AK130,0)),"Bitmiyor"))</f>
        <v/>
      </c>
      <c r="J4" s="35" t="str">
        <f aca="false">IF(J6=0,"",IFERROR(INDEX($B$11:$B$130,MATCH(0,AO11:AO130,0)),"Bitmiyor"))</f>
        <v/>
      </c>
      <c r="K4" s="35" t="str">
        <f aca="false">IF(K6=0,"",IFERROR(INDEX($B$11:$B$130,MATCH(0,AS11:AS130,0)),"Bitmiyor"))</f>
        <v/>
      </c>
      <c r="L4" s="35" t="str">
        <f aca="false">IF(L6=0,"",IFERROR(INDEX($B$11:$B$130,MATCH(0,AW11:AW130,0)),"Bitmiyor"))</f>
        <v/>
      </c>
      <c r="M4" s="35" t="str">
        <f aca="false">IF(M6=0,"",IFERROR(INDEX($B$11:$B$130,MATCH(0,BA11:BA130,0)),"Bitmiyor"))</f>
        <v/>
      </c>
    </row>
    <row r="5" customFormat="false" ht="15" hidden="false" customHeight="false" outlineLevel="0" collapsed="false">
      <c r="B5" s="34" t="s">
        <v>65</v>
      </c>
      <c r="D5" s="36" t="n">
        <f aca="false">IF(D6=0,0,SUM(N11:N130)-D6-(SUM(Q11:Q130)-Q130))</f>
        <v>24467.013</v>
      </c>
      <c r="E5" s="36" t="n">
        <f aca="false">IF(E6=0,0,SUM(R11:R130)-E6-(SUM(U11:U130)-U130))</f>
        <v>65455.3691999998</v>
      </c>
      <c r="F5" s="36" t="n">
        <f aca="false">IF(F6=0,0,SUM(V11:V130)-F6-(SUM(Y11:Y130)-Y130))</f>
        <v>59000.46355</v>
      </c>
      <c r="G5" s="36" t="n">
        <f aca="false">IF(G6=0,0,SUM(Z11:Z130)-G6-(SUM(AC11:AC130)-AC130))</f>
        <v>0</v>
      </c>
      <c r="H5" s="36" t="n">
        <f aca="false">IF(H6=0,0,SUM(AD11:AD130)-H6-(SUM(AG11:AG130)-AG130))</f>
        <v>0</v>
      </c>
      <c r="I5" s="36" t="n">
        <f aca="false">IF(I6=0,0,SUM(AH11:AH130)-I6-(SUM(AK11:AK130)-AK130))</f>
        <v>0</v>
      </c>
      <c r="J5" s="36" t="n">
        <f aca="false">IF(J6=0,0,SUM(AL11:AL130)-J6-(SUM(AO11:AO130)-AO130))</f>
        <v>0</v>
      </c>
      <c r="K5" s="36" t="n">
        <f aca="false">IF(K6=0,0,SUM(AP11:AP130)-K6-(SUM(AS11:AS130)-AS130))</f>
        <v>0</v>
      </c>
      <c r="L5" s="36" t="n">
        <f aca="false">IF(L6=0,0,SUM(AT11:AT130)-L6-(SUM(AW11:AW130)-AW130))</f>
        <v>0</v>
      </c>
      <c r="M5" s="36" t="n">
        <f aca="false">IF(M6=0,0,SUM(AX11:AX130)-M6-(SUM(BA11:BA130)-BA130))</f>
        <v>0</v>
      </c>
    </row>
    <row r="6" customFormat="false" ht="15" hidden="false" customHeight="false" outlineLevel="0" collapsed="false">
      <c r="B6" s="34" t="s">
        <v>69</v>
      </c>
      <c r="D6" s="37" t="n">
        <f aca="false">IFERROR(INDEX(Borçlar!$B$5:$B$14,MATCH(1,Borçlar!$E$5:$E$14,0)),0)</f>
        <v>25000</v>
      </c>
      <c r="E6" s="37" t="n">
        <f aca="false">IFERROR(INDEX(Borçlar!$B$5:$B$14,MATCH(2,Borçlar!$E$5:$E$14,0)),0)</f>
        <v>60000</v>
      </c>
      <c r="F6" s="37" t="n">
        <f aca="false">IFERROR(INDEX(Borçlar!$B$5:$B$14,MATCH(3,Borçlar!$E$5:$E$14,0)),0)</f>
        <v>120000</v>
      </c>
      <c r="G6" s="37" t="n">
        <f aca="false">IFERROR(INDEX(Borçlar!$B$5:$B$14,MATCH(4,Borçlar!$E$5:$E$14,0)),0)</f>
        <v>40000</v>
      </c>
      <c r="H6" s="22" t="n">
        <f aca="false">IFERROR(INDEX(Borçlar!$B$5:$B$14,MATCH(5,Borçlar!$E$5:$E$14,0)),0)</f>
        <v>0</v>
      </c>
      <c r="I6" s="22" t="n">
        <f aca="false">IFERROR(INDEX(Borçlar!$B$5:$B$14,MATCH(6,Borçlar!$E$5:$E$14,0)),0)</f>
        <v>0</v>
      </c>
      <c r="J6" s="22" t="n">
        <f aca="false">IFERROR(INDEX(Borçlar!$B$5:$B$14,MATCH(7,Borçlar!$E$5:$E$14,0)),0)</f>
        <v>0</v>
      </c>
      <c r="K6" s="22" t="n">
        <f aca="false">IFERROR(INDEX(Borçlar!$B$5:$B$14,MATCH(8,Borçlar!$E$5:$E$14,0)),0)</f>
        <v>0</v>
      </c>
      <c r="L6" s="22" t="n">
        <f aca="false">IFERROR(INDEX(Borçlar!$B$5:$B$14,MATCH(9,Borçlar!$E$5:$E$14,0)),0)</f>
        <v>0</v>
      </c>
      <c r="M6" s="22" t="n">
        <f aca="false">IFERROR(INDEX(Borçlar!$B$5:$B$14,MATCH(10,Borçlar!$E$5:$E$14,0)),0)</f>
        <v>0</v>
      </c>
    </row>
    <row r="7" customFormat="false" ht="15" hidden="false" customHeight="false" outlineLevel="0" collapsed="false">
      <c r="B7" s="34" t="s">
        <v>70</v>
      </c>
      <c r="D7" s="38" t="n">
        <f aca="false">IFERROR(INDEX(Borçlar!$C$5:$C$14,MATCH(1,Borçlar!$E$5:$E$14,0)),0)</f>
        <v>0.05</v>
      </c>
      <c r="E7" s="38" t="n">
        <f aca="false">IFERROR(INDEX(Borçlar!$C$5:$C$14,MATCH(2,Borçlar!$E$5:$E$14,0)),0)</f>
        <v>0.045</v>
      </c>
      <c r="F7" s="38" t="n">
        <f aca="false">IFERROR(INDEX(Borçlar!$C$5:$C$14,MATCH(3,Borçlar!$E$5:$E$14,0)),0)</f>
        <v>0.035</v>
      </c>
      <c r="G7" s="38" t="n">
        <f aca="false">IFERROR(INDEX(Borçlar!$C$5:$C$14,MATCH(4,Borçlar!$E$5:$E$14,0)),0)</f>
        <v>0</v>
      </c>
      <c r="H7" s="22" t="n">
        <f aca="false">IFERROR(INDEX(Borçlar!$C$5:$C$14,MATCH(5,Borçlar!$E$5:$E$14,0)),0)</f>
        <v>0</v>
      </c>
      <c r="I7" s="22" t="n">
        <f aca="false">IFERROR(INDEX(Borçlar!$C$5:$C$14,MATCH(6,Borçlar!$E$5:$E$14,0)),0)</f>
        <v>0</v>
      </c>
      <c r="J7" s="22" t="n">
        <f aca="false">IFERROR(INDEX(Borçlar!$C$5:$C$14,MATCH(7,Borçlar!$E$5:$E$14,0)),0)</f>
        <v>0</v>
      </c>
      <c r="K7" s="22" t="n">
        <f aca="false">IFERROR(INDEX(Borçlar!$C$5:$C$14,MATCH(8,Borçlar!$E$5:$E$14,0)),0)</f>
        <v>0</v>
      </c>
      <c r="L7" s="22" t="n">
        <f aca="false">IFERROR(INDEX(Borçlar!$C$5:$C$14,MATCH(9,Borçlar!$E$5:$E$14,0)),0)</f>
        <v>0</v>
      </c>
      <c r="M7" s="22" t="n">
        <f aca="false">IFERROR(INDEX(Borçlar!$C$5:$C$14,MATCH(10,Borçlar!$E$5:$E$14,0)),0)</f>
        <v>0</v>
      </c>
    </row>
    <row r="8" customFormat="false" ht="15" hidden="false" customHeight="false" outlineLevel="0" collapsed="false">
      <c r="B8" s="34" t="s">
        <v>71</v>
      </c>
      <c r="D8" s="37" t="n">
        <f aca="false">IFERROR(INDEX(Borçlar!$D$5:$D$14,MATCH(1,Borçlar!$E$5:$E$14,0)),0)</f>
        <v>1500</v>
      </c>
      <c r="E8" s="37" t="n">
        <f aca="false">IFERROR(INDEX(Borçlar!$D$5:$D$14,MATCH(2,Borçlar!$E$5:$E$14,0)),0)</f>
        <v>3000</v>
      </c>
      <c r="F8" s="37" t="n">
        <f aca="false">IFERROR(INDEX(Borçlar!$D$5:$D$14,MATCH(3,Borçlar!$E$5:$E$14,0)),0)</f>
        <v>7500</v>
      </c>
      <c r="G8" s="37" t="n">
        <f aca="false">IFERROR(INDEX(Borçlar!$D$5:$D$14,MATCH(4,Borçlar!$E$5:$E$14,0)),0)</f>
        <v>2000</v>
      </c>
      <c r="H8" s="22" t="n">
        <f aca="false">IFERROR(INDEX(Borçlar!$D$5:$D$14,MATCH(5,Borçlar!$E$5:$E$14,0)),0)</f>
        <v>0</v>
      </c>
      <c r="I8" s="22" t="n">
        <f aca="false">IFERROR(INDEX(Borçlar!$D$5:$D$14,MATCH(6,Borçlar!$E$5:$E$14,0)),0)</f>
        <v>0</v>
      </c>
      <c r="J8" s="22" t="n">
        <f aca="false">IFERROR(INDEX(Borçlar!$D$5:$D$14,MATCH(7,Borçlar!$E$5:$E$14,0)),0)</f>
        <v>0</v>
      </c>
      <c r="K8" s="22" t="n">
        <f aca="false">IFERROR(INDEX(Borçlar!$D$5:$D$14,MATCH(8,Borçlar!$E$5:$E$14,0)),0)</f>
        <v>0</v>
      </c>
      <c r="L8" s="22" t="n">
        <f aca="false">IFERROR(INDEX(Borçlar!$D$5:$D$14,MATCH(9,Borçlar!$E$5:$E$14,0)),0)</f>
        <v>0</v>
      </c>
      <c r="M8" s="22" t="n">
        <f aca="false">IFERROR(INDEX(Borçlar!$D$5:$D$14,MATCH(10,Borçlar!$E$5:$E$14,0)),0)</f>
        <v>0</v>
      </c>
    </row>
    <row r="10" customFormat="false" ht="30" hidden="false" customHeight="true" outlineLevel="0" collapsed="false">
      <c r="A10" s="11" t="s">
        <v>72</v>
      </c>
      <c r="B10" s="11" t="s">
        <v>73</v>
      </c>
      <c r="C10" s="11" t="s">
        <v>74</v>
      </c>
      <c r="D10" s="11" t="s">
        <v>75</v>
      </c>
      <c r="E10" s="11" t="s">
        <v>76</v>
      </c>
      <c r="F10" s="11" t="s">
        <v>34</v>
      </c>
      <c r="N10" s="0" t="str">
        <f aca="false">"Borç 1: toplam"</f>
        <v>Borç 1: toplam</v>
      </c>
      <c r="O10" s="22" t="s">
        <v>77</v>
      </c>
      <c r="P10" s="22" t="s">
        <v>78</v>
      </c>
      <c r="Q10" s="22" t="s">
        <v>79</v>
      </c>
      <c r="R10" s="0" t="str">
        <f aca="false">"Borç 2: toplam"</f>
        <v>Borç 2: toplam</v>
      </c>
      <c r="S10" s="22" t="s">
        <v>77</v>
      </c>
      <c r="T10" s="22" t="s">
        <v>78</v>
      </c>
      <c r="U10" s="22" t="s">
        <v>79</v>
      </c>
      <c r="V10" s="0" t="str">
        <f aca="false">"Borç 3: toplam"</f>
        <v>Borç 3: toplam</v>
      </c>
      <c r="W10" s="22" t="s">
        <v>77</v>
      </c>
      <c r="X10" s="22" t="s">
        <v>78</v>
      </c>
      <c r="Y10" s="22" t="s">
        <v>79</v>
      </c>
      <c r="Z10" s="0" t="str">
        <f aca="false">"Borç 4: toplam"</f>
        <v>Borç 4: toplam</v>
      </c>
      <c r="AA10" s="22" t="s">
        <v>77</v>
      </c>
      <c r="AB10" s="22" t="s">
        <v>78</v>
      </c>
      <c r="AC10" s="22" t="s">
        <v>79</v>
      </c>
      <c r="AD10" s="0" t="str">
        <f aca="false">"Borç 5: toplam"</f>
        <v>Borç 5: toplam</v>
      </c>
      <c r="AE10" s="22" t="s">
        <v>77</v>
      </c>
      <c r="AF10" s="22" t="s">
        <v>78</v>
      </c>
      <c r="AG10" s="22" t="s">
        <v>79</v>
      </c>
      <c r="AH10" s="0" t="str">
        <f aca="false">"Borç 6: toplam"</f>
        <v>Borç 6: toplam</v>
      </c>
      <c r="AI10" s="22" t="s">
        <v>77</v>
      </c>
      <c r="AJ10" s="22" t="s">
        <v>78</v>
      </c>
      <c r="AK10" s="22" t="s">
        <v>79</v>
      </c>
      <c r="AL10" s="0" t="str">
        <f aca="false">"Borç 7: toplam"</f>
        <v>Borç 7: toplam</v>
      </c>
      <c r="AM10" s="22" t="s">
        <v>77</v>
      </c>
      <c r="AN10" s="22" t="s">
        <v>78</v>
      </c>
      <c r="AO10" s="22" t="s">
        <v>79</v>
      </c>
      <c r="AP10" s="0" t="str">
        <f aca="false">"Borç 8: toplam"</f>
        <v>Borç 8: toplam</v>
      </c>
      <c r="AQ10" s="22" t="s">
        <v>77</v>
      </c>
      <c r="AR10" s="22" t="s">
        <v>78</v>
      </c>
      <c r="AS10" s="22" t="s">
        <v>79</v>
      </c>
      <c r="AT10" s="0" t="str">
        <f aca="false">"Borç 9: toplam"</f>
        <v>Borç 9: toplam</v>
      </c>
      <c r="AU10" s="22" t="s">
        <v>77</v>
      </c>
      <c r="AV10" s="22" t="s">
        <v>78</v>
      </c>
      <c r="AW10" s="22" t="s">
        <v>79</v>
      </c>
      <c r="AX10" s="0" t="str">
        <f aca="false">"Borç 10: toplam"</f>
        <v>Borç 10: toplam</v>
      </c>
      <c r="AY10" s="22" t="s">
        <v>77</v>
      </c>
      <c r="AZ10" s="22" t="s">
        <v>78</v>
      </c>
      <c r="BA10" s="22" t="s">
        <v>79</v>
      </c>
    </row>
    <row r="11" customFormat="false" ht="15" hidden="false" customHeight="false" outlineLevel="0" collapsed="false">
      <c r="A11" s="0" t="n">
        <v>1</v>
      </c>
      <c r="B11" s="39" t="n">
        <f aca="false">EDATE(Borçlar!$K$7,0)</f>
        <v>46296</v>
      </c>
      <c r="C11" s="36" t="n">
        <f aca="false">MAX(0,SUM(Borçlar!$D$5:$D$14)-(O11+S11+W11+AA11+AE11+AI11+AM11+AQ11+AU11+AY11))</f>
        <v>0</v>
      </c>
      <c r="D11" s="36" t="n">
        <f aca="false">O11+P11+S11+T11+W11+X11+AA11+AB11+AE11+AF11+AI11+AJ11+AM11+AN11+AQ11+AR11+AU11+AV11+AY11+AZ11</f>
        <v>14000</v>
      </c>
      <c r="E11" s="36" t="n">
        <f aca="false">(N11+R11+V11+Z11+AD11+AH11+AL11+AP11+AT11+AX11)-(D$6+E$6+F$6+G$6+H$6+I$6+J$6+K$6+L$6+M$6)</f>
        <v>8150</v>
      </c>
      <c r="F11" s="36" t="n">
        <f aca="false">Q11+U11+Y11+AC11+AG11+AK11+AO11+AS11+AW11+BA11</f>
        <v>239150</v>
      </c>
      <c r="N11" s="22" t="n">
        <f aca="false">D$6*(1+D$7)</f>
        <v>26250</v>
      </c>
      <c r="O11" s="22" t="n">
        <f aca="false">MIN(N11,D$8)</f>
        <v>1500</v>
      </c>
      <c r="P11" s="22" t="n">
        <f aca="false">MAX(0,MIN(N11-O11,$C11-(0)))</f>
        <v>0</v>
      </c>
      <c r="Q11" s="22" t="n">
        <f aca="false">ROUND(N11-O11-P11,2)</f>
        <v>24750</v>
      </c>
      <c r="R11" s="22" t="n">
        <f aca="false">E$6*(1+E$7)</f>
        <v>62700</v>
      </c>
      <c r="S11" s="22" t="n">
        <f aca="false">MIN(R11,E$8)</f>
        <v>3000</v>
      </c>
      <c r="T11" s="22" t="n">
        <f aca="false">MAX(0,MIN(R11-S11,$C11-(P11)))</f>
        <v>0</v>
      </c>
      <c r="U11" s="22" t="n">
        <f aca="false">ROUND(R11-S11-T11,2)</f>
        <v>59700</v>
      </c>
      <c r="V11" s="22" t="n">
        <f aca="false">F$6*(1+F$7)</f>
        <v>124200</v>
      </c>
      <c r="W11" s="22" t="n">
        <f aca="false">MIN(V11,F$8)</f>
        <v>7500</v>
      </c>
      <c r="X11" s="22" t="n">
        <f aca="false">MAX(0,MIN(V11-W11,$C11-(P11+T11)))</f>
        <v>0</v>
      </c>
      <c r="Y11" s="22" t="n">
        <f aca="false">ROUND(V11-W11-X11,2)</f>
        <v>116700</v>
      </c>
      <c r="Z11" s="22" t="n">
        <f aca="false">G$6*(1+G$7)</f>
        <v>40000</v>
      </c>
      <c r="AA11" s="22" t="n">
        <f aca="false">MIN(Z11,G$8)</f>
        <v>2000</v>
      </c>
      <c r="AB11" s="22" t="n">
        <f aca="false">MAX(0,MIN(Z11-AA11,$C11-(P11+T11+X11)))</f>
        <v>0</v>
      </c>
      <c r="AC11" s="22" t="n">
        <f aca="false">ROUND(Z11-AA11-AB11,2)</f>
        <v>38000</v>
      </c>
      <c r="AD11" s="22" t="n">
        <f aca="false">H$6*(1+H$7)</f>
        <v>0</v>
      </c>
      <c r="AE11" s="22" t="n">
        <f aca="false">MIN(AD11,H$8)</f>
        <v>0</v>
      </c>
      <c r="AF11" s="22" t="n">
        <f aca="false">MAX(0,MIN(AD11-AE11,$C11-(P11+T11+X11+AB11)))</f>
        <v>0</v>
      </c>
      <c r="AG11" s="22" t="n">
        <f aca="false">ROUND(AD11-AE11-AF11,2)</f>
        <v>0</v>
      </c>
      <c r="AH11" s="22" t="n">
        <f aca="false">I$6*(1+I$7)</f>
        <v>0</v>
      </c>
      <c r="AI11" s="22" t="n">
        <f aca="false">MIN(AH11,I$8)</f>
        <v>0</v>
      </c>
      <c r="AJ11" s="22" t="n">
        <f aca="false">MAX(0,MIN(AH11-AI11,$C11-(P11+T11+X11+AB11+AF11)))</f>
        <v>0</v>
      </c>
      <c r="AK11" s="22" t="n">
        <f aca="false">ROUND(AH11-AI11-AJ11,2)</f>
        <v>0</v>
      </c>
      <c r="AL11" s="22" t="n">
        <f aca="false">J$6*(1+J$7)</f>
        <v>0</v>
      </c>
      <c r="AM11" s="22" t="n">
        <f aca="false">MIN(AL11,J$8)</f>
        <v>0</v>
      </c>
      <c r="AN11" s="22" t="n">
        <f aca="false">MAX(0,MIN(AL11-AM11,$C11-(P11+T11+X11+AB11+AF11+AJ11)))</f>
        <v>0</v>
      </c>
      <c r="AO11" s="22" t="n">
        <f aca="false">ROUND(AL11-AM11-AN11,2)</f>
        <v>0</v>
      </c>
      <c r="AP11" s="22" t="n">
        <f aca="false">K$6*(1+K$7)</f>
        <v>0</v>
      </c>
      <c r="AQ11" s="22" t="n">
        <f aca="false">MIN(AP11,K$8)</f>
        <v>0</v>
      </c>
      <c r="AR11" s="22" t="n">
        <f aca="false">MAX(0,MIN(AP11-AQ11,$C11-(P11+T11+X11+AB11+AF11+AJ11+AN11)))</f>
        <v>0</v>
      </c>
      <c r="AS11" s="22" t="n">
        <f aca="false">ROUND(AP11-AQ11-AR11,2)</f>
        <v>0</v>
      </c>
      <c r="AT11" s="22" t="n">
        <f aca="false">L$6*(1+L$7)</f>
        <v>0</v>
      </c>
      <c r="AU11" s="22" t="n">
        <f aca="false">MIN(AT11,L$8)</f>
        <v>0</v>
      </c>
      <c r="AV11" s="22" t="n">
        <f aca="false">MAX(0,MIN(AT11-AU11,$C11-(P11+T11+X11+AB11+AF11+AJ11+AN11+AR11)))</f>
        <v>0</v>
      </c>
      <c r="AW11" s="22" t="n">
        <f aca="false">ROUND(AT11-AU11-AV11,2)</f>
        <v>0</v>
      </c>
      <c r="AX11" s="22" t="n">
        <f aca="false">M$6*(1+M$7)</f>
        <v>0</v>
      </c>
      <c r="AY11" s="22" t="n">
        <f aca="false">MIN(AX11,M$8)</f>
        <v>0</v>
      </c>
      <c r="AZ11" s="22" t="n">
        <f aca="false">MAX(0,MIN(AX11-AY11,$C11-(P11+T11+X11+AB11+AF11+AJ11+AN11+AR11+AV11)))</f>
        <v>0</v>
      </c>
      <c r="BA11" s="22" t="n">
        <f aca="false">ROUND(AX11-AY11-AZ11,2)</f>
        <v>0</v>
      </c>
    </row>
    <row r="12" customFormat="false" ht="15" hidden="false" customHeight="false" outlineLevel="0" collapsed="false">
      <c r="A12" s="0" t="n">
        <v>2</v>
      </c>
      <c r="B12" s="39" t="n">
        <f aca="false">EDATE(Borçlar!$K$7,1)</f>
        <v>46327</v>
      </c>
      <c r="C12" s="36" t="n">
        <f aca="false">MAX(0,SUM(Borçlar!$D$5:$D$14)-(O12+S12+W12+AA12+AE12+AI12+AM12+AQ12+AU12+AY12))</f>
        <v>0</v>
      </c>
      <c r="D12" s="36" t="n">
        <f aca="false">O12+P12+S12+T12+W12+X12+AA12+AB12+AE12+AF12+AI12+AJ12+AM12+AN12+AQ12+AR12+AU12+AV12+AY12+AZ12</f>
        <v>14000</v>
      </c>
      <c r="E12" s="36" t="n">
        <f aca="false">(N12+R12+V12+Z12+AD12+AH12+AL12+AP12+AT12+AX12)-(F11)</f>
        <v>8008.5</v>
      </c>
      <c r="F12" s="36" t="n">
        <f aca="false">Q12+U12+Y12+AC12+AG12+AK12+AO12+AS12+AW12+BA12</f>
        <v>233158.5</v>
      </c>
      <c r="N12" s="22" t="n">
        <f aca="false">Q11*(1+D$7)</f>
        <v>25987.5</v>
      </c>
      <c r="O12" s="22" t="n">
        <f aca="false">MIN(N12,D$8)</f>
        <v>1500</v>
      </c>
      <c r="P12" s="22" t="n">
        <f aca="false">MAX(0,MIN(N12-O12,$C12-(0)))</f>
        <v>0</v>
      </c>
      <c r="Q12" s="22" t="n">
        <f aca="false">ROUND(N12-O12-P12,2)</f>
        <v>24487.5</v>
      </c>
      <c r="R12" s="22" t="n">
        <f aca="false">U11*(1+E$7)</f>
        <v>62386.5</v>
      </c>
      <c r="S12" s="22" t="n">
        <f aca="false">MIN(R12,E$8)</f>
        <v>3000</v>
      </c>
      <c r="T12" s="22" t="n">
        <f aca="false">MAX(0,MIN(R12-S12,$C12-(P12)))</f>
        <v>0</v>
      </c>
      <c r="U12" s="22" t="n">
        <f aca="false">ROUND(R12-S12-T12,2)</f>
        <v>59386.5</v>
      </c>
      <c r="V12" s="22" t="n">
        <f aca="false">Y11*(1+F$7)</f>
        <v>120784.5</v>
      </c>
      <c r="W12" s="22" t="n">
        <f aca="false">MIN(V12,F$8)</f>
        <v>7500</v>
      </c>
      <c r="X12" s="22" t="n">
        <f aca="false">MAX(0,MIN(V12-W12,$C12-(P12+T12)))</f>
        <v>0</v>
      </c>
      <c r="Y12" s="22" t="n">
        <f aca="false">ROUND(V12-W12-X12,2)</f>
        <v>113284.5</v>
      </c>
      <c r="Z12" s="22" t="n">
        <f aca="false">AC11*(1+G$7)</f>
        <v>38000</v>
      </c>
      <c r="AA12" s="22" t="n">
        <f aca="false">MIN(Z12,G$8)</f>
        <v>2000</v>
      </c>
      <c r="AB12" s="22" t="n">
        <f aca="false">MAX(0,MIN(Z12-AA12,$C12-(P12+T12+X12)))</f>
        <v>0</v>
      </c>
      <c r="AC12" s="22" t="n">
        <f aca="false">ROUND(Z12-AA12-AB12,2)</f>
        <v>36000</v>
      </c>
      <c r="AD12" s="22" t="n">
        <f aca="false">AG11*(1+H$7)</f>
        <v>0</v>
      </c>
      <c r="AE12" s="22" t="n">
        <f aca="false">MIN(AD12,H$8)</f>
        <v>0</v>
      </c>
      <c r="AF12" s="22" t="n">
        <f aca="false">MAX(0,MIN(AD12-AE12,$C12-(P12+T12+X12+AB12)))</f>
        <v>0</v>
      </c>
      <c r="AG12" s="22" t="n">
        <f aca="false">ROUND(AD12-AE12-AF12,2)</f>
        <v>0</v>
      </c>
      <c r="AH12" s="22" t="n">
        <f aca="false">AK11*(1+I$7)</f>
        <v>0</v>
      </c>
      <c r="AI12" s="22" t="n">
        <f aca="false">MIN(AH12,I$8)</f>
        <v>0</v>
      </c>
      <c r="AJ12" s="22" t="n">
        <f aca="false">MAX(0,MIN(AH12-AI12,$C12-(P12+T12+X12+AB12+AF12)))</f>
        <v>0</v>
      </c>
      <c r="AK12" s="22" t="n">
        <f aca="false">ROUND(AH12-AI12-AJ12,2)</f>
        <v>0</v>
      </c>
      <c r="AL12" s="22" t="n">
        <f aca="false">AO11*(1+J$7)</f>
        <v>0</v>
      </c>
      <c r="AM12" s="22" t="n">
        <f aca="false">MIN(AL12,J$8)</f>
        <v>0</v>
      </c>
      <c r="AN12" s="22" t="n">
        <f aca="false">MAX(0,MIN(AL12-AM12,$C12-(P12+T12+X12+AB12+AF12+AJ12)))</f>
        <v>0</v>
      </c>
      <c r="AO12" s="22" t="n">
        <f aca="false">ROUND(AL12-AM12-AN12,2)</f>
        <v>0</v>
      </c>
      <c r="AP12" s="22" t="n">
        <f aca="false">AS11*(1+K$7)</f>
        <v>0</v>
      </c>
      <c r="AQ12" s="22" t="n">
        <f aca="false">MIN(AP12,K$8)</f>
        <v>0</v>
      </c>
      <c r="AR12" s="22" t="n">
        <f aca="false">MAX(0,MIN(AP12-AQ12,$C12-(P12+T12+X12+AB12+AF12+AJ12+AN12)))</f>
        <v>0</v>
      </c>
      <c r="AS12" s="22" t="n">
        <f aca="false">ROUND(AP12-AQ12-AR12,2)</f>
        <v>0</v>
      </c>
      <c r="AT12" s="22" t="n">
        <f aca="false">AW11*(1+L$7)</f>
        <v>0</v>
      </c>
      <c r="AU12" s="22" t="n">
        <f aca="false">MIN(AT12,L$8)</f>
        <v>0</v>
      </c>
      <c r="AV12" s="22" t="n">
        <f aca="false">MAX(0,MIN(AT12-AU12,$C12-(P12+T12+X12+AB12+AF12+AJ12+AN12+AR12)))</f>
        <v>0</v>
      </c>
      <c r="AW12" s="22" t="n">
        <f aca="false">ROUND(AT12-AU12-AV12,2)</f>
        <v>0</v>
      </c>
      <c r="AX12" s="22" t="n">
        <f aca="false">BA11*(1+M$7)</f>
        <v>0</v>
      </c>
      <c r="AY12" s="22" t="n">
        <f aca="false">MIN(AX12,M$8)</f>
        <v>0</v>
      </c>
      <c r="AZ12" s="22" t="n">
        <f aca="false">MAX(0,MIN(AX12-AY12,$C12-(P12+T12+X12+AB12+AF12+AJ12+AN12+AR12+AV12)))</f>
        <v>0</v>
      </c>
      <c r="BA12" s="22" t="n">
        <f aca="false">ROUND(AX12-AY12-AZ12,2)</f>
        <v>0</v>
      </c>
    </row>
    <row r="13" customFormat="false" ht="15" hidden="false" customHeight="false" outlineLevel="0" collapsed="false">
      <c r="A13" s="0" t="n">
        <v>3</v>
      </c>
      <c r="B13" s="39" t="n">
        <f aca="false">EDATE(Borçlar!$K$7,2)</f>
        <v>46357</v>
      </c>
      <c r="C13" s="36" t="n">
        <f aca="false">MAX(0,SUM(Borçlar!$D$5:$D$14)-(O13+S13+W13+AA13+AE13+AI13+AM13+AQ13+AU13+AY13))</f>
        <v>0</v>
      </c>
      <c r="D13" s="36" t="n">
        <f aca="false">O13+P13+S13+T13+W13+X13+AA13+AB13+AE13+AF13+AI13+AJ13+AM13+AN13+AQ13+AR13+AU13+AV13+AY13+AZ13</f>
        <v>14000</v>
      </c>
      <c r="E13" s="36" t="n">
        <f aca="false">(N13+R13+V13+Z13+AD13+AH13+AL13+AP13+AT13+AX13)-(F12)</f>
        <v>7861.72499999998</v>
      </c>
      <c r="F13" s="36" t="n">
        <f aca="false">Q13+U13+Y13+AC13+AG13+AK13+AO13+AS13+AW13+BA13</f>
        <v>227020.23</v>
      </c>
      <c r="N13" s="22" t="n">
        <f aca="false">Q12*(1+D$7)</f>
        <v>25711.875</v>
      </c>
      <c r="O13" s="22" t="n">
        <f aca="false">MIN(N13,D$8)</f>
        <v>1500</v>
      </c>
      <c r="P13" s="22" t="n">
        <f aca="false">MAX(0,MIN(N13-O13,$C13-(0)))</f>
        <v>0</v>
      </c>
      <c r="Q13" s="22" t="n">
        <f aca="false">ROUND(N13-O13-P13,2)</f>
        <v>24211.88</v>
      </c>
      <c r="R13" s="22" t="n">
        <f aca="false">U12*(1+E$7)</f>
        <v>62058.8925</v>
      </c>
      <c r="S13" s="22" t="n">
        <f aca="false">MIN(R13,E$8)</f>
        <v>3000</v>
      </c>
      <c r="T13" s="22" t="n">
        <f aca="false">MAX(0,MIN(R13-S13,$C13-(P13)))</f>
        <v>0</v>
      </c>
      <c r="U13" s="22" t="n">
        <f aca="false">ROUND(R13-S13-T13,2)</f>
        <v>59058.89</v>
      </c>
      <c r="V13" s="22" t="n">
        <f aca="false">Y12*(1+F$7)</f>
        <v>117249.4575</v>
      </c>
      <c r="W13" s="22" t="n">
        <f aca="false">MIN(V13,F$8)</f>
        <v>7500</v>
      </c>
      <c r="X13" s="22" t="n">
        <f aca="false">MAX(0,MIN(V13-W13,$C13-(P13+T13)))</f>
        <v>0</v>
      </c>
      <c r="Y13" s="22" t="n">
        <f aca="false">ROUND(V13-W13-X13,2)</f>
        <v>109749.46</v>
      </c>
      <c r="Z13" s="22" t="n">
        <f aca="false">AC12*(1+G$7)</f>
        <v>36000</v>
      </c>
      <c r="AA13" s="22" t="n">
        <f aca="false">MIN(Z13,G$8)</f>
        <v>2000</v>
      </c>
      <c r="AB13" s="22" t="n">
        <f aca="false">MAX(0,MIN(Z13-AA13,$C13-(P13+T13+X13)))</f>
        <v>0</v>
      </c>
      <c r="AC13" s="22" t="n">
        <f aca="false">ROUND(Z13-AA13-AB13,2)</f>
        <v>34000</v>
      </c>
      <c r="AD13" s="22" t="n">
        <f aca="false">AG12*(1+H$7)</f>
        <v>0</v>
      </c>
      <c r="AE13" s="22" t="n">
        <f aca="false">MIN(AD13,H$8)</f>
        <v>0</v>
      </c>
      <c r="AF13" s="22" t="n">
        <f aca="false">MAX(0,MIN(AD13-AE13,$C13-(P13+T13+X13+AB13)))</f>
        <v>0</v>
      </c>
      <c r="AG13" s="22" t="n">
        <f aca="false">ROUND(AD13-AE13-AF13,2)</f>
        <v>0</v>
      </c>
      <c r="AH13" s="22" t="n">
        <f aca="false">AK12*(1+I$7)</f>
        <v>0</v>
      </c>
      <c r="AI13" s="22" t="n">
        <f aca="false">MIN(AH13,I$8)</f>
        <v>0</v>
      </c>
      <c r="AJ13" s="22" t="n">
        <f aca="false">MAX(0,MIN(AH13-AI13,$C13-(P13+T13+X13+AB13+AF13)))</f>
        <v>0</v>
      </c>
      <c r="AK13" s="22" t="n">
        <f aca="false">ROUND(AH13-AI13-AJ13,2)</f>
        <v>0</v>
      </c>
      <c r="AL13" s="22" t="n">
        <f aca="false">AO12*(1+J$7)</f>
        <v>0</v>
      </c>
      <c r="AM13" s="22" t="n">
        <f aca="false">MIN(AL13,J$8)</f>
        <v>0</v>
      </c>
      <c r="AN13" s="22" t="n">
        <f aca="false">MAX(0,MIN(AL13-AM13,$C13-(P13+T13+X13+AB13+AF13+AJ13)))</f>
        <v>0</v>
      </c>
      <c r="AO13" s="22" t="n">
        <f aca="false">ROUND(AL13-AM13-AN13,2)</f>
        <v>0</v>
      </c>
      <c r="AP13" s="22" t="n">
        <f aca="false">AS12*(1+K$7)</f>
        <v>0</v>
      </c>
      <c r="AQ13" s="22" t="n">
        <f aca="false">MIN(AP13,K$8)</f>
        <v>0</v>
      </c>
      <c r="AR13" s="22" t="n">
        <f aca="false">MAX(0,MIN(AP13-AQ13,$C13-(P13+T13+X13+AB13+AF13+AJ13+AN13)))</f>
        <v>0</v>
      </c>
      <c r="AS13" s="22" t="n">
        <f aca="false">ROUND(AP13-AQ13-AR13,2)</f>
        <v>0</v>
      </c>
      <c r="AT13" s="22" t="n">
        <f aca="false">AW12*(1+L$7)</f>
        <v>0</v>
      </c>
      <c r="AU13" s="22" t="n">
        <f aca="false">MIN(AT13,L$8)</f>
        <v>0</v>
      </c>
      <c r="AV13" s="22" t="n">
        <f aca="false">MAX(0,MIN(AT13-AU13,$C13-(P13+T13+X13+AB13+AF13+AJ13+AN13+AR13)))</f>
        <v>0</v>
      </c>
      <c r="AW13" s="22" t="n">
        <f aca="false">ROUND(AT13-AU13-AV13,2)</f>
        <v>0</v>
      </c>
      <c r="AX13" s="22" t="n">
        <f aca="false">BA12*(1+M$7)</f>
        <v>0</v>
      </c>
      <c r="AY13" s="22" t="n">
        <f aca="false">MIN(AX13,M$8)</f>
        <v>0</v>
      </c>
      <c r="AZ13" s="22" t="n">
        <f aca="false">MAX(0,MIN(AX13-AY13,$C13-(P13+T13+X13+AB13+AF13+AJ13+AN13+AR13+AV13)))</f>
        <v>0</v>
      </c>
      <c r="BA13" s="22" t="n">
        <f aca="false">ROUND(AX13-AY13-AZ13,2)</f>
        <v>0</v>
      </c>
    </row>
    <row r="14" customFormat="false" ht="15" hidden="false" customHeight="false" outlineLevel="0" collapsed="false">
      <c r="A14" s="0" t="n">
        <v>4</v>
      </c>
      <c r="B14" s="39" t="n">
        <f aca="false">EDATE(Borçlar!$K$7,3)</f>
        <v>46388</v>
      </c>
      <c r="C14" s="36" t="n">
        <f aca="false">MAX(0,SUM(Borçlar!$D$5:$D$14)-(O14+S14+W14+AA14+AE14+AI14+AM14+AQ14+AU14+AY14))</f>
        <v>0</v>
      </c>
      <c r="D14" s="36" t="n">
        <f aca="false">O14+P14+S14+T14+W14+X14+AA14+AB14+AE14+AF14+AI14+AJ14+AM14+AN14+AQ14+AR14+AU14+AV14+AY14+AZ14</f>
        <v>14000</v>
      </c>
      <c r="E14" s="36" t="n">
        <f aca="false">(N14+R14+V14+Z14+AD14+AH14+AL14+AP14+AT14+AX14)-(F13)</f>
        <v>7709.47514999998</v>
      </c>
      <c r="F14" s="36" t="n">
        <f aca="false">Q14+U14+Y14+AC14+AG14+AK14+AO14+AS14+AW14+BA14</f>
        <v>220729.7</v>
      </c>
      <c r="N14" s="22" t="n">
        <f aca="false">Q13*(1+D$7)</f>
        <v>25422.474</v>
      </c>
      <c r="O14" s="22" t="n">
        <f aca="false">MIN(N14,D$8)</f>
        <v>1500</v>
      </c>
      <c r="P14" s="22" t="n">
        <f aca="false">MAX(0,MIN(N14-O14,$C14-(0)))</f>
        <v>0</v>
      </c>
      <c r="Q14" s="22" t="n">
        <f aca="false">ROUND(N14-O14-P14,2)</f>
        <v>23922.47</v>
      </c>
      <c r="R14" s="22" t="n">
        <f aca="false">U13*(1+E$7)</f>
        <v>61716.54005</v>
      </c>
      <c r="S14" s="22" t="n">
        <f aca="false">MIN(R14,E$8)</f>
        <v>3000</v>
      </c>
      <c r="T14" s="22" t="n">
        <f aca="false">MAX(0,MIN(R14-S14,$C14-(P14)))</f>
        <v>0</v>
      </c>
      <c r="U14" s="22" t="n">
        <f aca="false">ROUND(R14-S14-T14,2)</f>
        <v>58716.54</v>
      </c>
      <c r="V14" s="22" t="n">
        <f aca="false">Y13*(1+F$7)</f>
        <v>113590.6911</v>
      </c>
      <c r="W14" s="22" t="n">
        <f aca="false">MIN(V14,F$8)</f>
        <v>7500</v>
      </c>
      <c r="X14" s="22" t="n">
        <f aca="false">MAX(0,MIN(V14-W14,$C14-(P14+T14)))</f>
        <v>0</v>
      </c>
      <c r="Y14" s="22" t="n">
        <f aca="false">ROUND(V14-W14-X14,2)</f>
        <v>106090.69</v>
      </c>
      <c r="Z14" s="22" t="n">
        <f aca="false">AC13*(1+G$7)</f>
        <v>34000</v>
      </c>
      <c r="AA14" s="22" t="n">
        <f aca="false">MIN(Z14,G$8)</f>
        <v>2000</v>
      </c>
      <c r="AB14" s="22" t="n">
        <f aca="false">MAX(0,MIN(Z14-AA14,$C14-(P14+T14+X14)))</f>
        <v>0</v>
      </c>
      <c r="AC14" s="22" t="n">
        <f aca="false">ROUND(Z14-AA14-AB14,2)</f>
        <v>32000</v>
      </c>
      <c r="AD14" s="22" t="n">
        <f aca="false">AG13*(1+H$7)</f>
        <v>0</v>
      </c>
      <c r="AE14" s="22" t="n">
        <f aca="false">MIN(AD14,H$8)</f>
        <v>0</v>
      </c>
      <c r="AF14" s="22" t="n">
        <f aca="false">MAX(0,MIN(AD14-AE14,$C14-(P14+T14+X14+AB14)))</f>
        <v>0</v>
      </c>
      <c r="AG14" s="22" t="n">
        <f aca="false">ROUND(AD14-AE14-AF14,2)</f>
        <v>0</v>
      </c>
      <c r="AH14" s="22" t="n">
        <f aca="false">AK13*(1+I$7)</f>
        <v>0</v>
      </c>
      <c r="AI14" s="22" t="n">
        <f aca="false">MIN(AH14,I$8)</f>
        <v>0</v>
      </c>
      <c r="AJ14" s="22" t="n">
        <f aca="false">MAX(0,MIN(AH14-AI14,$C14-(P14+T14+X14+AB14+AF14)))</f>
        <v>0</v>
      </c>
      <c r="AK14" s="22" t="n">
        <f aca="false">ROUND(AH14-AI14-AJ14,2)</f>
        <v>0</v>
      </c>
      <c r="AL14" s="22" t="n">
        <f aca="false">AO13*(1+J$7)</f>
        <v>0</v>
      </c>
      <c r="AM14" s="22" t="n">
        <f aca="false">MIN(AL14,J$8)</f>
        <v>0</v>
      </c>
      <c r="AN14" s="22" t="n">
        <f aca="false">MAX(0,MIN(AL14-AM14,$C14-(P14+T14+X14+AB14+AF14+AJ14)))</f>
        <v>0</v>
      </c>
      <c r="AO14" s="22" t="n">
        <f aca="false">ROUND(AL14-AM14-AN14,2)</f>
        <v>0</v>
      </c>
      <c r="AP14" s="22" t="n">
        <f aca="false">AS13*(1+K$7)</f>
        <v>0</v>
      </c>
      <c r="AQ14" s="22" t="n">
        <f aca="false">MIN(AP14,K$8)</f>
        <v>0</v>
      </c>
      <c r="AR14" s="22" t="n">
        <f aca="false">MAX(0,MIN(AP14-AQ14,$C14-(P14+T14+X14+AB14+AF14+AJ14+AN14)))</f>
        <v>0</v>
      </c>
      <c r="AS14" s="22" t="n">
        <f aca="false">ROUND(AP14-AQ14-AR14,2)</f>
        <v>0</v>
      </c>
      <c r="AT14" s="22" t="n">
        <f aca="false">AW13*(1+L$7)</f>
        <v>0</v>
      </c>
      <c r="AU14" s="22" t="n">
        <f aca="false">MIN(AT14,L$8)</f>
        <v>0</v>
      </c>
      <c r="AV14" s="22" t="n">
        <f aca="false">MAX(0,MIN(AT14-AU14,$C14-(P14+T14+X14+AB14+AF14+AJ14+AN14+AR14)))</f>
        <v>0</v>
      </c>
      <c r="AW14" s="22" t="n">
        <f aca="false">ROUND(AT14-AU14-AV14,2)</f>
        <v>0</v>
      </c>
      <c r="AX14" s="22" t="n">
        <f aca="false">BA13*(1+M$7)</f>
        <v>0</v>
      </c>
      <c r="AY14" s="22" t="n">
        <f aca="false">MIN(AX14,M$8)</f>
        <v>0</v>
      </c>
      <c r="AZ14" s="22" t="n">
        <f aca="false">MAX(0,MIN(AX14-AY14,$C14-(P14+T14+X14+AB14+AF14+AJ14+AN14+AR14+AV14)))</f>
        <v>0</v>
      </c>
      <c r="BA14" s="22" t="n">
        <f aca="false">ROUND(AX14-AY14-AZ14,2)</f>
        <v>0</v>
      </c>
    </row>
    <row r="15" customFormat="false" ht="15" hidden="false" customHeight="false" outlineLevel="0" collapsed="false">
      <c r="A15" s="0" t="n">
        <v>5</v>
      </c>
      <c r="B15" s="39" t="n">
        <f aca="false">EDATE(Borçlar!$K$7,4)</f>
        <v>46419</v>
      </c>
      <c r="C15" s="36" t="n">
        <f aca="false">MAX(0,SUM(Borçlar!$D$5:$D$14)-(O15+S15+W15+AA15+AE15+AI15+AM15+AQ15+AU15+AY15))</f>
        <v>0</v>
      </c>
      <c r="D15" s="36" t="n">
        <f aca="false">O15+P15+S15+T15+W15+X15+AA15+AB15+AE15+AF15+AI15+AJ15+AM15+AN15+AQ15+AR15+AU15+AV15+AY15+AZ15</f>
        <v>14000</v>
      </c>
      <c r="E15" s="36" t="n">
        <f aca="false">(N15+R15+V15+Z15+AD15+AH15+AL15+AP15+AT15+AX15)-(F14)</f>
        <v>7551.54194999998</v>
      </c>
      <c r="F15" s="36" t="n">
        <f aca="false">Q15+U15+Y15+AC15+AG15+AK15+AO15+AS15+AW15+BA15</f>
        <v>214281.23</v>
      </c>
      <c r="N15" s="22" t="n">
        <f aca="false">Q14*(1+D$7)</f>
        <v>25118.5935</v>
      </c>
      <c r="O15" s="22" t="n">
        <f aca="false">MIN(N15,D$8)</f>
        <v>1500</v>
      </c>
      <c r="P15" s="22" t="n">
        <f aca="false">MAX(0,MIN(N15-O15,$C15-(0)))</f>
        <v>0</v>
      </c>
      <c r="Q15" s="22" t="n">
        <f aca="false">ROUND(N15-O15-P15,2)</f>
        <v>23618.59</v>
      </c>
      <c r="R15" s="22" t="n">
        <f aca="false">U14*(1+E$7)</f>
        <v>61358.7843</v>
      </c>
      <c r="S15" s="22" t="n">
        <f aca="false">MIN(R15,E$8)</f>
        <v>3000</v>
      </c>
      <c r="T15" s="22" t="n">
        <f aca="false">MAX(0,MIN(R15-S15,$C15-(P15)))</f>
        <v>0</v>
      </c>
      <c r="U15" s="22" t="n">
        <f aca="false">ROUND(R15-S15-T15,2)</f>
        <v>58358.78</v>
      </c>
      <c r="V15" s="22" t="n">
        <f aca="false">Y14*(1+F$7)</f>
        <v>109803.86415</v>
      </c>
      <c r="W15" s="22" t="n">
        <f aca="false">MIN(V15,F$8)</f>
        <v>7500</v>
      </c>
      <c r="X15" s="22" t="n">
        <f aca="false">MAX(0,MIN(V15-W15,$C15-(P15+T15)))</f>
        <v>0</v>
      </c>
      <c r="Y15" s="22" t="n">
        <f aca="false">ROUND(V15-W15-X15,2)</f>
        <v>102303.86</v>
      </c>
      <c r="Z15" s="22" t="n">
        <f aca="false">AC14*(1+G$7)</f>
        <v>32000</v>
      </c>
      <c r="AA15" s="22" t="n">
        <f aca="false">MIN(Z15,G$8)</f>
        <v>2000</v>
      </c>
      <c r="AB15" s="22" t="n">
        <f aca="false">MAX(0,MIN(Z15-AA15,$C15-(P15+T15+X15)))</f>
        <v>0</v>
      </c>
      <c r="AC15" s="22" t="n">
        <f aca="false">ROUND(Z15-AA15-AB15,2)</f>
        <v>30000</v>
      </c>
      <c r="AD15" s="22" t="n">
        <f aca="false">AG14*(1+H$7)</f>
        <v>0</v>
      </c>
      <c r="AE15" s="22" t="n">
        <f aca="false">MIN(AD15,H$8)</f>
        <v>0</v>
      </c>
      <c r="AF15" s="22" t="n">
        <f aca="false">MAX(0,MIN(AD15-AE15,$C15-(P15+T15+X15+AB15)))</f>
        <v>0</v>
      </c>
      <c r="AG15" s="22" t="n">
        <f aca="false">ROUND(AD15-AE15-AF15,2)</f>
        <v>0</v>
      </c>
      <c r="AH15" s="22" t="n">
        <f aca="false">AK14*(1+I$7)</f>
        <v>0</v>
      </c>
      <c r="AI15" s="22" t="n">
        <f aca="false">MIN(AH15,I$8)</f>
        <v>0</v>
      </c>
      <c r="AJ15" s="22" t="n">
        <f aca="false">MAX(0,MIN(AH15-AI15,$C15-(P15+T15+X15+AB15+AF15)))</f>
        <v>0</v>
      </c>
      <c r="AK15" s="22" t="n">
        <f aca="false">ROUND(AH15-AI15-AJ15,2)</f>
        <v>0</v>
      </c>
      <c r="AL15" s="22" t="n">
        <f aca="false">AO14*(1+J$7)</f>
        <v>0</v>
      </c>
      <c r="AM15" s="22" t="n">
        <f aca="false">MIN(AL15,J$8)</f>
        <v>0</v>
      </c>
      <c r="AN15" s="22" t="n">
        <f aca="false">MAX(0,MIN(AL15-AM15,$C15-(P15+T15+X15+AB15+AF15+AJ15)))</f>
        <v>0</v>
      </c>
      <c r="AO15" s="22" t="n">
        <f aca="false">ROUND(AL15-AM15-AN15,2)</f>
        <v>0</v>
      </c>
      <c r="AP15" s="22" t="n">
        <f aca="false">AS14*(1+K$7)</f>
        <v>0</v>
      </c>
      <c r="AQ15" s="22" t="n">
        <f aca="false">MIN(AP15,K$8)</f>
        <v>0</v>
      </c>
      <c r="AR15" s="22" t="n">
        <f aca="false">MAX(0,MIN(AP15-AQ15,$C15-(P15+T15+X15+AB15+AF15+AJ15+AN15)))</f>
        <v>0</v>
      </c>
      <c r="AS15" s="22" t="n">
        <f aca="false">ROUND(AP15-AQ15-AR15,2)</f>
        <v>0</v>
      </c>
      <c r="AT15" s="22" t="n">
        <f aca="false">AW14*(1+L$7)</f>
        <v>0</v>
      </c>
      <c r="AU15" s="22" t="n">
        <f aca="false">MIN(AT15,L$8)</f>
        <v>0</v>
      </c>
      <c r="AV15" s="22" t="n">
        <f aca="false">MAX(0,MIN(AT15-AU15,$C15-(P15+T15+X15+AB15+AF15+AJ15+AN15+AR15)))</f>
        <v>0</v>
      </c>
      <c r="AW15" s="22" t="n">
        <f aca="false">ROUND(AT15-AU15-AV15,2)</f>
        <v>0</v>
      </c>
      <c r="AX15" s="22" t="n">
        <f aca="false">BA14*(1+M$7)</f>
        <v>0</v>
      </c>
      <c r="AY15" s="22" t="n">
        <f aca="false">MIN(AX15,M$8)</f>
        <v>0</v>
      </c>
      <c r="AZ15" s="22" t="n">
        <f aca="false">MAX(0,MIN(AX15-AY15,$C15-(P15+T15+X15+AB15+AF15+AJ15+AN15+AR15+AV15)))</f>
        <v>0</v>
      </c>
      <c r="BA15" s="22" t="n">
        <f aca="false">ROUND(AX15-AY15-AZ15,2)</f>
        <v>0</v>
      </c>
    </row>
    <row r="16" customFormat="false" ht="15" hidden="false" customHeight="false" outlineLevel="0" collapsed="false">
      <c r="A16" s="0" t="n">
        <v>6</v>
      </c>
      <c r="B16" s="39" t="n">
        <f aca="false">EDATE(Borçlar!$K$7,5)</f>
        <v>46447</v>
      </c>
      <c r="C16" s="36" t="n">
        <f aca="false">MAX(0,SUM(Borçlar!$D$5:$D$14)-(O16+S16+W16+AA16+AE16+AI16+AM16+AQ16+AU16+AY16))</f>
        <v>0</v>
      </c>
      <c r="D16" s="36" t="n">
        <f aca="false">O16+P16+S16+T16+W16+X16+AA16+AB16+AE16+AF16+AI16+AJ16+AM16+AN16+AQ16+AR16+AU16+AV16+AY16+AZ16</f>
        <v>14000</v>
      </c>
      <c r="E16" s="36" t="n">
        <f aca="false">(N16+R16+V16+Z16+AD16+AH16+AL16+AP16+AT16+AX16)-(F15)</f>
        <v>7387.70970000001</v>
      </c>
      <c r="F16" s="36" t="n">
        <f aca="false">Q16+U16+Y16+AC16+AG16+AK16+AO16+AS16+AW16+BA16</f>
        <v>207668.95</v>
      </c>
      <c r="N16" s="22" t="n">
        <f aca="false">Q15*(1+D$7)</f>
        <v>24799.5195</v>
      </c>
      <c r="O16" s="22" t="n">
        <f aca="false">MIN(N16,D$8)</f>
        <v>1500</v>
      </c>
      <c r="P16" s="22" t="n">
        <f aca="false">MAX(0,MIN(N16-O16,$C16-(0)))</f>
        <v>0</v>
      </c>
      <c r="Q16" s="22" t="n">
        <f aca="false">ROUND(N16-O16-P16,2)</f>
        <v>23299.52</v>
      </c>
      <c r="R16" s="22" t="n">
        <f aca="false">U15*(1+E$7)</f>
        <v>60984.9251</v>
      </c>
      <c r="S16" s="22" t="n">
        <f aca="false">MIN(R16,E$8)</f>
        <v>3000</v>
      </c>
      <c r="T16" s="22" t="n">
        <f aca="false">MAX(0,MIN(R16-S16,$C16-(P16)))</f>
        <v>0</v>
      </c>
      <c r="U16" s="22" t="n">
        <f aca="false">ROUND(R16-S16-T16,2)</f>
        <v>57984.93</v>
      </c>
      <c r="V16" s="22" t="n">
        <f aca="false">Y15*(1+F$7)</f>
        <v>105884.4951</v>
      </c>
      <c r="W16" s="22" t="n">
        <f aca="false">MIN(V16,F$8)</f>
        <v>7500</v>
      </c>
      <c r="X16" s="22" t="n">
        <f aca="false">MAX(0,MIN(V16-W16,$C16-(P16+T16)))</f>
        <v>0</v>
      </c>
      <c r="Y16" s="22" t="n">
        <f aca="false">ROUND(V16-W16-X16,2)</f>
        <v>98384.5</v>
      </c>
      <c r="Z16" s="22" t="n">
        <f aca="false">AC15*(1+G$7)</f>
        <v>30000</v>
      </c>
      <c r="AA16" s="22" t="n">
        <f aca="false">MIN(Z16,G$8)</f>
        <v>2000</v>
      </c>
      <c r="AB16" s="22" t="n">
        <f aca="false">MAX(0,MIN(Z16-AA16,$C16-(P16+T16+X16)))</f>
        <v>0</v>
      </c>
      <c r="AC16" s="22" t="n">
        <f aca="false">ROUND(Z16-AA16-AB16,2)</f>
        <v>28000</v>
      </c>
      <c r="AD16" s="22" t="n">
        <f aca="false">AG15*(1+H$7)</f>
        <v>0</v>
      </c>
      <c r="AE16" s="22" t="n">
        <f aca="false">MIN(AD16,H$8)</f>
        <v>0</v>
      </c>
      <c r="AF16" s="22" t="n">
        <f aca="false">MAX(0,MIN(AD16-AE16,$C16-(P16+T16+X16+AB16)))</f>
        <v>0</v>
      </c>
      <c r="AG16" s="22" t="n">
        <f aca="false">ROUND(AD16-AE16-AF16,2)</f>
        <v>0</v>
      </c>
      <c r="AH16" s="22" t="n">
        <f aca="false">AK15*(1+I$7)</f>
        <v>0</v>
      </c>
      <c r="AI16" s="22" t="n">
        <f aca="false">MIN(AH16,I$8)</f>
        <v>0</v>
      </c>
      <c r="AJ16" s="22" t="n">
        <f aca="false">MAX(0,MIN(AH16-AI16,$C16-(P16+T16+X16+AB16+AF16)))</f>
        <v>0</v>
      </c>
      <c r="AK16" s="22" t="n">
        <f aca="false">ROUND(AH16-AI16-AJ16,2)</f>
        <v>0</v>
      </c>
      <c r="AL16" s="22" t="n">
        <f aca="false">AO15*(1+J$7)</f>
        <v>0</v>
      </c>
      <c r="AM16" s="22" t="n">
        <f aca="false">MIN(AL16,J$8)</f>
        <v>0</v>
      </c>
      <c r="AN16" s="22" t="n">
        <f aca="false">MAX(0,MIN(AL16-AM16,$C16-(P16+T16+X16+AB16+AF16+AJ16)))</f>
        <v>0</v>
      </c>
      <c r="AO16" s="22" t="n">
        <f aca="false">ROUND(AL16-AM16-AN16,2)</f>
        <v>0</v>
      </c>
      <c r="AP16" s="22" t="n">
        <f aca="false">AS15*(1+K$7)</f>
        <v>0</v>
      </c>
      <c r="AQ16" s="22" t="n">
        <f aca="false">MIN(AP16,K$8)</f>
        <v>0</v>
      </c>
      <c r="AR16" s="22" t="n">
        <f aca="false">MAX(0,MIN(AP16-AQ16,$C16-(P16+T16+X16+AB16+AF16+AJ16+AN16)))</f>
        <v>0</v>
      </c>
      <c r="AS16" s="22" t="n">
        <f aca="false">ROUND(AP16-AQ16-AR16,2)</f>
        <v>0</v>
      </c>
      <c r="AT16" s="22" t="n">
        <f aca="false">AW15*(1+L$7)</f>
        <v>0</v>
      </c>
      <c r="AU16" s="22" t="n">
        <f aca="false">MIN(AT16,L$8)</f>
        <v>0</v>
      </c>
      <c r="AV16" s="22" t="n">
        <f aca="false">MAX(0,MIN(AT16-AU16,$C16-(P16+T16+X16+AB16+AF16+AJ16+AN16+AR16)))</f>
        <v>0</v>
      </c>
      <c r="AW16" s="22" t="n">
        <f aca="false">ROUND(AT16-AU16-AV16,2)</f>
        <v>0</v>
      </c>
      <c r="AX16" s="22" t="n">
        <f aca="false">BA15*(1+M$7)</f>
        <v>0</v>
      </c>
      <c r="AY16" s="22" t="n">
        <f aca="false">MIN(AX16,M$8)</f>
        <v>0</v>
      </c>
      <c r="AZ16" s="22" t="n">
        <f aca="false">MAX(0,MIN(AX16-AY16,$C16-(P16+T16+X16+AB16+AF16+AJ16+AN16+AR16+AV16)))</f>
        <v>0</v>
      </c>
      <c r="BA16" s="22" t="n">
        <f aca="false">ROUND(AX16-AY16-AZ16,2)</f>
        <v>0</v>
      </c>
    </row>
    <row r="17" customFormat="false" ht="15" hidden="false" customHeight="false" outlineLevel="0" collapsed="false">
      <c r="A17" s="0" t="n">
        <v>7</v>
      </c>
      <c r="B17" s="39" t="n">
        <f aca="false">EDATE(Borçlar!$K$7,6)</f>
        <v>46478</v>
      </c>
      <c r="C17" s="36" t="n">
        <f aca="false">MAX(0,SUM(Borçlar!$D$5:$D$14)-(O17+S17+W17+AA17+AE17+AI17+AM17+AQ17+AU17+AY17))</f>
        <v>0</v>
      </c>
      <c r="D17" s="36" t="n">
        <f aca="false">O17+P17+S17+T17+W17+X17+AA17+AB17+AE17+AF17+AI17+AJ17+AM17+AN17+AQ17+AR17+AU17+AV17+AY17+AZ17</f>
        <v>14000</v>
      </c>
      <c r="E17" s="36" t="n">
        <f aca="false">(N17+R17+V17+Z17+AD17+AH17+AL17+AP17+AT17+AX17)-(F16)</f>
        <v>7217.75534999999</v>
      </c>
      <c r="F17" s="36" t="n">
        <f aca="false">Q17+U17+Y17+AC17+AG17+AK17+AO17+AS17+AW17+BA17</f>
        <v>200886.71</v>
      </c>
      <c r="N17" s="22" t="n">
        <f aca="false">Q16*(1+D$7)</f>
        <v>24464.496</v>
      </c>
      <c r="O17" s="22" t="n">
        <f aca="false">MIN(N17,D$8)</f>
        <v>1500</v>
      </c>
      <c r="P17" s="22" t="n">
        <f aca="false">MAX(0,MIN(N17-O17,$C17-(0)))</f>
        <v>0</v>
      </c>
      <c r="Q17" s="22" t="n">
        <f aca="false">ROUND(N17-O17-P17,2)</f>
        <v>22964.5</v>
      </c>
      <c r="R17" s="22" t="n">
        <f aca="false">U16*(1+E$7)</f>
        <v>60594.25185</v>
      </c>
      <c r="S17" s="22" t="n">
        <f aca="false">MIN(R17,E$8)</f>
        <v>3000</v>
      </c>
      <c r="T17" s="22" t="n">
        <f aca="false">MAX(0,MIN(R17-S17,$C17-(P17)))</f>
        <v>0</v>
      </c>
      <c r="U17" s="22" t="n">
        <f aca="false">ROUND(R17-S17-T17,2)</f>
        <v>57594.25</v>
      </c>
      <c r="V17" s="22" t="n">
        <f aca="false">Y16*(1+F$7)</f>
        <v>101827.9575</v>
      </c>
      <c r="W17" s="22" t="n">
        <f aca="false">MIN(V17,F$8)</f>
        <v>7500</v>
      </c>
      <c r="X17" s="22" t="n">
        <f aca="false">MAX(0,MIN(V17-W17,$C17-(P17+T17)))</f>
        <v>0</v>
      </c>
      <c r="Y17" s="22" t="n">
        <f aca="false">ROUND(V17-W17-X17,2)</f>
        <v>94327.96</v>
      </c>
      <c r="Z17" s="22" t="n">
        <f aca="false">AC16*(1+G$7)</f>
        <v>28000</v>
      </c>
      <c r="AA17" s="22" t="n">
        <f aca="false">MIN(Z17,G$8)</f>
        <v>2000</v>
      </c>
      <c r="AB17" s="22" t="n">
        <f aca="false">MAX(0,MIN(Z17-AA17,$C17-(P17+T17+X17)))</f>
        <v>0</v>
      </c>
      <c r="AC17" s="22" t="n">
        <f aca="false">ROUND(Z17-AA17-AB17,2)</f>
        <v>26000</v>
      </c>
      <c r="AD17" s="22" t="n">
        <f aca="false">AG16*(1+H$7)</f>
        <v>0</v>
      </c>
      <c r="AE17" s="22" t="n">
        <f aca="false">MIN(AD17,H$8)</f>
        <v>0</v>
      </c>
      <c r="AF17" s="22" t="n">
        <f aca="false">MAX(0,MIN(AD17-AE17,$C17-(P17+T17+X17+AB17)))</f>
        <v>0</v>
      </c>
      <c r="AG17" s="22" t="n">
        <f aca="false">ROUND(AD17-AE17-AF17,2)</f>
        <v>0</v>
      </c>
      <c r="AH17" s="22" t="n">
        <f aca="false">AK16*(1+I$7)</f>
        <v>0</v>
      </c>
      <c r="AI17" s="22" t="n">
        <f aca="false">MIN(AH17,I$8)</f>
        <v>0</v>
      </c>
      <c r="AJ17" s="22" t="n">
        <f aca="false">MAX(0,MIN(AH17-AI17,$C17-(P17+T17+X17+AB17+AF17)))</f>
        <v>0</v>
      </c>
      <c r="AK17" s="22" t="n">
        <f aca="false">ROUND(AH17-AI17-AJ17,2)</f>
        <v>0</v>
      </c>
      <c r="AL17" s="22" t="n">
        <f aca="false">AO16*(1+J$7)</f>
        <v>0</v>
      </c>
      <c r="AM17" s="22" t="n">
        <f aca="false">MIN(AL17,J$8)</f>
        <v>0</v>
      </c>
      <c r="AN17" s="22" t="n">
        <f aca="false">MAX(0,MIN(AL17-AM17,$C17-(P17+T17+X17+AB17+AF17+AJ17)))</f>
        <v>0</v>
      </c>
      <c r="AO17" s="22" t="n">
        <f aca="false">ROUND(AL17-AM17-AN17,2)</f>
        <v>0</v>
      </c>
      <c r="AP17" s="22" t="n">
        <f aca="false">AS16*(1+K$7)</f>
        <v>0</v>
      </c>
      <c r="AQ17" s="22" t="n">
        <f aca="false">MIN(AP17,K$8)</f>
        <v>0</v>
      </c>
      <c r="AR17" s="22" t="n">
        <f aca="false">MAX(0,MIN(AP17-AQ17,$C17-(P17+T17+X17+AB17+AF17+AJ17+AN17)))</f>
        <v>0</v>
      </c>
      <c r="AS17" s="22" t="n">
        <f aca="false">ROUND(AP17-AQ17-AR17,2)</f>
        <v>0</v>
      </c>
      <c r="AT17" s="22" t="n">
        <f aca="false">AW16*(1+L$7)</f>
        <v>0</v>
      </c>
      <c r="AU17" s="22" t="n">
        <f aca="false">MIN(AT17,L$8)</f>
        <v>0</v>
      </c>
      <c r="AV17" s="22" t="n">
        <f aca="false">MAX(0,MIN(AT17-AU17,$C17-(P17+T17+X17+AB17+AF17+AJ17+AN17+AR17)))</f>
        <v>0</v>
      </c>
      <c r="AW17" s="22" t="n">
        <f aca="false">ROUND(AT17-AU17-AV17,2)</f>
        <v>0</v>
      </c>
      <c r="AX17" s="22" t="n">
        <f aca="false">BA16*(1+M$7)</f>
        <v>0</v>
      </c>
      <c r="AY17" s="22" t="n">
        <f aca="false">MIN(AX17,M$8)</f>
        <v>0</v>
      </c>
      <c r="AZ17" s="22" t="n">
        <f aca="false">MAX(0,MIN(AX17-AY17,$C17-(P17+T17+X17+AB17+AF17+AJ17+AN17+AR17+AV17)))</f>
        <v>0</v>
      </c>
      <c r="BA17" s="22" t="n">
        <f aca="false">ROUND(AX17-AY17-AZ17,2)</f>
        <v>0</v>
      </c>
    </row>
    <row r="18" customFormat="false" ht="15" hidden="false" customHeight="false" outlineLevel="0" collapsed="false">
      <c r="A18" s="0" t="n">
        <v>8</v>
      </c>
      <c r="B18" s="39" t="n">
        <f aca="false">EDATE(Borçlar!$K$7,7)</f>
        <v>46508</v>
      </c>
      <c r="C18" s="36" t="n">
        <f aca="false">MAX(0,SUM(Borçlar!$D$5:$D$14)-(O18+S18+W18+AA18+AE18+AI18+AM18+AQ18+AU18+AY18))</f>
        <v>0</v>
      </c>
      <c r="D18" s="36" t="n">
        <f aca="false">O18+P18+S18+T18+W18+X18+AA18+AB18+AE18+AF18+AI18+AJ18+AM18+AN18+AQ18+AR18+AU18+AV18+AY18+AZ18</f>
        <v>14000</v>
      </c>
      <c r="E18" s="36" t="n">
        <f aca="false">(N18+R18+V18+Z18+AD18+AH18+AL18+AP18+AT18+AX18)-(F17)</f>
        <v>7041.44484999997</v>
      </c>
      <c r="F18" s="36" t="n">
        <f aca="false">Q18+U18+Y18+AC18+AG18+AK18+AO18+AS18+AW18+BA18</f>
        <v>193928.16</v>
      </c>
      <c r="N18" s="22" t="n">
        <f aca="false">Q17*(1+D$7)</f>
        <v>24112.725</v>
      </c>
      <c r="O18" s="22" t="n">
        <f aca="false">MIN(N18,D$8)</f>
        <v>1500</v>
      </c>
      <c r="P18" s="22" t="n">
        <f aca="false">MAX(0,MIN(N18-O18,$C18-(0)))</f>
        <v>0</v>
      </c>
      <c r="Q18" s="22" t="n">
        <f aca="false">ROUND(N18-O18-P18,2)</f>
        <v>22612.73</v>
      </c>
      <c r="R18" s="22" t="n">
        <f aca="false">U17*(1+E$7)</f>
        <v>60185.99125</v>
      </c>
      <c r="S18" s="22" t="n">
        <f aca="false">MIN(R18,E$8)</f>
        <v>3000</v>
      </c>
      <c r="T18" s="22" t="n">
        <f aca="false">MAX(0,MIN(R18-S18,$C18-(P18)))</f>
        <v>0</v>
      </c>
      <c r="U18" s="22" t="n">
        <f aca="false">ROUND(R18-S18-T18,2)</f>
        <v>57185.99</v>
      </c>
      <c r="V18" s="22" t="n">
        <f aca="false">Y17*(1+F$7)</f>
        <v>97629.4386</v>
      </c>
      <c r="W18" s="22" t="n">
        <f aca="false">MIN(V18,F$8)</f>
        <v>7500</v>
      </c>
      <c r="X18" s="22" t="n">
        <f aca="false">MAX(0,MIN(V18-W18,$C18-(P18+T18)))</f>
        <v>0</v>
      </c>
      <c r="Y18" s="22" t="n">
        <f aca="false">ROUND(V18-W18-X18,2)</f>
        <v>90129.44</v>
      </c>
      <c r="Z18" s="22" t="n">
        <f aca="false">AC17*(1+G$7)</f>
        <v>26000</v>
      </c>
      <c r="AA18" s="22" t="n">
        <f aca="false">MIN(Z18,G$8)</f>
        <v>2000</v>
      </c>
      <c r="AB18" s="22" t="n">
        <f aca="false">MAX(0,MIN(Z18-AA18,$C18-(P18+T18+X18)))</f>
        <v>0</v>
      </c>
      <c r="AC18" s="22" t="n">
        <f aca="false">ROUND(Z18-AA18-AB18,2)</f>
        <v>24000</v>
      </c>
      <c r="AD18" s="22" t="n">
        <f aca="false">AG17*(1+H$7)</f>
        <v>0</v>
      </c>
      <c r="AE18" s="22" t="n">
        <f aca="false">MIN(AD18,H$8)</f>
        <v>0</v>
      </c>
      <c r="AF18" s="22" t="n">
        <f aca="false">MAX(0,MIN(AD18-AE18,$C18-(P18+T18+X18+AB18)))</f>
        <v>0</v>
      </c>
      <c r="AG18" s="22" t="n">
        <f aca="false">ROUND(AD18-AE18-AF18,2)</f>
        <v>0</v>
      </c>
      <c r="AH18" s="22" t="n">
        <f aca="false">AK17*(1+I$7)</f>
        <v>0</v>
      </c>
      <c r="AI18" s="22" t="n">
        <f aca="false">MIN(AH18,I$8)</f>
        <v>0</v>
      </c>
      <c r="AJ18" s="22" t="n">
        <f aca="false">MAX(0,MIN(AH18-AI18,$C18-(P18+T18+X18+AB18+AF18)))</f>
        <v>0</v>
      </c>
      <c r="AK18" s="22" t="n">
        <f aca="false">ROUND(AH18-AI18-AJ18,2)</f>
        <v>0</v>
      </c>
      <c r="AL18" s="22" t="n">
        <f aca="false">AO17*(1+J$7)</f>
        <v>0</v>
      </c>
      <c r="AM18" s="22" t="n">
        <f aca="false">MIN(AL18,J$8)</f>
        <v>0</v>
      </c>
      <c r="AN18" s="22" t="n">
        <f aca="false">MAX(0,MIN(AL18-AM18,$C18-(P18+T18+X18+AB18+AF18+AJ18)))</f>
        <v>0</v>
      </c>
      <c r="AO18" s="22" t="n">
        <f aca="false">ROUND(AL18-AM18-AN18,2)</f>
        <v>0</v>
      </c>
      <c r="AP18" s="22" t="n">
        <f aca="false">AS17*(1+K$7)</f>
        <v>0</v>
      </c>
      <c r="AQ18" s="22" t="n">
        <f aca="false">MIN(AP18,K$8)</f>
        <v>0</v>
      </c>
      <c r="AR18" s="22" t="n">
        <f aca="false">MAX(0,MIN(AP18-AQ18,$C18-(P18+T18+X18+AB18+AF18+AJ18+AN18)))</f>
        <v>0</v>
      </c>
      <c r="AS18" s="22" t="n">
        <f aca="false">ROUND(AP18-AQ18-AR18,2)</f>
        <v>0</v>
      </c>
      <c r="AT18" s="22" t="n">
        <f aca="false">AW17*(1+L$7)</f>
        <v>0</v>
      </c>
      <c r="AU18" s="22" t="n">
        <f aca="false">MIN(AT18,L$8)</f>
        <v>0</v>
      </c>
      <c r="AV18" s="22" t="n">
        <f aca="false">MAX(0,MIN(AT18-AU18,$C18-(P18+T18+X18+AB18+AF18+AJ18+AN18+AR18)))</f>
        <v>0</v>
      </c>
      <c r="AW18" s="22" t="n">
        <f aca="false">ROUND(AT18-AU18-AV18,2)</f>
        <v>0</v>
      </c>
      <c r="AX18" s="22" t="n">
        <f aca="false">BA17*(1+M$7)</f>
        <v>0</v>
      </c>
      <c r="AY18" s="22" t="n">
        <f aca="false">MIN(AX18,M$8)</f>
        <v>0</v>
      </c>
      <c r="AZ18" s="22" t="n">
        <f aca="false">MAX(0,MIN(AX18-AY18,$C18-(P18+T18+X18+AB18+AF18+AJ18+AN18+AR18+AV18)))</f>
        <v>0</v>
      </c>
      <c r="BA18" s="22" t="n">
        <f aca="false">ROUND(AX18-AY18-AZ18,2)</f>
        <v>0</v>
      </c>
    </row>
    <row r="19" customFormat="false" ht="15" hidden="false" customHeight="false" outlineLevel="0" collapsed="false">
      <c r="A19" s="0" t="n">
        <v>9</v>
      </c>
      <c r="B19" s="39" t="n">
        <f aca="false">EDATE(Borçlar!$K$7,8)</f>
        <v>46539</v>
      </c>
      <c r="C19" s="36" t="n">
        <f aca="false">MAX(0,SUM(Borçlar!$D$5:$D$14)-(O19+S19+W19+AA19+AE19+AI19+AM19+AQ19+AU19+AY19))</f>
        <v>0</v>
      </c>
      <c r="D19" s="36" t="n">
        <f aca="false">O19+P19+S19+T19+W19+X19+AA19+AB19+AE19+AF19+AI19+AJ19+AM19+AN19+AQ19+AR19+AU19+AV19+AY19+AZ19</f>
        <v>14000</v>
      </c>
      <c r="E19" s="36" t="n">
        <f aca="false">(N19+R19+V19+Z19+AD19+AH19+AL19+AP19+AT19+AX19)-(F18)</f>
        <v>6858.53644999999</v>
      </c>
      <c r="F19" s="36" t="n">
        <f aca="false">Q19+U19+Y19+AC19+AG19+AK19+AO19+AS19+AW19+BA19</f>
        <v>186786.7</v>
      </c>
      <c r="N19" s="22" t="n">
        <f aca="false">Q18*(1+D$7)</f>
        <v>23743.3665</v>
      </c>
      <c r="O19" s="22" t="n">
        <f aca="false">MIN(N19,D$8)</f>
        <v>1500</v>
      </c>
      <c r="P19" s="22" t="n">
        <f aca="false">MAX(0,MIN(N19-O19,$C19-(0)))</f>
        <v>0</v>
      </c>
      <c r="Q19" s="22" t="n">
        <f aca="false">ROUND(N19-O19-P19,2)</f>
        <v>22243.37</v>
      </c>
      <c r="R19" s="22" t="n">
        <f aca="false">U18*(1+E$7)</f>
        <v>59759.35955</v>
      </c>
      <c r="S19" s="22" t="n">
        <f aca="false">MIN(R19,E$8)</f>
        <v>3000</v>
      </c>
      <c r="T19" s="22" t="n">
        <f aca="false">MAX(0,MIN(R19-S19,$C19-(P19)))</f>
        <v>0</v>
      </c>
      <c r="U19" s="22" t="n">
        <f aca="false">ROUND(R19-S19-T19,2)</f>
        <v>56759.36</v>
      </c>
      <c r="V19" s="22" t="n">
        <f aca="false">Y18*(1+F$7)</f>
        <v>93283.9704</v>
      </c>
      <c r="W19" s="22" t="n">
        <f aca="false">MIN(V19,F$8)</f>
        <v>7500</v>
      </c>
      <c r="X19" s="22" t="n">
        <f aca="false">MAX(0,MIN(V19-W19,$C19-(P19+T19)))</f>
        <v>0</v>
      </c>
      <c r="Y19" s="22" t="n">
        <f aca="false">ROUND(V19-W19-X19,2)</f>
        <v>85783.97</v>
      </c>
      <c r="Z19" s="22" t="n">
        <f aca="false">AC18*(1+G$7)</f>
        <v>24000</v>
      </c>
      <c r="AA19" s="22" t="n">
        <f aca="false">MIN(Z19,G$8)</f>
        <v>2000</v>
      </c>
      <c r="AB19" s="22" t="n">
        <f aca="false">MAX(0,MIN(Z19-AA19,$C19-(P19+T19+X19)))</f>
        <v>0</v>
      </c>
      <c r="AC19" s="22" t="n">
        <f aca="false">ROUND(Z19-AA19-AB19,2)</f>
        <v>22000</v>
      </c>
      <c r="AD19" s="22" t="n">
        <f aca="false">AG18*(1+H$7)</f>
        <v>0</v>
      </c>
      <c r="AE19" s="22" t="n">
        <f aca="false">MIN(AD19,H$8)</f>
        <v>0</v>
      </c>
      <c r="AF19" s="22" t="n">
        <f aca="false">MAX(0,MIN(AD19-AE19,$C19-(P19+T19+X19+AB19)))</f>
        <v>0</v>
      </c>
      <c r="AG19" s="22" t="n">
        <f aca="false">ROUND(AD19-AE19-AF19,2)</f>
        <v>0</v>
      </c>
      <c r="AH19" s="22" t="n">
        <f aca="false">AK18*(1+I$7)</f>
        <v>0</v>
      </c>
      <c r="AI19" s="22" t="n">
        <f aca="false">MIN(AH19,I$8)</f>
        <v>0</v>
      </c>
      <c r="AJ19" s="22" t="n">
        <f aca="false">MAX(0,MIN(AH19-AI19,$C19-(P19+T19+X19+AB19+AF19)))</f>
        <v>0</v>
      </c>
      <c r="AK19" s="22" t="n">
        <f aca="false">ROUND(AH19-AI19-AJ19,2)</f>
        <v>0</v>
      </c>
      <c r="AL19" s="22" t="n">
        <f aca="false">AO18*(1+J$7)</f>
        <v>0</v>
      </c>
      <c r="AM19" s="22" t="n">
        <f aca="false">MIN(AL19,J$8)</f>
        <v>0</v>
      </c>
      <c r="AN19" s="22" t="n">
        <f aca="false">MAX(0,MIN(AL19-AM19,$C19-(P19+T19+X19+AB19+AF19+AJ19)))</f>
        <v>0</v>
      </c>
      <c r="AO19" s="22" t="n">
        <f aca="false">ROUND(AL19-AM19-AN19,2)</f>
        <v>0</v>
      </c>
      <c r="AP19" s="22" t="n">
        <f aca="false">AS18*(1+K$7)</f>
        <v>0</v>
      </c>
      <c r="AQ19" s="22" t="n">
        <f aca="false">MIN(AP19,K$8)</f>
        <v>0</v>
      </c>
      <c r="AR19" s="22" t="n">
        <f aca="false">MAX(0,MIN(AP19-AQ19,$C19-(P19+T19+X19+AB19+AF19+AJ19+AN19)))</f>
        <v>0</v>
      </c>
      <c r="AS19" s="22" t="n">
        <f aca="false">ROUND(AP19-AQ19-AR19,2)</f>
        <v>0</v>
      </c>
      <c r="AT19" s="22" t="n">
        <f aca="false">AW18*(1+L$7)</f>
        <v>0</v>
      </c>
      <c r="AU19" s="22" t="n">
        <f aca="false">MIN(AT19,L$8)</f>
        <v>0</v>
      </c>
      <c r="AV19" s="22" t="n">
        <f aca="false">MAX(0,MIN(AT19-AU19,$C19-(P19+T19+X19+AB19+AF19+AJ19+AN19+AR19)))</f>
        <v>0</v>
      </c>
      <c r="AW19" s="22" t="n">
        <f aca="false">ROUND(AT19-AU19-AV19,2)</f>
        <v>0</v>
      </c>
      <c r="AX19" s="22" t="n">
        <f aca="false">BA18*(1+M$7)</f>
        <v>0</v>
      </c>
      <c r="AY19" s="22" t="n">
        <f aca="false">MIN(AX19,M$8)</f>
        <v>0</v>
      </c>
      <c r="AZ19" s="22" t="n">
        <f aca="false">MAX(0,MIN(AX19-AY19,$C19-(P19+T19+X19+AB19+AF19+AJ19+AN19+AR19+AV19)))</f>
        <v>0</v>
      </c>
      <c r="BA19" s="22" t="n">
        <f aca="false">ROUND(AX19-AY19-AZ19,2)</f>
        <v>0</v>
      </c>
    </row>
    <row r="20" customFormat="false" ht="15" hidden="false" customHeight="false" outlineLevel="0" collapsed="false">
      <c r="A20" s="0" t="n">
        <v>10</v>
      </c>
      <c r="B20" s="39" t="n">
        <f aca="false">EDATE(Borçlar!$K$7,9)</f>
        <v>46569</v>
      </c>
      <c r="C20" s="36" t="n">
        <f aca="false">MAX(0,SUM(Borçlar!$D$5:$D$14)-(O20+S20+W20+AA20+AE20+AI20+AM20+AQ20+AU20+AY20))</f>
        <v>0</v>
      </c>
      <c r="D20" s="36" t="n">
        <f aca="false">O20+P20+S20+T20+W20+X20+AA20+AB20+AE20+AF20+AI20+AJ20+AM20+AN20+AQ20+AR20+AU20+AV20+AY20+AZ20</f>
        <v>14000</v>
      </c>
      <c r="E20" s="36" t="n">
        <f aca="false">(N20+R20+V20+Z20+AD20+AH20+AL20+AP20+AT20+AX20)-(F19)</f>
        <v>6668.77864999999</v>
      </c>
      <c r="F20" s="36" t="n">
        <f aca="false">Q20+U20+Y20+AC20+AG20+AK20+AO20+AS20+AW20+BA20</f>
        <v>179455.48</v>
      </c>
      <c r="N20" s="22" t="n">
        <f aca="false">Q19*(1+D$7)</f>
        <v>23355.5385</v>
      </c>
      <c r="O20" s="22" t="n">
        <f aca="false">MIN(N20,D$8)</f>
        <v>1500</v>
      </c>
      <c r="P20" s="22" t="n">
        <f aca="false">MAX(0,MIN(N20-O20,$C20-(0)))</f>
        <v>0</v>
      </c>
      <c r="Q20" s="22" t="n">
        <f aca="false">ROUND(N20-O20-P20,2)</f>
        <v>21855.54</v>
      </c>
      <c r="R20" s="22" t="n">
        <f aca="false">U19*(1+E$7)</f>
        <v>59313.5312</v>
      </c>
      <c r="S20" s="22" t="n">
        <f aca="false">MIN(R20,E$8)</f>
        <v>3000</v>
      </c>
      <c r="T20" s="22" t="n">
        <f aca="false">MAX(0,MIN(R20-S20,$C20-(P20)))</f>
        <v>0</v>
      </c>
      <c r="U20" s="22" t="n">
        <f aca="false">ROUND(R20-S20-T20,2)</f>
        <v>56313.53</v>
      </c>
      <c r="V20" s="22" t="n">
        <f aca="false">Y19*(1+F$7)</f>
        <v>88786.40895</v>
      </c>
      <c r="W20" s="22" t="n">
        <f aca="false">MIN(V20,F$8)</f>
        <v>7500</v>
      </c>
      <c r="X20" s="22" t="n">
        <f aca="false">MAX(0,MIN(V20-W20,$C20-(P20+T20)))</f>
        <v>0</v>
      </c>
      <c r="Y20" s="22" t="n">
        <f aca="false">ROUND(V20-W20-X20,2)</f>
        <v>81286.41</v>
      </c>
      <c r="Z20" s="22" t="n">
        <f aca="false">AC19*(1+G$7)</f>
        <v>22000</v>
      </c>
      <c r="AA20" s="22" t="n">
        <f aca="false">MIN(Z20,G$8)</f>
        <v>2000</v>
      </c>
      <c r="AB20" s="22" t="n">
        <f aca="false">MAX(0,MIN(Z20-AA20,$C20-(P20+T20+X20)))</f>
        <v>0</v>
      </c>
      <c r="AC20" s="22" t="n">
        <f aca="false">ROUND(Z20-AA20-AB20,2)</f>
        <v>20000</v>
      </c>
      <c r="AD20" s="22" t="n">
        <f aca="false">AG19*(1+H$7)</f>
        <v>0</v>
      </c>
      <c r="AE20" s="22" t="n">
        <f aca="false">MIN(AD20,H$8)</f>
        <v>0</v>
      </c>
      <c r="AF20" s="22" t="n">
        <f aca="false">MAX(0,MIN(AD20-AE20,$C20-(P20+T20+X20+AB20)))</f>
        <v>0</v>
      </c>
      <c r="AG20" s="22" t="n">
        <f aca="false">ROUND(AD20-AE20-AF20,2)</f>
        <v>0</v>
      </c>
      <c r="AH20" s="22" t="n">
        <f aca="false">AK19*(1+I$7)</f>
        <v>0</v>
      </c>
      <c r="AI20" s="22" t="n">
        <f aca="false">MIN(AH20,I$8)</f>
        <v>0</v>
      </c>
      <c r="AJ20" s="22" t="n">
        <f aca="false">MAX(0,MIN(AH20-AI20,$C20-(P20+T20+X20+AB20+AF20)))</f>
        <v>0</v>
      </c>
      <c r="AK20" s="22" t="n">
        <f aca="false">ROUND(AH20-AI20-AJ20,2)</f>
        <v>0</v>
      </c>
      <c r="AL20" s="22" t="n">
        <f aca="false">AO19*(1+J$7)</f>
        <v>0</v>
      </c>
      <c r="AM20" s="22" t="n">
        <f aca="false">MIN(AL20,J$8)</f>
        <v>0</v>
      </c>
      <c r="AN20" s="22" t="n">
        <f aca="false">MAX(0,MIN(AL20-AM20,$C20-(P20+T20+X20+AB20+AF20+AJ20)))</f>
        <v>0</v>
      </c>
      <c r="AO20" s="22" t="n">
        <f aca="false">ROUND(AL20-AM20-AN20,2)</f>
        <v>0</v>
      </c>
      <c r="AP20" s="22" t="n">
        <f aca="false">AS19*(1+K$7)</f>
        <v>0</v>
      </c>
      <c r="AQ20" s="22" t="n">
        <f aca="false">MIN(AP20,K$8)</f>
        <v>0</v>
      </c>
      <c r="AR20" s="22" t="n">
        <f aca="false">MAX(0,MIN(AP20-AQ20,$C20-(P20+T20+X20+AB20+AF20+AJ20+AN20)))</f>
        <v>0</v>
      </c>
      <c r="AS20" s="22" t="n">
        <f aca="false">ROUND(AP20-AQ20-AR20,2)</f>
        <v>0</v>
      </c>
      <c r="AT20" s="22" t="n">
        <f aca="false">AW19*(1+L$7)</f>
        <v>0</v>
      </c>
      <c r="AU20" s="22" t="n">
        <f aca="false">MIN(AT20,L$8)</f>
        <v>0</v>
      </c>
      <c r="AV20" s="22" t="n">
        <f aca="false">MAX(0,MIN(AT20-AU20,$C20-(P20+T20+X20+AB20+AF20+AJ20+AN20+AR20)))</f>
        <v>0</v>
      </c>
      <c r="AW20" s="22" t="n">
        <f aca="false">ROUND(AT20-AU20-AV20,2)</f>
        <v>0</v>
      </c>
      <c r="AX20" s="22" t="n">
        <f aca="false">BA19*(1+M$7)</f>
        <v>0</v>
      </c>
      <c r="AY20" s="22" t="n">
        <f aca="false">MIN(AX20,M$8)</f>
        <v>0</v>
      </c>
      <c r="AZ20" s="22" t="n">
        <f aca="false">MAX(0,MIN(AX20-AY20,$C20-(P20+T20+X20+AB20+AF20+AJ20+AN20+AR20+AV20)))</f>
        <v>0</v>
      </c>
      <c r="BA20" s="22" t="n">
        <f aca="false">ROUND(AX20-AY20-AZ20,2)</f>
        <v>0</v>
      </c>
    </row>
    <row r="21" customFormat="false" ht="15" hidden="false" customHeight="false" outlineLevel="0" collapsed="false">
      <c r="A21" s="0" t="n">
        <v>11</v>
      </c>
      <c r="B21" s="39" t="n">
        <f aca="false">EDATE(Borçlar!$K$7,10)</f>
        <v>46600</v>
      </c>
      <c r="C21" s="36" t="n">
        <f aca="false">MAX(0,SUM(Borçlar!$D$5:$D$14)-(O21+S21+W21+AA21+AE21+AI21+AM21+AQ21+AU21+AY21))</f>
        <v>0</v>
      </c>
      <c r="D21" s="36" t="n">
        <f aca="false">O21+P21+S21+T21+W21+X21+AA21+AB21+AE21+AF21+AI21+AJ21+AM21+AN21+AQ21+AR21+AU21+AV21+AY21+AZ21</f>
        <v>14000</v>
      </c>
      <c r="E21" s="36" t="n">
        <f aca="false">(N21+R21+V21+Z21+AD21+AH21+AL21+AP21+AT21+AX21)-(F20)</f>
        <v>6471.91019999998</v>
      </c>
      <c r="F21" s="36" t="n">
        <f aca="false">Q21+U21+Y21+AC21+AG21+AK21+AO21+AS21+AW21+BA21</f>
        <v>171927.39</v>
      </c>
      <c r="N21" s="22" t="n">
        <f aca="false">Q20*(1+D$7)</f>
        <v>22948.317</v>
      </c>
      <c r="O21" s="22" t="n">
        <f aca="false">MIN(N21,D$8)</f>
        <v>1500</v>
      </c>
      <c r="P21" s="22" t="n">
        <f aca="false">MAX(0,MIN(N21-O21,$C21-(0)))</f>
        <v>0</v>
      </c>
      <c r="Q21" s="22" t="n">
        <f aca="false">ROUND(N21-O21-P21,2)</f>
        <v>21448.32</v>
      </c>
      <c r="R21" s="22" t="n">
        <f aca="false">U20*(1+E$7)</f>
        <v>58847.63885</v>
      </c>
      <c r="S21" s="22" t="n">
        <f aca="false">MIN(R21,E$8)</f>
        <v>3000</v>
      </c>
      <c r="T21" s="22" t="n">
        <f aca="false">MAX(0,MIN(R21-S21,$C21-(P21)))</f>
        <v>0</v>
      </c>
      <c r="U21" s="22" t="n">
        <f aca="false">ROUND(R21-S21-T21,2)</f>
        <v>55847.64</v>
      </c>
      <c r="V21" s="22" t="n">
        <f aca="false">Y20*(1+F$7)</f>
        <v>84131.43435</v>
      </c>
      <c r="W21" s="22" t="n">
        <f aca="false">MIN(V21,F$8)</f>
        <v>7500</v>
      </c>
      <c r="X21" s="22" t="n">
        <f aca="false">MAX(0,MIN(V21-W21,$C21-(P21+T21)))</f>
        <v>0</v>
      </c>
      <c r="Y21" s="22" t="n">
        <f aca="false">ROUND(V21-W21-X21,2)</f>
        <v>76631.43</v>
      </c>
      <c r="Z21" s="22" t="n">
        <f aca="false">AC20*(1+G$7)</f>
        <v>20000</v>
      </c>
      <c r="AA21" s="22" t="n">
        <f aca="false">MIN(Z21,G$8)</f>
        <v>2000</v>
      </c>
      <c r="AB21" s="22" t="n">
        <f aca="false">MAX(0,MIN(Z21-AA21,$C21-(P21+T21+X21)))</f>
        <v>0</v>
      </c>
      <c r="AC21" s="22" t="n">
        <f aca="false">ROUND(Z21-AA21-AB21,2)</f>
        <v>18000</v>
      </c>
      <c r="AD21" s="22" t="n">
        <f aca="false">AG20*(1+H$7)</f>
        <v>0</v>
      </c>
      <c r="AE21" s="22" t="n">
        <f aca="false">MIN(AD21,H$8)</f>
        <v>0</v>
      </c>
      <c r="AF21" s="22" t="n">
        <f aca="false">MAX(0,MIN(AD21-AE21,$C21-(P21+T21+X21+AB21)))</f>
        <v>0</v>
      </c>
      <c r="AG21" s="22" t="n">
        <f aca="false">ROUND(AD21-AE21-AF21,2)</f>
        <v>0</v>
      </c>
      <c r="AH21" s="22" t="n">
        <f aca="false">AK20*(1+I$7)</f>
        <v>0</v>
      </c>
      <c r="AI21" s="22" t="n">
        <f aca="false">MIN(AH21,I$8)</f>
        <v>0</v>
      </c>
      <c r="AJ21" s="22" t="n">
        <f aca="false">MAX(0,MIN(AH21-AI21,$C21-(P21+T21+X21+AB21+AF21)))</f>
        <v>0</v>
      </c>
      <c r="AK21" s="22" t="n">
        <f aca="false">ROUND(AH21-AI21-AJ21,2)</f>
        <v>0</v>
      </c>
      <c r="AL21" s="22" t="n">
        <f aca="false">AO20*(1+J$7)</f>
        <v>0</v>
      </c>
      <c r="AM21" s="22" t="n">
        <f aca="false">MIN(AL21,J$8)</f>
        <v>0</v>
      </c>
      <c r="AN21" s="22" t="n">
        <f aca="false">MAX(0,MIN(AL21-AM21,$C21-(P21+T21+X21+AB21+AF21+AJ21)))</f>
        <v>0</v>
      </c>
      <c r="AO21" s="22" t="n">
        <f aca="false">ROUND(AL21-AM21-AN21,2)</f>
        <v>0</v>
      </c>
      <c r="AP21" s="22" t="n">
        <f aca="false">AS20*(1+K$7)</f>
        <v>0</v>
      </c>
      <c r="AQ21" s="22" t="n">
        <f aca="false">MIN(AP21,K$8)</f>
        <v>0</v>
      </c>
      <c r="AR21" s="22" t="n">
        <f aca="false">MAX(0,MIN(AP21-AQ21,$C21-(P21+T21+X21+AB21+AF21+AJ21+AN21)))</f>
        <v>0</v>
      </c>
      <c r="AS21" s="22" t="n">
        <f aca="false">ROUND(AP21-AQ21-AR21,2)</f>
        <v>0</v>
      </c>
      <c r="AT21" s="22" t="n">
        <f aca="false">AW20*(1+L$7)</f>
        <v>0</v>
      </c>
      <c r="AU21" s="22" t="n">
        <f aca="false">MIN(AT21,L$8)</f>
        <v>0</v>
      </c>
      <c r="AV21" s="22" t="n">
        <f aca="false">MAX(0,MIN(AT21-AU21,$C21-(P21+T21+X21+AB21+AF21+AJ21+AN21+AR21)))</f>
        <v>0</v>
      </c>
      <c r="AW21" s="22" t="n">
        <f aca="false">ROUND(AT21-AU21-AV21,2)</f>
        <v>0</v>
      </c>
      <c r="AX21" s="22" t="n">
        <f aca="false">BA20*(1+M$7)</f>
        <v>0</v>
      </c>
      <c r="AY21" s="22" t="n">
        <f aca="false">MIN(AX21,M$8)</f>
        <v>0</v>
      </c>
      <c r="AZ21" s="22" t="n">
        <f aca="false">MAX(0,MIN(AX21-AY21,$C21-(P21+T21+X21+AB21+AF21+AJ21+AN21+AR21+AV21)))</f>
        <v>0</v>
      </c>
      <c r="BA21" s="22" t="n">
        <f aca="false">ROUND(AX21-AY21-AZ21,2)</f>
        <v>0</v>
      </c>
    </row>
    <row r="22" customFormat="false" ht="15" hidden="false" customHeight="false" outlineLevel="0" collapsed="false">
      <c r="A22" s="0" t="n">
        <v>12</v>
      </c>
      <c r="B22" s="39" t="n">
        <f aca="false">EDATE(Borçlar!$K$7,11)</f>
        <v>46631</v>
      </c>
      <c r="C22" s="36" t="n">
        <f aca="false">MAX(0,SUM(Borçlar!$D$5:$D$14)-(O22+S22+W22+AA22+AE22+AI22+AM22+AQ22+AU22+AY22))</f>
        <v>0</v>
      </c>
      <c r="D22" s="36" t="n">
        <f aca="false">O22+P22+S22+T22+W22+X22+AA22+AB22+AE22+AF22+AI22+AJ22+AM22+AN22+AQ22+AR22+AU22+AV22+AY22+AZ22</f>
        <v>14000</v>
      </c>
      <c r="E22" s="36" t="n">
        <f aca="false">(N22+R22+V22+Z22+AD22+AH22+AL22+AP22+AT22+AX22)-(F21)</f>
        <v>6267.65985</v>
      </c>
      <c r="F22" s="36" t="n">
        <f aca="false">Q22+U22+Y22+AC22+AG22+AK22+AO22+AS22+AW22+BA22</f>
        <v>164195.05</v>
      </c>
      <c r="N22" s="22" t="n">
        <f aca="false">Q21*(1+D$7)</f>
        <v>22520.736</v>
      </c>
      <c r="O22" s="22" t="n">
        <f aca="false">MIN(N22,D$8)</f>
        <v>1500</v>
      </c>
      <c r="P22" s="22" t="n">
        <f aca="false">MAX(0,MIN(N22-O22,$C22-(0)))</f>
        <v>0</v>
      </c>
      <c r="Q22" s="22" t="n">
        <f aca="false">ROUND(N22-O22-P22,2)</f>
        <v>21020.74</v>
      </c>
      <c r="R22" s="22" t="n">
        <f aca="false">U21*(1+E$7)</f>
        <v>58360.7838</v>
      </c>
      <c r="S22" s="22" t="n">
        <f aca="false">MIN(R22,E$8)</f>
        <v>3000</v>
      </c>
      <c r="T22" s="22" t="n">
        <f aca="false">MAX(0,MIN(R22-S22,$C22-(P22)))</f>
        <v>0</v>
      </c>
      <c r="U22" s="22" t="n">
        <f aca="false">ROUND(R22-S22-T22,2)</f>
        <v>55360.78</v>
      </c>
      <c r="V22" s="22" t="n">
        <f aca="false">Y21*(1+F$7)</f>
        <v>79313.53005</v>
      </c>
      <c r="W22" s="22" t="n">
        <f aca="false">MIN(V22,F$8)</f>
        <v>7500</v>
      </c>
      <c r="X22" s="22" t="n">
        <f aca="false">MAX(0,MIN(V22-W22,$C22-(P22+T22)))</f>
        <v>0</v>
      </c>
      <c r="Y22" s="22" t="n">
        <f aca="false">ROUND(V22-W22-X22,2)</f>
        <v>71813.53</v>
      </c>
      <c r="Z22" s="22" t="n">
        <f aca="false">AC21*(1+G$7)</f>
        <v>18000</v>
      </c>
      <c r="AA22" s="22" t="n">
        <f aca="false">MIN(Z22,G$8)</f>
        <v>2000</v>
      </c>
      <c r="AB22" s="22" t="n">
        <f aca="false">MAX(0,MIN(Z22-AA22,$C22-(P22+T22+X22)))</f>
        <v>0</v>
      </c>
      <c r="AC22" s="22" t="n">
        <f aca="false">ROUND(Z22-AA22-AB22,2)</f>
        <v>16000</v>
      </c>
      <c r="AD22" s="22" t="n">
        <f aca="false">AG21*(1+H$7)</f>
        <v>0</v>
      </c>
      <c r="AE22" s="22" t="n">
        <f aca="false">MIN(AD22,H$8)</f>
        <v>0</v>
      </c>
      <c r="AF22" s="22" t="n">
        <f aca="false">MAX(0,MIN(AD22-AE22,$C22-(P22+T22+X22+AB22)))</f>
        <v>0</v>
      </c>
      <c r="AG22" s="22" t="n">
        <f aca="false">ROUND(AD22-AE22-AF22,2)</f>
        <v>0</v>
      </c>
      <c r="AH22" s="22" t="n">
        <f aca="false">AK21*(1+I$7)</f>
        <v>0</v>
      </c>
      <c r="AI22" s="22" t="n">
        <f aca="false">MIN(AH22,I$8)</f>
        <v>0</v>
      </c>
      <c r="AJ22" s="22" t="n">
        <f aca="false">MAX(0,MIN(AH22-AI22,$C22-(P22+T22+X22+AB22+AF22)))</f>
        <v>0</v>
      </c>
      <c r="AK22" s="22" t="n">
        <f aca="false">ROUND(AH22-AI22-AJ22,2)</f>
        <v>0</v>
      </c>
      <c r="AL22" s="22" t="n">
        <f aca="false">AO21*(1+J$7)</f>
        <v>0</v>
      </c>
      <c r="AM22" s="22" t="n">
        <f aca="false">MIN(AL22,J$8)</f>
        <v>0</v>
      </c>
      <c r="AN22" s="22" t="n">
        <f aca="false">MAX(0,MIN(AL22-AM22,$C22-(P22+T22+X22+AB22+AF22+AJ22)))</f>
        <v>0</v>
      </c>
      <c r="AO22" s="22" t="n">
        <f aca="false">ROUND(AL22-AM22-AN22,2)</f>
        <v>0</v>
      </c>
      <c r="AP22" s="22" t="n">
        <f aca="false">AS21*(1+K$7)</f>
        <v>0</v>
      </c>
      <c r="AQ22" s="22" t="n">
        <f aca="false">MIN(AP22,K$8)</f>
        <v>0</v>
      </c>
      <c r="AR22" s="22" t="n">
        <f aca="false">MAX(0,MIN(AP22-AQ22,$C22-(P22+T22+X22+AB22+AF22+AJ22+AN22)))</f>
        <v>0</v>
      </c>
      <c r="AS22" s="22" t="n">
        <f aca="false">ROUND(AP22-AQ22-AR22,2)</f>
        <v>0</v>
      </c>
      <c r="AT22" s="22" t="n">
        <f aca="false">AW21*(1+L$7)</f>
        <v>0</v>
      </c>
      <c r="AU22" s="22" t="n">
        <f aca="false">MIN(AT22,L$8)</f>
        <v>0</v>
      </c>
      <c r="AV22" s="22" t="n">
        <f aca="false">MAX(0,MIN(AT22-AU22,$C22-(P22+T22+X22+AB22+AF22+AJ22+AN22+AR22)))</f>
        <v>0</v>
      </c>
      <c r="AW22" s="22" t="n">
        <f aca="false">ROUND(AT22-AU22-AV22,2)</f>
        <v>0</v>
      </c>
      <c r="AX22" s="22" t="n">
        <f aca="false">BA21*(1+M$7)</f>
        <v>0</v>
      </c>
      <c r="AY22" s="22" t="n">
        <f aca="false">MIN(AX22,M$8)</f>
        <v>0</v>
      </c>
      <c r="AZ22" s="22" t="n">
        <f aca="false">MAX(0,MIN(AX22-AY22,$C22-(P22+T22+X22+AB22+AF22+AJ22+AN22+AR22+AV22)))</f>
        <v>0</v>
      </c>
      <c r="BA22" s="22" t="n">
        <f aca="false">ROUND(AX22-AY22-AZ22,2)</f>
        <v>0</v>
      </c>
    </row>
    <row r="23" customFormat="false" ht="15" hidden="false" customHeight="false" outlineLevel="0" collapsed="false">
      <c r="A23" s="0" t="n">
        <v>13</v>
      </c>
      <c r="B23" s="39" t="n">
        <f aca="false">EDATE(Borçlar!$K$7,12)</f>
        <v>46661</v>
      </c>
      <c r="C23" s="36" t="n">
        <f aca="false">MAX(0,SUM(Borçlar!$D$5:$D$14)-(O23+S23+W23+AA23+AE23+AI23+AM23+AQ23+AU23+AY23))</f>
        <v>0</v>
      </c>
      <c r="D23" s="36" t="n">
        <f aca="false">O23+P23+S23+T23+W23+X23+AA23+AB23+AE23+AF23+AI23+AJ23+AM23+AN23+AQ23+AR23+AU23+AV23+AY23+AZ23</f>
        <v>14000</v>
      </c>
      <c r="E23" s="36" t="n">
        <f aca="false">(N23+R23+V23+Z23+AD23+AH23+AL23+AP23+AT23+AX23)-(F22)</f>
        <v>6055.74565</v>
      </c>
      <c r="F23" s="36" t="n">
        <f aca="false">Q23+U23+Y23+AC23+AG23+AK23+AO23+AS23+AW23+BA23</f>
        <v>156250.8</v>
      </c>
      <c r="N23" s="22" t="n">
        <f aca="false">Q22*(1+D$7)</f>
        <v>22071.777</v>
      </c>
      <c r="O23" s="22" t="n">
        <f aca="false">MIN(N23,D$8)</f>
        <v>1500</v>
      </c>
      <c r="P23" s="22" t="n">
        <f aca="false">MAX(0,MIN(N23-O23,$C23-(0)))</f>
        <v>0</v>
      </c>
      <c r="Q23" s="22" t="n">
        <f aca="false">ROUND(N23-O23-P23,2)</f>
        <v>20571.78</v>
      </c>
      <c r="R23" s="22" t="n">
        <f aca="false">U22*(1+E$7)</f>
        <v>57852.0151</v>
      </c>
      <c r="S23" s="22" t="n">
        <f aca="false">MIN(R23,E$8)</f>
        <v>3000</v>
      </c>
      <c r="T23" s="22" t="n">
        <f aca="false">MAX(0,MIN(R23-S23,$C23-(P23)))</f>
        <v>0</v>
      </c>
      <c r="U23" s="22" t="n">
        <f aca="false">ROUND(R23-S23-T23,2)</f>
        <v>54852.02</v>
      </c>
      <c r="V23" s="22" t="n">
        <f aca="false">Y22*(1+F$7)</f>
        <v>74327.00355</v>
      </c>
      <c r="W23" s="22" t="n">
        <f aca="false">MIN(V23,F$8)</f>
        <v>7500</v>
      </c>
      <c r="X23" s="22" t="n">
        <f aca="false">MAX(0,MIN(V23-W23,$C23-(P23+T23)))</f>
        <v>0</v>
      </c>
      <c r="Y23" s="22" t="n">
        <f aca="false">ROUND(V23-W23-X23,2)</f>
        <v>66827</v>
      </c>
      <c r="Z23" s="22" t="n">
        <f aca="false">AC22*(1+G$7)</f>
        <v>16000</v>
      </c>
      <c r="AA23" s="22" t="n">
        <f aca="false">MIN(Z23,G$8)</f>
        <v>2000</v>
      </c>
      <c r="AB23" s="22" t="n">
        <f aca="false">MAX(0,MIN(Z23-AA23,$C23-(P23+T23+X23)))</f>
        <v>0</v>
      </c>
      <c r="AC23" s="22" t="n">
        <f aca="false">ROUND(Z23-AA23-AB23,2)</f>
        <v>14000</v>
      </c>
      <c r="AD23" s="22" t="n">
        <f aca="false">AG22*(1+H$7)</f>
        <v>0</v>
      </c>
      <c r="AE23" s="22" t="n">
        <f aca="false">MIN(AD23,H$8)</f>
        <v>0</v>
      </c>
      <c r="AF23" s="22" t="n">
        <f aca="false">MAX(0,MIN(AD23-AE23,$C23-(P23+T23+X23+AB23)))</f>
        <v>0</v>
      </c>
      <c r="AG23" s="22" t="n">
        <f aca="false">ROUND(AD23-AE23-AF23,2)</f>
        <v>0</v>
      </c>
      <c r="AH23" s="22" t="n">
        <f aca="false">AK22*(1+I$7)</f>
        <v>0</v>
      </c>
      <c r="AI23" s="22" t="n">
        <f aca="false">MIN(AH23,I$8)</f>
        <v>0</v>
      </c>
      <c r="AJ23" s="22" t="n">
        <f aca="false">MAX(0,MIN(AH23-AI23,$C23-(P23+T23+X23+AB23+AF23)))</f>
        <v>0</v>
      </c>
      <c r="AK23" s="22" t="n">
        <f aca="false">ROUND(AH23-AI23-AJ23,2)</f>
        <v>0</v>
      </c>
      <c r="AL23" s="22" t="n">
        <f aca="false">AO22*(1+J$7)</f>
        <v>0</v>
      </c>
      <c r="AM23" s="22" t="n">
        <f aca="false">MIN(AL23,J$8)</f>
        <v>0</v>
      </c>
      <c r="AN23" s="22" t="n">
        <f aca="false">MAX(0,MIN(AL23-AM23,$C23-(P23+T23+X23+AB23+AF23+AJ23)))</f>
        <v>0</v>
      </c>
      <c r="AO23" s="22" t="n">
        <f aca="false">ROUND(AL23-AM23-AN23,2)</f>
        <v>0</v>
      </c>
      <c r="AP23" s="22" t="n">
        <f aca="false">AS22*(1+K$7)</f>
        <v>0</v>
      </c>
      <c r="AQ23" s="22" t="n">
        <f aca="false">MIN(AP23,K$8)</f>
        <v>0</v>
      </c>
      <c r="AR23" s="22" t="n">
        <f aca="false">MAX(0,MIN(AP23-AQ23,$C23-(P23+T23+X23+AB23+AF23+AJ23+AN23)))</f>
        <v>0</v>
      </c>
      <c r="AS23" s="22" t="n">
        <f aca="false">ROUND(AP23-AQ23-AR23,2)</f>
        <v>0</v>
      </c>
      <c r="AT23" s="22" t="n">
        <f aca="false">AW22*(1+L$7)</f>
        <v>0</v>
      </c>
      <c r="AU23" s="22" t="n">
        <f aca="false">MIN(AT23,L$8)</f>
        <v>0</v>
      </c>
      <c r="AV23" s="22" t="n">
        <f aca="false">MAX(0,MIN(AT23-AU23,$C23-(P23+T23+X23+AB23+AF23+AJ23+AN23+AR23)))</f>
        <v>0</v>
      </c>
      <c r="AW23" s="22" t="n">
        <f aca="false">ROUND(AT23-AU23-AV23,2)</f>
        <v>0</v>
      </c>
      <c r="AX23" s="22" t="n">
        <f aca="false">BA22*(1+M$7)</f>
        <v>0</v>
      </c>
      <c r="AY23" s="22" t="n">
        <f aca="false">MIN(AX23,M$8)</f>
        <v>0</v>
      </c>
      <c r="AZ23" s="22" t="n">
        <f aca="false">MAX(0,MIN(AX23-AY23,$C23-(P23+T23+X23+AB23+AF23+AJ23+AN23+AR23+AV23)))</f>
        <v>0</v>
      </c>
      <c r="BA23" s="22" t="n">
        <f aca="false">ROUND(AX23-AY23-AZ23,2)</f>
        <v>0</v>
      </c>
    </row>
    <row r="24" customFormat="false" ht="15" hidden="false" customHeight="false" outlineLevel="0" collapsed="false">
      <c r="A24" s="0" t="n">
        <v>14</v>
      </c>
      <c r="B24" s="39" t="n">
        <f aca="false">EDATE(Borçlar!$K$7,13)</f>
        <v>46692</v>
      </c>
      <c r="C24" s="36" t="n">
        <f aca="false">MAX(0,SUM(Borçlar!$D$5:$D$14)-(O24+S24+W24+AA24+AE24+AI24+AM24+AQ24+AU24+AY24))</f>
        <v>0</v>
      </c>
      <c r="D24" s="36" t="n">
        <f aca="false">O24+P24+S24+T24+W24+X24+AA24+AB24+AE24+AF24+AI24+AJ24+AM24+AN24+AQ24+AR24+AU24+AV24+AY24+AZ24</f>
        <v>14000</v>
      </c>
      <c r="E24" s="36" t="n">
        <f aca="false">(N24+R24+V24+Z24+AD24+AH24+AL24+AP24+AT24+AX24)-(F23)</f>
        <v>5835.8749</v>
      </c>
      <c r="F24" s="36" t="n">
        <f aca="false">Q24+U24+Y24+AC24+AG24+AK24+AO24+AS24+AW24+BA24</f>
        <v>148086.68</v>
      </c>
      <c r="N24" s="22" t="n">
        <f aca="false">Q23*(1+D$7)</f>
        <v>21600.369</v>
      </c>
      <c r="O24" s="22" t="n">
        <f aca="false">MIN(N24,D$8)</f>
        <v>1500</v>
      </c>
      <c r="P24" s="22" t="n">
        <f aca="false">MAX(0,MIN(N24-O24,$C24-(0)))</f>
        <v>0</v>
      </c>
      <c r="Q24" s="22" t="n">
        <f aca="false">ROUND(N24-O24-P24,2)</f>
        <v>20100.37</v>
      </c>
      <c r="R24" s="22" t="n">
        <f aca="false">U23*(1+E$7)</f>
        <v>57320.3609</v>
      </c>
      <c r="S24" s="22" t="n">
        <f aca="false">MIN(R24,E$8)</f>
        <v>3000</v>
      </c>
      <c r="T24" s="22" t="n">
        <f aca="false">MAX(0,MIN(R24-S24,$C24-(P24)))</f>
        <v>0</v>
      </c>
      <c r="U24" s="22" t="n">
        <f aca="false">ROUND(R24-S24-T24,2)</f>
        <v>54320.36</v>
      </c>
      <c r="V24" s="22" t="n">
        <f aca="false">Y23*(1+F$7)</f>
        <v>69165.945</v>
      </c>
      <c r="W24" s="22" t="n">
        <f aca="false">MIN(V24,F$8)</f>
        <v>7500</v>
      </c>
      <c r="X24" s="22" t="n">
        <f aca="false">MAX(0,MIN(V24-W24,$C24-(P24+T24)))</f>
        <v>0</v>
      </c>
      <c r="Y24" s="22" t="n">
        <f aca="false">ROUND(V24-W24-X24,2)</f>
        <v>61665.95</v>
      </c>
      <c r="Z24" s="22" t="n">
        <f aca="false">AC23*(1+G$7)</f>
        <v>14000</v>
      </c>
      <c r="AA24" s="22" t="n">
        <f aca="false">MIN(Z24,G$8)</f>
        <v>2000</v>
      </c>
      <c r="AB24" s="22" t="n">
        <f aca="false">MAX(0,MIN(Z24-AA24,$C24-(P24+T24+X24)))</f>
        <v>0</v>
      </c>
      <c r="AC24" s="22" t="n">
        <f aca="false">ROUND(Z24-AA24-AB24,2)</f>
        <v>12000</v>
      </c>
      <c r="AD24" s="22" t="n">
        <f aca="false">AG23*(1+H$7)</f>
        <v>0</v>
      </c>
      <c r="AE24" s="22" t="n">
        <f aca="false">MIN(AD24,H$8)</f>
        <v>0</v>
      </c>
      <c r="AF24" s="22" t="n">
        <f aca="false">MAX(0,MIN(AD24-AE24,$C24-(P24+T24+X24+AB24)))</f>
        <v>0</v>
      </c>
      <c r="AG24" s="22" t="n">
        <f aca="false">ROUND(AD24-AE24-AF24,2)</f>
        <v>0</v>
      </c>
      <c r="AH24" s="22" t="n">
        <f aca="false">AK23*(1+I$7)</f>
        <v>0</v>
      </c>
      <c r="AI24" s="22" t="n">
        <f aca="false">MIN(AH24,I$8)</f>
        <v>0</v>
      </c>
      <c r="AJ24" s="22" t="n">
        <f aca="false">MAX(0,MIN(AH24-AI24,$C24-(P24+T24+X24+AB24+AF24)))</f>
        <v>0</v>
      </c>
      <c r="AK24" s="22" t="n">
        <f aca="false">ROUND(AH24-AI24-AJ24,2)</f>
        <v>0</v>
      </c>
      <c r="AL24" s="22" t="n">
        <f aca="false">AO23*(1+J$7)</f>
        <v>0</v>
      </c>
      <c r="AM24" s="22" t="n">
        <f aca="false">MIN(AL24,J$8)</f>
        <v>0</v>
      </c>
      <c r="AN24" s="22" t="n">
        <f aca="false">MAX(0,MIN(AL24-AM24,$C24-(P24+T24+X24+AB24+AF24+AJ24)))</f>
        <v>0</v>
      </c>
      <c r="AO24" s="22" t="n">
        <f aca="false">ROUND(AL24-AM24-AN24,2)</f>
        <v>0</v>
      </c>
      <c r="AP24" s="22" t="n">
        <f aca="false">AS23*(1+K$7)</f>
        <v>0</v>
      </c>
      <c r="AQ24" s="22" t="n">
        <f aca="false">MIN(AP24,K$8)</f>
        <v>0</v>
      </c>
      <c r="AR24" s="22" t="n">
        <f aca="false">MAX(0,MIN(AP24-AQ24,$C24-(P24+T24+X24+AB24+AF24+AJ24+AN24)))</f>
        <v>0</v>
      </c>
      <c r="AS24" s="22" t="n">
        <f aca="false">ROUND(AP24-AQ24-AR24,2)</f>
        <v>0</v>
      </c>
      <c r="AT24" s="22" t="n">
        <f aca="false">AW23*(1+L$7)</f>
        <v>0</v>
      </c>
      <c r="AU24" s="22" t="n">
        <f aca="false">MIN(AT24,L$8)</f>
        <v>0</v>
      </c>
      <c r="AV24" s="22" t="n">
        <f aca="false">MAX(0,MIN(AT24-AU24,$C24-(P24+T24+X24+AB24+AF24+AJ24+AN24+AR24)))</f>
        <v>0</v>
      </c>
      <c r="AW24" s="22" t="n">
        <f aca="false">ROUND(AT24-AU24-AV24,2)</f>
        <v>0</v>
      </c>
      <c r="AX24" s="22" t="n">
        <f aca="false">BA23*(1+M$7)</f>
        <v>0</v>
      </c>
      <c r="AY24" s="22" t="n">
        <f aca="false">MIN(AX24,M$8)</f>
        <v>0</v>
      </c>
      <c r="AZ24" s="22" t="n">
        <f aca="false">MAX(0,MIN(AX24-AY24,$C24-(P24+T24+X24+AB24+AF24+AJ24+AN24+AR24+AV24)))</f>
        <v>0</v>
      </c>
      <c r="BA24" s="22" t="n">
        <f aca="false">ROUND(AX24-AY24-AZ24,2)</f>
        <v>0</v>
      </c>
    </row>
    <row r="25" customFormat="false" ht="15" hidden="false" customHeight="false" outlineLevel="0" collapsed="false">
      <c r="A25" s="0" t="n">
        <v>15</v>
      </c>
      <c r="B25" s="39" t="n">
        <f aca="false">EDATE(Borçlar!$K$7,14)</f>
        <v>46722</v>
      </c>
      <c r="C25" s="36" t="n">
        <f aca="false">MAX(0,SUM(Borçlar!$D$5:$D$14)-(O25+S25+W25+AA25+AE25+AI25+AM25+AQ25+AU25+AY25))</f>
        <v>0</v>
      </c>
      <c r="D25" s="36" t="n">
        <f aca="false">O25+P25+S25+T25+W25+X25+AA25+AB25+AE25+AF25+AI25+AJ25+AM25+AN25+AQ25+AR25+AU25+AV25+AY25+AZ25</f>
        <v>14000</v>
      </c>
      <c r="E25" s="36" t="n">
        <f aca="false">(N25+R25+V25+Z25+AD25+AH25+AL25+AP25+AT25+AX25)-(F24)</f>
        <v>5607.74294999999</v>
      </c>
      <c r="F25" s="36" t="n">
        <f aca="false">Q25+U25+Y25+AC25+AG25+AK25+AO25+AS25+AW25+BA25</f>
        <v>139694.43</v>
      </c>
      <c r="N25" s="22" t="n">
        <f aca="false">Q24*(1+D$7)</f>
        <v>21105.3885</v>
      </c>
      <c r="O25" s="22" t="n">
        <f aca="false">MIN(N25,D$8)</f>
        <v>1500</v>
      </c>
      <c r="P25" s="22" t="n">
        <f aca="false">MAX(0,MIN(N25-O25,$C25-(0)))</f>
        <v>0</v>
      </c>
      <c r="Q25" s="22" t="n">
        <f aca="false">ROUND(N25-O25-P25,2)</f>
        <v>19605.39</v>
      </c>
      <c r="R25" s="22" t="n">
        <f aca="false">U24*(1+E$7)</f>
        <v>56764.7762</v>
      </c>
      <c r="S25" s="22" t="n">
        <f aca="false">MIN(R25,E$8)</f>
        <v>3000</v>
      </c>
      <c r="T25" s="22" t="n">
        <f aca="false">MAX(0,MIN(R25-S25,$C25-(P25)))</f>
        <v>0</v>
      </c>
      <c r="U25" s="22" t="n">
        <f aca="false">ROUND(R25-S25-T25,2)</f>
        <v>53764.78</v>
      </c>
      <c r="V25" s="22" t="n">
        <f aca="false">Y24*(1+F$7)</f>
        <v>63824.25825</v>
      </c>
      <c r="W25" s="22" t="n">
        <f aca="false">MIN(V25,F$8)</f>
        <v>7500</v>
      </c>
      <c r="X25" s="22" t="n">
        <f aca="false">MAX(0,MIN(V25-W25,$C25-(P25+T25)))</f>
        <v>0</v>
      </c>
      <c r="Y25" s="22" t="n">
        <f aca="false">ROUND(V25-W25-X25,2)</f>
        <v>56324.26</v>
      </c>
      <c r="Z25" s="22" t="n">
        <f aca="false">AC24*(1+G$7)</f>
        <v>12000</v>
      </c>
      <c r="AA25" s="22" t="n">
        <f aca="false">MIN(Z25,G$8)</f>
        <v>2000</v>
      </c>
      <c r="AB25" s="22" t="n">
        <f aca="false">MAX(0,MIN(Z25-AA25,$C25-(P25+T25+X25)))</f>
        <v>0</v>
      </c>
      <c r="AC25" s="22" t="n">
        <f aca="false">ROUND(Z25-AA25-AB25,2)</f>
        <v>10000</v>
      </c>
      <c r="AD25" s="22" t="n">
        <f aca="false">AG24*(1+H$7)</f>
        <v>0</v>
      </c>
      <c r="AE25" s="22" t="n">
        <f aca="false">MIN(AD25,H$8)</f>
        <v>0</v>
      </c>
      <c r="AF25" s="22" t="n">
        <f aca="false">MAX(0,MIN(AD25-AE25,$C25-(P25+T25+X25+AB25)))</f>
        <v>0</v>
      </c>
      <c r="AG25" s="22" t="n">
        <f aca="false">ROUND(AD25-AE25-AF25,2)</f>
        <v>0</v>
      </c>
      <c r="AH25" s="22" t="n">
        <f aca="false">AK24*(1+I$7)</f>
        <v>0</v>
      </c>
      <c r="AI25" s="22" t="n">
        <f aca="false">MIN(AH25,I$8)</f>
        <v>0</v>
      </c>
      <c r="AJ25" s="22" t="n">
        <f aca="false">MAX(0,MIN(AH25-AI25,$C25-(P25+T25+X25+AB25+AF25)))</f>
        <v>0</v>
      </c>
      <c r="AK25" s="22" t="n">
        <f aca="false">ROUND(AH25-AI25-AJ25,2)</f>
        <v>0</v>
      </c>
      <c r="AL25" s="22" t="n">
        <f aca="false">AO24*(1+J$7)</f>
        <v>0</v>
      </c>
      <c r="AM25" s="22" t="n">
        <f aca="false">MIN(AL25,J$8)</f>
        <v>0</v>
      </c>
      <c r="AN25" s="22" t="n">
        <f aca="false">MAX(0,MIN(AL25-AM25,$C25-(P25+T25+X25+AB25+AF25+AJ25)))</f>
        <v>0</v>
      </c>
      <c r="AO25" s="22" t="n">
        <f aca="false">ROUND(AL25-AM25-AN25,2)</f>
        <v>0</v>
      </c>
      <c r="AP25" s="22" t="n">
        <f aca="false">AS24*(1+K$7)</f>
        <v>0</v>
      </c>
      <c r="AQ25" s="22" t="n">
        <f aca="false">MIN(AP25,K$8)</f>
        <v>0</v>
      </c>
      <c r="AR25" s="22" t="n">
        <f aca="false">MAX(0,MIN(AP25-AQ25,$C25-(P25+T25+X25+AB25+AF25+AJ25+AN25)))</f>
        <v>0</v>
      </c>
      <c r="AS25" s="22" t="n">
        <f aca="false">ROUND(AP25-AQ25-AR25,2)</f>
        <v>0</v>
      </c>
      <c r="AT25" s="22" t="n">
        <f aca="false">AW24*(1+L$7)</f>
        <v>0</v>
      </c>
      <c r="AU25" s="22" t="n">
        <f aca="false">MIN(AT25,L$8)</f>
        <v>0</v>
      </c>
      <c r="AV25" s="22" t="n">
        <f aca="false">MAX(0,MIN(AT25-AU25,$C25-(P25+T25+X25+AB25+AF25+AJ25+AN25+AR25)))</f>
        <v>0</v>
      </c>
      <c r="AW25" s="22" t="n">
        <f aca="false">ROUND(AT25-AU25-AV25,2)</f>
        <v>0</v>
      </c>
      <c r="AX25" s="22" t="n">
        <f aca="false">BA24*(1+M$7)</f>
        <v>0</v>
      </c>
      <c r="AY25" s="22" t="n">
        <f aca="false">MIN(AX25,M$8)</f>
        <v>0</v>
      </c>
      <c r="AZ25" s="22" t="n">
        <f aca="false">MAX(0,MIN(AX25-AY25,$C25-(P25+T25+X25+AB25+AF25+AJ25+AN25+AR25+AV25)))</f>
        <v>0</v>
      </c>
      <c r="BA25" s="22" t="n">
        <f aca="false">ROUND(AX25-AY25-AZ25,2)</f>
        <v>0</v>
      </c>
    </row>
    <row r="26" customFormat="false" ht="15" hidden="false" customHeight="false" outlineLevel="0" collapsed="false">
      <c r="A26" s="0" t="n">
        <v>16</v>
      </c>
      <c r="B26" s="39" t="n">
        <f aca="false">EDATE(Borçlar!$K$7,15)</f>
        <v>46753</v>
      </c>
      <c r="C26" s="36" t="n">
        <f aca="false">MAX(0,SUM(Borçlar!$D$5:$D$14)-(O26+S26+W26+AA26+AE26+AI26+AM26+AQ26+AU26+AY26))</f>
        <v>0</v>
      </c>
      <c r="D26" s="36" t="n">
        <f aca="false">O26+P26+S26+T26+W26+X26+AA26+AB26+AE26+AF26+AI26+AJ26+AM26+AN26+AQ26+AR26+AU26+AV26+AY26+AZ26</f>
        <v>14000</v>
      </c>
      <c r="E26" s="36" t="n">
        <f aca="false">(N26+R26+V26+Z26+AD26+AH26+AL26+AP26+AT26+AX26)-(F25)</f>
        <v>5371.0337</v>
      </c>
      <c r="F26" s="36" t="n">
        <f aca="false">Q26+U26+Y26+AC26+AG26+AK26+AO26+AS26+AW26+BA26</f>
        <v>131065.47</v>
      </c>
      <c r="N26" s="22" t="n">
        <f aca="false">Q25*(1+D$7)</f>
        <v>20585.6595</v>
      </c>
      <c r="O26" s="22" t="n">
        <f aca="false">MIN(N26,D$8)</f>
        <v>1500</v>
      </c>
      <c r="P26" s="22" t="n">
        <f aca="false">MAX(0,MIN(N26-O26,$C26-(0)))</f>
        <v>0</v>
      </c>
      <c r="Q26" s="22" t="n">
        <f aca="false">ROUND(N26-O26-P26,2)</f>
        <v>19085.66</v>
      </c>
      <c r="R26" s="22" t="n">
        <f aca="false">U25*(1+E$7)</f>
        <v>56184.1951</v>
      </c>
      <c r="S26" s="22" t="n">
        <f aca="false">MIN(R26,E$8)</f>
        <v>3000</v>
      </c>
      <c r="T26" s="22" t="n">
        <f aca="false">MAX(0,MIN(R26-S26,$C26-(P26)))</f>
        <v>0</v>
      </c>
      <c r="U26" s="22" t="n">
        <f aca="false">ROUND(R26-S26-T26,2)</f>
        <v>53184.2</v>
      </c>
      <c r="V26" s="22" t="n">
        <f aca="false">Y25*(1+F$7)</f>
        <v>58295.6091</v>
      </c>
      <c r="W26" s="22" t="n">
        <f aca="false">MIN(V26,F$8)</f>
        <v>7500</v>
      </c>
      <c r="X26" s="22" t="n">
        <f aca="false">MAX(0,MIN(V26-W26,$C26-(P26+T26)))</f>
        <v>0</v>
      </c>
      <c r="Y26" s="22" t="n">
        <f aca="false">ROUND(V26-W26-X26,2)</f>
        <v>50795.61</v>
      </c>
      <c r="Z26" s="22" t="n">
        <f aca="false">AC25*(1+G$7)</f>
        <v>10000</v>
      </c>
      <c r="AA26" s="22" t="n">
        <f aca="false">MIN(Z26,G$8)</f>
        <v>2000</v>
      </c>
      <c r="AB26" s="22" t="n">
        <f aca="false">MAX(0,MIN(Z26-AA26,$C26-(P26+T26+X26)))</f>
        <v>0</v>
      </c>
      <c r="AC26" s="22" t="n">
        <f aca="false">ROUND(Z26-AA26-AB26,2)</f>
        <v>8000</v>
      </c>
      <c r="AD26" s="22" t="n">
        <f aca="false">AG25*(1+H$7)</f>
        <v>0</v>
      </c>
      <c r="AE26" s="22" t="n">
        <f aca="false">MIN(AD26,H$8)</f>
        <v>0</v>
      </c>
      <c r="AF26" s="22" t="n">
        <f aca="false">MAX(0,MIN(AD26-AE26,$C26-(P26+T26+X26+AB26)))</f>
        <v>0</v>
      </c>
      <c r="AG26" s="22" t="n">
        <f aca="false">ROUND(AD26-AE26-AF26,2)</f>
        <v>0</v>
      </c>
      <c r="AH26" s="22" t="n">
        <f aca="false">AK25*(1+I$7)</f>
        <v>0</v>
      </c>
      <c r="AI26" s="22" t="n">
        <f aca="false">MIN(AH26,I$8)</f>
        <v>0</v>
      </c>
      <c r="AJ26" s="22" t="n">
        <f aca="false">MAX(0,MIN(AH26-AI26,$C26-(P26+T26+X26+AB26+AF26)))</f>
        <v>0</v>
      </c>
      <c r="AK26" s="22" t="n">
        <f aca="false">ROUND(AH26-AI26-AJ26,2)</f>
        <v>0</v>
      </c>
      <c r="AL26" s="22" t="n">
        <f aca="false">AO25*(1+J$7)</f>
        <v>0</v>
      </c>
      <c r="AM26" s="22" t="n">
        <f aca="false">MIN(AL26,J$8)</f>
        <v>0</v>
      </c>
      <c r="AN26" s="22" t="n">
        <f aca="false">MAX(0,MIN(AL26-AM26,$C26-(P26+T26+X26+AB26+AF26+AJ26)))</f>
        <v>0</v>
      </c>
      <c r="AO26" s="22" t="n">
        <f aca="false">ROUND(AL26-AM26-AN26,2)</f>
        <v>0</v>
      </c>
      <c r="AP26" s="22" t="n">
        <f aca="false">AS25*(1+K$7)</f>
        <v>0</v>
      </c>
      <c r="AQ26" s="22" t="n">
        <f aca="false">MIN(AP26,K$8)</f>
        <v>0</v>
      </c>
      <c r="AR26" s="22" t="n">
        <f aca="false">MAX(0,MIN(AP26-AQ26,$C26-(P26+T26+X26+AB26+AF26+AJ26+AN26)))</f>
        <v>0</v>
      </c>
      <c r="AS26" s="22" t="n">
        <f aca="false">ROUND(AP26-AQ26-AR26,2)</f>
        <v>0</v>
      </c>
      <c r="AT26" s="22" t="n">
        <f aca="false">AW25*(1+L$7)</f>
        <v>0</v>
      </c>
      <c r="AU26" s="22" t="n">
        <f aca="false">MIN(AT26,L$8)</f>
        <v>0</v>
      </c>
      <c r="AV26" s="22" t="n">
        <f aca="false">MAX(0,MIN(AT26-AU26,$C26-(P26+T26+X26+AB26+AF26+AJ26+AN26+AR26)))</f>
        <v>0</v>
      </c>
      <c r="AW26" s="22" t="n">
        <f aca="false">ROUND(AT26-AU26-AV26,2)</f>
        <v>0</v>
      </c>
      <c r="AX26" s="22" t="n">
        <f aca="false">BA25*(1+M$7)</f>
        <v>0</v>
      </c>
      <c r="AY26" s="22" t="n">
        <f aca="false">MIN(AX26,M$8)</f>
        <v>0</v>
      </c>
      <c r="AZ26" s="22" t="n">
        <f aca="false">MAX(0,MIN(AX26-AY26,$C26-(P26+T26+X26+AB26+AF26+AJ26+AN26+AR26+AV26)))</f>
        <v>0</v>
      </c>
      <c r="BA26" s="22" t="n">
        <f aca="false">ROUND(AX26-AY26-AZ26,2)</f>
        <v>0</v>
      </c>
    </row>
    <row r="27" customFormat="false" ht="15" hidden="false" customHeight="false" outlineLevel="0" collapsed="false">
      <c r="A27" s="0" t="n">
        <v>17</v>
      </c>
      <c r="B27" s="39" t="n">
        <f aca="false">EDATE(Borçlar!$K$7,16)</f>
        <v>46784</v>
      </c>
      <c r="C27" s="36" t="n">
        <f aca="false">MAX(0,SUM(Borçlar!$D$5:$D$14)-(O27+S27+W27+AA27+AE27+AI27+AM27+AQ27+AU27+AY27))</f>
        <v>0</v>
      </c>
      <c r="D27" s="36" t="n">
        <f aca="false">O27+P27+S27+T27+W27+X27+AA27+AB27+AE27+AF27+AI27+AJ27+AM27+AN27+AQ27+AR27+AU27+AV27+AY27+AZ27</f>
        <v>14000</v>
      </c>
      <c r="E27" s="36" t="n">
        <f aca="false">(N27+R27+V27+Z27+AD27+AH27+AL27+AP27+AT27+AX27)-(F26)</f>
        <v>5125.41834999999</v>
      </c>
      <c r="F27" s="36" t="n">
        <f aca="false">Q27+U27+Y27+AC27+AG27+AK27+AO27+AS27+AW27+BA27</f>
        <v>122190.89</v>
      </c>
      <c r="N27" s="22" t="n">
        <f aca="false">Q26*(1+D$7)</f>
        <v>20039.943</v>
      </c>
      <c r="O27" s="22" t="n">
        <f aca="false">MIN(N27,D$8)</f>
        <v>1500</v>
      </c>
      <c r="P27" s="22" t="n">
        <f aca="false">MAX(0,MIN(N27-O27,$C27-(0)))</f>
        <v>0</v>
      </c>
      <c r="Q27" s="22" t="n">
        <f aca="false">ROUND(N27-O27-P27,2)</f>
        <v>18539.94</v>
      </c>
      <c r="R27" s="22" t="n">
        <f aca="false">U26*(1+E$7)</f>
        <v>55577.489</v>
      </c>
      <c r="S27" s="22" t="n">
        <f aca="false">MIN(R27,E$8)</f>
        <v>3000</v>
      </c>
      <c r="T27" s="22" t="n">
        <f aca="false">MAX(0,MIN(R27-S27,$C27-(P27)))</f>
        <v>0</v>
      </c>
      <c r="U27" s="22" t="n">
        <f aca="false">ROUND(R27-S27-T27,2)</f>
        <v>52577.49</v>
      </c>
      <c r="V27" s="22" t="n">
        <f aca="false">Y26*(1+F$7)</f>
        <v>52573.45635</v>
      </c>
      <c r="W27" s="22" t="n">
        <f aca="false">MIN(V27,F$8)</f>
        <v>7500</v>
      </c>
      <c r="X27" s="22" t="n">
        <f aca="false">MAX(0,MIN(V27-W27,$C27-(P27+T27)))</f>
        <v>0</v>
      </c>
      <c r="Y27" s="22" t="n">
        <f aca="false">ROUND(V27-W27-X27,2)</f>
        <v>45073.46</v>
      </c>
      <c r="Z27" s="22" t="n">
        <f aca="false">AC26*(1+G$7)</f>
        <v>8000</v>
      </c>
      <c r="AA27" s="22" t="n">
        <f aca="false">MIN(Z27,G$8)</f>
        <v>2000</v>
      </c>
      <c r="AB27" s="22" t="n">
        <f aca="false">MAX(0,MIN(Z27-AA27,$C27-(P27+T27+X27)))</f>
        <v>0</v>
      </c>
      <c r="AC27" s="22" t="n">
        <f aca="false">ROUND(Z27-AA27-AB27,2)</f>
        <v>6000</v>
      </c>
      <c r="AD27" s="22" t="n">
        <f aca="false">AG26*(1+H$7)</f>
        <v>0</v>
      </c>
      <c r="AE27" s="22" t="n">
        <f aca="false">MIN(AD27,H$8)</f>
        <v>0</v>
      </c>
      <c r="AF27" s="22" t="n">
        <f aca="false">MAX(0,MIN(AD27-AE27,$C27-(P27+T27+X27+AB27)))</f>
        <v>0</v>
      </c>
      <c r="AG27" s="22" t="n">
        <f aca="false">ROUND(AD27-AE27-AF27,2)</f>
        <v>0</v>
      </c>
      <c r="AH27" s="22" t="n">
        <f aca="false">AK26*(1+I$7)</f>
        <v>0</v>
      </c>
      <c r="AI27" s="22" t="n">
        <f aca="false">MIN(AH27,I$8)</f>
        <v>0</v>
      </c>
      <c r="AJ27" s="22" t="n">
        <f aca="false">MAX(0,MIN(AH27-AI27,$C27-(P27+T27+X27+AB27+AF27)))</f>
        <v>0</v>
      </c>
      <c r="AK27" s="22" t="n">
        <f aca="false">ROUND(AH27-AI27-AJ27,2)</f>
        <v>0</v>
      </c>
      <c r="AL27" s="22" t="n">
        <f aca="false">AO26*(1+J$7)</f>
        <v>0</v>
      </c>
      <c r="AM27" s="22" t="n">
        <f aca="false">MIN(AL27,J$8)</f>
        <v>0</v>
      </c>
      <c r="AN27" s="22" t="n">
        <f aca="false">MAX(0,MIN(AL27-AM27,$C27-(P27+T27+X27+AB27+AF27+AJ27)))</f>
        <v>0</v>
      </c>
      <c r="AO27" s="22" t="n">
        <f aca="false">ROUND(AL27-AM27-AN27,2)</f>
        <v>0</v>
      </c>
      <c r="AP27" s="22" t="n">
        <f aca="false">AS26*(1+K$7)</f>
        <v>0</v>
      </c>
      <c r="AQ27" s="22" t="n">
        <f aca="false">MIN(AP27,K$8)</f>
        <v>0</v>
      </c>
      <c r="AR27" s="22" t="n">
        <f aca="false">MAX(0,MIN(AP27-AQ27,$C27-(P27+T27+X27+AB27+AF27+AJ27+AN27)))</f>
        <v>0</v>
      </c>
      <c r="AS27" s="22" t="n">
        <f aca="false">ROUND(AP27-AQ27-AR27,2)</f>
        <v>0</v>
      </c>
      <c r="AT27" s="22" t="n">
        <f aca="false">AW26*(1+L$7)</f>
        <v>0</v>
      </c>
      <c r="AU27" s="22" t="n">
        <f aca="false">MIN(AT27,L$8)</f>
        <v>0</v>
      </c>
      <c r="AV27" s="22" t="n">
        <f aca="false">MAX(0,MIN(AT27-AU27,$C27-(P27+T27+X27+AB27+AF27+AJ27+AN27+AR27)))</f>
        <v>0</v>
      </c>
      <c r="AW27" s="22" t="n">
        <f aca="false">ROUND(AT27-AU27-AV27,2)</f>
        <v>0</v>
      </c>
      <c r="AX27" s="22" t="n">
        <f aca="false">BA26*(1+M$7)</f>
        <v>0</v>
      </c>
      <c r="AY27" s="22" t="n">
        <f aca="false">MIN(AX27,M$8)</f>
        <v>0</v>
      </c>
      <c r="AZ27" s="22" t="n">
        <f aca="false">MAX(0,MIN(AX27-AY27,$C27-(P27+T27+X27+AB27+AF27+AJ27+AN27+AR27+AV27)))</f>
        <v>0</v>
      </c>
      <c r="BA27" s="22" t="n">
        <f aca="false">ROUND(AX27-AY27-AZ27,2)</f>
        <v>0</v>
      </c>
    </row>
    <row r="28" customFormat="false" ht="15" hidden="false" customHeight="false" outlineLevel="0" collapsed="false">
      <c r="A28" s="0" t="n">
        <v>18</v>
      </c>
      <c r="B28" s="39" t="n">
        <f aca="false">EDATE(Borçlar!$K$7,17)</f>
        <v>46813</v>
      </c>
      <c r="C28" s="36" t="n">
        <f aca="false">MAX(0,SUM(Borçlar!$D$5:$D$14)-(O28+S28+W28+AA28+AE28+AI28+AM28+AQ28+AU28+AY28))</f>
        <v>0</v>
      </c>
      <c r="D28" s="36" t="n">
        <f aca="false">O28+P28+S28+T28+W28+X28+AA28+AB28+AE28+AF28+AI28+AJ28+AM28+AN28+AQ28+AR28+AU28+AV28+AY28+AZ28</f>
        <v>14000</v>
      </c>
      <c r="E28" s="36" t="n">
        <f aca="false">(N28+R28+V28+Z28+AD28+AH28+AL28+AP28+AT28+AX28)-(F27)</f>
        <v>4870.55515</v>
      </c>
      <c r="F28" s="36" t="n">
        <f aca="false">Q28+U28+Y28+AC28+AG28+AK28+AO28+AS28+AW28+BA28</f>
        <v>113061.45</v>
      </c>
      <c r="N28" s="22" t="n">
        <f aca="false">Q27*(1+D$7)</f>
        <v>19466.937</v>
      </c>
      <c r="O28" s="22" t="n">
        <f aca="false">MIN(N28,D$8)</f>
        <v>1500</v>
      </c>
      <c r="P28" s="22" t="n">
        <f aca="false">MAX(0,MIN(N28-O28,$C28-(0)))</f>
        <v>0</v>
      </c>
      <c r="Q28" s="22" t="n">
        <f aca="false">ROUND(N28-O28-P28,2)</f>
        <v>17966.94</v>
      </c>
      <c r="R28" s="22" t="n">
        <f aca="false">U27*(1+E$7)</f>
        <v>54943.47705</v>
      </c>
      <c r="S28" s="22" t="n">
        <f aca="false">MIN(R28,E$8)</f>
        <v>3000</v>
      </c>
      <c r="T28" s="22" t="n">
        <f aca="false">MAX(0,MIN(R28-S28,$C28-(P28)))</f>
        <v>0</v>
      </c>
      <c r="U28" s="22" t="n">
        <f aca="false">ROUND(R28-S28-T28,2)</f>
        <v>51943.48</v>
      </c>
      <c r="V28" s="22" t="n">
        <f aca="false">Y27*(1+F$7)</f>
        <v>46651.0311</v>
      </c>
      <c r="W28" s="22" t="n">
        <f aca="false">MIN(V28,F$8)</f>
        <v>7500</v>
      </c>
      <c r="X28" s="22" t="n">
        <f aca="false">MAX(0,MIN(V28-W28,$C28-(P28+T28)))</f>
        <v>0</v>
      </c>
      <c r="Y28" s="22" t="n">
        <f aca="false">ROUND(V28-W28-X28,2)</f>
        <v>39151.03</v>
      </c>
      <c r="Z28" s="22" t="n">
        <f aca="false">AC27*(1+G$7)</f>
        <v>6000</v>
      </c>
      <c r="AA28" s="22" t="n">
        <f aca="false">MIN(Z28,G$8)</f>
        <v>2000</v>
      </c>
      <c r="AB28" s="22" t="n">
        <f aca="false">MAX(0,MIN(Z28-AA28,$C28-(P28+T28+X28)))</f>
        <v>0</v>
      </c>
      <c r="AC28" s="22" t="n">
        <f aca="false">ROUND(Z28-AA28-AB28,2)</f>
        <v>4000</v>
      </c>
      <c r="AD28" s="22" t="n">
        <f aca="false">AG27*(1+H$7)</f>
        <v>0</v>
      </c>
      <c r="AE28" s="22" t="n">
        <f aca="false">MIN(AD28,H$8)</f>
        <v>0</v>
      </c>
      <c r="AF28" s="22" t="n">
        <f aca="false">MAX(0,MIN(AD28-AE28,$C28-(P28+T28+X28+AB28)))</f>
        <v>0</v>
      </c>
      <c r="AG28" s="22" t="n">
        <f aca="false">ROUND(AD28-AE28-AF28,2)</f>
        <v>0</v>
      </c>
      <c r="AH28" s="22" t="n">
        <f aca="false">AK27*(1+I$7)</f>
        <v>0</v>
      </c>
      <c r="AI28" s="22" t="n">
        <f aca="false">MIN(AH28,I$8)</f>
        <v>0</v>
      </c>
      <c r="AJ28" s="22" t="n">
        <f aca="false">MAX(0,MIN(AH28-AI28,$C28-(P28+T28+X28+AB28+AF28)))</f>
        <v>0</v>
      </c>
      <c r="AK28" s="22" t="n">
        <f aca="false">ROUND(AH28-AI28-AJ28,2)</f>
        <v>0</v>
      </c>
      <c r="AL28" s="22" t="n">
        <f aca="false">AO27*(1+J$7)</f>
        <v>0</v>
      </c>
      <c r="AM28" s="22" t="n">
        <f aca="false">MIN(AL28,J$8)</f>
        <v>0</v>
      </c>
      <c r="AN28" s="22" t="n">
        <f aca="false">MAX(0,MIN(AL28-AM28,$C28-(P28+T28+X28+AB28+AF28+AJ28)))</f>
        <v>0</v>
      </c>
      <c r="AO28" s="22" t="n">
        <f aca="false">ROUND(AL28-AM28-AN28,2)</f>
        <v>0</v>
      </c>
      <c r="AP28" s="22" t="n">
        <f aca="false">AS27*(1+K$7)</f>
        <v>0</v>
      </c>
      <c r="AQ28" s="22" t="n">
        <f aca="false">MIN(AP28,K$8)</f>
        <v>0</v>
      </c>
      <c r="AR28" s="22" t="n">
        <f aca="false">MAX(0,MIN(AP28-AQ28,$C28-(P28+T28+X28+AB28+AF28+AJ28+AN28)))</f>
        <v>0</v>
      </c>
      <c r="AS28" s="22" t="n">
        <f aca="false">ROUND(AP28-AQ28-AR28,2)</f>
        <v>0</v>
      </c>
      <c r="AT28" s="22" t="n">
        <f aca="false">AW27*(1+L$7)</f>
        <v>0</v>
      </c>
      <c r="AU28" s="22" t="n">
        <f aca="false">MIN(AT28,L$8)</f>
        <v>0</v>
      </c>
      <c r="AV28" s="22" t="n">
        <f aca="false">MAX(0,MIN(AT28-AU28,$C28-(P28+T28+X28+AB28+AF28+AJ28+AN28+AR28)))</f>
        <v>0</v>
      </c>
      <c r="AW28" s="22" t="n">
        <f aca="false">ROUND(AT28-AU28-AV28,2)</f>
        <v>0</v>
      </c>
      <c r="AX28" s="22" t="n">
        <f aca="false">BA27*(1+M$7)</f>
        <v>0</v>
      </c>
      <c r="AY28" s="22" t="n">
        <f aca="false">MIN(AX28,M$8)</f>
        <v>0</v>
      </c>
      <c r="AZ28" s="22" t="n">
        <f aca="false">MAX(0,MIN(AX28-AY28,$C28-(P28+T28+X28+AB28+AF28+AJ28+AN28+AR28+AV28)))</f>
        <v>0</v>
      </c>
      <c r="BA28" s="22" t="n">
        <f aca="false">ROUND(AX28-AY28-AZ28,2)</f>
        <v>0</v>
      </c>
    </row>
    <row r="29" customFormat="false" ht="15" hidden="false" customHeight="false" outlineLevel="0" collapsed="false">
      <c r="A29" s="0" t="n">
        <v>19</v>
      </c>
      <c r="B29" s="39" t="n">
        <f aca="false">EDATE(Borçlar!$K$7,18)</f>
        <v>46844</v>
      </c>
      <c r="C29" s="36" t="n">
        <f aca="false">MAX(0,SUM(Borçlar!$D$5:$D$14)-(O29+S29+W29+AA29+AE29+AI29+AM29+AQ29+AU29+AY29))</f>
        <v>0</v>
      </c>
      <c r="D29" s="36" t="n">
        <f aca="false">O29+P29+S29+T29+W29+X29+AA29+AB29+AE29+AF29+AI29+AJ29+AM29+AN29+AQ29+AR29+AU29+AV29+AY29+AZ29</f>
        <v>14000</v>
      </c>
      <c r="E29" s="36" t="n">
        <f aca="false">(N29+R29+V29+Z29+AD29+AH29+AL29+AP29+AT29+AX29)-(F28)</f>
        <v>4606.08964999999</v>
      </c>
      <c r="F29" s="36" t="n">
        <f aca="false">Q29+U29+Y29+AC29+AG29+AK29+AO29+AS29+AW29+BA29</f>
        <v>103667.55</v>
      </c>
      <c r="N29" s="22" t="n">
        <f aca="false">Q28*(1+D$7)</f>
        <v>18865.287</v>
      </c>
      <c r="O29" s="22" t="n">
        <f aca="false">MIN(N29,D$8)</f>
        <v>1500</v>
      </c>
      <c r="P29" s="22" t="n">
        <f aca="false">MAX(0,MIN(N29-O29,$C29-(0)))</f>
        <v>0</v>
      </c>
      <c r="Q29" s="22" t="n">
        <f aca="false">ROUND(N29-O29-P29,2)</f>
        <v>17365.29</v>
      </c>
      <c r="R29" s="22" t="n">
        <f aca="false">U28*(1+E$7)</f>
        <v>54280.9366</v>
      </c>
      <c r="S29" s="22" t="n">
        <f aca="false">MIN(R29,E$8)</f>
        <v>3000</v>
      </c>
      <c r="T29" s="22" t="n">
        <f aca="false">MAX(0,MIN(R29-S29,$C29-(P29)))</f>
        <v>0</v>
      </c>
      <c r="U29" s="22" t="n">
        <f aca="false">ROUND(R29-S29-T29,2)</f>
        <v>51280.94</v>
      </c>
      <c r="V29" s="22" t="n">
        <f aca="false">Y28*(1+F$7)</f>
        <v>40521.31605</v>
      </c>
      <c r="W29" s="22" t="n">
        <f aca="false">MIN(V29,F$8)</f>
        <v>7500</v>
      </c>
      <c r="X29" s="22" t="n">
        <f aca="false">MAX(0,MIN(V29-W29,$C29-(P29+T29)))</f>
        <v>0</v>
      </c>
      <c r="Y29" s="22" t="n">
        <f aca="false">ROUND(V29-W29-X29,2)</f>
        <v>33021.32</v>
      </c>
      <c r="Z29" s="22" t="n">
        <f aca="false">AC28*(1+G$7)</f>
        <v>4000</v>
      </c>
      <c r="AA29" s="22" t="n">
        <f aca="false">MIN(Z29,G$8)</f>
        <v>2000</v>
      </c>
      <c r="AB29" s="22" t="n">
        <f aca="false">MAX(0,MIN(Z29-AA29,$C29-(P29+T29+X29)))</f>
        <v>0</v>
      </c>
      <c r="AC29" s="22" t="n">
        <f aca="false">ROUND(Z29-AA29-AB29,2)</f>
        <v>2000</v>
      </c>
      <c r="AD29" s="22" t="n">
        <f aca="false">AG28*(1+H$7)</f>
        <v>0</v>
      </c>
      <c r="AE29" s="22" t="n">
        <f aca="false">MIN(AD29,H$8)</f>
        <v>0</v>
      </c>
      <c r="AF29" s="22" t="n">
        <f aca="false">MAX(0,MIN(AD29-AE29,$C29-(P29+T29+X29+AB29)))</f>
        <v>0</v>
      </c>
      <c r="AG29" s="22" t="n">
        <f aca="false">ROUND(AD29-AE29-AF29,2)</f>
        <v>0</v>
      </c>
      <c r="AH29" s="22" t="n">
        <f aca="false">AK28*(1+I$7)</f>
        <v>0</v>
      </c>
      <c r="AI29" s="22" t="n">
        <f aca="false">MIN(AH29,I$8)</f>
        <v>0</v>
      </c>
      <c r="AJ29" s="22" t="n">
        <f aca="false">MAX(0,MIN(AH29-AI29,$C29-(P29+T29+X29+AB29+AF29)))</f>
        <v>0</v>
      </c>
      <c r="AK29" s="22" t="n">
        <f aca="false">ROUND(AH29-AI29-AJ29,2)</f>
        <v>0</v>
      </c>
      <c r="AL29" s="22" t="n">
        <f aca="false">AO28*(1+J$7)</f>
        <v>0</v>
      </c>
      <c r="AM29" s="22" t="n">
        <f aca="false">MIN(AL29,J$8)</f>
        <v>0</v>
      </c>
      <c r="AN29" s="22" t="n">
        <f aca="false">MAX(0,MIN(AL29-AM29,$C29-(P29+T29+X29+AB29+AF29+AJ29)))</f>
        <v>0</v>
      </c>
      <c r="AO29" s="22" t="n">
        <f aca="false">ROUND(AL29-AM29-AN29,2)</f>
        <v>0</v>
      </c>
      <c r="AP29" s="22" t="n">
        <f aca="false">AS28*(1+K$7)</f>
        <v>0</v>
      </c>
      <c r="AQ29" s="22" t="n">
        <f aca="false">MIN(AP29,K$8)</f>
        <v>0</v>
      </c>
      <c r="AR29" s="22" t="n">
        <f aca="false">MAX(0,MIN(AP29-AQ29,$C29-(P29+T29+X29+AB29+AF29+AJ29+AN29)))</f>
        <v>0</v>
      </c>
      <c r="AS29" s="22" t="n">
        <f aca="false">ROUND(AP29-AQ29-AR29,2)</f>
        <v>0</v>
      </c>
      <c r="AT29" s="22" t="n">
        <f aca="false">AW28*(1+L$7)</f>
        <v>0</v>
      </c>
      <c r="AU29" s="22" t="n">
        <f aca="false">MIN(AT29,L$8)</f>
        <v>0</v>
      </c>
      <c r="AV29" s="22" t="n">
        <f aca="false">MAX(0,MIN(AT29-AU29,$C29-(P29+T29+X29+AB29+AF29+AJ29+AN29+AR29)))</f>
        <v>0</v>
      </c>
      <c r="AW29" s="22" t="n">
        <f aca="false">ROUND(AT29-AU29-AV29,2)</f>
        <v>0</v>
      </c>
      <c r="AX29" s="22" t="n">
        <f aca="false">BA28*(1+M$7)</f>
        <v>0</v>
      </c>
      <c r="AY29" s="22" t="n">
        <f aca="false">MIN(AX29,M$8)</f>
        <v>0</v>
      </c>
      <c r="AZ29" s="22" t="n">
        <f aca="false">MAX(0,MIN(AX29-AY29,$C29-(P29+T29+X29+AB29+AF29+AJ29+AN29+AR29+AV29)))</f>
        <v>0</v>
      </c>
      <c r="BA29" s="22" t="n">
        <f aca="false">ROUND(AX29-AY29-AZ29,2)</f>
        <v>0</v>
      </c>
    </row>
    <row r="30" customFormat="false" ht="15" hidden="false" customHeight="false" outlineLevel="0" collapsed="false">
      <c r="A30" s="0" t="n">
        <v>20</v>
      </c>
      <c r="B30" s="39" t="n">
        <f aca="false">EDATE(Borçlar!$K$7,19)</f>
        <v>46874</v>
      </c>
      <c r="C30" s="36" t="n">
        <f aca="false">MAX(0,SUM(Borçlar!$D$5:$D$14)-(O30+S30+W30+AA30+AE30+AI30+AM30+AQ30+AU30+AY30))</f>
        <v>0</v>
      </c>
      <c r="D30" s="36" t="n">
        <f aca="false">O30+P30+S30+T30+W30+X30+AA30+AB30+AE30+AF30+AI30+AJ30+AM30+AN30+AQ30+AR30+AU30+AV30+AY30+AZ30</f>
        <v>14000</v>
      </c>
      <c r="E30" s="36" t="n">
        <f aca="false">(N30+R30+V30+Z30+AD30+AH30+AL30+AP30+AT30+AX30)-(F29)</f>
        <v>4331.65299999999</v>
      </c>
      <c r="F30" s="36" t="n">
        <f aca="false">Q30+U30+Y30+AC30+AG30+AK30+AO30+AS30+AW30+BA30</f>
        <v>93999.2</v>
      </c>
      <c r="N30" s="22" t="n">
        <f aca="false">Q29*(1+D$7)</f>
        <v>18233.5545</v>
      </c>
      <c r="O30" s="22" t="n">
        <f aca="false">MIN(N30,D$8)</f>
        <v>1500</v>
      </c>
      <c r="P30" s="22" t="n">
        <f aca="false">MAX(0,MIN(N30-O30,$C30-(0)))</f>
        <v>0</v>
      </c>
      <c r="Q30" s="22" t="n">
        <f aca="false">ROUND(N30-O30-P30,2)</f>
        <v>16733.55</v>
      </c>
      <c r="R30" s="22" t="n">
        <f aca="false">U29*(1+E$7)</f>
        <v>53588.5823</v>
      </c>
      <c r="S30" s="22" t="n">
        <f aca="false">MIN(R30,E$8)</f>
        <v>3000</v>
      </c>
      <c r="T30" s="22" t="n">
        <f aca="false">MAX(0,MIN(R30-S30,$C30-(P30)))</f>
        <v>0</v>
      </c>
      <c r="U30" s="22" t="n">
        <f aca="false">ROUND(R30-S30-T30,2)</f>
        <v>50588.58</v>
      </c>
      <c r="V30" s="22" t="n">
        <f aca="false">Y29*(1+F$7)</f>
        <v>34177.0662</v>
      </c>
      <c r="W30" s="22" t="n">
        <f aca="false">MIN(V30,F$8)</f>
        <v>7500</v>
      </c>
      <c r="X30" s="22" t="n">
        <f aca="false">MAX(0,MIN(V30-W30,$C30-(P30+T30)))</f>
        <v>0</v>
      </c>
      <c r="Y30" s="22" t="n">
        <f aca="false">ROUND(V30-W30-X30,2)</f>
        <v>26677.07</v>
      </c>
      <c r="Z30" s="22" t="n">
        <f aca="false">AC29*(1+G$7)</f>
        <v>2000</v>
      </c>
      <c r="AA30" s="22" t="n">
        <f aca="false">MIN(Z30,G$8)</f>
        <v>2000</v>
      </c>
      <c r="AB30" s="22" t="n">
        <f aca="false">MAX(0,MIN(Z30-AA30,$C30-(P30+T30+X30)))</f>
        <v>0</v>
      </c>
      <c r="AC30" s="22" t="n">
        <f aca="false">ROUND(Z30-AA30-AB30,2)</f>
        <v>0</v>
      </c>
      <c r="AD30" s="22" t="n">
        <f aca="false">AG29*(1+H$7)</f>
        <v>0</v>
      </c>
      <c r="AE30" s="22" t="n">
        <f aca="false">MIN(AD30,H$8)</f>
        <v>0</v>
      </c>
      <c r="AF30" s="22" t="n">
        <f aca="false">MAX(0,MIN(AD30-AE30,$C30-(P30+T30+X30+AB30)))</f>
        <v>0</v>
      </c>
      <c r="AG30" s="22" t="n">
        <f aca="false">ROUND(AD30-AE30-AF30,2)</f>
        <v>0</v>
      </c>
      <c r="AH30" s="22" t="n">
        <f aca="false">AK29*(1+I$7)</f>
        <v>0</v>
      </c>
      <c r="AI30" s="22" t="n">
        <f aca="false">MIN(AH30,I$8)</f>
        <v>0</v>
      </c>
      <c r="AJ30" s="22" t="n">
        <f aca="false">MAX(0,MIN(AH30-AI30,$C30-(P30+T30+X30+AB30+AF30)))</f>
        <v>0</v>
      </c>
      <c r="AK30" s="22" t="n">
        <f aca="false">ROUND(AH30-AI30-AJ30,2)</f>
        <v>0</v>
      </c>
      <c r="AL30" s="22" t="n">
        <f aca="false">AO29*(1+J$7)</f>
        <v>0</v>
      </c>
      <c r="AM30" s="22" t="n">
        <f aca="false">MIN(AL30,J$8)</f>
        <v>0</v>
      </c>
      <c r="AN30" s="22" t="n">
        <f aca="false">MAX(0,MIN(AL30-AM30,$C30-(P30+T30+X30+AB30+AF30+AJ30)))</f>
        <v>0</v>
      </c>
      <c r="AO30" s="22" t="n">
        <f aca="false">ROUND(AL30-AM30-AN30,2)</f>
        <v>0</v>
      </c>
      <c r="AP30" s="22" t="n">
        <f aca="false">AS29*(1+K$7)</f>
        <v>0</v>
      </c>
      <c r="AQ30" s="22" t="n">
        <f aca="false">MIN(AP30,K$8)</f>
        <v>0</v>
      </c>
      <c r="AR30" s="22" t="n">
        <f aca="false">MAX(0,MIN(AP30-AQ30,$C30-(P30+T30+X30+AB30+AF30+AJ30+AN30)))</f>
        <v>0</v>
      </c>
      <c r="AS30" s="22" t="n">
        <f aca="false">ROUND(AP30-AQ30-AR30,2)</f>
        <v>0</v>
      </c>
      <c r="AT30" s="22" t="n">
        <f aca="false">AW29*(1+L$7)</f>
        <v>0</v>
      </c>
      <c r="AU30" s="22" t="n">
        <f aca="false">MIN(AT30,L$8)</f>
        <v>0</v>
      </c>
      <c r="AV30" s="22" t="n">
        <f aca="false">MAX(0,MIN(AT30-AU30,$C30-(P30+T30+X30+AB30+AF30+AJ30+AN30+AR30)))</f>
        <v>0</v>
      </c>
      <c r="AW30" s="22" t="n">
        <f aca="false">ROUND(AT30-AU30-AV30,2)</f>
        <v>0</v>
      </c>
      <c r="AX30" s="22" t="n">
        <f aca="false">BA29*(1+M$7)</f>
        <v>0</v>
      </c>
      <c r="AY30" s="22" t="n">
        <f aca="false">MIN(AX30,M$8)</f>
        <v>0</v>
      </c>
      <c r="AZ30" s="22" t="n">
        <f aca="false">MAX(0,MIN(AX30-AY30,$C30-(P30+T30+X30+AB30+AF30+AJ30+AN30+AR30+AV30)))</f>
        <v>0</v>
      </c>
      <c r="BA30" s="22" t="n">
        <f aca="false">ROUND(AX30-AY30-AZ30,2)</f>
        <v>0</v>
      </c>
    </row>
    <row r="31" customFormat="false" ht="15" hidden="false" customHeight="false" outlineLevel="0" collapsed="false">
      <c r="A31" s="0" t="n">
        <v>21</v>
      </c>
      <c r="B31" s="39" t="n">
        <f aca="false">EDATE(Borçlar!$K$7,20)</f>
        <v>46905</v>
      </c>
      <c r="C31" s="36" t="n">
        <f aca="false">MAX(0,SUM(Borçlar!$D$5:$D$14)-(O31+S31+W31+AA31+AE31+AI31+AM31+AQ31+AU31+AY31))</f>
        <v>2000</v>
      </c>
      <c r="D31" s="36" t="n">
        <f aca="false">O31+P31+S31+T31+W31+X31+AA31+AB31+AE31+AF31+AI31+AJ31+AM31+AN31+AQ31+AR31+AU31+AV31+AY31+AZ31</f>
        <v>14000</v>
      </c>
      <c r="E31" s="36" t="n">
        <f aca="false">(N31+R31+V31+Z31+AD31+AH31+AL31+AP31+AT31+AX31)-(F30)</f>
        <v>4046.86104999999</v>
      </c>
      <c r="F31" s="36" t="n">
        <f aca="false">Q31+U31+Y31+AC31+AG31+AK31+AO31+AS31+AW31+BA31</f>
        <v>84046.07</v>
      </c>
      <c r="N31" s="22" t="n">
        <f aca="false">Q30*(1+D$7)</f>
        <v>17570.2275</v>
      </c>
      <c r="O31" s="22" t="n">
        <f aca="false">MIN(N31,D$8)</f>
        <v>1500</v>
      </c>
      <c r="P31" s="22" t="n">
        <f aca="false">MAX(0,MIN(N31-O31,$C31-(0)))</f>
        <v>2000</v>
      </c>
      <c r="Q31" s="22" t="n">
        <f aca="false">ROUND(N31-O31-P31,2)</f>
        <v>14070.23</v>
      </c>
      <c r="R31" s="22" t="n">
        <f aca="false">U30*(1+E$7)</f>
        <v>52865.0661</v>
      </c>
      <c r="S31" s="22" t="n">
        <f aca="false">MIN(R31,E$8)</f>
        <v>3000</v>
      </c>
      <c r="T31" s="22" t="n">
        <f aca="false">MAX(0,MIN(R31-S31,$C31-(P31)))</f>
        <v>0</v>
      </c>
      <c r="U31" s="22" t="n">
        <f aca="false">ROUND(R31-S31-T31,2)</f>
        <v>49865.07</v>
      </c>
      <c r="V31" s="22" t="n">
        <f aca="false">Y30*(1+F$7)</f>
        <v>27610.76745</v>
      </c>
      <c r="W31" s="22" t="n">
        <f aca="false">MIN(V31,F$8)</f>
        <v>7500</v>
      </c>
      <c r="X31" s="22" t="n">
        <f aca="false">MAX(0,MIN(V31-W31,$C31-(P31+T31)))</f>
        <v>0</v>
      </c>
      <c r="Y31" s="22" t="n">
        <f aca="false">ROUND(V31-W31-X31,2)</f>
        <v>20110.77</v>
      </c>
      <c r="Z31" s="22" t="n">
        <f aca="false">AC30*(1+G$7)</f>
        <v>0</v>
      </c>
      <c r="AA31" s="22" t="n">
        <f aca="false">MIN(Z31,G$8)</f>
        <v>0</v>
      </c>
      <c r="AB31" s="22" t="n">
        <f aca="false">MAX(0,MIN(Z31-AA31,$C31-(P31+T31+X31)))</f>
        <v>0</v>
      </c>
      <c r="AC31" s="22" t="n">
        <f aca="false">ROUND(Z31-AA31-AB31,2)</f>
        <v>0</v>
      </c>
      <c r="AD31" s="22" t="n">
        <f aca="false">AG30*(1+H$7)</f>
        <v>0</v>
      </c>
      <c r="AE31" s="22" t="n">
        <f aca="false">MIN(AD31,H$8)</f>
        <v>0</v>
      </c>
      <c r="AF31" s="22" t="n">
        <f aca="false">MAX(0,MIN(AD31-AE31,$C31-(P31+T31+X31+AB31)))</f>
        <v>0</v>
      </c>
      <c r="AG31" s="22" t="n">
        <f aca="false">ROUND(AD31-AE31-AF31,2)</f>
        <v>0</v>
      </c>
      <c r="AH31" s="22" t="n">
        <f aca="false">AK30*(1+I$7)</f>
        <v>0</v>
      </c>
      <c r="AI31" s="22" t="n">
        <f aca="false">MIN(AH31,I$8)</f>
        <v>0</v>
      </c>
      <c r="AJ31" s="22" t="n">
        <f aca="false">MAX(0,MIN(AH31-AI31,$C31-(P31+T31+X31+AB31+AF31)))</f>
        <v>0</v>
      </c>
      <c r="AK31" s="22" t="n">
        <f aca="false">ROUND(AH31-AI31-AJ31,2)</f>
        <v>0</v>
      </c>
      <c r="AL31" s="22" t="n">
        <f aca="false">AO30*(1+J$7)</f>
        <v>0</v>
      </c>
      <c r="AM31" s="22" t="n">
        <f aca="false">MIN(AL31,J$8)</f>
        <v>0</v>
      </c>
      <c r="AN31" s="22" t="n">
        <f aca="false">MAX(0,MIN(AL31-AM31,$C31-(P31+T31+X31+AB31+AF31+AJ31)))</f>
        <v>0</v>
      </c>
      <c r="AO31" s="22" t="n">
        <f aca="false">ROUND(AL31-AM31-AN31,2)</f>
        <v>0</v>
      </c>
      <c r="AP31" s="22" t="n">
        <f aca="false">AS30*(1+K$7)</f>
        <v>0</v>
      </c>
      <c r="AQ31" s="22" t="n">
        <f aca="false">MIN(AP31,K$8)</f>
        <v>0</v>
      </c>
      <c r="AR31" s="22" t="n">
        <f aca="false">MAX(0,MIN(AP31-AQ31,$C31-(P31+T31+X31+AB31+AF31+AJ31+AN31)))</f>
        <v>0</v>
      </c>
      <c r="AS31" s="22" t="n">
        <f aca="false">ROUND(AP31-AQ31-AR31,2)</f>
        <v>0</v>
      </c>
      <c r="AT31" s="22" t="n">
        <f aca="false">AW30*(1+L$7)</f>
        <v>0</v>
      </c>
      <c r="AU31" s="22" t="n">
        <f aca="false">MIN(AT31,L$8)</f>
        <v>0</v>
      </c>
      <c r="AV31" s="22" t="n">
        <f aca="false">MAX(0,MIN(AT31-AU31,$C31-(P31+T31+X31+AB31+AF31+AJ31+AN31+AR31)))</f>
        <v>0</v>
      </c>
      <c r="AW31" s="22" t="n">
        <f aca="false">ROUND(AT31-AU31-AV31,2)</f>
        <v>0</v>
      </c>
      <c r="AX31" s="22" t="n">
        <f aca="false">BA30*(1+M$7)</f>
        <v>0</v>
      </c>
      <c r="AY31" s="22" t="n">
        <f aca="false">MIN(AX31,M$8)</f>
        <v>0</v>
      </c>
      <c r="AZ31" s="22" t="n">
        <f aca="false">MAX(0,MIN(AX31-AY31,$C31-(P31+T31+X31+AB31+AF31+AJ31+AN31+AR31+AV31)))</f>
        <v>0</v>
      </c>
      <c r="BA31" s="22" t="n">
        <f aca="false">ROUND(AX31-AY31-AZ31,2)</f>
        <v>0</v>
      </c>
    </row>
    <row r="32" customFormat="false" ht="15" hidden="false" customHeight="false" outlineLevel="0" collapsed="false">
      <c r="A32" s="0" t="n">
        <v>22</v>
      </c>
      <c r="B32" s="39" t="n">
        <f aca="false">EDATE(Borçlar!$K$7,21)</f>
        <v>46935</v>
      </c>
      <c r="C32" s="36" t="n">
        <f aca="false">MAX(0,SUM(Borçlar!$D$5:$D$14)-(O32+S32+W32+AA32+AE32+AI32+AM32+AQ32+AU32+AY32))</f>
        <v>2000</v>
      </c>
      <c r="D32" s="36" t="n">
        <f aca="false">O32+P32+S32+T32+W32+X32+AA32+AB32+AE32+AF32+AI32+AJ32+AM32+AN32+AQ32+AR32+AU32+AV32+AY32+AZ32</f>
        <v>14000</v>
      </c>
      <c r="E32" s="36" t="n">
        <f aca="false">(N32+R32+V32+Z32+AD32+AH32+AL32+AP32+AT32+AX32)-(F31)</f>
        <v>3651.31659999999</v>
      </c>
      <c r="F32" s="36" t="n">
        <f aca="false">Q32+U32+Y32+AC32+AG32+AK32+AO32+AS32+AW32+BA32</f>
        <v>73697.39</v>
      </c>
      <c r="N32" s="22" t="n">
        <f aca="false">Q31*(1+D$7)</f>
        <v>14773.7415</v>
      </c>
      <c r="O32" s="22" t="n">
        <f aca="false">MIN(N32,D$8)</f>
        <v>1500</v>
      </c>
      <c r="P32" s="22" t="n">
        <f aca="false">MAX(0,MIN(N32-O32,$C32-(0)))</f>
        <v>2000</v>
      </c>
      <c r="Q32" s="22" t="n">
        <f aca="false">ROUND(N32-O32-P32,2)</f>
        <v>11273.74</v>
      </c>
      <c r="R32" s="22" t="n">
        <f aca="false">U31*(1+E$7)</f>
        <v>52108.99815</v>
      </c>
      <c r="S32" s="22" t="n">
        <f aca="false">MIN(R32,E$8)</f>
        <v>3000</v>
      </c>
      <c r="T32" s="22" t="n">
        <f aca="false">MAX(0,MIN(R32-S32,$C32-(P32)))</f>
        <v>0</v>
      </c>
      <c r="U32" s="22" t="n">
        <f aca="false">ROUND(R32-S32-T32,2)</f>
        <v>49109</v>
      </c>
      <c r="V32" s="22" t="n">
        <f aca="false">Y31*(1+F$7)</f>
        <v>20814.64695</v>
      </c>
      <c r="W32" s="22" t="n">
        <f aca="false">MIN(V32,F$8)</f>
        <v>7500</v>
      </c>
      <c r="X32" s="22" t="n">
        <f aca="false">MAX(0,MIN(V32-W32,$C32-(P32+T32)))</f>
        <v>0</v>
      </c>
      <c r="Y32" s="22" t="n">
        <f aca="false">ROUND(V32-W32-X32,2)</f>
        <v>13314.65</v>
      </c>
      <c r="Z32" s="22" t="n">
        <f aca="false">AC31*(1+G$7)</f>
        <v>0</v>
      </c>
      <c r="AA32" s="22" t="n">
        <f aca="false">MIN(Z32,G$8)</f>
        <v>0</v>
      </c>
      <c r="AB32" s="22" t="n">
        <f aca="false">MAX(0,MIN(Z32-AA32,$C32-(P32+T32+X32)))</f>
        <v>0</v>
      </c>
      <c r="AC32" s="22" t="n">
        <f aca="false">ROUND(Z32-AA32-AB32,2)</f>
        <v>0</v>
      </c>
      <c r="AD32" s="22" t="n">
        <f aca="false">AG31*(1+H$7)</f>
        <v>0</v>
      </c>
      <c r="AE32" s="22" t="n">
        <f aca="false">MIN(AD32,H$8)</f>
        <v>0</v>
      </c>
      <c r="AF32" s="22" t="n">
        <f aca="false">MAX(0,MIN(AD32-AE32,$C32-(P32+T32+X32+AB32)))</f>
        <v>0</v>
      </c>
      <c r="AG32" s="22" t="n">
        <f aca="false">ROUND(AD32-AE32-AF32,2)</f>
        <v>0</v>
      </c>
      <c r="AH32" s="22" t="n">
        <f aca="false">AK31*(1+I$7)</f>
        <v>0</v>
      </c>
      <c r="AI32" s="22" t="n">
        <f aca="false">MIN(AH32,I$8)</f>
        <v>0</v>
      </c>
      <c r="AJ32" s="22" t="n">
        <f aca="false">MAX(0,MIN(AH32-AI32,$C32-(P32+T32+X32+AB32+AF32)))</f>
        <v>0</v>
      </c>
      <c r="AK32" s="22" t="n">
        <f aca="false">ROUND(AH32-AI32-AJ32,2)</f>
        <v>0</v>
      </c>
      <c r="AL32" s="22" t="n">
        <f aca="false">AO31*(1+J$7)</f>
        <v>0</v>
      </c>
      <c r="AM32" s="22" t="n">
        <f aca="false">MIN(AL32,J$8)</f>
        <v>0</v>
      </c>
      <c r="AN32" s="22" t="n">
        <f aca="false">MAX(0,MIN(AL32-AM32,$C32-(P32+T32+X32+AB32+AF32+AJ32)))</f>
        <v>0</v>
      </c>
      <c r="AO32" s="22" t="n">
        <f aca="false">ROUND(AL32-AM32-AN32,2)</f>
        <v>0</v>
      </c>
      <c r="AP32" s="22" t="n">
        <f aca="false">AS31*(1+K$7)</f>
        <v>0</v>
      </c>
      <c r="AQ32" s="22" t="n">
        <f aca="false">MIN(AP32,K$8)</f>
        <v>0</v>
      </c>
      <c r="AR32" s="22" t="n">
        <f aca="false">MAX(0,MIN(AP32-AQ32,$C32-(P32+T32+X32+AB32+AF32+AJ32+AN32)))</f>
        <v>0</v>
      </c>
      <c r="AS32" s="22" t="n">
        <f aca="false">ROUND(AP32-AQ32-AR32,2)</f>
        <v>0</v>
      </c>
      <c r="AT32" s="22" t="n">
        <f aca="false">AW31*(1+L$7)</f>
        <v>0</v>
      </c>
      <c r="AU32" s="22" t="n">
        <f aca="false">MIN(AT32,L$8)</f>
        <v>0</v>
      </c>
      <c r="AV32" s="22" t="n">
        <f aca="false">MAX(0,MIN(AT32-AU32,$C32-(P32+T32+X32+AB32+AF32+AJ32+AN32+AR32)))</f>
        <v>0</v>
      </c>
      <c r="AW32" s="22" t="n">
        <f aca="false">ROUND(AT32-AU32-AV32,2)</f>
        <v>0</v>
      </c>
      <c r="AX32" s="22" t="n">
        <f aca="false">BA31*(1+M$7)</f>
        <v>0</v>
      </c>
      <c r="AY32" s="22" t="n">
        <f aca="false">MIN(AX32,M$8)</f>
        <v>0</v>
      </c>
      <c r="AZ32" s="22" t="n">
        <f aca="false">MAX(0,MIN(AX32-AY32,$C32-(P32+T32+X32+AB32+AF32+AJ32+AN32+AR32+AV32)))</f>
        <v>0</v>
      </c>
      <c r="BA32" s="22" t="n">
        <f aca="false">ROUND(AX32-AY32-AZ32,2)</f>
        <v>0</v>
      </c>
    </row>
    <row r="33" customFormat="false" ht="15" hidden="false" customHeight="false" outlineLevel="0" collapsed="false">
      <c r="A33" s="0" t="n">
        <v>23</v>
      </c>
      <c r="B33" s="39" t="n">
        <f aca="false">EDATE(Borçlar!$K$7,22)</f>
        <v>46966</v>
      </c>
      <c r="C33" s="36" t="n">
        <f aca="false">MAX(0,SUM(Borçlar!$D$5:$D$14)-(O33+S33+W33+AA33+AE33+AI33+AM33+AQ33+AU33+AY33))</f>
        <v>2000</v>
      </c>
      <c r="D33" s="36" t="n">
        <f aca="false">O33+P33+S33+T33+W33+X33+AA33+AB33+AE33+AF33+AI33+AJ33+AM33+AN33+AQ33+AR33+AU33+AV33+AY33+AZ33</f>
        <v>14000</v>
      </c>
      <c r="E33" s="36" t="n">
        <f aca="false">(N33+R33+V33+Z33+AD33+AH33+AL33+AP33+AT33+AX33)-(F32)</f>
        <v>3239.60475</v>
      </c>
      <c r="F33" s="36" t="n">
        <f aca="false">Q33+U33+Y33+AC33+AG33+AK33+AO33+AS33+AW33+BA33</f>
        <v>62937</v>
      </c>
      <c r="N33" s="22" t="n">
        <f aca="false">Q32*(1+D$7)</f>
        <v>11837.427</v>
      </c>
      <c r="O33" s="22" t="n">
        <f aca="false">MIN(N33,D$8)</f>
        <v>1500</v>
      </c>
      <c r="P33" s="22" t="n">
        <f aca="false">MAX(0,MIN(N33-O33,$C33-(0)))</f>
        <v>2000</v>
      </c>
      <c r="Q33" s="22" t="n">
        <f aca="false">ROUND(N33-O33-P33,2)</f>
        <v>8337.43</v>
      </c>
      <c r="R33" s="22" t="n">
        <f aca="false">U32*(1+E$7)</f>
        <v>51318.905</v>
      </c>
      <c r="S33" s="22" t="n">
        <f aca="false">MIN(R33,E$8)</f>
        <v>3000</v>
      </c>
      <c r="T33" s="22" t="n">
        <f aca="false">MAX(0,MIN(R33-S33,$C33-(P33)))</f>
        <v>0</v>
      </c>
      <c r="U33" s="22" t="n">
        <f aca="false">ROUND(R33-S33-T33,2)</f>
        <v>48318.91</v>
      </c>
      <c r="V33" s="22" t="n">
        <f aca="false">Y32*(1+F$7)</f>
        <v>13780.66275</v>
      </c>
      <c r="W33" s="22" t="n">
        <f aca="false">MIN(V33,F$8)</f>
        <v>7500</v>
      </c>
      <c r="X33" s="22" t="n">
        <f aca="false">MAX(0,MIN(V33-W33,$C33-(P33+T33)))</f>
        <v>0</v>
      </c>
      <c r="Y33" s="22" t="n">
        <f aca="false">ROUND(V33-W33-X33,2)</f>
        <v>6280.66</v>
      </c>
      <c r="Z33" s="22" t="n">
        <f aca="false">AC32*(1+G$7)</f>
        <v>0</v>
      </c>
      <c r="AA33" s="22" t="n">
        <f aca="false">MIN(Z33,G$8)</f>
        <v>0</v>
      </c>
      <c r="AB33" s="22" t="n">
        <f aca="false">MAX(0,MIN(Z33-AA33,$C33-(P33+T33+X33)))</f>
        <v>0</v>
      </c>
      <c r="AC33" s="22" t="n">
        <f aca="false">ROUND(Z33-AA33-AB33,2)</f>
        <v>0</v>
      </c>
      <c r="AD33" s="22" t="n">
        <f aca="false">AG32*(1+H$7)</f>
        <v>0</v>
      </c>
      <c r="AE33" s="22" t="n">
        <f aca="false">MIN(AD33,H$8)</f>
        <v>0</v>
      </c>
      <c r="AF33" s="22" t="n">
        <f aca="false">MAX(0,MIN(AD33-AE33,$C33-(P33+T33+X33+AB33)))</f>
        <v>0</v>
      </c>
      <c r="AG33" s="22" t="n">
        <f aca="false">ROUND(AD33-AE33-AF33,2)</f>
        <v>0</v>
      </c>
      <c r="AH33" s="22" t="n">
        <f aca="false">AK32*(1+I$7)</f>
        <v>0</v>
      </c>
      <c r="AI33" s="22" t="n">
        <f aca="false">MIN(AH33,I$8)</f>
        <v>0</v>
      </c>
      <c r="AJ33" s="22" t="n">
        <f aca="false">MAX(0,MIN(AH33-AI33,$C33-(P33+T33+X33+AB33+AF33)))</f>
        <v>0</v>
      </c>
      <c r="AK33" s="22" t="n">
        <f aca="false">ROUND(AH33-AI33-AJ33,2)</f>
        <v>0</v>
      </c>
      <c r="AL33" s="22" t="n">
        <f aca="false">AO32*(1+J$7)</f>
        <v>0</v>
      </c>
      <c r="AM33" s="22" t="n">
        <f aca="false">MIN(AL33,J$8)</f>
        <v>0</v>
      </c>
      <c r="AN33" s="22" t="n">
        <f aca="false">MAX(0,MIN(AL33-AM33,$C33-(P33+T33+X33+AB33+AF33+AJ33)))</f>
        <v>0</v>
      </c>
      <c r="AO33" s="22" t="n">
        <f aca="false">ROUND(AL33-AM33-AN33,2)</f>
        <v>0</v>
      </c>
      <c r="AP33" s="22" t="n">
        <f aca="false">AS32*(1+K$7)</f>
        <v>0</v>
      </c>
      <c r="AQ33" s="22" t="n">
        <f aca="false">MIN(AP33,K$8)</f>
        <v>0</v>
      </c>
      <c r="AR33" s="22" t="n">
        <f aca="false">MAX(0,MIN(AP33-AQ33,$C33-(P33+T33+X33+AB33+AF33+AJ33+AN33)))</f>
        <v>0</v>
      </c>
      <c r="AS33" s="22" t="n">
        <f aca="false">ROUND(AP33-AQ33-AR33,2)</f>
        <v>0</v>
      </c>
      <c r="AT33" s="22" t="n">
        <f aca="false">AW32*(1+L$7)</f>
        <v>0</v>
      </c>
      <c r="AU33" s="22" t="n">
        <f aca="false">MIN(AT33,L$8)</f>
        <v>0</v>
      </c>
      <c r="AV33" s="22" t="n">
        <f aca="false">MAX(0,MIN(AT33-AU33,$C33-(P33+T33+X33+AB33+AF33+AJ33+AN33+AR33)))</f>
        <v>0</v>
      </c>
      <c r="AW33" s="22" t="n">
        <f aca="false">ROUND(AT33-AU33-AV33,2)</f>
        <v>0</v>
      </c>
      <c r="AX33" s="22" t="n">
        <f aca="false">BA32*(1+M$7)</f>
        <v>0</v>
      </c>
      <c r="AY33" s="22" t="n">
        <f aca="false">MIN(AX33,M$8)</f>
        <v>0</v>
      </c>
      <c r="AZ33" s="22" t="n">
        <f aca="false">MAX(0,MIN(AX33-AY33,$C33-(P33+T33+X33+AB33+AF33+AJ33+AN33+AR33+AV33)))</f>
        <v>0</v>
      </c>
      <c r="BA33" s="22" t="n">
        <f aca="false">ROUND(AX33-AY33-AZ33,2)</f>
        <v>0</v>
      </c>
    </row>
    <row r="34" customFormat="false" ht="15" hidden="false" customHeight="false" outlineLevel="0" collapsed="false">
      <c r="A34" s="0" t="n">
        <v>24</v>
      </c>
      <c r="B34" s="39" t="n">
        <f aca="false">EDATE(Borçlar!$K$7,23)</f>
        <v>46997</v>
      </c>
      <c r="C34" s="36" t="n">
        <f aca="false">MAX(0,SUM(Borçlar!$D$5:$D$14)-(O34+S34+W34+AA34+AE34+AI34+AM34+AQ34+AU34+AY34))</f>
        <v>2999.5169</v>
      </c>
      <c r="D34" s="36" t="n">
        <f aca="false">O34+P34+S34+T34+W34+X34+AA34+AB34+AE34+AF34+AI34+AJ34+AM34+AN34+AQ34+AR34+AU34+AV34+AY34+AZ34</f>
        <v>14000</v>
      </c>
      <c r="E34" s="36" t="n">
        <f aca="false">(N34+R34+V34+Z34+AD34+AH34+AL34+AP34+AT34+AX34)-(F33)</f>
        <v>2811.04555000001</v>
      </c>
      <c r="F34" s="36" t="n">
        <f aca="false">Q34+U34+Y34+AC34+AG34+AK34+AO34+AS34+AW34+BA34</f>
        <v>51748.04</v>
      </c>
      <c r="N34" s="22" t="n">
        <f aca="false">Q33*(1+D$7)</f>
        <v>8754.3015</v>
      </c>
      <c r="O34" s="22" t="n">
        <f aca="false">MIN(N34,D$8)</f>
        <v>1500</v>
      </c>
      <c r="P34" s="22" t="n">
        <f aca="false">MAX(0,MIN(N34-O34,$C34-(0)))</f>
        <v>2999.5169</v>
      </c>
      <c r="Q34" s="22" t="n">
        <f aca="false">ROUND(N34-O34-P34,2)</f>
        <v>4254.78</v>
      </c>
      <c r="R34" s="22" t="n">
        <f aca="false">U33*(1+E$7)</f>
        <v>50493.26095</v>
      </c>
      <c r="S34" s="22" t="n">
        <f aca="false">MIN(R34,E$8)</f>
        <v>3000</v>
      </c>
      <c r="T34" s="22" t="n">
        <f aca="false">MAX(0,MIN(R34-S34,$C34-(P34)))</f>
        <v>0</v>
      </c>
      <c r="U34" s="22" t="n">
        <f aca="false">ROUND(R34-S34-T34,2)</f>
        <v>47493.26</v>
      </c>
      <c r="V34" s="22" t="n">
        <f aca="false">Y33*(1+F$7)</f>
        <v>6500.4831</v>
      </c>
      <c r="W34" s="22" t="n">
        <f aca="false">MIN(V34,F$8)</f>
        <v>6500.4831</v>
      </c>
      <c r="X34" s="22" t="n">
        <f aca="false">MAX(0,MIN(V34-W34,$C34-(P34+T34)))</f>
        <v>0</v>
      </c>
      <c r="Y34" s="22" t="n">
        <f aca="false">ROUND(V34-W34-X34,2)</f>
        <v>0</v>
      </c>
      <c r="Z34" s="22" t="n">
        <f aca="false">AC33*(1+G$7)</f>
        <v>0</v>
      </c>
      <c r="AA34" s="22" t="n">
        <f aca="false">MIN(Z34,G$8)</f>
        <v>0</v>
      </c>
      <c r="AB34" s="22" t="n">
        <f aca="false">MAX(0,MIN(Z34-AA34,$C34-(P34+T34+X34)))</f>
        <v>0</v>
      </c>
      <c r="AC34" s="22" t="n">
        <f aca="false">ROUND(Z34-AA34-AB34,2)</f>
        <v>0</v>
      </c>
      <c r="AD34" s="22" t="n">
        <f aca="false">AG33*(1+H$7)</f>
        <v>0</v>
      </c>
      <c r="AE34" s="22" t="n">
        <f aca="false">MIN(AD34,H$8)</f>
        <v>0</v>
      </c>
      <c r="AF34" s="22" t="n">
        <f aca="false">MAX(0,MIN(AD34-AE34,$C34-(P34+T34+X34+AB34)))</f>
        <v>0</v>
      </c>
      <c r="AG34" s="22" t="n">
        <f aca="false">ROUND(AD34-AE34-AF34,2)</f>
        <v>0</v>
      </c>
      <c r="AH34" s="22" t="n">
        <f aca="false">AK33*(1+I$7)</f>
        <v>0</v>
      </c>
      <c r="AI34" s="22" t="n">
        <f aca="false">MIN(AH34,I$8)</f>
        <v>0</v>
      </c>
      <c r="AJ34" s="22" t="n">
        <f aca="false">MAX(0,MIN(AH34-AI34,$C34-(P34+T34+X34+AB34+AF34)))</f>
        <v>0</v>
      </c>
      <c r="AK34" s="22" t="n">
        <f aca="false">ROUND(AH34-AI34-AJ34,2)</f>
        <v>0</v>
      </c>
      <c r="AL34" s="22" t="n">
        <f aca="false">AO33*(1+J$7)</f>
        <v>0</v>
      </c>
      <c r="AM34" s="22" t="n">
        <f aca="false">MIN(AL34,J$8)</f>
        <v>0</v>
      </c>
      <c r="AN34" s="22" t="n">
        <f aca="false">MAX(0,MIN(AL34-AM34,$C34-(P34+T34+X34+AB34+AF34+AJ34)))</f>
        <v>0</v>
      </c>
      <c r="AO34" s="22" t="n">
        <f aca="false">ROUND(AL34-AM34-AN34,2)</f>
        <v>0</v>
      </c>
      <c r="AP34" s="22" t="n">
        <f aca="false">AS33*(1+K$7)</f>
        <v>0</v>
      </c>
      <c r="AQ34" s="22" t="n">
        <f aca="false">MIN(AP34,K$8)</f>
        <v>0</v>
      </c>
      <c r="AR34" s="22" t="n">
        <f aca="false">MAX(0,MIN(AP34-AQ34,$C34-(P34+T34+X34+AB34+AF34+AJ34+AN34)))</f>
        <v>0</v>
      </c>
      <c r="AS34" s="22" t="n">
        <f aca="false">ROUND(AP34-AQ34-AR34,2)</f>
        <v>0</v>
      </c>
      <c r="AT34" s="22" t="n">
        <f aca="false">AW33*(1+L$7)</f>
        <v>0</v>
      </c>
      <c r="AU34" s="22" t="n">
        <f aca="false">MIN(AT34,L$8)</f>
        <v>0</v>
      </c>
      <c r="AV34" s="22" t="n">
        <f aca="false">MAX(0,MIN(AT34-AU34,$C34-(P34+T34+X34+AB34+AF34+AJ34+AN34+AR34)))</f>
        <v>0</v>
      </c>
      <c r="AW34" s="22" t="n">
        <f aca="false">ROUND(AT34-AU34-AV34,2)</f>
        <v>0</v>
      </c>
      <c r="AX34" s="22" t="n">
        <f aca="false">BA33*(1+M$7)</f>
        <v>0</v>
      </c>
      <c r="AY34" s="22" t="n">
        <f aca="false">MIN(AX34,M$8)</f>
        <v>0</v>
      </c>
      <c r="AZ34" s="22" t="n">
        <f aca="false">MAX(0,MIN(AX34-AY34,$C34-(P34+T34+X34+AB34+AF34+AJ34+AN34+AR34+AV34)))</f>
        <v>0</v>
      </c>
      <c r="BA34" s="22" t="n">
        <f aca="false">ROUND(AX34-AY34-AZ34,2)</f>
        <v>0</v>
      </c>
    </row>
    <row r="35" customFormat="false" ht="15" hidden="false" customHeight="false" outlineLevel="0" collapsed="false">
      <c r="A35" s="0" t="n">
        <v>25</v>
      </c>
      <c r="B35" s="39" t="n">
        <f aca="false">EDATE(Borçlar!$K$7,24)</f>
        <v>47027</v>
      </c>
      <c r="C35" s="36" t="n">
        <f aca="false">MAX(0,SUM(Borçlar!$D$5:$D$14)-(O35+S35+W35+AA35+AE35+AI35+AM35+AQ35+AU35+AY35))</f>
        <v>9500</v>
      </c>
      <c r="D35" s="36" t="n">
        <f aca="false">O35+P35+S35+T35+W35+X35+AA35+AB35+AE35+AF35+AI35+AJ35+AM35+AN35+AQ35+AR35+AU35+AV35+AY35+AZ35</f>
        <v>14000</v>
      </c>
      <c r="E35" s="36" t="n">
        <f aca="false">(N35+R35+V35+Z35+AD35+AH35+AL35+AP35+AT35+AX35)-(F34)</f>
        <v>2349.93569999999</v>
      </c>
      <c r="F35" s="36" t="n">
        <f aca="false">Q35+U35+Y35+AC35+AG35+AK35+AO35+AS35+AW35+BA35</f>
        <v>40097.98</v>
      </c>
      <c r="N35" s="22" t="n">
        <f aca="false">Q34*(1+D$7)</f>
        <v>4467.519</v>
      </c>
      <c r="O35" s="22" t="n">
        <f aca="false">MIN(N35,D$8)</f>
        <v>1500</v>
      </c>
      <c r="P35" s="22" t="n">
        <f aca="false">MAX(0,MIN(N35-O35,$C35-(0)))</f>
        <v>2967.519</v>
      </c>
      <c r="Q35" s="22" t="n">
        <f aca="false">ROUND(N35-O35-P35,2)</f>
        <v>0</v>
      </c>
      <c r="R35" s="22" t="n">
        <f aca="false">U34*(1+E$7)</f>
        <v>49630.4567</v>
      </c>
      <c r="S35" s="22" t="n">
        <f aca="false">MIN(R35,E$8)</f>
        <v>3000</v>
      </c>
      <c r="T35" s="22" t="n">
        <f aca="false">MAX(0,MIN(R35-S35,$C35-(P35)))</f>
        <v>6532.481</v>
      </c>
      <c r="U35" s="22" t="n">
        <f aca="false">ROUND(R35-S35-T35,2)</f>
        <v>40097.98</v>
      </c>
      <c r="V35" s="22" t="n">
        <f aca="false">Y34*(1+F$7)</f>
        <v>0</v>
      </c>
      <c r="W35" s="22" t="n">
        <f aca="false">MIN(V35,F$8)</f>
        <v>0</v>
      </c>
      <c r="X35" s="22" t="n">
        <f aca="false">MAX(0,MIN(V35-W35,$C35-(P35+T35)))</f>
        <v>0</v>
      </c>
      <c r="Y35" s="22" t="n">
        <f aca="false">ROUND(V35-W35-X35,2)</f>
        <v>0</v>
      </c>
      <c r="Z35" s="22" t="n">
        <f aca="false">AC34*(1+G$7)</f>
        <v>0</v>
      </c>
      <c r="AA35" s="22" t="n">
        <f aca="false">MIN(Z35,G$8)</f>
        <v>0</v>
      </c>
      <c r="AB35" s="22" t="n">
        <f aca="false">MAX(0,MIN(Z35-AA35,$C35-(P35+T35+X35)))</f>
        <v>0</v>
      </c>
      <c r="AC35" s="22" t="n">
        <f aca="false">ROUND(Z35-AA35-AB35,2)</f>
        <v>0</v>
      </c>
      <c r="AD35" s="22" t="n">
        <f aca="false">AG34*(1+H$7)</f>
        <v>0</v>
      </c>
      <c r="AE35" s="22" t="n">
        <f aca="false">MIN(AD35,H$8)</f>
        <v>0</v>
      </c>
      <c r="AF35" s="22" t="n">
        <f aca="false">MAX(0,MIN(AD35-AE35,$C35-(P35+T35+X35+AB35)))</f>
        <v>0</v>
      </c>
      <c r="AG35" s="22" t="n">
        <f aca="false">ROUND(AD35-AE35-AF35,2)</f>
        <v>0</v>
      </c>
      <c r="AH35" s="22" t="n">
        <f aca="false">AK34*(1+I$7)</f>
        <v>0</v>
      </c>
      <c r="AI35" s="22" t="n">
        <f aca="false">MIN(AH35,I$8)</f>
        <v>0</v>
      </c>
      <c r="AJ35" s="22" t="n">
        <f aca="false">MAX(0,MIN(AH35-AI35,$C35-(P35+T35+X35+AB35+AF35)))</f>
        <v>0</v>
      </c>
      <c r="AK35" s="22" t="n">
        <f aca="false">ROUND(AH35-AI35-AJ35,2)</f>
        <v>0</v>
      </c>
      <c r="AL35" s="22" t="n">
        <f aca="false">AO34*(1+J$7)</f>
        <v>0</v>
      </c>
      <c r="AM35" s="22" t="n">
        <f aca="false">MIN(AL35,J$8)</f>
        <v>0</v>
      </c>
      <c r="AN35" s="22" t="n">
        <f aca="false">MAX(0,MIN(AL35-AM35,$C35-(P35+T35+X35+AB35+AF35+AJ35)))</f>
        <v>0</v>
      </c>
      <c r="AO35" s="22" t="n">
        <f aca="false">ROUND(AL35-AM35-AN35,2)</f>
        <v>0</v>
      </c>
      <c r="AP35" s="22" t="n">
        <f aca="false">AS34*(1+K$7)</f>
        <v>0</v>
      </c>
      <c r="AQ35" s="22" t="n">
        <f aca="false">MIN(AP35,K$8)</f>
        <v>0</v>
      </c>
      <c r="AR35" s="22" t="n">
        <f aca="false">MAX(0,MIN(AP35-AQ35,$C35-(P35+T35+X35+AB35+AF35+AJ35+AN35)))</f>
        <v>0</v>
      </c>
      <c r="AS35" s="22" t="n">
        <f aca="false">ROUND(AP35-AQ35-AR35,2)</f>
        <v>0</v>
      </c>
      <c r="AT35" s="22" t="n">
        <f aca="false">AW34*(1+L$7)</f>
        <v>0</v>
      </c>
      <c r="AU35" s="22" t="n">
        <f aca="false">MIN(AT35,L$8)</f>
        <v>0</v>
      </c>
      <c r="AV35" s="22" t="n">
        <f aca="false">MAX(0,MIN(AT35-AU35,$C35-(P35+T35+X35+AB35+AF35+AJ35+AN35+AR35)))</f>
        <v>0</v>
      </c>
      <c r="AW35" s="22" t="n">
        <f aca="false">ROUND(AT35-AU35-AV35,2)</f>
        <v>0</v>
      </c>
      <c r="AX35" s="22" t="n">
        <f aca="false">BA34*(1+M$7)</f>
        <v>0</v>
      </c>
      <c r="AY35" s="22" t="n">
        <f aca="false">MIN(AX35,M$8)</f>
        <v>0</v>
      </c>
      <c r="AZ35" s="22" t="n">
        <f aca="false">MAX(0,MIN(AX35-AY35,$C35-(P35+T35+X35+AB35+AF35+AJ35+AN35+AR35+AV35)))</f>
        <v>0</v>
      </c>
      <c r="BA35" s="22" t="n">
        <f aca="false">ROUND(AX35-AY35-AZ35,2)</f>
        <v>0</v>
      </c>
    </row>
    <row r="36" customFormat="false" ht="15" hidden="false" customHeight="false" outlineLevel="0" collapsed="false">
      <c r="A36" s="0" t="n">
        <v>26</v>
      </c>
      <c r="B36" s="39" t="n">
        <f aca="false">EDATE(Borçlar!$K$7,25)</f>
        <v>47058</v>
      </c>
      <c r="C36" s="36" t="n">
        <f aca="false">MAX(0,SUM(Borçlar!$D$5:$D$14)-(O36+S36+W36+AA36+AE36+AI36+AM36+AQ36+AU36+AY36))</f>
        <v>11000</v>
      </c>
      <c r="D36" s="36" t="n">
        <f aca="false">O36+P36+S36+T36+W36+X36+AA36+AB36+AE36+AF36+AI36+AJ36+AM36+AN36+AQ36+AR36+AU36+AV36+AY36+AZ36</f>
        <v>14000</v>
      </c>
      <c r="E36" s="36" t="n">
        <f aca="false">(N36+R36+V36+Z36+AD36+AH36+AL36+AP36+AT36+AX36)-(F35)</f>
        <v>1804.4091</v>
      </c>
      <c r="F36" s="36" t="n">
        <f aca="false">Q36+U36+Y36+AC36+AG36+AK36+AO36+AS36+AW36+BA36</f>
        <v>27902.39</v>
      </c>
      <c r="N36" s="22" t="n">
        <f aca="false">Q35*(1+D$7)</f>
        <v>0</v>
      </c>
      <c r="O36" s="22" t="n">
        <f aca="false">MIN(N36,D$8)</f>
        <v>0</v>
      </c>
      <c r="P36" s="22" t="n">
        <f aca="false">MAX(0,MIN(N36-O36,$C36-(0)))</f>
        <v>0</v>
      </c>
      <c r="Q36" s="22" t="n">
        <f aca="false">ROUND(N36-O36-P36,2)</f>
        <v>0</v>
      </c>
      <c r="R36" s="22" t="n">
        <f aca="false">U35*(1+E$7)</f>
        <v>41902.3891</v>
      </c>
      <c r="S36" s="22" t="n">
        <f aca="false">MIN(R36,E$8)</f>
        <v>3000</v>
      </c>
      <c r="T36" s="22" t="n">
        <f aca="false">MAX(0,MIN(R36-S36,$C36-(P36)))</f>
        <v>11000</v>
      </c>
      <c r="U36" s="22" t="n">
        <f aca="false">ROUND(R36-S36-T36,2)</f>
        <v>27902.39</v>
      </c>
      <c r="V36" s="22" t="n">
        <f aca="false">Y35*(1+F$7)</f>
        <v>0</v>
      </c>
      <c r="W36" s="22" t="n">
        <f aca="false">MIN(V36,F$8)</f>
        <v>0</v>
      </c>
      <c r="X36" s="22" t="n">
        <f aca="false">MAX(0,MIN(V36-W36,$C36-(P36+T36)))</f>
        <v>0</v>
      </c>
      <c r="Y36" s="22" t="n">
        <f aca="false">ROUND(V36-W36-X36,2)</f>
        <v>0</v>
      </c>
      <c r="Z36" s="22" t="n">
        <f aca="false">AC35*(1+G$7)</f>
        <v>0</v>
      </c>
      <c r="AA36" s="22" t="n">
        <f aca="false">MIN(Z36,G$8)</f>
        <v>0</v>
      </c>
      <c r="AB36" s="22" t="n">
        <f aca="false">MAX(0,MIN(Z36-AA36,$C36-(P36+T36+X36)))</f>
        <v>0</v>
      </c>
      <c r="AC36" s="22" t="n">
        <f aca="false">ROUND(Z36-AA36-AB36,2)</f>
        <v>0</v>
      </c>
      <c r="AD36" s="22" t="n">
        <f aca="false">AG35*(1+H$7)</f>
        <v>0</v>
      </c>
      <c r="AE36" s="22" t="n">
        <f aca="false">MIN(AD36,H$8)</f>
        <v>0</v>
      </c>
      <c r="AF36" s="22" t="n">
        <f aca="false">MAX(0,MIN(AD36-AE36,$C36-(P36+T36+X36+AB36)))</f>
        <v>0</v>
      </c>
      <c r="AG36" s="22" t="n">
        <f aca="false">ROUND(AD36-AE36-AF36,2)</f>
        <v>0</v>
      </c>
      <c r="AH36" s="22" t="n">
        <f aca="false">AK35*(1+I$7)</f>
        <v>0</v>
      </c>
      <c r="AI36" s="22" t="n">
        <f aca="false">MIN(AH36,I$8)</f>
        <v>0</v>
      </c>
      <c r="AJ36" s="22" t="n">
        <f aca="false">MAX(0,MIN(AH36-AI36,$C36-(P36+T36+X36+AB36+AF36)))</f>
        <v>0</v>
      </c>
      <c r="AK36" s="22" t="n">
        <f aca="false">ROUND(AH36-AI36-AJ36,2)</f>
        <v>0</v>
      </c>
      <c r="AL36" s="22" t="n">
        <f aca="false">AO35*(1+J$7)</f>
        <v>0</v>
      </c>
      <c r="AM36" s="22" t="n">
        <f aca="false">MIN(AL36,J$8)</f>
        <v>0</v>
      </c>
      <c r="AN36" s="22" t="n">
        <f aca="false">MAX(0,MIN(AL36-AM36,$C36-(P36+T36+X36+AB36+AF36+AJ36)))</f>
        <v>0</v>
      </c>
      <c r="AO36" s="22" t="n">
        <f aca="false">ROUND(AL36-AM36-AN36,2)</f>
        <v>0</v>
      </c>
      <c r="AP36" s="22" t="n">
        <f aca="false">AS35*(1+K$7)</f>
        <v>0</v>
      </c>
      <c r="AQ36" s="22" t="n">
        <f aca="false">MIN(AP36,K$8)</f>
        <v>0</v>
      </c>
      <c r="AR36" s="22" t="n">
        <f aca="false">MAX(0,MIN(AP36-AQ36,$C36-(P36+T36+X36+AB36+AF36+AJ36+AN36)))</f>
        <v>0</v>
      </c>
      <c r="AS36" s="22" t="n">
        <f aca="false">ROUND(AP36-AQ36-AR36,2)</f>
        <v>0</v>
      </c>
      <c r="AT36" s="22" t="n">
        <f aca="false">AW35*(1+L$7)</f>
        <v>0</v>
      </c>
      <c r="AU36" s="22" t="n">
        <f aca="false">MIN(AT36,L$8)</f>
        <v>0</v>
      </c>
      <c r="AV36" s="22" t="n">
        <f aca="false">MAX(0,MIN(AT36-AU36,$C36-(P36+T36+X36+AB36+AF36+AJ36+AN36+AR36)))</f>
        <v>0</v>
      </c>
      <c r="AW36" s="22" t="n">
        <f aca="false">ROUND(AT36-AU36-AV36,2)</f>
        <v>0</v>
      </c>
      <c r="AX36" s="22" t="n">
        <f aca="false">BA35*(1+M$7)</f>
        <v>0</v>
      </c>
      <c r="AY36" s="22" t="n">
        <f aca="false">MIN(AX36,M$8)</f>
        <v>0</v>
      </c>
      <c r="AZ36" s="22" t="n">
        <f aca="false">MAX(0,MIN(AX36-AY36,$C36-(P36+T36+X36+AB36+AF36+AJ36+AN36+AR36+AV36)))</f>
        <v>0</v>
      </c>
      <c r="BA36" s="22" t="n">
        <f aca="false">ROUND(AX36-AY36-AZ36,2)</f>
        <v>0</v>
      </c>
    </row>
    <row r="37" customFormat="false" ht="15" hidden="false" customHeight="false" outlineLevel="0" collapsed="false">
      <c r="A37" s="0" t="n">
        <v>27</v>
      </c>
      <c r="B37" s="39" t="n">
        <f aca="false">EDATE(Borçlar!$K$7,26)</f>
        <v>47088</v>
      </c>
      <c r="C37" s="36" t="n">
        <f aca="false">MAX(0,SUM(Borçlar!$D$5:$D$14)-(O37+S37+W37+AA37+AE37+AI37+AM37+AQ37+AU37+AY37))</f>
        <v>11000</v>
      </c>
      <c r="D37" s="36" t="n">
        <f aca="false">O37+P37+S37+T37+W37+X37+AA37+AB37+AE37+AF37+AI37+AJ37+AM37+AN37+AQ37+AR37+AU37+AV37+AY37+AZ37</f>
        <v>14000</v>
      </c>
      <c r="E37" s="36" t="n">
        <f aca="false">(N37+R37+V37+Z37+AD37+AH37+AL37+AP37+AT37+AX37)-(F36)</f>
        <v>1255.60755</v>
      </c>
      <c r="F37" s="36" t="n">
        <f aca="false">Q37+U37+Y37+AC37+AG37+AK37+AO37+AS37+AW37+BA37</f>
        <v>15158</v>
      </c>
      <c r="N37" s="22" t="n">
        <f aca="false">Q36*(1+D$7)</f>
        <v>0</v>
      </c>
      <c r="O37" s="22" t="n">
        <f aca="false">MIN(N37,D$8)</f>
        <v>0</v>
      </c>
      <c r="P37" s="22" t="n">
        <f aca="false">MAX(0,MIN(N37-O37,$C37-(0)))</f>
        <v>0</v>
      </c>
      <c r="Q37" s="22" t="n">
        <f aca="false">ROUND(N37-O37-P37,2)</f>
        <v>0</v>
      </c>
      <c r="R37" s="22" t="n">
        <f aca="false">U36*(1+E$7)</f>
        <v>29157.99755</v>
      </c>
      <c r="S37" s="22" t="n">
        <f aca="false">MIN(R37,E$8)</f>
        <v>3000</v>
      </c>
      <c r="T37" s="22" t="n">
        <f aca="false">MAX(0,MIN(R37-S37,$C37-(P37)))</f>
        <v>11000</v>
      </c>
      <c r="U37" s="22" t="n">
        <f aca="false">ROUND(R37-S37-T37,2)</f>
        <v>15158</v>
      </c>
      <c r="V37" s="22" t="n">
        <f aca="false">Y36*(1+F$7)</f>
        <v>0</v>
      </c>
      <c r="W37" s="22" t="n">
        <f aca="false">MIN(V37,F$8)</f>
        <v>0</v>
      </c>
      <c r="X37" s="22" t="n">
        <f aca="false">MAX(0,MIN(V37-W37,$C37-(P37+T37)))</f>
        <v>0</v>
      </c>
      <c r="Y37" s="22" t="n">
        <f aca="false">ROUND(V37-W37-X37,2)</f>
        <v>0</v>
      </c>
      <c r="Z37" s="22" t="n">
        <f aca="false">AC36*(1+G$7)</f>
        <v>0</v>
      </c>
      <c r="AA37" s="22" t="n">
        <f aca="false">MIN(Z37,G$8)</f>
        <v>0</v>
      </c>
      <c r="AB37" s="22" t="n">
        <f aca="false">MAX(0,MIN(Z37-AA37,$C37-(P37+T37+X37)))</f>
        <v>0</v>
      </c>
      <c r="AC37" s="22" t="n">
        <f aca="false">ROUND(Z37-AA37-AB37,2)</f>
        <v>0</v>
      </c>
      <c r="AD37" s="22" t="n">
        <f aca="false">AG36*(1+H$7)</f>
        <v>0</v>
      </c>
      <c r="AE37" s="22" t="n">
        <f aca="false">MIN(AD37,H$8)</f>
        <v>0</v>
      </c>
      <c r="AF37" s="22" t="n">
        <f aca="false">MAX(0,MIN(AD37-AE37,$C37-(P37+T37+X37+AB37)))</f>
        <v>0</v>
      </c>
      <c r="AG37" s="22" t="n">
        <f aca="false">ROUND(AD37-AE37-AF37,2)</f>
        <v>0</v>
      </c>
      <c r="AH37" s="22" t="n">
        <f aca="false">AK36*(1+I$7)</f>
        <v>0</v>
      </c>
      <c r="AI37" s="22" t="n">
        <f aca="false">MIN(AH37,I$8)</f>
        <v>0</v>
      </c>
      <c r="AJ37" s="22" t="n">
        <f aca="false">MAX(0,MIN(AH37-AI37,$C37-(P37+T37+X37+AB37+AF37)))</f>
        <v>0</v>
      </c>
      <c r="AK37" s="22" t="n">
        <f aca="false">ROUND(AH37-AI37-AJ37,2)</f>
        <v>0</v>
      </c>
      <c r="AL37" s="22" t="n">
        <f aca="false">AO36*(1+J$7)</f>
        <v>0</v>
      </c>
      <c r="AM37" s="22" t="n">
        <f aca="false">MIN(AL37,J$8)</f>
        <v>0</v>
      </c>
      <c r="AN37" s="22" t="n">
        <f aca="false">MAX(0,MIN(AL37-AM37,$C37-(P37+T37+X37+AB37+AF37+AJ37)))</f>
        <v>0</v>
      </c>
      <c r="AO37" s="22" t="n">
        <f aca="false">ROUND(AL37-AM37-AN37,2)</f>
        <v>0</v>
      </c>
      <c r="AP37" s="22" t="n">
        <f aca="false">AS36*(1+K$7)</f>
        <v>0</v>
      </c>
      <c r="AQ37" s="22" t="n">
        <f aca="false">MIN(AP37,K$8)</f>
        <v>0</v>
      </c>
      <c r="AR37" s="22" t="n">
        <f aca="false">MAX(0,MIN(AP37-AQ37,$C37-(P37+T37+X37+AB37+AF37+AJ37+AN37)))</f>
        <v>0</v>
      </c>
      <c r="AS37" s="22" t="n">
        <f aca="false">ROUND(AP37-AQ37-AR37,2)</f>
        <v>0</v>
      </c>
      <c r="AT37" s="22" t="n">
        <f aca="false">AW36*(1+L$7)</f>
        <v>0</v>
      </c>
      <c r="AU37" s="22" t="n">
        <f aca="false">MIN(AT37,L$8)</f>
        <v>0</v>
      </c>
      <c r="AV37" s="22" t="n">
        <f aca="false">MAX(0,MIN(AT37-AU37,$C37-(P37+T37+X37+AB37+AF37+AJ37+AN37+AR37)))</f>
        <v>0</v>
      </c>
      <c r="AW37" s="22" t="n">
        <f aca="false">ROUND(AT37-AU37-AV37,2)</f>
        <v>0</v>
      </c>
      <c r="AX37" s="22" t="n">
        <f aca="false">BA36*(1+M$7)</f>
        <v>0</v>
      </c>
      <c r="AY37" s="22" t="n">
        <f aca="false">MIN(AX37,M$8)</f>
        <v>0</v>
      </c>
      <c r="AZ37" s="22" t="n">
        <f aca="false">MAX(0,MIN(AX37-AY37,$C37-(P37+T37+X37+AB37+AF37+AJ37+AN37+AR37+AV37)))</f>
        <v>0</v>
      </c>
      <c r="BA37" s="22" t="n">
        <f aca="false">ROUND(AX37-AY37-AZ37,2)</f>
        <v>0</v>
      </c>
    </row>
    <row r="38" customFormat="false" ht="15" hidden="false" customHeight="false" outlineLevel="0" collapsed="false">
      <c r="A38" s="0" t="n">
        <v>28</v>
      </c>
      <c r="B38" s="39" t="n">
        <f aca="false">EDATE(Borçlar!$K$7,27)</f>
        <v>47119</v>
      </c>
      <c r="C38" s="36" t="n">
        <f aca="false">MAX(0,SUM(Borçlar!$D$5:$D$14)-(O38+S38+W38+AA38+AE38+AI38+AM38+AQ38+AU38+AY38))</f>
        <v>11000</v>
      </c>
      <c r="D38" s="36" t="n">
        <f aca="false">O38+P38+S38+T38+W38+X38+AA38+AB38+AE38+AF38+AI38+AJ38+AM38+AN38+AQ38+AR38+AU38+AV38+AY38+AZ38</f>
        <v>14000</v>
      </c>
      <c r="E38" s="36" t="n">
        <f aca="false">(N38+R38+V38+Z38+AD38+AH38+AL38+AP38+AT38+AX38)-(F37)</f>
        <v>682.109999999999</v>
      </c>
      <c r="F38" s="36" t="n">
        <f aca="false">Q38+U38+Y38+AC38+AG38+AK38+AO38+AS38+AW38+BA38</f>
        <v>1840.11</v>
      </c>
      <c r="N38" s="22" t="n">
        <f aca="false">Q37*(1+D$7)</f>
        <v>0</v>
      </c>
      <c r="O38" s="22" t="n">
        <f aca="false">MIN(N38,D$8)</f>
        <v>0</v>
      </c>
      <c r="P38" s="22" t="n">
        <f aca="false">MAX(0,MIN(N38-O38,$C38-(0)))</f>
        <v>0</v>
      </c>
      <c r="Q38" s="22" t="n">
        <f aca="false">ROUND(N38-O38-P38,2)</f>
        <v>0</v>
      </c>
      <c r="R38" s="22" t="n">
        <f aca="false">U37*(1+E$7)</f>
        <v>15840.11</v>
      </c>
      <c r="S38" s="22" t="n">
        <f aca="false">MIN(R38,E$8)</f>
        <v>3000</v>
      </c>
      <c r="T38" s="22" t="n">
        <f aca="false">MAX(0,MIN(R38-S38,$C38-(P38)))</f>
        <v>11000</v>
      </c>
      <c r="U38" s="22" t="n">
        <f aca="false">ROUND(R38-S38-T38,2)</f>
        <v>1840.11</v>
      </c>
      <c r="V38" s="22" t="n">
        <f aca="false">Y37*(1+F$7)</f>
        <v>0</v>
      </c>
      <c r="W38" s="22" t="n">
        <f aca="false">MIN(V38,F$8)</f>
        <v>0</v>
      </c>
      <c r="X38" s="22" t="n">
        <f aca="false">MAX(0,MIN(V38-W38,$C38-(P38+T38)))</f>
        <v>0</v>
      </c>
      <c r="Y38" s="22" t="n">
        <f aca="false">ROUND(V38-W38-X38,2)</f>
        <v>0</v>
      </c>
      <c r="Z38" s="22" t="n">
        <f aca="false">AC37*(1+G$7)</f>
        <v>0</v>
      </c>
      <c r="AA38" s="22" t="n">
        <f aca="false">MIN(Z38,G$8)</f>
        <v>0</v>
      </c>
      <c r="AB38" s="22" t="n">
        <f aca="false">MAX(0,MIN(Z38-AA38,$C38-(P38+T38+X38)))</f>
        <v>0</v>
      </c>
      <c r="AC38" s="22" t="n">
        <f aca="false">ROUND(Z38-AA38-AB38,2)</f>
        <v>0</v>
      </c>
      <c r="AD38" s="22" t="n">
        <f aca="false">AG37*(1+H$7)</f>
        <v>0</v>
      </c>
      <c r="AE38" s="22" t="n">
        <f aca="false">MIN(AD38,H$8)</f>
        <v>0</v>
      </c>
      <c r="AF38" s="22" t="n">
        <f aca="false">MAX(0,MIN(AD38-AE38,$C38-(P38+T38+X38+AB38)))</f>
        <v>0</v>
      </c>
      <c r="AG38" s="22" t="n">
        <f aca="false">ROUND(AD38-AE38-AF38,2)</f>
        <v>0</v>
      </c>
      <c r="AH38" s="22" t="n">
        <f aca="false">AK37*(1+I$7)</f>
        <v>0</v>
      </c>
      <c r="AI38" s="22" t="n">
        <f aca="false">MIN(AH38,I$8)</f>
        <v>0</v>
      </c>
      <c r="AJ38" s="22" t="n">
        <f aca="false">MAX(0,MIN(AH38-AI38,$C38-(P38+T38+X38+AB38+AF38)))</f>
        <v>0</v>
      </c>
      <c r="AK38" s="22" t="n">
        <f aca="false">ROUND(AH38-AI38-AJ38,2)</f>
        <v>0</v>
      </c>
      <c r="AL38" s="22" t="n">
        <f aca="false">AO37*(1+J$7)</f>
        <v>0</v>
      </c>
      <c r="AM38" s="22" t="n">
        <f aca="false">MIN(AL38,J$8)</f>
        <v>0</v>
      </c>
      <c r="AN38" s="22" t="n">
        <f aca="false">MAX(0,MIN(AL38-AM38,$C38-(P38+T38+X38+AB38+AF38+AJ38)))</f>
        <v>0</v>
      </c>
      <c r="AO38" s="22" t="n">
        <f aca="false">ROUND(AL38-AM38-AN38,2)</f>
        <v>0</v>
      </c>
      <c r="AP38" s="22" t="n">
        <f aca="false">AS37*(1+K$7)</f>
        <v>0</v>
      </c>
      <c r="AQ38" s="22" t="n">
        <f aca="false">MIN(AP38,K$8)</f>
        <v>0</v>
      </c>
      <c r="AR38" s="22" t="n">
        <f aca="false">MAX(0,MIN(AP38-AQ38,$C38-(P38+T38+X38+AB38+AF38+AJ38+AN38)))</f>
        <v>0</v>
      </c>
      <c r="AS38" s="22" t="n">
        <f aca="false">ROUND(AP38-AQ38-AR38,2)</f>
        <v>0</v>
      </c>
      <c r="AT38" s="22" t="n">
        <f aca="false">AW37*(1+L$7)</f>
        <v>0</v>
      </c>
      <c r="AU38" s="22" t="n">
        <f aca="false">MIN(AT38,L$8)</f>
        <v>0</v>
      </c>
      <c r="AV38" s="22" t="n">
        <f aca="false">MAX(0,MIN(AT38-AU38,$C38-(P38+T38+X38+AB38+AF38+AJ38+AN38+AR38)))</f>
        <v>0</v>
      </c>
      <c r="AW38" s="22" t="n">
        <f aca="false">ROUND(AT38-AU38-AV38,2)</f>
        <v>0</v>
      </c>
      <c r="AX38" s="22" t="n">
        <f aca="false">BA37*(1+M$7)</f>
        <v>0</v>
      </c>
      <c r="AY38" s="22" t="n">
        <f aca="false">MIN(AX38,M$8)</f>
        <v>0</v>
      </c>
      <c r="AZ38" s="22" t="n">
        <f aca="false">MAX(0,MIN(AX38-AY38,$C38-(P38+T38+X38+AB38+AF38+AJ38+AN38+AR38+AV38)))</f>
        <v>0</v>
      </c>
      <c r="BA38" s="22" t="n">
        <f aca="false">ROUND(AX38-AY38-AZ38,2)</f>
        <v>0</v>
      </c>
    </row>
    <row r="39" customFormat="false" ht="15" hidden="false" customHeight="false" outlineLevel="0" collapsed="false">
      <c r="A39" s="0" t="n">
        <v>29</v>
      </c>
      <c r="B39" s="39" t="n">
        <f aca="false">EDATE(Borçlar!$K$7,28)</f>
        <v>47150</v>
      </c>
      <c r="C39" s="36" t="n">
        <f aca="false">MAX(0,SUM(Borçlar!$D$5:$D$14)-(O39+S39+W39+AA39+AE39+AI39+AM39+AQ39+AU39+AY39))</f>
        <v>12077.08505</v>
      </c>
      <c r="D39" s="36" t="n">
        <f aca="false">O39+P39+S39+T39+W39+X39+AA39+AB39+AE39+AF39+AI39+AJ39+AM39+AN39+AQ39+AR39+AU39+AV39+AY39+AZ39</f>
        <v>1922.91495</v>
      </c>
      <c r="E39" s="36" t="n">
        <f aca="false">(N39+R39+V39+Z39+AD39+AH39+AL39+AP39+AT39+AX39)-(F38)</f>
        <v>82.80495</v>
      </c>
      <c r="F39" s="36" t="n">
        <f aca="false">Q39+U39+Y39+AC39+AG39+AK39+AO39+AS39+AW39+BA39</f>
        <v>0</v>
      </c>
      <c r="N39" s="22" t="n">
        <f aca="false">Q38*(1+D$7)</f>
        <v>0</v>
      </c>
      <c r="O39" s="22" t="n">
        <f aca="false">MIN(N39,D$8)</f>
        <v>0</v>
      </c>
      <c r="P39" s="22" t="n">
        <f aca="false">MAX(0,MIN(N39-O39,$C39-(0)))</f>
        <v>0</v>
      </c>
      <c r="Q39" s="22" t="n">
        <f aca="false">ROUND(N39-O39-P39,2)</f>
        <v>0</v>
      </c>
      <c r="R39" s="22" t="n">
        <f aca="false">U38*(1+E$7)</f>
        <v>1922.91495</v>
      </c>
      <c r="S39" s="22" t="n">
        <f aca="false">MIN(R39,E$8)</f>
        <v>1922.91495</v>
      </c>
      <c r="T39" s="22" t="n">
        <f aca="false">MAX(0,MIN(R39-S39,$C39-(P39)))</f>
        <v>0</v>
      </c>
      <c r="U39" s="22" t="n">
        <f aca="false">ROUND(R39-S39-T39,2)</f>
        <v>0</v>
      </c>
      <c r="V39" s="22" t="n">
        <f aca="false">Y38*(1+F$7)</f>
        <v>0</v>
      </c>
      <c r="W39" s="22" t="n">
        <f aca="false">MIN(V39,F$8)</f>
        <v>0</v>
      </c>
      <c r="X39" s="22" t="n">
        <f aca="false">MAX(0,MIN(V39-W39,$C39-(P39+T39)))</f>
        <v>0</v>
      </c>
      <c r="Y39" s="22" t="n">
        <f aca="false">ROUND(V39-W39-X39,2)</f>
        <v>0</v>
      </c>
      <c r="Z39" s="22" t="n">
        <f aca="false">AC38*(1+G$7)</f>
        <v>0</v>
      </c>
      <c r="AA39" s="22" t="n">
        <f aca="false">MIN(Z39,G$8)</f>
        <v>0</v>
      </c>
      <c r="AB39" s="22" t="n">
        <f aca="false">MAX(0,MIN(Z39-AA39,$C39-(P39+T39+X39)))</f>
        <v>0</v>
      </c>
      <c r="AC39" s="22" t="n">
        <f aca="false">ROUND(Z39-AA39-AB39,2)</f>
        <v>0</v>
      </c>
      <c r="AD39" s="22" t="n">
        <f aca="false">AG38*(1+H$7)</f>
        <v>0</v>
      </c>
      <c r="AE39" s="22" t="n">
        <f aca="false">MIN(AD39,H$8)</f>
        <v>0</v>
      </c>
      <c r="AF39" s="22" t="n">
        <f aca="false">MAX(0,MIN(AD39-AE39,$C39-(P39+T39+X39+AB39)))</f>
        <v>0</v>
      </c>
      <c r="AG39" s="22" t="n">
        <f aca="false">ROUND(AD39-AE39-AF39,2)</f>
        <v>0</v>
      </c>
      <c r="AH39" s="22" t="n">
        <f aca="false">AK38*(1+I$7)</f>
        <v>0</v>
      </c>
      <c r="AI39" s="22" t="n">
        <f aca="false">MIN(AH39,I$8)</f>
        <v>0</v>
      </c>
      <c r="AJ39" s="22" t="n">
        <f aca="false">MAX(0,MIN(AH39-AI39,$C39-(P39+T39+X39+AB39+AF39)))</f>
        <v>0</v>
      </c>
      <c r="AK39" s="22" t="n">
        <f aca="false">ROUND(AH39-AI39-AJ39,2)</f>
        <v>0</v>
      </c>
      <c r="AL39" s="22" t="n">
        <f aca="false">AO38*(1+J$7)</f>
        <v>0</v>
      </c>
      <c r="AM39" s="22" t="n">
        <f aca="false">MIN(AL39,J$8)</f>
        <v>0</v>
      </c>
      <c r="AN39" s="22" t="n">
        <f aca="false">MAX(0,MIN(AL39-AM39,$C39-(P39+T39+X39+AB39+AF39+AJ39)))</f>
        <v>0</v>
      </c>
      <c r="AO39" s="22" t="n">
        <f aca="false">ROUND(AL39-AM39-AN39,2)</f>
        <v>0</v>
      </c>
      <c r="AP39" s="22" t="n">
        <f aca="false">AS38*(1+K$7)</f>
        <v>0</v>
      </c>
      <c r="AQ39" s="22" t="n">
        <f aca="false">MIN(AP39,K$8)</f>
        <v>0</v>
      </c>
      <c r="AR39" s="22" t="n">
        <f aca="false">MAX(0,MIN(AP39-AQ39,$C39-(P39+T39+X39+AB39+AF39+AJ39+AN39)))</f>
        <v>0</v>
      </c>
      <c r="AS39" s="22" t="n">
        <f aca="false">ROUND(AP39-AQ39-AR39,2)</f>
        <v>0</v>
      </c>
      <c r="AT39" s="22" t="n">
        <f aca="false">AW38*(1+L$7)</f>
        <v>0</v>
      </c>
      <c r="AU39" s="22" t="n">
        <f aca="false">MIN(AT39,L$8)</f>
        <v>0</v>
      </c>
      <c r="AV39" s="22" t="n">
        <f aca="false">MAX(0,MIN(AT39-AU39,$C39-(P39+T39+X39+AB39+AF39+AJ39+AN39+AR39)))</f>
        <v>0</v>
      </c>
      <c r="AW39" s="22" t="n">
        <f aca="false">ROUND(AT39-AU39-AV39,2)</f>
        <v>0</v>
      </c>
      <c r="AX39" s="22" t="n">
        <f aca="false">BA38*(1+M$7)</f>
        <v>0</v>
      </c>
      <c r="AY39" s="22" t="n">
        <f aca="false">MIN(AX39,M$8)</f>
        <v>0</v>
      </c>
      <c r="AZ39" s="22" t="n">
        <f aca="false">MAX(0,MIN(AX39-AY39,$C39-(P39+T39+X39+AB39+AF39+AJ39+AN39+AR39+AV39)))</f>
        <v>0</v>
      </c>
      <c r="BA39" s="22" t="n">
        <f aca="false">ROUND(AX39-AY39-AZ39,2)</f>
        <v>0</v>
      </c>
    </row>
    <row r="40" customFormat="false" ht="15" hidden="false" customHeight="false" outlineLevel="0" collapsed="false">
      <c r="A40" s="0" t="n">
        <v>30</v>
      </c>
      <c r="B40" s="39" t="n">
        <f aca="false">EDATE(Borçlar!$K$7,29)</f>
        <v>47178</v>
      </c>
      <c r="C40" s="36" t="n">
        <f aca="false">MAX(0,SUM(Borçlar!$D$5:$D$14)-(O40+S40+W40+AA40+AE40+AI40+AM40+AQ40+AU40+AY40))</f>
        <v>14000</v>
      </c>
      <c r="D40" s="36" t="n">
        <f aca="false">O40+P40+S40+T40+W40+X40+AA40+AB40+AE40+AF40+AI40+AJ40+AM40+AN40+AQ40+AR40+AU40+AV40+AY40+AZ40</f>
        <v>0</v>
      </c>
      <c r="E40" s="36" t="n">
        <f aca="false">(N40+R40+V40+Z40+AD40+AH40+AL40+AP40+AT40+AX40)-(F39)</f>
        <v>0</v>
      </c>
      <c r="F40" s="36" t="n">
        <f aca="false">Q40+U40+Y40+AC40+AG40+AK40+AO40+AS40+AW40+BA40</f>
        <v>0</v>
      </c>
      <c r="N40" s="22" t="n">
        <f aca="false">Q39*(1+D$7)</f>
        <v>0</v>
      </c>
      <c r="O40" s="22" t="n">
        <f aca="false">MIN(N40,D$8)</f>
        <v>0</v>
      </c>
      <c r="P40" s="22" t="n">
        <f aca="false">MAX(0,MIN(N40-O40,$C40-(0)))</f>
        <v>0</v>
      </c>
      <c r="Q40" s="22" t="n">
        <f aca="false">ROUND(N40-O40-P40,2)</f>
        <v>0</v>
      </c>
      <c r="R40" s="22" t="n">
        <f aca="false">U39*(1+E$7)</f>
        <v>0</v>
      </c>
      <c r="S40" s="22" t="n">
        <f aca="false">MIN(R40,E$8)</f>
        <v>0</v>
      </c>
      <c r="T40" s="22" t="n">
        <f aca="false">MAX(0,MIN(R40-S40,$C40-(P40)))</f>
        <v>0</v>
      </c>
      <c r="U40" s="22" t="n">
        <f aca="false">ROUND(R40-S40-T40,2)</f>
        <v>0</v>
      </c>
      <c r="V40" s="22" t="n">
        <f aca="false">Y39*(1+F$7)</f>
        <v>0</v>
      </c>
      <c r="W40" s="22" t="n">
        <f aca="false">MIN(V40,F$8)</f>
        <v>0</v>
      </c>
      <c r="X40" s="22" t="n">
        <f aca="false">MAX(0,MIN(V40-W40,$C40-(P40+T40)))</f>
        <v>0</v>
      </c>
      <c r="Y40" s="22" t="n">
        <f aca="false">ROUND(V40-W40-X40,2)</f>
        <v>0</v>
      </c>
      <c r="Z40" s="22" t="n">
        <f aca="false">AC39*(1+G$7)</f>
        <v>0</v>
      </c>
      <c r="AA40" s="22" t="n">
        <f aca="false">MIN(Z40,G$8)</f>
        <v>0</v>
      </c>
      <c r="AB40" s="22" t="n">
        <f aca="false">MAX(0,MIN(Z40-AA40,$C40-(P40+T40+X40)))</f>
        <v>0</v>
      </c>
      <c r="AC40" s="22" t="n">
        <f aca="false">ROUND(Z40-AA40-AB40,2)</f>
        <v>0</v>
      </c>
      <c r="AD40" s="22" t="n">
        <f aca="false">AG39*(1+H$7)</f>
        <v>0</v>
      </c>
      <c r="AE40" s="22" t="n">
        <f aca="false">MIN(AD40,H$8)</f>
        <v>0</v>
      </c>
      <c r="AF40" s="22" t="n">
        <f aca="false">MAX(0,MIN(AD40-AE40,$C40-(P40+T40+X40+AB40)))</f>
        <v>0</v>
      </c>
      <c r="AG40" s="22" t="n">
        <f aca="false">ROUND(AD40-AE40-AF40,2)</f>
        <v>0</v>
      </c>
      <c r="AH40" s="22" t="n">
        <f aca="false">AK39*(1+I$7)</f>
        <v>0</v>
      </c>
      <c r="AI40" s="22" t="n">
        <f aca="false">MIN(AH40,I$8)</f>
        <v>0</v>
      </c>
      <c r="AJ40" s="22" t="n">
        <f aca="false">MAX(0,MIN(AH40-AI40,$C40-(P40+T40+X40+AB40+AF40)))</f>
        <v>0</v>
      </c>
      <c r="AK40" s="22" t="n">
        <f aca="false">ROUND(AH40-AI40-AJ40,2)</f>
        <v>0</v>
      </c>
      <c r="AL40" s="22" t="n">
        <f aca="false">AO39*(1+J$7)</f>
        <v>0</v>
      </c>
      <c r="AM40" s="22" t="n">
        <f aca="false">MIN(AL40,J$8)</f>
        <v>0</v>
      </c>
      <c r="AN40" s="22" t="n">
        <f aca="false">MAX(0,MIN(AL40-AM40,$C40-(P40+T40+X40+AB40+AF40+AJ40)))</f>
        <v>0</v>
      </c>
      <c r="AO40" s="22" t="n">
        <f aca="false">ROUND(AL40-AM40-AN40,2)</f>
        <v>0</v>
      </c>
      <c r="AP40" s="22" t="n">
        <f aca="false">AS39*(1+K$7)</f>
        <v>0</v>
      </c>
      <c r="AQ40" s="22" t="n">
        <f aca="false">MIN(AP40,K$8)</f>
        <v>0</v>
      </c>
      <c r="AR40" s="22" t="n">
        <f aca="false">MAX(0,MIN(AP40-AQ40,$C40-(P40+T40+X40+AB40+AF40+AJ40+AN40)))</f>
        <v>0</v>
      </c>
      <c r="AS40" s="22" t="n">
        <f aca="false">ROUND(AP40-AQ40-AR40,2)</f>
        <v>0</v>
      </c>
      <c r="AT40" s="22" t="n">
        <f aca="false">AW39*(1+L$7)</f>
        <v>0</v>
      </c>
      <c r="AU40" s="22" t="n">
        <f aca="false">MIN(AT40,L$8)</f>
        <v>0</v>
      </c>
      <c r="AV40" s="22" t="n">
        <f aca="false">MAX(0,MIN(AT40-AU40,$C40-(P40+T40+X40+AB40+AF40+AJ40+AN40+AR40)))</f>
        <v>0</v>
      </c>
      <c r="AW40" s="22" t="n">
        <f aca="false">ROUND(AT40-AU40-AV40,2)</f>
        <v>0</v>
      </c>
      <c r="AX40" s="22" t="n">
        <f aca="false">BA39*(1+M$7)</f>
        <v>0</v>
      </c>
      <c r="AY40" s="22" t="n">
        <f aca="false">MIN(AX40,M$8)</f>
        <v>0</v>
      </c>
      <c r="AZ40" s="22" t="n">
        <f aca="false">MAX(0,MIN(AX40-AY40,$C40-(P40+T40+X40+AB40+AF40+AJ40+AN40+AR40+AV40)))</f>
        <v>0</v>
      </c>
      <c r="BA40" s="22" t="n">
        <f aca="false">ROUND(AX40-AY40-AZ40,2)</f>
        <v>0</v>
      </c>
    </row>
    <row r="41" customFormat="false" ht="15" hidden="false" customHeight="false" outlineLevel="0" collapsed="false">
      <c r="A41" s="0" t="n">
        <v>31</v>
      </c>
      <c r="B41" s="39" t="n">
        <f aca="false">EDATE(Borçlar!$K$7,30)</f>
        <v>47209</v>
      </c>
      <c r="C41" s="36" t="n">
        <f aca="false">MAX(0,SUM(Borçlar!$D$5:$D$14)-(O41+S41+W41+AA41+AE41+AI41+AM41+AQ41+AU41+AY41))</f>
        <v>14000</v>
      </c>
      <c r="D41" s="36" t="n">
        <f aca="false">O41+P41+S41+T41+W41+X41+AA41+AB41+AE41+AF41+AI41+AJ41+AM41+AN41+AQ41+AR41+AU41+AV41+AY41+AZ41</f>
        <v>0</v>
      </c>
      <c r="E41" s="36" t="n">
        <f aca="false">(N41+R41+V41+Z41+AD41+AH41+AL41+AP41+AT41+AX41)-(F40)</f>
        <v>0</v>
      </c>
      <c r="F41" s="36" t="n">
        <f aca="false">Q41+U41+Y41+AC41+AG41+AK41+AO41+AS41+AW41+BA41</f>
        <v>0</v>
      </c>
      <c r="N41" s="22" t="n">
        <f aca="false">Q40*(1+D$7)</f>
        <v>0</v>
      </c>
      <c r="O41" s="22" t="n">
        <f aca="false">MIN(N41,D$8)</f>
        <v>0</v>
      </c>
      <c r="P41" s="22" t="n">
        <f aca="false">MAX(0,MIN(N41-O41,$C41-(0)))</f>
        <v>0</v>
      </c>
      <c r="Q41" s="22" t="n">
        <f aca="false">ROUND(N41-O41-P41,2)</f>
        <v>0</v>
      </c>
      <c r="R41" s="22" t="n">
        <f aca="false">U40*(1+E$7)</f>
        <v>0</v>
      </c>
      <c r="S41" s="22" t="n">
        <f aca="false">MIN(R41,E$8)</f>
        <v>0</v>
      </c>
      <c r="T41" s="22" t="n">
        <f aca="false">MAX(0,MIN(R41-S41,$C41-(P41)))</f>
        <v>0</v>
      </c>
      <c r="U41" s="22" t="n">
        <f aca="false">ROUND(R41-S41-T41,2)</f>
        <v>0</v>
      </c>
      <c r="V41" s="22" t="n">
        <f aca="false">Y40*(1+F$7)</f>
        <v>0</v>
      </c>
      <c r="W41" s="22" t="n">
        <f aca="false">MIN(V41,F$8)</f>
        <v>0</v>
      </c>
      <c r="X41" s="22" t="n">
        <f aca="false">MAX(0,MIN(V41-W41,$C41-(P41+T41)))</f>
        <v>0</v>
      </c>
      <c r="Y41" s="22" t="n">
        <f aca="false">ROUND(V41-W41-X41,2)</f>
        <v>0</v>
      </c>
      <c r="Z41" s="22" t="n">
        <f aca="false">AC40*(1+G$7)</f>
        <v>0</v>
      </c>
      <c r="AA41" s="22" t="n">
        <f aca="false">MIN(Z41,G$8)</f>
        <v>0</v>
      </c>
      <c r="AB41" s="22" t="n">
        <f aca="false">MAX(0,MIN(Z41-AA41,$C41-(P41+T41+X41)))</f>
        <v>0</v>
      </c>
      <c r="AC41" s="22" t="n">
        <f aca="false">ROUND(Z41-AA41-AB41,2)</f>
        <v>0</v>
      </c>
      <c r="AD41" s="22" t="n">
        <f aca="false">AG40*(1+H$7)</f>
        <v>0</v>
      </c>
      <c r="AE41" s="22" t="n">
        <f aca="false">MIN(AD41,H$8)</f>
        <v>0</v>
      </c>
      <c r="AF41" s="22" t="n">
        <f aca="false">MAX(0,MIN(AD41-AE41,$C41-(P41+T41+X41+AB41)))</f>
        <v>0</v>
      </c>
      <c r="AG41" s="22" t="n">
        <f aca="false">ROUND(AD41-AE41-AF41,2)</f>
        <v>0</v>
      </c>
      <c r="AH41" s="22" t="n">
        <f aca="false">AK40*(1+I$7)</f>
        <v>0</v>
      </c>
      <c r="AI41" s="22" t="n">
        <f aca="false">MIN(AH41,I$8)</f>
        <v>0</v>
      </c>
      <c r="AJ41" s="22" t="n">
        <f aca="false">MAX(0,MIN(AH41-AI41,$C41-(P41+T41+X41+AB41+AF41)))</f>
        <v>0</v>
      </c>
      <c r="AK41" s="22" t="n">
        <f aca="false">ROUND(AH41-AI41-AJ41,2)</f>
        <v>0</v>
      </c>
      <c r="AL41" s="22" t="n">
        <f aca="false">AO40*(1+J$7)</f>
        <v>0</v>
      </c>
      <c r="AM41" s="22" t="n">
        <f aca="false">MIN(AL41,J$8)</f>
        <v>0</v>
      </c>
      <c r="AN41" s="22" t="n">
        <f aca="false">MAX(0,MIN(AL41-AM41,$C41-(P41+T41+X41+AB41+AF41+AJ41)))</f>
        <v>0</v>
      </c>
      <c r="AO41" s="22" t="n">
        <f aca="false">ROUND(AL41-AM41-AN41,2)</f>
        <v>0</v>
      </c>
      <c r="AP41" s="22" t="n">
        <f aca="false">AS40*(1+K$7)</f>
        <v>0</v>
      </c>
      <c r="AQ41" s="22" t="n">
        <f aca="false">MIN(AP41,K$8)</f>
        <v>0</v>
      </c>
      <c r="AR41" s="22" t="n">
        <f aca="false">MAX(0,MIN(AP41-AQ41,$C41-(P41+T41+X41+AB41+AF41+AJ41+AN41)))</f>
        <v>0</v>
      </c>
      <c r="AS41" s="22" t="n">
        <f aca="false">ROUND(AP41-AQ41-AR41,2)</f>
        <v>0</v>
      </c>
      <c r="AT41" s="22" t="n">
        <f aca="false">AW40*(1+L$7)</f>
        <v>0</v>
      </c>
      <c r="AU41" s="22" t="n">
        <f aca="false">MIN(AT41,L$8)</f>
        <v>0</v>
      </c>
      <c r="AV41" s="22" t="n">
        <f aca="false">MAX(0,MIN(AT41-AU41,$C41-(P41+T41+X41+AB41+AF41+AJ41+AN41+AR41)))</f>
        <v>0</v>
      </c>
      <c r="AW41" s="22" t="n">
        <f aca="false">ROUND(AT41-AU41-AV41,2)</f>
        <v>0</v>
      </c>
      <c r="AX41" s="22" t="n">
        <f aca="false">BA40*(1+M$7)</f>
        <v>0</v>
      </c>
      <c r="AY41" s="22" t="n">
        <f aca="false">MIN(AX41,M$8)</f>
        <v>0</v>
      </c>
      <c r="AZ41" s="22" t="n">
        <f aca="false">MAX(0,MIN(AX41-AY41,$C41-(P41+T41+X41+AB41+AF41+AJ41+AN41+AR41+AV41)))</f>
        <v>0</v>
      </c>
      <c r="BA41" s="22" t="n">
        <f aca="false">ROUND(AX41-AY41-AZ41,2)</f>
        <v>0</v>
      </c>
    </row>
    <row r="42" customFormat="false" ht="15" hidden="false" customHeight="false" outlineLevel="0" collapsed="false">
      <c r="A42" s="0" t="n">
        <v>32</v>
      </c>
      <c r="B42" s="39" t="n">
        <f aca="false">EDATE(Borçlar!$K$7,31)</f>
        <v>47239</v>
      </c>
      <c r="C42" s="36" t="n">
        <f aca="false">MAX(0,SUM(Borçlar!$D$5:$D$14)-(O42+S42+W42+AA42+AE42+AI42+AM42+AQ42+AU42+AY42))</f>
        <v>14000</v>
      </c>
      <c r="D42" s="36" t="n">
        <f aca="false">O42+P42+S42+T42+W42+X42+AA42+AB42+AE42+AF42+AI42+AJ42+AM42+AN42+AQ42+AR42+AU42+AV42+AY42+AZ42</f>
        <v>0</v>
      </c>
      <c r="E42" s="36" t="n">
        <f aca="false">(N42+R42+V42+Z42+AD42+AH42+AL42+AP42+AT42+AX42)-(F41)</f>
        <v>0</v>
      </c>
      <c r="F42" s="36" t="n">
        <f aca="false">Q42+U42+Y42+AC42+AG42+AK42+AO42+AS42+AW42+BA42</f>
        <v>0</v>
      </c>
      <c r="N42" s="22" t="n">
        <f aca="false">Q41*(1+D$7)</f>
        <v>0</v>
      </c>
      <c r="O42" s="22" t="n">
        <f aca="false">MIN(N42,D$8)</f>
        <v>0</v>
      </c>
      <c r="P42" s="22" t="n">
        <f aca="false">MAX(0,MIN(N42-O42,$C42-(0)))</f>
        <v>0</v>
      </c>
      <c r="Q42" s="22" t="n">
        <f aca="false">ROUND(N42-O42-P42,2)</f>
        <v>0</v>
      </c>
      <c r="R42" s="22" t="n">
        <f aca="false">U41*(1+E$7)</f>
        <v>0</v>
      </c>
      <c r="S42" s="22" t="n">
        <f aca="false">MIN(R42,E$8)</f>
        <v>0</v>
      </c>
      <c r="T42" s="22" t="n">
        <f aca="false">MAX(0,MIN(R42-S42,$C42-(P42)))</f>
        <v>0</v>
      </c>
      <c r="U42" s="22" t="n">
        <f aca="false">ROUND(R42-S42-T42,2)</f>
        <v>0</v>
      </c>
      <c r="V42" s="22" t="n">
        <f aca="false">Y41*(1+F$7)</f>
        <v>0</v>
      </c>
      <c r="W42" s="22" t="n">
        <f aca="false">MIN(V42,F$8)</f>
        <v>0</v>
      </c>
      <c r="X42" s="22" t="n">
        <f aca="false">MAX(0,MIN(V42-W42,$C42-(P42+T42)))</f>
        <v>0</v>
      </c>
      <c r="Y42" s="22" t="n">
        <f aca="false">ROUND(V42-W42-X42,2)</f>
        <v>0</v>
      </c>
      <c r="Z42" s="22" t="n">
        <f aca="false">AC41*(1+G$7)</f>
        <v>0</v>
      </c>
      <c r="AA42" s="22" t="n">
        <f aca="false">MIN(Z42,G$8)</f>
        <v>0</v>
      </c>
      <c r="AB42" s="22" t="n">
        <f aca="false">MAX(0,MIN(Z42-AA42,$C42-(P42+T42+X42)))</f>
        <v>0</v>
      </c>
      <c r="AC42" s="22" t="n">
        <f aca="false">ROUND(Z42-AA42-AB42,2)</f>
        <v>0</v>
      </c>
      <c r="AD42" s="22" t="n">
        <f aca="false">AG41*(1+H$7)</f>
        <v>0</v>
      </c>
      <c r="AE42" s="22" t="n">
        <f aca="false">MIN(AD42,H$8)</f>
        <v>0</v>
      </c>
      <c r="AF42" s="22" t="n">
        <f aca="false">MAX(0,MIN(AD42-AE42,$C42-(P42+T42+X42+AB42)))</f>
        <v>0</v>
      </c>
      <c r="AG42" s="22" t="n">
        <f aca="false">ROUND(AD42-AE42-AF42,2)</f>
        <v>0</v>
      </c>
      <c r="AH42" s="22" t="n">
        <f aca="false">AK41*(1+I$7)</f>
        <v>0</v>
      </c>
      <c r="AI42" s="22" t="n">
        <f aca="false">MIN(AH42,I$8)</f>
        <v>0</v>
      </c>
      <c r="AJ42" s="22" t="n">
        <f aca="false">MAX(0,MIN(AH42-AI42,$C42-(P42+T42+X42+AB42+AF42)))</f>
        <v>0</v>
      </c>
      <c r="AK42" s="22" t="n">
        <f aca="false">ROUND(AH42-AI42-AJ42,2)</f>
        <v>0</v>
      </c>
      <c r="AL42" s="22" t="n">
        <f aca="false">AO41*(1+J$7)</f>
        <v>0</v>
      </c>
      <c r="AM42" s="22" t="n">
        <f aca="false">MIN(AL42,J$8)</f>
        <v>0</v>
      </c>
      <c r="AN42" s="22" t="n">
        <f aca="false">MAX(0,MIN(AL42-AM42,$C42-(P42+T42+X42+AB42+AF42+AJ42)))</f>
        <v>0</v>
      </c>
      <c r="AO42" s="22" t="n">
        <f aca="false">ROUND(AL42-AM42-AN42,2)</f>
        <v>0</v>
      </c>
      <c r="AP42" s="22" t="n">
        <f aca="false">AS41*(1+K$7)</f>
        <v>0</v>
      </c>
      <c r="AQ42" s="22" t="n">
        <f aca="false">MIN(AP42,K$8)</f>
        <v>0</v>
      </c>
      <c r="AR42" s="22" t="n">
        <f aca="false">MAX(0,MIN(AP42-AQ42,$C42-(P42+T42+X42+AB42+AF42+AJ42+AN42)))</f>
        <v>0</v>
      </c>
      <c r="AS42" s="22" t="n">
        <f aca="false">ROUND(AP42-AQ42-AR42,2)</f>
        <v>0</v>
      </c>
      <c r="AT42" s="22" t="n">
        <f aca="false">AW41*(1+L$7)</f>
        <v>0</v>
      </c>
      <c r="AU42" s="22" t="n">
        <f aca="false">MIN(AT42,L$8)</f>
        <v>0</v>
      </c>
      <c r="AV42" s="22" t="n">
        <f aca="false">MAX(0,MIN(AT42-AU42,$C42-(P42+T42+X42+AB42+AF42+AJ42+AN42+AR42)))</f>
        <v>0</v>
      </c>
      <c r="AW42" s="22" t="n">
        <f aca="false">ROUND(AT42-AU42-AV42,2)</f>
        <v>0</v>
      </c>
      <c r="AX42" s="22" t="n">
        <f aca="false">BA41*(1+M$7)</f>
        <v>0</v>
      </c>
      <c r="AY42" s="22" t="n">
        <f aca="false">MIN(AX42,M$8)</f>
        <v>0</v>
      </c>
      <c r="AZ42" s="22" t="n">
        <f aca="false">MAX(0,MIN(AX42-AY42,$C42-(P42+T42+X42+AB42+AF42+AJ42+AN42+AR42+AV42)))</f>
        <v>0</v>
      </c>
      <c r="BA42" s="22" t="n">
        <f aca="false">ROUND(AX42-AY42-AZ42,2)</f>
        <v>0</v>
      </c>
    </row>
    <row r="43" customFormat="false" ht="15" hidden="false" customHeight="false" outlineLevel="0" collapsed="false">
      <c r="A43" s="0" t="n">
        <v>33</v>
      </c>
      <c r="B43" s="39" t="n">
        <f aca="false">EDATE(Borçlar!$K$7,32)</f>
        <v>47270</v>
      </c>
      <c r="C43" s="36" t="n">
        <f aca="false">MAX(0,SUM(Borçlar!$D$5:$D$14)-(O43+S43+W43+AA43+AE43+AI43+AM43+AQ43+AU43+AY43))</f>
        <v>14000</v>
      </c>
      <c r="D43" s="36" t="n">
        <f aca="false">O43+P43+S43+T43+W43+X43+AA43+AB43+AE43+AF43+AI43+AJ43+AM43+AN43+AQ43+AR43+AU43+AV43+AY43+AZ43</f>
        <v>0</v>
      </c>
      <c r="E43" s="36" t="n">
        <f aca="false">(N43+R43+V43+Z43+AD43+AH43+AL43+AP43+AT43+AX43)-(F42)</f>
        <v>0</v>
      </c>
      <c r="F43" s="36" t="n">
        <f aca="false">Q43+U43+Y43+AC43+AG43+AK43+AO43+AS43+AW43+BA43</f>
        <v>0</v>
      </c>
      <c r="N43" s="22" t="n">
        <f aca="false">Q42*(1+D$7)</f>
        <v>0</v>
      </c>
      <c r="O43" s="22" t="n">
        <f aca="false">MIN(N43,D$8)</f>
        <v>0</v>
      </c>
      <c r="P43" s="22" t="n">
        <f aca="false">MAX(0,MIN(N43-O43,$C43-(0)))</f>
        <v>0</v>
      </c>
      <c r="Q43" s="22" t="n">
        <f aca="false">ROUND(N43-O43-P43,2)</f>
        <v>0</v>
      </c>
      <c r="R43" s="22" t="n">
        <f aca="false">U42*(1+E$7)</f>
        <v>0</v>
      </c>
      <c r="S43" s="22" t="n">
        <f aca="false">MIN(R43,E$8)</f>
        <v>0</v>
      </c>
      <c r="T43" s="22" t="n">
        <f aca="false">MAX(0,MIN(R43-S43,$C43-(P43)))</f>
        <v>0</v>
      </c>
      <c r="U43" s="22" t="n">
        <f aca="false">ROUND(R43-S43-T43,2)</f>
        <v>0</v>
      </c>
      <c r="V43" s="22" t="n">
        <f aca="false">Y42*(1+F$7)</f>
        <v>0</v>
      </c>
      <c r="W43" s="22" t="n">
        <f aca="false">MIN(V43,F$8)</f>
        <v>0</v>
      </c>
      <c r="X43" s="22" t="n">
        <f aca="false">MAX(0,MIN(V43-W43,$C43-(P43+T43)))</f>
        <v>0</v>
      </c>
      <c r="Y43" s="22" t="n">
        <f aca="false">ROUND(V43-W43-X43,2)</f>
        <v>0</v>
      </c>
      <c r="Z43" s="22" t="n">
        <f aca="false">AC42*(1+G$7)</f>
        <v>0</v>
      </c>
      <c r="AA43" s="22" t="n">
        <f aca="false">MIN(Z43,G$8)</f>
        <v>0</v>
      </c>
      <c r="AB43" s="22" t="n">
        <f aca="false">MAX(0,MIN(Z43-AA43,$C43-(P43+T43+X43)))</f>
        <v>0</v>
      </c>
      <c r="AC43" s="22" t="n">
        <f aca="false">ROUND(Z43-AA43-AB43,2)</f>
        <v>0</v>
      </c>
      <c r="AD43" s="22" t="n">
        <f aca="false">AG42*(1+H$7)</f>
        <v>0</v>
      </c>
      <c r="AE43" s="22" t="n">
        <f aca="false">MIN(AD43,H$8)</f>
        <v>0</v>
      </c>
      <c r="AF43" s="22" t="n">
        <f aca="false">MAX(0,MIN(AD43-AE43,$C43-(P43+T43+X43+AB43)))</f>
        <v>0</v>
      </c>
      <c r="AG43" s="22" t="n">
        <f aca="false">ROUND(AD43-AE43-AF43,2)</f>
        <v>0</v>
      </c>
      <c r="AH43" s="22" t="n">
        <f aca="false">AK42*(1+I$7)</f>
        <v>0</v>
      </c>
      <c r="AI43" s="22" t="n">
        <f aca="false">MIN(AH43,I$8)</f>
        <v>0</v>
      </c>
      <c r="AJ43" s="22" t="n">
        <f aca="false">MAX(0,MIN(AH43-AI43,$C43-(P43+T43+X43+AB43+AF43)))</f>
        <v>0</v>
      </c>
      <c r="AK43" s="22" t="n">
        <f aca="false">ROUND(AH43-AI43-AJ43,2)</f>
        <v>0</v>
      </c>
      <c r="AL43" s="22" t="n">
        <f aca="false">AO42*(1+J$7)</f>
        <v>0</v>
      </c>
      <c r="AM43" s="22" t="n">
        <f aca="false">MIN(AL43,J$8)</f>
        <v>0</v>
      </c>
      <c r="AN43" s="22" t="n">
        <f aca="false">MAX(0,MIN(AL43-AM43,$C43-(P43+T43+X43+AB43+AF43+AJ43)))</f>
        <v>0</v>
      </c>
      <c r="AO43" s="22" t="n">
        <f aca="false">ROUND(AL43-AM43-AN43,2)</f>
        <v>0</v>
      </c>
      <c r="AP43" s="22" t="n">
        <f aca="false">AS42*(1+K$7)</f>
        <v>0</v>
      </c>
      <c r="AQ43" s="22" t="n">
        <f aca="false">MIN(AP43,K$8)</f>
        <v>0</v>
      </c>
      <c r="AR43" s="22" t="n">
        <f aca="false">MAX(0,MIN(AP43-AQ43,$C43-(P43+T43+X43+AB43+AF43+AJ43+AN43)))</f>
        <v>0</v>
      </c>
      <c r="AS43" s="22" t="n">
        <f aca="false">ROUND(AP43-AQ43-AR43,2)</f>
        <v>0</v>
      </c>
      <c r="AT43" s="22" t="n">
        <f aca="false">AW42*(1+L$7)</f>
        <v>0</v>
      </c>
      <c r="AU43" s="22" t="n">
        <f aca="false">MIN(AT43,L$8)</f>
        <v>0</v>
      </c>
      <c r="AV43" s="22" t="n">
        <f aca="false">MAX(0,MIN(AT43-AU43,$C43-(P43+T43+X43+AB43+AF43+AJ43+AN43+AR43)))</f>
        <v>0</v>
      </c>
      <c r="AW43" s="22" t="n">
        <f aca="false">ROUND(AT43-AU43-AV43,2)</f>
        <v>0</v>
      </c>
      <c r="AX43" s="22" t="n">
        <f aca="false">BA42*(1+M$7)</f>
        <v>0</v>
      </c>
      <c r="AY43" s="22" t="n">
        <f aca="false">MIN(AX43,M$8)</f>
        <v>0</v>
      </c>
      <c r="AZ43" s="22" t="n">
        <f aca="false">MAX(0,MIN(AX43-AY43,$C43-(P43+T43+X43+AB43+AF43+AJ43+AN43+AR43+AV43)))</f>
        <v>0</v>
      </c>
      <c r="BA43" s="22" t="n">
        <f aca="false">ROUND(AX43-AY43-AZ43,2)</f>
        <v>0</v>
      </c>
    </row>
    <row r="44" customFormat="false" ht="15" hidden="false" customHeight="false" outlineLevel="0" collapsed="false">
      <c r="A44" s="0" t="n">
        <v>34</v>
      </c>
      <c r="B44" s="39" t="n">
        <f aca="false">EDATE(Borçlar!$K$7,33)</f>
        <v>47300</v>
      </c>
      <c r="C44" s="36" t="n">
        <f aca="false">MAX(0,SUM(Borçlar!$D$5:$D$14)-(O44+S44+W44+AA44+AE44+AI44+AM44+AQ44+AU44+AY44))</f>
        <v>14000</v>
      </c>
      <c r="D44" s="36" t="n">
        <f aca="false">O44+P44+S44+T44+W44+X44+AA44+AB44+AE44+AF44+AI44+AJ44+AM44+AN44+AQ44+AR44+AU44+AV44+AY44+AZ44</f>
        <v>0</v>
      </c>
      <c r="E44" s="36" t="n">
        <f aca="false">(N44+R44+V44+Z44+AD44+AH44+AL44+AP44+AT44+AX44)-(F43)</f>
        <v>0</v>
      </c>
      <c r="F44" s="36" t="n">
        <f aca="false">Q44+U44+Y44+AC44+AG44+AK44+AO44+AS44+AW44+BA44</f>
        <v>0</v>
      </c>
      <c r="N44" s="22" t="n">
        <f aca="false">Q43*(1+D$7)</f>
        <v>0</v>
      </c>
      <c r="O44" s="22" t="n">
        <f aca="false">MIN(N44,D$8)</f>
        <v>0</v>
      </c>
      <c r="P44" s="22" t="n">
        <f aca="false">MAX(0,MIN(N44-O44,$C44-(0)))</f>
        <v>0</v>
      </c>
      <c r="Q44" s="22" t="n">
        <f aca="false">ROUND(N44-O44-P44,2)</f>
        <v>0</v>
      </c>
      <c r="R44" s="22" t="n">
        <f aca="false">U43*(1+E$7)</f>
        <v>0</v>
      </c>
      <c r="S44" s="22" t="n">
        <f aca="false">MIN(R44,E$8)</f>
        <v>0</v>
      </c>
      <c r="T44" s="22" t="n">
        <f aca="false">MAX(0,MIN(R44-S44,$C44-(P44)))</f>
        <v>0</v>
      </c>
      <c r="U44" s="22" t="n">
        <f aca="false">ROUND(R44-S44-T44,2)</f>
        <v>0</v>
      </c>
      <c r="V44" s="22" t="n">
        <f aca="false">Y43*(1+F$7)</f>
        <v>0</v>
      </c>
      <c r="W44" s="22" t="n">
        <f aca="false">MIN(V44,F$8)</f>
        <v>0</v>
      </c>
      <c r="X44" s="22" t="n">
        <f aca="false">MAX(0,MIN(V44-W44,$C44-(P44+T44)))</f>
        <v>0</v>
      </c>
      <c r="Y44" s="22" t="n">
        <f aca="false">ROUND(V44-W44-X44,2)</f>
        <v>0</v>
      </c>
      <c r="Z44" s="22" t="n">
        <f aca="false">AC43*(1+G$7)</f>
        <v>0</v>
      </c>
      <c r="AA44" s="22" t="n">
        <f aca="false">MIN(Z44,G$8)</f>
        <v>0</v>
      </c>
      <c r="AB44" s="22" t="n">
        <f aca="false">MAX(0,MIN(Z44-AA44,$C44-(P44+T44+X44)))</f>
        <v>0</v>
      </c>
      <c r="AC44" s="22" t="n">
        <f aca="false">ROUND(Z44-AA44-AB44,2)</f>
        <v>0</v>
      </c>
      <c r="AD44" s="22" t="n">
        <f aca="false">AG43*(1+H$7)</f>
        <v>0</v>
      </c>
      <c r="AE44" s="22" t="n">
        <f aca="false">MIN(AD44,H$8)</f>
        <v>0</v>
      </c>
      <c r="AF44" s="22" t="n">
        <f aca="false">MAX(0,MIN(AD44-AE44,$C44-(P44+T44+X44+AB44)))</f>
        <v>0</v>
      </c>
      <c r="AG44" s="22" t="n">
        <f aca="false">ROUND(AD44-AE44-AF44,2)</f>
        <v>0</v>
      </c>
      <c r="AH44" s="22" t="n">
        <f aca="false">AK43*(1+I$7)</f>
        <v>0</v>
      </c>
      <c r="AI44" s="22" t="n">
        <f aca="false">MIN(AH44,I$8)</f>
        <v>0</v>
      </c>
      <c r="AJ44" s="22" t="n">
        <f aca="false">MAX(0,MIN(AH44-AI44,$C44-(P44+T44+X44+AB44+AF44)))</f>
        <v>0</v>
      </c>
      <c r="AK44" s="22" t="n">
        <f aca="false">ROUND(AH44-AI44-AJ44,2)</f>
        <v>0</v>
      </c>
      <c r="AL44" s="22" t="n">
        <f aca="false">AO43*(1+J$7)</f>
        <v>0</v>
      </c>
      <c r="AM44" s="22" t="n">
        <f aca="false">MIN(AL44,J$8)</f>
        <v>0</v>
      </c>
      <c r="AN44" s="22" t="n">
        <f aca="false">MAX(0,MIN(AL44-AM44,$C44-(P44+T44+X44+AB44+AF44+AJ44)))</f>
        <v>0</v>
      </c>
      <c r="AO44" s="22" t="n">
        <f aca="false">ROUND(AL44-AM44-AN44,2)</f>
        <v>0</v>
      </c>
      <c r="AP44" s="22" t="n">
        <f aca="false">AS43*(1+K$7)</f>
        <v>0</v>
      </c>
      <c r="AQ44" s="22" t="n">
        <f aca="false">MIN(AP44,K$8)</f>
        <v>0</v>
      </c>
      <c r="AR44" s="22" t="n">
        <f aca="false">MAX(0,MIN(AP44-AQ44,$C44-(P44+T44+X44+AB44+AF44+AJ44+AN44)))</f>
        <v>0</v>
      </c>
      <c r="AS44" s="22" t="n">
        <f aca="false">ROUND(AP44-AQ44-AR44,2)</f>
        <v>0</v>
      </c>
      <c r="AT44" s="22" t="n">
        <f aca="false">AW43*(1+L$7)</f>
        <v>0</v>
      </c>
      <c r="AU44" s="22" t="n">
        <f aca="false">MIN(AT44,L$8)</f>
        <v>0</v>
      </c>
      <c r="AV44" s="22" t="n">
        <f aca="false">MAX(0,MIN(AT44-AU44,$C44-(P44+T44+X44+AB44+AF44+AJ44+AN44+AR44)))</f>
        <v>0</v>
      </c>
      <c r="AW44" s="22" t="n">
        <f aca="false">ROUND(AT44-AU44-AV44,2)</f>
        <v>0</v>
      </c>
      <c r="AX44" s="22" t="n">
        <f aca="false">BA43*(1+M$7)</f>
        <v>0</v>
      </c>
      <c r="AY44" s="22" t="n">
        <f aca="false">MIN(AX44,M$8)</f>
        <v>0</v>
      </c>
      <c r="AZ44" s="22" t="n">
        <f aca="false">MAX(0,MIN(AX44-AY44,$C44-(P44+T44+X44+AB44+AF44+AJ44+AN44+AR44+AV44)))</f>
        <v>0</v>
      </c>
      <c r="BA44" s="22" t="n">
        <f aca="false">ROUND(AX44-AY44-AZ44,2)</f>
        <v>0</v>
      </c>
    </row>
    <row r="45" customFormat="false" ht="15" hidden="false" customHeight="false" outlineLevel="0" collapsed="false">
      <c r="A45" s="0" t="n">
        <v>35</v>
      </c>
      <c r="B45" s="39" t="n">
        <f aca="false">EDATE(Borçlar!$K$7,34)</f>
        <v>47331</v>
      </c>
      <c r="C45" s="36" t="n">
        <f aca="false">MAX(0,SUM(Borçlar!$D$5:$D$14)-(O45+S45+W45+AA45+AE45+AI45+AM45+AQ45+AU45+AY45))</f>
        <v>14000</v>
      </c>
      <c r="D45" s="36" t="n">
        <f aca="false">O45+P45+S45+T45+W45+X45+AA45+AB45+AE45+AF45+AI45+AJ45+AM45+AN45+AQ45+AR45+AU45+AV45+AY45+AZ45</f>
        <v>0</v>
      </c>
      <c r="E45" s="36" t="n">
        <f aca="false">(N45+R45+V45+Z45+AD45+AH45+AL45+AP45+AT45+AX45)-(F44)</f>
        <v>0</v>
      </c>
      <c r="F45" s="36" t="n">
        <f aca="false">Q45+U45+Y45+AC45+AG45+AK45+AO45+AS45+AW45+BA45</f>
        <v>0</v>
      </c>
      <c r="N45" s="22" t="n">
        <f aca="false">Q44*(1+D$7)</f>
        <v>0</v>
      </c>
      <c r="O45" s="22" t="n">
        <f aca="false">MIN(N45,D$8)</f>
        <v>0</v>
      </c>
      <c r="P45" s="22" t="n">
        <f aca="false">MAX(0,MIN(N45-O45,$C45-(0)))</f>
        <v>0</v>
      </c>
      <c r="Q45" s="22" t="n">
        <f aca="false">ROUND(N45-O45-P45,2)</f>
        <v>0</v>
      </c>
      <c r="R45" s="22" t="n">
        <f aca="false">U44*(1+E$7)</f>
        <v>0</v>
      </c>
      <c r="S45" s="22" t="n">
        <f aca="false">MIN(R45,E$8)</f>
        <v>0</v>
      </c>
      <c r="T45" s="22" t="n">
        <f aca="false">MAX(0,MIN(R45-S45,$C45-(P45)))</f>
        <v>0</v>
      </c>
      <c r="U45" s="22" t="n">
        <f aca="false">ROUND(R45-S45-T45,2)</f>
        <v>0</v>
      </c>
      <c r="V45" s="22" t="n">
        <f aca="false">Y44*(1+F$7)</f>
        <v>0</v>
      </c>
      <c r="W45" s="22" t="n">
        <f aca="false">MIN(V45,F$8)</f>
        <v>0</v>
      </c>
      <c r="X45" s="22" t="n">
        <f aca="false">MAX(0,MIN(V45-W45,$C45-(P45+T45)))</f>
        <v>0</v>
      </c>
      <c r="Y45" s="22" t="n">
        <f aca="false">ROUND(V45-W45-X45,2)</f>
        <v>0</v>
      </c>
      <c r="Z45" s="22" t="n">
        <f aca="false">AC44*(1+G$7)</f>
        <v>0</v>
      </c>
      <c r="AA45" s="22" t="n">
        <f aca="false">MIN(Z45,G$8)</f>
        <v>0</v>
      </c>
      <c r="AB45" s="22" t="n">
        <f aca="false">MAX(0,MIN(Z45-AA45,$C45-(P45+T45+X45)))</f>
        <v>0</v>
      </c>
      <c r="AC45" s="22" t="n">
        <f aca="false">ROUND(Z45-AA45-AB45,2)</f>
        <v>0</v>
      </c>
      <c r="AD45" s="22" t="n">
        <f aca="false">AG44*(1+H$7)</f>
        <v>0</v>
      </c>
      <c r="AE45" s="22" t="n">
        <f aca="false">MIN(AD45,H$8)</f>
        <v>0</v>
      </c>
      <c r="AF45" s="22" t="n">
        <f aca="false">MAX(0,MIN(AD45-AE45,$C45-(P45+T45+X45+AB45)))</f>
        <v>0</v>
      </c>
      <c r="AG45" s="22" t="n">
        <f aca="false">ROUND(AD45-AE45-AF45,2)</f>
        <v>0</v>
      </c>
      <c r="AH45" s="22" t="n">
        <f aca="false">AK44*(1+I$7)</f>
        <v>0</v>
      </c>
      <c r="AI45" s="22" t="n">
        <f aca="false">MIN(AH45,I$8)</f>
        <v>0</v>
      </c>
      <c r="AJ45" s="22" t="n">
        <f aca="false">MAX(0,MIN(AH45-AI45,$C45-(P45+T45+X45+AB45+AF45)))</f>
        <v>0</v>
      </c>
      <c r="AK45" s="22" t="n">
        <f aca="false">ROUND(AH45-AI45-AJ45,2)</f>
        <v>0</v>
      </c>
      <c r="AL45" s="22" t="n">
        <f aca="false">AO44*(1+J$7)</f>
        <v>0</v>
      </c>
      <c r="AM45" s="22" t="n">
        <f aca="false">MIN(AL45,J$8)</f>
        <v>0</v>
      </c>
      <c r="AN45" s="22" t="n">
        <f aca="false">MAX(0,MIN(AL45-AM45,$C45-(P45+T45+X45+AB45+AF45+AJ45)))</f>
        <v>0</v>
      </c>
      <c r="AO45" s="22" t="n">
        <f aca="false">ROUND(AL45-AM45-AN45,2)</f>
        <v>0</v>
      </c>
      <c r="AP45" s="22" t="n">
        <f aca="false">AS44*(1+K$7)</f>
        <v>0</v>
      </c>
      <c r="AQ45" s="22" t="n">
        <f aca="false">MIN(AP45,K$8)</f>
        <v>0</v>
      </c>
      <c r="AR45" s="22" t="n">
        <f aca="false">MAX(0,MIN(AP45-AQ45,$C45-(P45+T45+X45+AB45+AF45+AJ45+AN45)))</f>
        <v>0</v>
      </c>
      <c r="AS45" s="22" t="n">
        <f aca="false">ROUND(AP45-AQ45-AR45,2)</f>
        <v>0</v>
      </c>
      <c r="AT45" s="22" t="n">
        <f aca="false">AW44*(1+L$7)</f>
        <v>0</v>
      </c>
      <c r="AU45" s="22" t="n">
        <f aca="false">MIN(AT45,L$8)</f>
        <v>0</v>
      </c>
      <c r="AV45" s="22" t="n">
        <f aca="false">MAX(0,MIN(AT45-AU45,$C45-(P45+T45+X45+AB45+AF45+AJ45+AN45+AR45)))</f>
        <v>0</v>
      </c>
      <c r="AW45" s="22" t="n">
        <f aca="false">ROUND(AT45-AU45-AV45,2)</f>
        <v>0</v>
      </c>
      <c r="AX45" s="22" t="n">
        <f aca="false">BA44*(1+M$7)</f>
        <v>0</v>
      </c>
      <c r="AY45" s="22" t="n">
        <f aca="false">MIN(AX45,M$8)</f>
        <v>0</v>
      </c>
      <c r="AZ45" s="22" t="n">
        <f aca="false">MAX(0,MIN(AX45-AY45,$C45-(P45+T45+X45+AB45+AF45+AJ45+AN45+AR45+AV45)))</f>
        <v>0</v>
      </c>
      <c r="BA45" s="22" t="n">
        <f aca="false">ROUND(AX45-AY45-AZ45,2)</f>
        <v>0</v>
      </c>
    </row>
    <row r="46" customFormat="false" ht="15" hidden="false" customHeight="false" outlineLevel="0" collapsed="false">
      <c r="A46" s="0" t="n">
        <v>36</v>
      </c>
      <c r="B46" s="39" t="n">
        <f aca="false">EDATE(Borçlar!$K$7,35)</f>
        <v>47362</v>
      </c>
      <c r="C46" s="36" t="n">
        <f aca="false">MAX(0,SUM(Borçlar!$D$5:$D$14)-(O46+S46+W46+AA46+AE46+AI46+AM46+AQ46+AU46+AY46))</f>
        <v>14000</v>
      </c>
      <c r="D46" s="36" t="n">
        <f aca="false">O46+P46+S46+T46+W46+X46+AA46+AB46+AE46+AF46+AI46+AJ46+AM46+AN46+AQ46+AR46+AU46+AV46+AY46+AZ46</f>
        <v>0</v>
      </c>
      <c r="E46" s="36" t="n">
        <f aca="false">(N46+R46+V46+Z46+AD46+AH46+AL46+AP46+AT46+AX46)-(F45)</f>
        <v>0</v>
      </c>
      <c r="F46" s="36" t="n">
        <f aca="false">Q46+U46+Y46+AC46+AG46+AK46+AO46+AS46+AW46+BA46</f>
        <v>0</v>
      </c>
      <c r="N46" s="22" t="n">
        <f aca="false">Q45*(1+D$7)</f>
        <v>0</v>
      </c>
      <c r="O46" s="22" t="n">
        <f aca="false">MIN(N46,D$8)</f>
        <v>0</v>
      </c>
      <c r="P46" s="22" t="n">
        <f aca="false">MAX(0,MIN(N46-O46,$C46-(0)))</f>
        <v>0</v>
      </c>
      <c r="Q46" s="22" t="n">
        <f aca="false">ROUND(N46-O46-P46,2)</f>
        <v>0</v>
      </c>
      <c r="R46" s="22" t="n">
        <f aca="false">U45*(1+E$7)</f>
        <v>0</v>
      </c>
      <c r="S46" s="22" t="n">
        <f aca="false">MIN(R46,E$8)</f>
        <v>0</v>
      </c>
      <c r="T46" s="22" t="n">
        <f aca="false">MAX(0,MIN(R46-S46,$C46-(P46)))</f>
        <v>0</v>
      </c>
      <c r="U46" s="22" t="n">
        <f aca="false">ROUND(R46-S46-T46,2)</f>
        <v>0</v>
      </c>
      <c r="V46" s="22" t="n">
        <f aca="false">Y45*(1+F$7)</f>
        <v>0</v>
      </c>
      <c r="W46" s="22" t="n">
        <f aca="false">MIN(V46,F$8)</f>
        <v>0</v>
      </c>
      <c r="X46" s="22" t="n">
        <f aca="false">MAX(0,MIN(V46-W46,$C46-(P46+T46)))</f>
        <v>0</v>
      </c>
      <c r="Y46" s="22" t="n">
        <f aca="false">ROUND(V46-W46-X46,2)</f>
        <v>0</v>
      </c>
      <c r="Z46" s="22" t="n">
        <f aca="false">AC45*(1+G$7)</f>
        <v>0</v>
      </c>
      <c r="AA46" s="22" t="n">
        <f aca="false">MIN(Z46,G$8)</f>
        <v>0</v>
      </c>
      <c r="AB46" s="22" t="n">
        <f aca="false">MAX(0,MIN(Z46-AA46,$C46-(P46+T46+X46)))</f>
        <v>0</v>
      </c>
      <c r="AC46" s="22" t="n">
        <f aca="false">ROUND(Z46-AA46-AB46,2)</f>
        <v>0</v>
      </c>
      <c r="AD46" s="22" t="n">
        <f aca="false">AG45*(1+H$7)</f>
        <v>0</v>
      </c>
      <c r="AE46" s="22" t="n">
        <f aca="false">MIN(AD46,H$8)</f>
        <v>0</v>
      </c>
      <c r="AF46" s="22" t="n">
        <f aca="false">MAX(0,MIN(AD46-AE46,$C46-(P46+T46+X46+AB46)))</f>
        <v>0</v>
      </c>
      <c r="AG46" s="22" t="n">
        <f aca="false">ROUND(AD46-AE46-AF46,2)</f>
        <v>0</v>
      </c>
      <c r="AH46" s="22" t="n">
        <f aca="false">AK45*(1+I$7)</f>
        <v>0</v>
      </c>
      <c r="AI46" s="22" t="n">
        <f aca="false">MIN(AH46,I$8)</f>
        <v>0</v>
      </c>
      <c r="AJ46" s="22" t="n">
        <f aca="false">MAX(0,MIN(AH46-AI46,$C46-(P46+T46+X46+AB46+AF46)))</f>
        <v>0</v>
      </c>
      <c r="AK46" s="22" t="n">
        <f aca="false">ROUND(AH46-AI46-AJ46,2)</f>
        <v>0</v>
      </c>
      <c r="AL46" s="22" t="n">
        <f aca="false">AO45*(1+J$7)</f>
        <v>0</v>
      </c>
      <c r="AM46" s="22" t="n">
        <f aca="false">MIN(AL46,J$8)</f>
        <v>0</v>
      </c>
      <c r="AN46" s="22" t="n">
        <f aca="false">MAX(0,MIN(AL46-AM46,$C46-(P46+T46+X46+AB46+AF46+AJ46)))</f>
        <v>0</v>
      </c>
      <c r="AO46" s="22" t="n">
        <f aca="false">ROUND(AL46-AM46-AN46,2)</f>
        <v>0</v>
      </c>
      <c r="AP46" s="22" t="n">
        <f aca="false">AS45*(1+K$7)</f>
        <v>0</v>
      </c>
      <c r="AQ46" s="22" t="n">
        <f aca="false">MIN(AP46,K$8)</f>
        <v>0</v>
      </c>
      <c r="AR46" s="22" t="n">
        <f aca="false">MAX(0,MIN(AP46-AQ46,$C46-(P46+T46+X46+AB46+AF46+AJ46+AN46)))</f>
        <v>0</v>
      </c>
      <c r="AS46" s="22" t="n">
        <f aca="false">ROUND(AP46-AQ46-AR46,2)</f>
        <v>0</v>
      </c>
      <c r="AT46" s="22" t="n">
        <f aca="false">AW45*(1+L$7)</f>
        <v>0</v>
      </c>
      <c r="AU46" s="22" t="n">
        <f aca="false">MIN(AT46,L$8)</f>
        <v>0</v>
      </c>
      <c r="AV46" s="22" t="n">
        <f aca="false">MAX(0,MIN(AT46-AU46,$C46-(P46+T46+X46+AB46+AF46+AJ46+AN46+AR46)))</f>
        <v>0</v>
      </c>
      <c r="AW46" s="22" t="n">
        <f aca="false">ROUND(AT46-AU46-AV46,2)</f>
        <v>0</v>
      </c>
      <c r="AX46" s="22" t="n">
        <f aca="false">BA45*(1+M$7)</f>
        <v>0</v>
      </c>
      <c r="AY46" s="22" t="n">
        <f aca="false">MIN(AX46,M$8)</f>
        <v>0</v>
      </c>
      <c r="AZ46" s="22" t="n">
        <f aca="false">MAX(0,MIN(AX46-AY46,$C46-(P46+T46+X46+AB46+AF46+AJ46+AN46+AR46+AV46)))</f>
        <v>0</v>
      </c>
      <c r="BA46" s="22" t="n">
        <f aca="false">ROUND(AX46-AY46-AZ46,2)</f>
        <v>0</v>
      </c>
    </row>
    <row r="47" customFormat="false" ht="15" hidden="false" customHeight="false" outlineLevel="0" collapsed="false">
      <c r="A47" s="0" t="n">
        <v>37</v>
      </c>
      <c r="B47" s="39" t="n">
        <f aca="false">EDATE(Borçlar!$K$7,36)</f>
        <v>47392</v>
      </c>
      <c r="C47" s="36" t="n">
        <f aca="false">MAX(0,SUM(Borçlar!$D$5:$D$14)-(O47+S47+W47+AA47+AE47+AI47+AM47+AQ47+AU47+AY47))</f>
        <v>14000</v>
      </c>
      <c r="D47" s="36" t="n">
        <f aca="false">O47+P47+S47+T47+W47+X47+AA47+AB47+AE47+AF47+AI47+AJ47+AM47+AN47+AQ47+AR47+AU47+AV47+AY47+AZ47</f>
        <v>0</v>
      </c>
      <c r="E47" s="36" t="n">
        <f aca="false">(N47+R47+V47+Z47+AD47+AH47+AL47+AP47+AT47+AX47)-(F46)</f>
        <v>0</v>
      </c>
      <c r="F47" s="36" t="n">
        <f aca="false">Q47+U47+Y47+AC47+AG47+AK47+AO47+AS47+AW47+BA47</f>
        <v>0</v>
      </c>
      <c r="N47" s="22" t="n">
        <f aca="false">Q46*(1+D$7)</f>
        <v>0</v>
      </c>
      <c r="O47" s="22" t="n">
        <f aca="false">MIN(N47,D$8)</f>
        <v>0</v>
      </c>
      <c r="P47" s="22" t="n">
        <f aca="false">MAX(0,MIN(N47-O47,$C47-(0)))</f>
        <v>0</v>
      </c>
      <c r="Q47" s="22" t="n">
        <f aca="false">ROUND(N47-O47-P47,2)</f>
        <v>0</v>
      </c>
      <c r="R47" s="22" t="n">
        <f aca="false">U46*(1+E$7)</f>
        <v>0</v>
      </c>
      <c r="S47" s="22" t="n">
        <f aca="false">MIN(R47,E$8)</f>
        <v>0</v>
      </c>
      <c r="T47" s="22" t="n">
        <f aca="false">MAX(0,MIN(R47-S47,$C47-(P47)))</f>
        <v>0</v>
      </c>
      <c r="U47" s="22" t="n">
        <f aca="false">ROUND(R47-S47-T47,2)</f>
        <v>0</v>
      </c>
      <c r="V47" s="22" t="n">
        <f aca="false">Y46*(1+F$7)</f>
        <v>0</v>
      </c>
      <c r="W47" s="22" t="n">
        <f aca="false">MIN(V47,F$8)</f>
        <v>0</v>
      </c>
      <c r="X47" s="22" t="n">
        <f aca="false">MAX(0,MIN(V47-W47,$C47-(P47+T47)))</f>
        <v>0</v>
      </c>
      <c r="Y47" s="22" t="n">
        <f aca="false">ROUND(V47-W47-X47,2)</f>
        <v>0</v>
      </c>
      <c r="Z47" s="22" t="n">
        <f aca="false">AC46*(1+G$7)</f>
        <v>0</v>
      </c>
      <c r="AA47" s="22" t="n">
        <f aca="false">MIN(Z47,G$8)</f>
        <v>0</v>
      </c>
      <c r="AB47" s="22" t="n">
        <f aca="false">MAX(0,MIN(Z47-AA47,$C47-(P47+T47+X47)))</f>
        <v>0</v>
      </c>
      <c r="AC47" s="22" t="n">
        <f aca="false">ROUND(Z47-AA47-AB47,2)</f>
        <v>0</v>
      </c>
      <c r="AD47" s="22" t="n">
        <f aca="false">AG46*(1+H$7)</f>
        <v>0</v>
      </c>
      <c r="AE47" s="22" t="n">
        <f aca="false">MIN(AD47,H$8)</f>
        <v>0</v>
      </c>
      <c r="AF47" s="22" t="n">
        <f aca="false">MAX(0,MIN(AD47-AE47,$C47-(P47+T47+X47+AB47)))</f>
        <v>0</v>
      </c>
      <c r="AG47" s="22" t="n">
        <f aca="false">ROUND(AD47-AE47-AF47,2)</f>
        <v>0</v>
      </c>
      <c r="AH47" s="22" t="n">
        <f aca="false">AK46*(1+I$7)</f>
        <v>0</v>
      </c>
      <c r="AI47" s="22" t="n">
        <f aca="false">MIN(AH47,I$8)</f>
        <v>0</v>
      </c>
      <c r="AJ47" s="22" t="n">
        <f aca="false">MAX(0,MIN(AH47-AI47,$C47-(P47+T47+X47+AB47+AF47)))</f>
        <v>0</v>
      </c>
      <c r="AK47" s="22" t="n">
        <f aca="false">ROUND(AH47-AI47-AJ47,2)</f>
        <v>0</v>
      </c>
      <c r="AL47" s="22" t="n">
        <f aca="false">AO46*(1+J$7)</f>
        <v>0</v>
      </c>
      <c r="AM47" s="22" t="n">
        <f aca="false">MIN(AL47,J$8)</f>
        <v>0</v>
      </c>
      <c r="AN47" s="22" t="n">
        <f aca="false">MAX(0,MIN(AL47-AM47,$C47-(P47+T47+X47+AB47+AF47+AJ47)))</f>
        <v>0</v>
      </c>
      <c r="AO47" s="22" t="n">
        <f aca="false">ROUND(AL47-AM47-AN47,2)</f>
        <v>0</v>
      </c>
      <c r="AP47" s="22" t="n">
        <f aca="false">AS46*(1+K$7)</f>
        <v>0</v>
      </c>
      <c r="AQ47" s="22" t="n">
        <f aca="false">MIN(AP47,K$8)</f>
        <v>0</v>
      </c>
      <c r="AR47" s="22" t="n">
        <f aca="false">MAX(0,MIN(AP47-AQ47,$C47-(P47+T47+X47+AB47+AF47+AJ47+AN47)))</f>
        <v>0</v>
      </c>
      <c r="AS47" s="22" t="n">
        <f aca="false">ROUND(AP47-AQ47-AR47,2)</f>
        <v>0</v>
      </c>
      <c r="AT47" s="22" t="n">
        <f aca="false">AW46*(1+L$7)</f>
        <v>0</v>
      </c>
      <c r="AU47" s="22" t="n">
        <f aca="false">MIN(AT47,L$8)</f>
        <v>0</v>
      </c>
      <c r="AV47" s="22" t="n">
        <f aca="false">MAX(0,MIN(AT47-AU47,$C47-(P47+T47+X47+AB47+AF47+AJ47+AN47+AR47)))</f>
        <v>0</v>
      </c>
      <c r="AW47" s="22" t="n">
        <f aca="false">ROUND(AT47-AU47-AV47,2)</f>
        <v>0</v>
      </c>
      <c r="AX47" s="22" t="n">
        <f aca="false">BA46*(1+M$7)</f>
        <v>0</v>
      </c>
      <c r="AY47" s="22" t="n">
        <f aca="false">MIN(AX47,M$8)</f>
        <v>0</v>
      </c>
      <c r="AZ47" s="22" t="n">
        <f aca="false">MAX(0,MIN(AX47-AY47,$C47-(P47+T47+X47+AB47+AF47+AJ47+AN47+AR47+AV47)))</f>
        <v>0</v>
      </c>
      <c r="BA47" s="22" t="n">
        <f aca="false">ROUND(AX47-AY47-AZ47,2)</f>
        <v>0</v>
      </c>
    </row>
    <row r="48" customFormat="false" ht="15" hidden="false" customHeight="false" outlineLevel="0" collapsed="false">
      <c r="A48" s="0" t="n">
        <v>38</v>
      </c>
      <c r="B48" s="39" t="n">
        <f aca="false">EDATE(Borçlar!$K$7,37)</f>
        <v>47423</v>
      </c>
      <c r="C48" s="36" t="n">
        <f aca="false">MAX(0,SUM(Borçlar!$D$5:$D$14)-(O48+S48+W48+AA48+AE48+AI48+AM48+AQ48+AU48+AY48))</f>
        <v>14000</v>
      </c>
      <c r="D48" s="36" t="n">
        <f aca="false">O48+P48+S48+T48+W48+X48+AA48+AB48+AE48+AF48+AI48+AJ48+AM48+AN48+AQ48+AR48+AU48+AV48+AY48+AZ48</f>
        <v>0</v>
      </c>
      <c r="E48" s="36" t="n">
        <f aca="false">(N48+R48+V48+Z48+AD48+AH48+AL48+AP48+AT48+AX48)-(F47)</f>
        <v>0</v>
      </c>
      <c r="F48" s="36" t="n">
        <f aca="false">Q48+U48+Y48+AC48+AG48+AK48+AO48+AS48+AW48+BA48</f>
        <v>0</v>
      </c>
      <c r="N48" s="22" t="n">
        <f aca="false">Q47*(1+D$7)</f>
        <v>0</v>
      </c>
      <c r="O48" s="22" t="n">
        <f aca="false">MIN(N48,D$8)</f>
        <v>0</v>
      </c>
      <c r="P48" s="22" t="n">
        <f aca="false">MAX(0,MIN(N48-O48,$C48-(0)))</f>
        <v>0</v>
      </c>
      <c r="Q48" s="22" t="n">
        <f aca="false">ROUND(N48-O48-P48,2)</f>
        <v>0</v>
      </c>
      <c r="R48" s="22" t="n">
        <f aca="false">U47*(1+E$7)</f>
        <v>0</v>
      </c>
      <c r="S48" s="22" t="n">
        <f aca="false">MIN(R48,E$8)</f>
        <v>0</v>
      </c>
      <c r="T48" s="22" t="n">
        <f aca="false">MAX(0,MIN(R48-S48,$C48-(P48)))</f>
        <v>0</v>
      </c>
      <c r="U48" s="22" t="n">
        <f aca="false">ROUND(R48-S48-T48,2)</f>
        <v>0</v>
      </c>
      <c r="V48" s="22" t="n">
        <f aca="false">Y47*(1+F$7)</f>
        <v>0</v>
      </c>
      <c r="W48" s="22" t="n">
        <f aca="false">MIN(V48,F$8)</f>
        <v>0</v>
      </c>
      <c r="X48" s="22" t="n">
        <f aca="false">MAX(0,MIN(V48-W48,$C48-(P48+T48)))</f>
        <v>0</v>
      </c>
      <c r="Y48" s="22" t="n">
        <f aca="false">ROUND(V48-W48-X48,2)</f>
        <v>0</v>
      </c>
      <c r="Z48" s="22" t="n">
        <f aca="false">AC47*(1+G$7)</f>
        <v>0</v>
      </c>
      <c r="AA48" s="22" t="n">
        <f aca="false">MIN(Z48,G$8)</f>
        <v>0</v>
      </c>
      <c r="AB48" s="22" t="n">
        <f aca="false">MAX(0,MIN(Z48-AA48,$C48-(P48+T48+X48)))</f>
        <v>0</v>
      </c>
      <c r="AC48" s="22" t="n">
        <f aca="false">ROUND(Z48-AA48-AB48,2)</f>
        <v>0</v>
      </c>
      <c r="AD48" s="22" t="n">
        <f aca="false">AG47*(1+H$7)</f>
        <v>0</v>
      </c>
      <c r="AE48" s="22" t="n">
        <f aca="false">MIN(AD48,H$8)</f>
        <v>0</v>
      </c>
      <c r="AF48" s="22" t="n">
        <f aca="false">MAX(0,MIN(AD48-AE48,$C48-(P48+T48+X48+AB48)))</f>
        <v>0</v>
      </c>
      <c r="AG48" s="22" t="n">
        <f aca="false">ROUND(AD48-AE48-AF48,2)</f>
        <v>0</v>
      </c>
      <c r="AH48" s="22" t="n">
        <f aca="false">AK47*(1+I$7)</f>
        <v>0</v>
      </c>
      <c r="AI48" s="22" t="n">
        <f aca="false">MIN(AH48,I$8)</f>
        <v>0</v>
      </c>
      <c r="AJ48" s="22" t="n">
        <f aca="false">MAX(0,MIN(AH48-AI48,$C48-(P48+T48+X48+AB48+AF48)))</f>
        <v>0</v>
      </c>
      <c r="AK48" s="22" t="n">
        <f aca="false">ROUND(AH48-AI48-AJ48,2)</f>
        <v>0</v>
      </c>
      <c r="AL48" s="22" t="n">
        <f aca="false">AO47*(1+J$7)</f>
        <v>0</v>
      </c>
      <c r="AM48" s="22" t="n">
        <f aca="false">MIN(AL48,J$8)</f>
        <v>0</v>
      </c>
      <c r="AN48" s="22" t="n">
        <f aca="false">MAX(0,MIN(AL48-AM48,$C48-(P48+T48+X48+AB48+AF48+AJ48)))</f>
        <v>0</v>
      </c>
      <c r="AO48" s="22" t="n">
        <f aca="false">ROUND(AL48-AM48-AN48,2)</f>
        <v>0</v>
      </c>
      <c r="AP48" s="22" t="n">
        <f aca="false">AS47*(1+K$7)</f>
        <v>0</v>
      </c>
      <c r="AQ48" s="22" t="n">
        <f aca="false">MIN(AP48,K$8)</f>
        <v>0</v>
      </c>
      <c r="AR48" s="22" t="n">
        <f aca="false">MAX(0,MIN(AP48-AQ48,$C48-(P48+T48+X48+AB48+AF48+AJ48+AN48)))</f>
        <v>0</v>
      </c>
      <c r="AS48" s="22" t="n">
        <f aca="false">ROUND(AP48-AQ48-AR48,2)</f>
        <v>0</v>
      </c>
      <c r="AT48" s="22" t="n">
        <f aca="false">AW47*(1+L$7)</f>
        <v>0</v>
      </c>
      <c r="AU48" s="22" t="n">
        <f aca="false">MIN(AT48,L$8)</f>
        <v>0</v>
      </c>
      <c r="AV48" s="22" t="n">
        <f aca="false">MAX(0,MIN(AT48-AU48,$C48-(P48+T48+X48+AB48+AF48+AJ48+AN48+AR48)))</f>
        <v>0</v>
      </c>
      <c r="AW48" s="22" t="n">
        <f aca="false">ROUND(AT48-AU48-AV48,2)</f>
        <v>0</v>
      </c>
      <c r="AX48" s="22" t="n">
        <f aca="false">BA47*(1+M$7)</f>
        <v>0</v>
      </c>
      <c r="AY48" s="22" t="n">
        <f aca="false">MIN(AX48,M$8)</f>
        <v>0</v>
      </c>
      <c r="AZ48" s="22" t="n">
        <f aca="false">MAX(0,MIN(AX48-AY48,$C48-(P48+T48+X48+AB48+AF48+AJ48+AN48+AR48+AV48)))</f>
        <v>0</v>
      </c>
      <c r="BA48" s="22" t="n">
        <f aca="false">ROUND(AX48-AY48-AZ48,2)</f>
        <v>0</v>
      </c>
    </row>
    <row r="49" customFormat="false" ht="15" hidden="false" customHeight="false" outlineLevel="0" collapsed="false">
      <c r="A49" s="0" t="n">
        <v>39</v>
      </c>
      <c r="B49" s="39" t="n">
        <f aca="false">EDATE(Borçlar!$K$7,38)</f>
        <v>47453</v>
      </c>
      <c r="C49" s="36" t="n">
        <f aca="false">MAX(0,SUM(Borçlar!$D$5:$D$14)-(O49+S49+W49+AA49+AE49+AI49+AM49+AQ49+AU49+AY49))</f>
        <v>14000</v>
      </c>
      <c r="D49" s="36" t="n">
        <f aca="false">O49+P49+S49+T49+W49+X49+AA49+AB49+AE49+AF49+AI49+AJ49+AM49+AN49+AQ49+AR49+AU49+AV49+AY49+AZ49</f>
        <v>0</v>
      </c>
      <c r="E49" s="36" t="n">
        <f aca="false">(N49+R49+V49+Z49+AD49+AH49+AL49+AP49+AT49+AX49)-(F48)</f>
        <v>0</v>
      </c>
      <c r="F49" s="36" t="n">
        <f aca="false">Q49+U49+Y49+AC49+AG49+AK49+AO49+AS49+AW49+BA49</f>
        <v>0</v>
      </c>
      <c r="N49" s="22" t="n">
        <f aca="false">Q48*(1+D$7)</f>
        <v>0</v>
      </c>
      <c r="O49" s="22" t="n">
        <f aca="false">MIN(N49,D$8)</f>
        <v>0</v>
      </c>
      <c r="P49" s="22" t="n">
        <f aca="false">MAX(0,MIN(N49-O49,$C49-(0)))</f>
        <v>0</v>
      </c>
      <c r="Q49" s="22" t="n">
        <f aca="false">ROUND(N49-O49-P49,2)</f>
        <v>0</v>
      </c>
      <c r="R49" s="22" t="n">
        <f aca="false">U48*(1+E$7)</f>
        <v>0</v>
      </c>
      <c r="S49" s="22" t="n">
        <f aca="false">MIN(R49,E$8)</f>
        <v>0</v>
      </c>
      <c r="T49" s="22" t="n">
        <f aca="false">MAX(0,MIN(R49-S49,$C49-(P49)))</f>
        <v>0</v>
      </c>
      <c r="U49" s="22" t="n">
        <f aca="false">ROUND(R49-S49-T49,2)</f>
        <v>0</v>
      </c>
      <c r="V49" s="22" t="n">
        <f aca="false">Y48*(1+F$7)</f>
        <v>0</v>
      </c>
      <c r="W49" s="22" t="n">
        <f aca="false">MIN(V49,F$8)</f>
        <v>0</v>
      </c>
      <c r="X49" s="22" t="n">
        <f aca="false">MAX(0,MIN(V49-W49,$C49-(P49+T49)))</f>
        <v>0</v>
      </c>
      <c r="Y49" s="22" t="n">
        <f aca="false">ROUND(V49-W49-X49,2)</f>
        <v>0</v>
      </c>
      <c r="Z49" s="22" t="n">
        <f aca="false">AC48*(1+G$7)</f>
        <v>0</v>
      </c>
      <c r="AA49" s="22" t="n">
        <f aca="false">MIN(Z49,G$8)</f>
        <v>0</v>
      </c>
      <c r="AB49" s="22" t="n">
        <f aca="false">MAX(0,MIN(Z49-AA49,$C49-(P49+T49+X49)))</f>
        <v>0</v>
      </c>
      <c r="AC49" s="22" t="n">
        <f aca="false">ROUND(Z49-AA49-AB49,2)</f>
        <v>0</v>
      </c>
      <c r="AD49" s="22" t="n">
        <f aca="false">AG48*(1+H$7)</f>
        <v>0</v>
      </c>
      <c r="AE49" s="22" t="n">
        <f aca="false">MIN(AD49,H$8)</f>
        <v>0</v>
      </c>
      <c r="AF49" s="22" t="n">
        <f aca="false">MAX(0,MIN(AD49-AE49,$C49-(P49+T49+X49+AB49)))</f>
        <v>0</v>
      </c>
      <c r="AG49" s="22" t="n">
        <f aca="false">ROUND(AD49-AE49-AF49,2)</f>
        <v>0</v>
      </c>
      <c r="AH49" s="22" t="n">
        <f aca="false">AK48*(1+I$7)</f>
        <v>0</v>
      </c>
      <c r="AI49" s="22" t="n">
        <f aca="false">MIN(AH49,I$8)</f>
        <v>0</v>
      </c>
      <c r="AJ49" s="22" t="n">
        <f aca="false">MAX(0,MIN(AH49-AI49,$C49-(P49+T49+X49+AB49+AF49)))</f>
        <v>0</v>
      </c>
      <c r="AK49" s="22" t="n">
        <f aca="false">ROUND(AH49-AI49-AJ49,2)</f>
        <v>0</v>
      </c>
      <c r="AL49" s="22" t="n">
        <f aca="false">AO48*(1+J$7)</f>
        <v>0</v>
      </c>
      <c r="AM49" s="22" t="n">
        <f aca="false">MIN(AL49,J$8)</f>
        <v>0</v>
      </c>
      <c r="AN49" s="22" t="n">
        <f aca="false">MAX(0,MIN(AL49-AM49,$C49-(P49+T49+X49+AB49+AF49+AJ49)))</f>
        <v>0</v>
      </c>
      <c r="AO49" s="22" t="n">
        <f aca="false">ROUND(AL49-AM49-AN49,2)</f>
        <v>0</v>
      </c>
      <c r="AP49" s="22" t="n">
        <f aca="false">AS48*(1+K$7)</f>
        <v>0</v>
      </c>
      <c r="AQ49" s="22" t="n">
        <f aca="false">MIN(AP49,K$8)</f>
        <v>0</v>
      </c>
      <c r="AR49" s="22" t="n">
        <f aca="false">MAX(0,MIN(AP49-AQ49,$C49-(P49+T49+X49+AB49+AF49+AJ49+AN49)))</f>
        <v>0</v>
      </c>
      <c r="AS49" s="22" t="n">
        <f aca="false">ROUND(AP49-AQ49-AR49,2)</f>
        <v>0</v>
      </c>
      <c r="AT49" s="22" t="n">
        <f aca="false">AW48*(1+L$7)</f>
        <v>0</v>
      </c>
      <c r="AU49" s="22" t="n">
        <f aca="false">MIN(AT49,L$8)</f>
        <v>0</v>
      </c>
      <c r="AV49" s="22" t="n">
        <f aca="false">MAX(0,MIN(AT49-AU49,$C49-(P49+T49+X49+AB49+AF49+AJ49+AN49+AR49)))</f>
        <v>0</v>
      </c>
      <c r="AW49" s="22" t="n">
        <f aca="false">ROUND(AT49-AU49-AV49,2)</f>
        <v>0</v>
      </c>
      <c r="AX49" s="22" t="n">
        <f aca="false">BA48*(1+M$7)</f>
        <v>0</v>
      </c>
      <c r="AY49" s="22" t="n">
        <f aca="false">MIN(AX49,M$8)</f>
        <v>0</v>
      </c>
      <c r="AZ49" s="22" t="n">
        <f aca="false">MAX(0,MIN(AX49-AY49,$C49-(P49+T49+X49+AB49+AF49+AJ49+AN49+AR49+AV49)))</f>
        <v>0</v>
      </c>
      <c r="BA49" s="22" t="n">
        <f aca="false">ROUND(AX49-AY49-AZ49,2)</f>
        <v>0</v>
      </c>
    </row>
    <row r="50" customFormat="false" ht="15" hidden="false" customHeight="false" outlineLevel="0" collapsed="false">
      <c r="A50" s="0" t="n">
        <v>40</v>
      </c>
      <c r="B50" s="39" t="n">
        <f aca="false">EDATE(Borçlar!$K$7,39)</f>
        <v>47484</v>
      </c>
      <c r="C50" s="36" t="n">
        <f aca="false">MAX(0,SUM(Borçlar!$D$5:$D$14)-(O50+S50+W50+AA50+AE50+AI50+AM50+AQ50+AU50+AY50))</f>
        <v>14000</v>
      </c>
      <c r="D50" s="36" t="n">
        <f aca="false">O50+P50+S50+T50+W50+X50+AA50+AB50+AE50+AF50+AI50+AJ50+AM50+AN50+AQ50+AR50+AU50+AV50+AY50+AZ50</f>
        <v>0</v>
      </c>
      <c r="E50" s="36" t="n">
        <f aca="false">(N50+R50+V50+Z50+AD50+AH50+AL50+AP50+AT50+AX50)-(F49)</f>
        <v>0</v>
      </c>
      <c r="F50" s="36" t="n">
        <f aca="false">Q50+U50+Y50+AC50+AG50+AK50+AO50+AS50+AW50+BA50</f>
        <v>0</v>
      </c>
      <c r="N50" s="22" t="n">
        <f aca="false">Q49*(1+D$7)</f>
        <v>0</v>
      </c>
      <c r="O50" s="22" t="n">
        <f aca="false">MIN(N50,D$8)</f>
        <v>0</v>
      </c>
      <c r="P50" s="22" t="n">
        <f aca="false">MAX(0,MIN(N50-O50,$C50-(0)))</f>
        <v>0</v>
      </c>
      <c r="Q50" s="22" t="n">
        <f aca="false">ROUND(N50-O50-P50,2)</f>
        <v>0</v>
      </c>
      <c r="R50" s="22" t="n">
        <f aca="false">U49*(1+E$7)</f>
        <v>0</v>
      </c>
      <c r="S50" s="22" t="n">
        <f aca="false">MIN(R50,E$8)</f>
        <v>0</v>
      </c>
      <c r="T50" s="22" t="n">
        <f aca="false">MAX(0,MIN(R50-S50,$C50-(P50)))</f>
        <v>0</v>
      </c>
      <c r="U50" s="22" t="n">
        <f aca="false">ROUND(R50-S50-T50,2)</f>
        <v>0</v>
      </c>
      <c r="V50" s="22" t="n">
        <f aca="false">Y49*(1+F$7)</f>
        <v>0</v>
      </c>
      <c r="W50" s="22" t="n">
        <f aca="false">MIN(V50,F$8)</f>
        <v>0</v>
      </c>
      <c r="X50" s="22" t="n">
        <f aca="false">MAX(0,MIN(V50-W50,$C50-(P50+T50)))</f>
        <v>0</v>
      </c>
      <c r="Y50" s="22" t="n">
        <f aca="false">ROUND(V50-W50-X50,2)</f>
        <v>0</v>
      </c>
      <c r="Z50" s="22" t="n">
        <f aca="false">AC49*(1+G$7)</f>
        <v>0</v>
      </c>
      <c r="AA50" s="22" t="n">
        <f aca="false">MIN(Z50,G$8)</f>
        <v>0</v>
      </c>
      <c r="AB50" s="22" t="n">
        <f aca="false">MAX(0,MIN(Z50-AA50,$C50-(P50+T50+X50)))</f>
        <v>0</v>
      </c>
      <c r="AC50" s="22" t="n">
        <f aca="false">ROUND(Z50-AA50-AB50,2)</f>
        <v>0</v>
      </c>
      <c r="AD50" s="22" t="n">
        <f aca="false">AG49*(1+H$7)</f>
        <v>0</v>
      </c>
      <c r="AE50" s="22" t="n">
        <f aca="false">MIN(AD50,H$8)</f>
        <v>0</v>
      </c>
      <c r="AF50" s="22" t="n">
        <f aca="false">MAX(0,MIN(AD50-AE50,$C50-(P50+T50+X50+AB50)))</f>
        <v>0</v>
      </c>
      <c r="AG50" s="22" t="n">
        <f aca="false">ROUND(AD50-AE50-AF50,2)</f>
        <v>0</v>
      </c>
      <c r="AH50" s="22" t="n">
        <f aca="false">AK49*(1+I$7)</f>
        <v>0</v>
      </c>
      <c r="AI50" s="22" t="n">
        <f aca="false">MIN(AH50,I$8)</f>
        <v>0</v>
      </c>
      <c r="AJ50" s="22" t="n">
        <f aca="false">MAX(0,MIN(AH50-AI50,$C50-(P50+T50+X50+AB50+AF50)))</f>
        <v>0</v>
      </c>
      <c r="AK50" s="22" t="n">
        <f aca="false">ROUND(AH50-AI50-AJ50,2)</f>
        <v>0</v>
      </c>
      <c r="AL50" s="22" t="n">
        <f aca="false">AO49*(1+J$7)</f>
        <v>0</v>
      </c>
      <c r="AM50" s="22" t="n">
        <f aca="false">MIN(AL50,J$8)</f>
        <v>0</v>
      </c>
      <c r="AN50" s="22" t="n">
        <f aca="false">MAX(0,MIN(AL50-AM50,$C50-(P50+T50+X50+AB50+AF50+AJ50)))</f>
        <v>0</v>
      </c>
      <c r="AO50" s="22" t="n">
        <f aca="false">ROUND(AL50-AM50-AN50,2)</f>
        <v>0</v>
      </c>
      <c r="AP50" s="22" t="n">
        <f aca="false">AS49*(1+K$7)</f>
        <v>0</v>
      </c>
      <c r="AQ50" s="22" t="n">
        <f aca="false">MIN(AP50,K$8)</f>
        <v>0</v>
      </c>
      <c r="AR50" s="22" t="n">
        <f aca="false">MAX(0,MIN(AP50-AQ50,$C50-(P50+T50+X50+AB50+AF50+AJ50+AN50)))</f>
        <v>0</v>
      </c>
      <c r="AS50" s="22" t="n">
        <f aca="false">ROUND(AP50-AQ50-AR50,2)</f>
        <v>0</v>
      </c>
      <c r="AT50" s="22" t="n">
        <f aca="false">AW49*(1+L$7)</f>
        <v>0</v>
      </c>
      <c r="AU50" s="22" t="n">
        <f aca="false">MIN(AT50,L$8)</f>
        <v>0</v>
      </c>
      <c r="AV50" s="22" t="n">
        <f aca="false">MAX(0,MIN(AT50-AU50,$C50-(P50+T50+X50+AB50+AF50+AJ50+AN50+AR50)))</f>
        <v>0</v>
      </c>
      <c r="AW50" s="22" t="n">
        <f aca="false">ROUND(AT50-AU50-AV50,2)</f>
        <v>0</v>
      </c>
      <c r="AX50" s="22" t="n">
        <f aca="false">BA49*(1+M$7)</f>
        <v>0</v>
      </c>
      <c r="AY50" s="22" t="n">
        <f aca="false">MIN(AX50,M$8)</f>
        <v>0</v>
      </c>
      <c r="AZ50" s="22" t="n">
        <f aca="false">MAX(0,MIN(AX50-AY50,$C50-(P50+T50+X50+AB50+AF50+AJ50+AN50+AR50+AV50)))</f>
        <v>0</v>
      </c>
      <c r="BA50" s="22" t="n">
        <f aca="false">ROUND(AX50-AY50-AZ50,2)</f>
        <v>0</v>
      </c>
    </row>
    <row r="51" customFormat="false" ht="15" hidden="false" customHeight="false" outlineLevel="0" collapsed="false">
      <c r="A51" s="0" t="n">
        <v>41</v>
      </c>
      <c r="B51" s="39" t="n">
        <f aca="false">EDATE(Borçlar!$K$7,40)</f>
        <v>47515</v>
      </c>
      <c r="C51" s="36" t="n">
        <f aca="false">MAX(0,SUM(Borçlar!$D$5:$D$14)-(O51+S51+W51+AA51+AE51+AI51+AM51+AQ51+AU51+AY51))</f>
        <v>14000</v>
      </c>
      <c r="D51" s="36" t="n">
        <f aca="false">O51+P51+S51+T51+W51+X51+AA51+AB51+AE51+AF51+AI51+AJ51+AM51+AN51+AQ51+AR51+AU51+AV51+AY51+AZ51</f>
        <v>0</v>
      </c>
      <c r="E51" s="36" t="n">
        <f aca="false">(N51+R51+V51+Z51+AD51+AH51+AL51+AP51+AT51+AX51)-(F50)</f>
        <v>0</v>
      </c>
      <c r="F51" s="36" t="n">
        <f aca="false">Q51+U51+Y51+AC51+AG51+AK51+AO51+AS51+AW51+BA51</f>
        <v>0</v>
      </c>
      <c r="N51" s="22" t="n">
        <f aca="false">Q50*(1+D$7)</f>
        <v>0</v>
      </c>
      <c r="O51" s="22" t="n">
        <f aca="false">MIN(N51,D$8)</f>
        <v>0</v>
      </c>
      <c r="P51" s="22" t="n">
        <f aca="false">MAX(0,MIN(N51-O51,$C51-(0)))</f>
        <v>0</v>
      </c>
      <c r="Q51" s="22" t="n">
        <f aca="false">ROUND(N51-O51-P51,2)</f>
        <v>0</v>
      </c>
      <c r="R51" s="22" t="n">
        <f aca="false">U50*(1+E$7)</f>
        <v>0</v>
      </c>
      <c r="S51" s="22" t="n">
        <f aca="false">MIN(R51,E$8)</f>
        <v>0</v>
      </c>
      <c r="T51" s="22" t="n">
        <f aca="false">MAX(0,MIN(R51-S51,$C51-(P51)))</f>
        <v>0</v>
      </c>
      <c r="U51" s="22" t="n">
        <f aca="false">ROUND(R51-S51-T51,2)</f>
        <v>0</v>
      </c>
      <c r="V51" s="22" t="n">
        <f aca="false">Y50*(1+F$7)</f>
        <v>0</v>
      </c>
      <c r="W51" s="22" t="n">
        <f aca="false">MIN(V51,F$8)</f>
        <v>0</v>
      </c>
      <c r="X51" s="22" t="n">
        <f aca="false">MAX(0,MIN(V51-W51,$C51-(P51+T51)))</f>
        <v>0</v>
      </c>
      <c r="Y51" s="22" t="n">
        <f aca="false">ROUND(V51-W51-X51,2)</f>
        <v>0</v>
      </c>
      <c r="Z51" s="22" t="n">
        <f aca="false">AC50*(1+G$7)</f>
        <v>0</v>
      </c>
      <c r="AA51" s="22" t="n">
        <f aca="false">MIN(Z51,G$8)</f>
        <v>0</v>
      </c>
      <c r="AB51" s="22" t="n">
        <f aca="false">MAX(0,MIN(Z51-AA51,$C51-(P51+T51+X51)))</f>
        <v>0</v>
      </c>
      <c r="AC51" s="22" t="n">
        <f aca="false">ROUND(Z51-AA51-AB51,2)</f>
        <v>0</v>
      </c>
      <c r="AD51" s="22" t="n">
        <f aca="false">AG50*(1+H$7)</f>
        <v>0</v>
      </c>
      <c r="AE51" s="22" t="n">
        <f aca="false">MIN(AD51,H$8)</f>
        <v>0</v>
      </c>
      <c r="AF51" s="22" t="n">
        <f aca="false">MAX(0,MIN(AD51-AE51,$C51-(P51+T51+X51+AB51)))</f>
        <v>0</v>
      </c>
      <c r="AG51" s="22" t="n">
        <f aca="false">ROUND(AD51-AE51-AF51,2)</f>
        <v>0</v>
      </c>
      <c r="AH51" s="22" t="n">
        <f aca="false">AK50*(1+I$7)</f>
        <v>0</v>
      </c>
      <c r="AI51" s="22" t="n">
        <f aca="false">MIN(AH51,I$8)</f>
        <v>0</v>
      </c>
      <c r="AJ51" s="22" t="n">
        <f aca="false">MAX(0,MIN(AH51-AI51,$C51-(P51+T51+X51+AB51+AF51)))</f>
        <v>0</v>
      </c>
      <c r="AK51" s="22" t="n">
        <f aca="false">ROUND(AH51-AI51-AJ51,2)</f>
        <v>0</v>
      </c>
      <c r="AL51" s="22" t="n">
        <f aca="false">AO50*(1+J$7)</f>
        <v>0</v>
      </c>
      <c r="AM51" s="22" t="n">
        <f aca="false">MIN(AL51,J$8)</f>
        <v>0</v>
      </c>
      <c r="AN51" s="22" t="n">
        <f aca="false">MAX(0,MIN(AL51-AM51,$C51-(P51+T51+X51+AB51+AF51+AJ51)))</f>
        <v>0</v>
      </c>
      <c r="AO51" s="22" t="n">
        <f aca="false">ROUND(AL51-AM51-AN51,2)</f>
        <v>0</v>
      </c>
      <c r="AP51" s="22" t="n">
        <f aca="false">AS50*(1+K$7)</f>
        <v>0</v>
      </c>
      <c r="AQ51" s="22" t="n">
        <f aca="false">MIN(AP51,K$8)</f>
        <v>0</v>
      </c>
      <c r="AR51" s="22" t="n">
        <f aca="false">MAX(0,MIN(AP51-AQ51,$C51-(P51+T51+X51+AB51+AF51+AJ51+AN51)))</f>
        <v>0</v>
      </c>
      <c r="AS51" s="22" t="n">
        <f aca="false">ROUND(AP51-AQ51-AR51,2)</f>
        <v>0</v>
      </c>
      <c r="AT51" s="22" t="n">
        <f aca="false">AW50*(1+L$7)</f>
        <v>0</v>
      </c>
      <c r="AU51" s="22" t="n">
        <f aca="false">MIN(AT51,L$8)</f>
        <v>0</v>
      </c>
      <c r="AV51" s="22" t="n">
        <f aca="false">MAX(0,MIN(AT51-AU51,$C51-(P51+T51+X51+AB51+AF51+AJ51+AN51+AR51)))</f>
        <v>0</v>
      </c>
      <c r="AW51" s="22" t="n">
        <f aca="false">ROUND(AT51-AU51-AV51,2)</f>
        <v>0</v>
      </c>
      <c r="AX51" s="22" t="n">
        <f aca="false">BA50*(1+M$7)</f>
        <v>0</v>
      </c>
      <c r="AY51" s="22" t="n">
        <f aca="false">MIN(AX51,M$8)</f>
        <v>0</v>
      </c>
      <c r="AZ51" s="22" t="n">
        <f aca="false">MAX(0,MIN(AX51-AY51,$C51-(P51+T51+X51+AB51+AF51+AJ51+AN51+AR51+AV51)))</f>
        <v>0</v>
      </c>
      <c r="BA51" s="22" t="n">
        <f aca="false">ROUND(AX51-AY51-AZ51,2)</f>
        <v>0</v>
      </c>
    </row>
    <row r="52" customFormat="false" ht="15" hidden="false" customHeight="false" outlineLevel="0" collapsed="false">
      <c r="A52" s="0" t="n">
        <v>42</v>
      </c>
      <c r="B52" s="39" t="n">
        <f aca="false">EDATE(Borçlar!$K$7,41)</f>
        <v>47543</v>
      </c>
      <c r="C52" s="36" t="n">
        <f aca="false">MAX(0,SUM(Borçlar!$D$5:$D$14)-(O52+S52+W52+AA52+AE52+AI52+AM52+AQ52+AU52+AY52))</f>
        <v>14000</v>
      </c>
      <c r="D52" s="36" t="n">
        <f aca="false">O52+P52+S52+T52+W52+X52+AA52+AB52+AE52+AF52+AI52+AJ52+AM52+AN52+AQ52+AR52+AU52+AV52+AY52+AZ52</f>
        <v>0</v>
      </c>
      <c r="E52" s="36" t="n">
        <f aca="false">(N52+R52+V52+Z52+AD52+AH52+AL52+AP52+AT52+AX52)-(F51)</f>
        <v>0</v>
      </c>
      <c r="F52" s="36" t="n">
        <f aca="false">Q52+U52+Y52+AC52+AG52+AK52+AO52+AS52+AW52+BA52</f>
        <v>0</v>
      </c>
      <c r="N52" s="22" t="n">
        <f aca="false">Q51*(1+D$7)</f>
        <v>0</v>
      </c>
      <c r="O52" s="22" t="n">
        <f aca="false">MIN(N52,D$8)</f>
        <v>0</v>
      </c>
      <c r="P52" s="22" t="n">
        <f aca="false">MAX(0,MIN(N52-O52,$C52-(0)))</f>
        <v>0</v>
      </c>
      <c r="Q52" s="22" t="n">
        <f aca="false">ROUND(N52-O52-P52,2)</f>
        <v>0</v>
      </c>
      <c r="R52" s="22" t="n">
        <f aca="false">U51*(1+E$7)</f>
        <v>0</v>
      </c>
      <c r="S52" s="22" t="n">
        <f aca="false">MIN(R52,E$8)</f>
        <v>0</v>
      </c>
      <c r="T52" s="22" t="n">
        <f aca="false">MAX(0,MIN(R52-S52,$C52-(P52)))</f>
        <v>0</v>
      </c>
      <c r="U52" s="22" t="n">
        <f aca="false">ROUND(R52-S52-T52,2)</f>
        <v>0</v>
      </c>
      <c r="V52" s="22" t="n">
        <f aca="false">Y51*(1+F$7)</f>
        <v>0</v>
      </c>
      <c r="W52" s="22" t="n">
        <f aca="false">MIN(V52,F$8)</f>
        <v>0</v>
      </c>
      <c r="X52" s="22" t="n">
        <f aca="false">MAX(0,MIN(V52-W52,$C52-(P52+T52)))</f>
        <v>0</v>
      </c>
      <c r="Y52" s="22" t="n">
        <f aca="false">ROUND(V52-W52-X52,2)</f>
        <v>0</v>
      </c>
      <c r="Z52" s="22" t="n">
        <f aca="false">AC51*(1+G$7)</f>
        <v>0</v>
      </c>
      <c r="AA52" s="22" t="n">
        <f aca="false">MIN(Z52,G$8)</f>
        <v>0</v>
      </c>
      <c r="AB52" s="22" t="n">
        <f aca="false">MAX(0,MIN(Z52-AA52,$C52-(P52+T52+X52)))</f>
        <v>0</v>
      </c>
      <c r="AC52" s="22" t="n">
        <f aca="false">ROUND(Z52-AA52-AB52,2)</f>
        <v>0</v>
      </c>
      <c r="AD52" s="22" t="n">
        <f aca="false">AG51*(1+H$7)</f>
        <v>0</v>
      </c>
      <c r="AE52" s="22" t="n">
        <f aca="false">MIN(AD52,H$8)</f>
        <v>0</v>
      </c>
      <c r="AF52" s="22" t="n">
        <f aca="false">MAX(0,MIN(AD52-AE52,$C52-(P52+T52+X52+AB52)))</f>
        <v>0</v>
      </c>
      <c r="AG52" s="22" t="n">
        <f aca="false">ROUND(AD52-AE52-AF52,2)</f>
        <v>0</v>
      </c>
      <c r="AH52" s="22" t="n">
        <f aca="false">AK51*(1+I$7)</f>
        <v>0</v>
      </c>
      <c r="AI52" s="22" t="n">
        <f aca="false">MIN(AH52,I$8)</f>
        <v>0</v>
      </c>
      <c r="AJ52" s="22" t="n">
        <f aca="false">MAX(0,MIN(AH52-AI52,$C52-(P52+T52+X52+AB52+AF52)))</f>
        <v>0</v>
      </c>
      <c r="AK52" s="22" t="n">
        <f aca="false">ROUND(AH52-AI52-AJ52,2)</f>
        <v>0</v>
      </c>
      <c r="AL52" s="22" t="n">
        <f aca="false">AO51*(1+J$7)</f>
        <v>0</v>
      </c>
      <c r="AM52" s="22" t="n">
        <f aca="false">MIN(AL52,J$8)</f>
        <v>0</v>
      </c>
      <c r="AN52" s="22" t="n">
        <f aca="false">MAX(0,MIN(AL52-AM52,$C52-(P52+T52+X52+AB52+AF52+AJ52)))</f>
        <v>0</v>
      </c>
      <c r="AO52" s="22" t="n">
        <f aca="false">ROUND(AL52-AM52-AN52,2)</f>
        <v>0</v>
      </c>
      <c r="AP52" s="22" t="n">
        <f aca="false">AS51*(1+K$7)</f>
        <v>0</v>
      </c>
      <c r="AQ52" s="22" t="n">
        <f aca="false">MIN(AP52,K$8)</f>
        <v>0</v>
      </c>
      <c r="AR52" s="22" t="n">
        <f aca="false">MAX(0,MIN(AP52-AQ52,$C52-(P52+T52+X52+AB52+AF52+AJ52+AN52)))</f>
        <v>0</v>
      </c>
      <c r="AS52" s="22" t="n">
        <f aca="false">ROUND(AP52-AQ52-AR52,2)</f>
        <v>0</v>
      </c>
      <c r="AT52" s="22" t="n">
        <f aca="false">AW51*(1+L$7)</f>
        <v>0</v>
      </c>
      <c r="AU52" s="22" t="n">
        <f aca="false">MIN(AT52,L$8)</f>
        <v>0</v>
      </c>
      <c r="AV52" s="22" t="n">
        <f aca="false">MAX(0,MIN(AT52-AU52,$C52-(P52+T52+X52+AB52+AF52+AJ52+AN52+AR52)))</f>
        <v>0</v>
      </c>
      <c r="AW52" s="22" t="n">
        <f aca="false">ROUND(AT52-AU52-AV52,2)</f>
        <v>0</v>
      </c>
      <c r="AX52" s="22" t="n">
        <f aca="false">BA51*(1+M$7)</f>
        <v>0</v>
      </c>
      <c r="AY52" s="22" t="n">
        <f aca="false">MIN(AX52,M$8)</f>
        <v>0</v>
      </c>
      <c r="AZ52" s="22" t="n">
        <f aca="false">MAX(0,MIN(AX52-AY52,$C52-(P52+T52+X52+AB52+AF52+AJ52+AN52+AR52+AV52)))</f>
        <v>0</v>
      </c>
      <c r="BA52" s="22" t="n">
        <f aca="false">ROUND(AX52-AY52-AZ52,2)</f>
        <v>0</v>
      </c>
    </row>
    <row r="53" customFormat="false" ht="15" hidden="false" customHeight="false" outlineLevel="0" collapsed="false">
      <c r="A53" s="0" t="n">
        <v>43</v>
      </c>
      <c r="B53" s="39" t="n">
        <f aca="false">EDATE(Borçlar!$K$7,42)</f>
        <v>47574</v>
      </c>
      <c r="C53" s="36" t="n">
        <f aca="false">MAX(0,SUM(Borçlar!$D$5:$D$14)-(O53+S53+W53+AA53+AE53+AI53+AM53+AQ53+AU53+AY53))</f>
        <v>14000</v>
      </c>
      <c r="D53" s="36" t="n">
        <f aca="false">O53+P53+S53+T53+W53+X53+AA53+AB53+AE53+AF53+AI53+AJ53+AM53+AN53+AQ53+AR53+AU53+AV53+AY53+AZ53</f>
        <v>0</v>
      </c>
      <c r="E53" s="36" t="n">
        <f aca="false">(N53+R53+V53+Z53+AD53+AH53+AL53+AP53+AT53+AX53)-(F52)</f>
        <v>0</v>
      </c>
      <c r="F53" s="36" t="n">
        <f aca="false">Q53+U53+Y53+AC53+AG53+AK53+AO53+AS53+AW53+BA53</f>
        <v>0</v>
      </c>
      <c r="N53" s="22" t="n">
        <f aca="false">Q52*(1+D$7)</f>
        <v>0</v>
      </c>
      <c r="O53" s="22" t="n">
        <f aca="false">MIN(N53,D$8)</f>
        <v>0</v>
      </c>
      <c r="P53" s="22" t="n">
        <f aca="false">MAX(0,MIN(N53-O53,$C53-(0)))</f>
        <v>0</v>
      </c>
      <c r="Q53" s="22" t="n">
        <f aca="false">ROUND(N53-O53-P53,2)</f>
        <v>0</v>
      </c>
      <c r="R53" s="22" t="n">
        <f aca="false">U52*(1+E$7)</f>
        <v>0</v>
      </c>
      <c r="S53" s="22" t="n">
        <f aca="false">MIN(R53,E$8)</f>
        <v>0</v>
      </c>
      <c r="T53" s="22" t="n">
        <f aca="false">MAX(0,MIN(R53-S53,$C53-(P53)))</f>
        <v>0</v>
      </c>
      <c r="U53" s="22" t="n">
        <f aca="false">ROUND(R53-S53-T53,2)</f>
        <v>0</v>
      </c>
      <c r="V53" s="22" t="n">
        <f aca="false">Y52*(1+F$7)</f>
        <v>0</v>
      </c>
      <c r="W53" s="22" t="n">
        <f aca="false">MIN(V53,F$8)</f>
        <v>0</v>
      </c>
      <c r="X53" s="22" t="n">
        <f aca="false">MAX(0,MIN(V53-W53,$C53-(P53+T53)))</f>
        <v>0</v>
      </c>
      <c r="Y53" s="22" t="n">
        <f aca="false">ROUND(V53-W53-X53,2)</f>
        <v>0</v>
      </c>
      <c r="Z53" s="22" t="n">
        <f aca="false">AC52*(1+G$7)</f>
        <v>0</v>
      </c>
      <c r="AA53" s="22" t="n">
        <f aca="false">MIN(Z53,G$8)</f>
        <v>0</v>
      </c>
      <c r="AB53" s="22" t="n">
        <f aca="false">MAX(0,MIN(Z53-AA53,$C53-(P53+T53+X53)))</f>
        <v>0</v>
      </c>
      <c r="AC53" s="22" t="n">
        <f aca="false">ROUND(Z53-AA53-AB53,2)</f>
        <v>0</v>
      </c>
      <c r="AD53" s="22" t="n">
        <f aca="false">AG52*(1+H$7)</f>
        <v>0</v>
      </c>
      <c r="AE53" s="22" t="n">
        <f aca="false">MIN(AD53,H$8)</f>
        <v>0</v>
      </c>
      <c r="AF53" s="22" t="n">
        <f aca="false">MAX(0,MIN(AD53-AE53,$C53-(P53+T53+X53+AB53)))</f>
        <v>0</v>
      </c>
      <c r="AG53" s="22" t="n">
        <f aca="false">ROUND(AD53-AE53-AF53,2)</f>
        <v>0</v>
      </c>
      <c r="AH53" s="22" t="n">
        <f aca="false">AK52*(1+I$7)</f>
        <v>0</v>
      </c>
      <c r="AI53" s="22" t="n">
        <f aca="false">MIN(AH53,I$8)</f>
        <v>0</v>
      </c>
      <c r="AJ53" s="22" t="n">
        <f aca="false">MAX(0,MIN(AH53-AI53,$C53-(P53+T53+X53+AB53+AF53)))</f>
        <v>0</v>
      </c>
      <c r="AK53" s="22" t="n">
        <f aca="false">ROUND(AH53-AI53-AJ53,2)</f>
        <v>0</v>
      </c>
      <c r="AL53" s="22" t="n">
        <f aca="false">AO52*(1+J$7)</f>
        <v>0</v>
      </c>
      <c r="AM53" s="22" t="n">
        <f aca="false">MIN(AL53,J$8)</f>
        <v>0</v>
      </c>
      <c r="AN53" s="22" t="n">
        <f aca="false">MAX(0,MIN(AL53-AM53,$C53-(P53+T53+X53+AB53+AF53+AJ53)))</f>
        <v>0</v>
      </c>
      <c r="AO53" s="22" t="n">
        <f aca="false">ROUND(AL53-AM53-AN53,2)</f>
        <v>0</v>
      </c>
      <c r="AP53" s="22" t="n">
        <f aca="false">AS52*(1+K$7)</f>
        <v>0</v>
      </c>
      <c r="AQ53" s="22" t="n">
        <f aca="false">MIN(AP53,K$8)</f>
        <v>0</v>
      </c>
      <c r="AR53" s="22" t="n">
        <f aca="false">MAX(0,MIN(AP53-AQ53,$C53-(P53+T53+X53+AB53+AF53+AJ53+AN53)))</f>
        <v>0</v>
      </c>
      <c r="AS53" s="22" t="n">
        <f aca="false">ROUND(AP53-AQ53-AR53,2)</f>
        <v>0</v>
      </c>
      <c r="AT53" s="22" t="n">
        <f aca="false">AW52*(1+L$7)</f>
        <v>0</v>
      </c>
      <c r="AU53" s="22" t="n">
        <f aca="false">MIN(AT53,L$8)</f>
        <v>0</v>
      </c>
      <c r="AV53" s="22" t="n">
        <f aca="false">MAX(0,MIN(AT53-AU53,$C53-(P53+T53+X53+AB53+AF53+AJ53+AN53+AR53)))</f>
        <v>0</v>
      </c>
      <c r="AW53" s="22" t="n">
        <f aca="false">ROUND(AT53-AU53-AV53,2)</f>
        <v>0</v>
      </c>
      <c r="AX53" s="22" t="n">
        <f aca="false">BA52*(1+M$7)</f>
        <v>0</v>
      </c>
      <c r="AY53" s="22" t="n">
        <f aca="false">MIN(AX53,M$8)</f>
        <v>0</v>
      </c>
      <c r="AZ53" s="22" t="n">
        <f aca="false">MAX(0,MIN(AX53-AY53,$C53-(P53+T53+X53+AB53+AF53+AJ53+AN53+AR53+AV53)))</f>
        <v>0</v>
      </c>
      <c r="BA53" s="22" t="n">
        <f aca="false">ROUND(AX53-AY53-AZ53,2)</f>
        <v>0</v>
      </c>
    </row>
    <row r="54" customFormat="false" ht="15" hidden="false" customHeight="false" outlineLevel="0" collapsed="false">
      <c r="A54" s="0" t="n">
        <v>44</v>
      </c>
      <c r="B54" s="39" t="n">
        <f aca="false">EDATE(Borçlar!$K$7,43)</f>
        <v>47604</v>
      </c>
      <c r="C54" s="36" t="n">
        <f aca="false">MAX(0,SUM(Borçlar!$D$5:$D$14)-(O54+S54+W54+AA54+AE54+AI54+AM54+AQ54+AU54+AY54))</f>
        <v>14000</v>
      </c>
      <c r="D54" s="36" t="n">
        <f aca="false">O54+P54+S54+T54+W54+X54+AA54+AB54+AE54+AF54+AI54+AJ54+AM54+AN54+AQ54+AR54+AU54+AV54+AY54+AZ54</f>
        <v>0</v>
      </c>
      <c r="E54" s="36" t="n">
        <f aca="false">(N54+R54+V54+Z54+AD54+AH54+AL54+AP54+AT54+AX54)-(F53)</f>
        <v>0</v>
      </c>
      <c r="F54" s="36" t="n">
        <f aca="false">Q54+U54+Y54+AC54+AG54+AK54+AO54+AS54+AW54+BA54</f>
        <v>0</v>
      </c>
      <c r="N54" s="22" t="n">
        <f aca="false">Q53*(1+D$7)</f>
        <v>0</v>
      </c>
      <c r="O54" s="22" t="n">
        <f aca="false">MIN(N54,D$8)</f>
        <v>0</v>
      </c>
      <c r="P54" s="22" t="n">
        <f aca="false">MAX(0,MIN(N54-O54,$C54-(0)))</f>
        <v>0</v>
      </c>
      <c r="Q54" s="22" t="n">
        <f aca="false">ROUND(N54-O54-P54,2)</f>
        <v>0</v>
      </c>
      <c r="R54" s="22" t="n">
        <f aca="false">U53*(1+E$7)</f>
        <v>0</v>
      </c>
      <c r="S54" s="22" t="n">
        <f aca="false">MIN(R54,E$8)</f>
        <v>0</v>
      </c>
      <c r="T54" s="22" t="n">
        <f aca="false">MAX(0,MIN(R54-S54,$C54-(P54)))</f>
        <v>0</v>
      </c>
      <c r="U54" s="22" t="n">
        <f aca="false">ROUND(R54-S54-T54,2)</f>
        <v>0</v>
      </c>
      <c r="V54" s="22" t="n">
        <f aca="false">Y53*(1+F$7)</f>
        <v>0</v>
      </c>
      <c r="W54" s="22" t="n">
        <f aca="false">MIN(V54,F$8)</f>
        <v>0</v>
      </c>
      <c r="X54" s="22" t="n">
        <f aca="false">MAX(0,MIN(V54-W54,$C54-(P54+T54)))</f>
        <v>0</v>
      </c>
      <c r="Y54" s="22" t="n">
        <f aca="false">ROUND(V54-W54-X54,2)</f>
        <v>0</v>
      </c>
      <c r="Z54" s="22" t="n">
        <f aca="false">AC53*(1+G$7)</f>
        <v>0</v>
      </c>
      <c r="AA54" s="22" t="n">
        <f aca="false">MIN(Z54,G$8)</f>
        <v>0</v>
      </c>
      <c r="AB54" s="22" t="n">
        <f aca="false">MAX(0,MIN(Z54-AA54,$C54-(P54+T54+X54)))</f>
        <v>0</v>
      </c>
      <c r="AC54" s="22" t="n">
        <f aca="false">ROUND(Z54-AA54-AB54,2)</f>
        <v>0</v>
      </c>
      <c r="AD54" s="22" t="n">
        <f aca="false">AG53*(1+H$7)</f>
        <v>0</v>
      </c>
      <c r="AE54" s="22" t="n">
        <f aca="false">MIN(AD54,H$8)</f>
        <v>0</v>
      </c>
      <c r="AF54" s="22" t="n">
        <f aca="false">MAX(0,MIN(AD54-AE54,$C54-(P54+T54+X54+AB54)))</f>
        <v>0</v>
      </c>
      <c r="AG54" s="22" t="n">
        <f aca="false">ROUND(AD54-AE54-AF54,2)</f>
        <v>0</v>
      </c>
      <c r="AH54" s="22" t="n">
        <f aca="false">AK53*(1+I$7)</f>
        <v>0</v>
      </c>
      <c r="AI54" s="22" t="n">
        <f aca="false">MIN(AH54,I$8)</f>
        <v>0</v>
      </c>
      <c r="AJ54" s="22" t="n">
        <f aca="false">MAX(0,MIN(AH54-AI54,$C54-(P54+T54+X54+AB54+AF54)))</f>
        <v>0</v>
      </c>
      <c r="AK54" s="22" t="n">
        <f aca="false">ROUND(AH54-AI54-AJ54,2)</f>
        <v>0</v>
      </c>
      <c r="AL54" s="22" t="n">
        <f aca="false">AO53*(1+J$7)</f>
        <v>0</v>
      </c>
      <c r="AM54" s="22" t="n">
        <f aca="false">MIN(AL54,J$8)</f>
        <v>0</v>
      </c>
      <c r="AN54" s="22" t="n">
        <f aca="false">MAX(0,MIN(AL54-AM54,$C54-(P54+T54+X54+AB54+AF54+AJ54)))</f>
        <v>0</v>
      </c>
      <c r="AO54" s="22" t="n">
        <f aca="false">ROUND(AL54-AM54-AN54,2)</f>
        <v>0</v>
      </c>
      <c r="AP54" s="22" t="n">
        <f aca="false">AS53*(1+K$7)</f>
        <v>0</v>
      </c>
      <c r="AQ54" s="22" t="n">
        <f aca="false">MIN(AP54,K$8)</f>
        <v>0</v>
      </c>
      <c r="AR54" s="22" t="n">
        <f aca="false">MAX(0,MIN(AP54-AQ54,$C54-(P54+T54+X54+AB54+AF54+AJ54+AN54)))</f>
        <v>0</v>
      </c>
      <c r="AS54" s="22" t="n">
        <f aca="false">ROUND(AP54-AQ54-AR54,2)</f>
        <v>0</v>
      </c>
      <c r="AT54" s="22" t="n">
        <f aca="false">AW53*(1+L$7)</f>
        <v>0</v>
      </c>
      <c r="AU54" s="22" t="n">
        <f aca="false">MIN(AT54,L$8)</f>
        <v>0</v>
      </c>
      <c r="AV54" s="22" t="n">
        <f aca="false">MAX(0,MIN(AT54-AU54,$C54-(P54+T54+X54+AB54+AF54+AJ54+AN54+AR54)))</f>
        <v>0</v>
      </c>
      <c r="AW54" s="22" t="n">
        <f aca="false">ROUND(AT54-AU54-AV54,2)</f>
        <v>0</v>
      </c>
      <c r="AX54" s="22" t="n">
        <f aca="false">BA53*(1+M$7)</f>
        <v>0</v>
      </c>
      <c r="AY54" s="22" t="n">
        <f aca="false">MIN(AX54,M$8)</f>
        <v>0</v>
      </c>
      <c r="AZ54" s="22" t="n">
        <f aca="false">MAX(0,MIN(AX54-AY54,$C54-(P54+T54+X54+AB54+AF54+AJ54+AN54+AR54+AV54)))</f>
        <v>0</v>
      </c>
      <c r="BA54" s="22" t="n">
        <f aca="false">ROUND(AX54-AY54-AZ54,2)</f>
        <v>0</v>
      </c>
    </row>
    <row r="55" customFormat="false" ht="15" hidden="false" customHeight="false" outlineLevel="0" collapsed="false">
      <c r="A55" s="0" t="n">
        <v>45</v>
      </c>
      <c r="B55" s="39" t="n">
        <f aca="false">EDATE(Borçlar!$K$7,44)</f>
        <v>47635</v>
      </c>
      <c r="C55" s="36" t="n">
        <f aca="false">MAX(0,SUM(Borçlar!$D$5:$D$14)-(O55+S55+W55+AA55+AE55+AI55+AM55+AQ55+AU55+AY55))</f>
        <v>14000</v>
      </c>
      <c r="D55" s="36" t="n">
        <f aca="false">O55+P55+S55+T55+W55+X55+AA55+AB55+AE55+AF55+AI55+AJ55+AM55+AN55+AQ55+AR55+AU55+AV55+AY55+AZ55</f>
        <v>0</v>
      </c>
      <c r="E55" s="36" t="n">
        <f aca="false">(N55+R55+V55+Z55+AD55+AH55+AL55+AP55+AT55+AX55)-(F54)</f>
        <v>0</v>
      </c>
      <c r="F55" s="36" t="n">
        <f aca="false">Q55+U55+Y55+AC55+AG55+AK55+AO55+AS55+AW55+BA55</f>
        <v>0</v>
      </c>
      <c r="N55" s="22" t="n">
        <f aca="false">Q54*(1+D$7)</f>
        <v>0</v>
      </c>
      <c r="O55" s="22" t="n">
        <f aca="false">MIN(N55,D$8)</f>
        <v>0</v>
      </c>
      <c r="P55" s="22" t="n">
        <f aca="false">MAX(0,MIN(N55-O55,$C55-(0)))</f>
        <v>0</v>
      </c>
      <c r="Q55" s="22" t="n">
        <f aca="false">ROUND(N55-O55-P55,2)</f>
        <v>0</v>
      </c>
      <c r="R55" s="22" t="n">
        <f aca="false">U54*(1+E$7)</f>
        <v>0</v>
      </c>
      <c r="S55" s="22" t="n">
        <f aca="false">MIN(R55,E$8)</f>
        <v>0</v>
      </c>
      <c r="T55" s="22" t="n">
        <f aca="false">MAX(0,MIN(R55-S55,$C55-(P55)))</f>
        <v>0</v>
      </c>
      <c r="U55" s="22" t="n">
        <f aca="false">ROUND(R55-S55-T55,2)</f>
        <v>0</v>
      </c>
      <c r="V55" s="22" t="n">
        <f aca="false">Y54*(1+F$7)</f>
        <v>0</v>
      </c>
      <c r="W55" s="22" t="n">
        <f aca="false">MIN(V55,F$8)</f>
        <v>0</v>
      </c>
      <c r="X55" s="22" t="n">
        <f aca="false">MAX(0,MIN(V55-W55,$C55-(P55+T55)))</f>
        <v>0</v>
      </c>
      <c r="Y55" s="22" t="n">
        <f aca="false">ROUND(V55-W55-X55,2)</f>
        <v>0</v>
      </c>
      <c r="Z55" s="22" t="n">
        <f aca="false">AC54*(1+G$7)</f>
        <v>0</v>
      </c>
      <c r="AA55" s="22" t="n">
        <f aca="false">MIN(Z55,G$8)</f>
        <v>0</v>
      </c>
      <c r="AB55" s="22" t="n">
        <f aca="false">MAX(0,MIN(Z55-AA55,$C55-(P55+T55+X55)))</f>
        <v>0</v>
      </c>
      <c r="AC55" s="22" t="n">
        <f aca="false">ROUND(Z55-AA55-AB55,2)</f>
        <v>0</v>
      </c>
      <c r="AD55" s="22" t="n">
        <f aca="false">AG54*(1+H$7)</f>
        <v>0</v>
      </c>
      <c r="AE55" s="22" t="n">
        <f aca="false">MIN(AD55,H$8)</f>
        <v>0</v>
      </c>
      <c r="AF55" s="22" t="n">
        <f aca="false">MAX(0,MIN(AD55-AE55,$C55-(P55+T55+X55+AB55)))</f>
        <v>0</v>
      </c>
      <c r="AG55" s="22" t="n">
        <f aca="false">ROUND(AD55-AE55-AF55,2)</f>
        <v>0</v>
      </c>
      <c r="AH55" s="22" t="n">
        <f aca="false">AK54*(1+I$7)</f>
        <v>0</v>
      </c>
      <c r="AI55" s="22" t="n">
        <f aca="false">MIN(AH55,I$8)</f>
        <v>0</v>
      </c>
      <c r="AJ55" s="22" t="n">
        <f aca="false">MAX(0,MIN(AH55-AI55,$C55-(P55+T55+X55+AB55+AF55)))</f>
        <v>0</v>
      </c>
      <c r="AK55" s="22" t="n">
        <f aca="false">ROUND(AH55-AI55-AJ55,2)</f>
        <v>0</v>
      </c>
      <c r="AL55" s="22" t="n">
        <f aca="false">AO54*(1+J$7)</f>
        <v>0</v>
      </c>
      <c r="AM55" s="22" t="n">
        <f aca="false">MIN(AL55,J$8)</f>
        <v>0</v>
      </c>
      <c r="AN55" s="22" t="n">
        <f aca="false">MAX(0,MIN(AL55-AM55,$C55-(P55+T55+X55+AB55+AF55+AJ55)))</f>
        <v>0</v>
      </c>
      <c r="AO55" s="22" t="n">
        <f aca="false">ROUND(AL55-AM55-AN55,2)</f>
        <v>0</v>
      </c>
      <c r="AP55" s="22" t="n">
        <f aca="false">AS54*(1+K$7)</f>
        <v>0</v>
      </c>
      <c r="AQ55" s="22" t="n">
        <f aca="false">MIN(AP55,K$8)</f>
        <v>0</v>
      </c>
      <c r="AR55" s="22" t="n">
        <f aca="false">MAX(0,MIN(AP55-AQ55,$C55-(P55+T55+X55+AB55+AF55+AJ55+AN55)))</f>
        <v>0</v>
      </c>
      <c r="AS55" s="22" t="n">
        <f aca="false">ROUND(AP55-AQ55-AR55,2)</f>
        <v>0</v>
      </c>
      <c r="AT55" s="22" t="n">
        <f aca="false">AW54*(1+L$7)</f>
        <v>0</v>
      </c>
      <c r="AU55" s="22" t="n">
        <f aca="false">MIN(AT55,L$8)</f>
        <v>0</v>
      </c>
      <c r="AV55" s="22" t="n">
        <f aca="false">MAX(0,MIN(AT55-AU55,$C55-(P55+T55+X55+AB55+AF55+AJ55+AN55+AR55)))</f>
        <v>0</v>
      </c>
      <c r="AW55" s="22" t="n">
        <f aca="false">ROUND(AT55-AU55-AV55,2)</f>
        <v>0</v>
      </c>
      <c r="AX55" s="22" t="n">
        <f aca="false">BA54*(1+M$7)</f>
        <v>0</v>
      </c>
      <c r="AY55" s="22" t="n">
        <f aca="false">MIN(AX55,M$8)</f>
        <v>0</v>
      </c>
      <c r="AZ55" s="22" t="n">
        <f aca="false">MAX(0,MIN(AX55-AY55,$C55-(P55+T55+X55+AB55+AF55+AJ55+AN55+AR55+AV55)))</f>
        <v>0</v>
      </c>
      <c r="BA55" s="22" t="n">
        <f aca="false">ROUND(AX55-AY55-AZ55,2)</f>
        <v>0</v>
      </c>
    </row>
    <row r="56" customFormat="false" ht="15" hidden="false" customHeight="false" outlineLevel="0" collapsed="false">
      <c r="A56" s="0" t="n">
        <v>46</v>
      </c>
      <c r="B56" s="39" t="n">
        <f aca="false">EDATE(Borçlar!$K$7,45)</f>
        <v>47665</v>
      </c>
      <c r="C56" s="36" t="n">
        <f aca="false">MAX(0,SUM(Borçlar!$D$5:$D$14)-(O56+S56+W56+AA56+AE56+AI56+AM56+AQ56+AU56+AY56))</f>
        <v>14000</v>
      </c>
      <c r="D56" s="36" t="n">
        <f aca="false">O56+P56+S56+T56+W56+X56+AA56+AB56+AE56+AF56+AI56+AJ56+AM56+AN56+AQ56+AR56+AU56+AV56+AY56+AZ56</f>
        <v>0</v>
      </c>
      <c r="E56" s="36" t="n">
        <f aca="false">(N56+R56+V56+Z56+AD56+AH56+AL56+AP56+AT56+AX56)-(F55)</f>
        <v>0</v>
      </c>
      <c r="F56" s="36" t="n">
        <f aca="false">Q56+U56+Y56+AC56+AG56+AK56+AO56+AS56+AW56+BA56</f>
        <v>0</v>
      </c>
      <c r="N56" s="22" t="n">
        <f aca="false">Q55*(1+D$7)</f>
        <v>0</v>
      </c>
      <c r="O56" s="22" t="n">
        <f aca="false">MIN(N56,D$8)</f>
        <v>0</v>
      </c>
      <c r="P56" s="22" t="n">
        <f aca="false">MAX(0,MIN(N56-O56,$C56-(0)))</f>
        <v>0</v>
      </c>
      <c r="Q56" s="22" t="n">
        <f aca="false">ROUND(N56-O56-P56,2)</f>
        <v>0</v>
      </c>
      <c r="R56" s="22" t="n">
        <f aca="false">U55*(1+E$7)</f>
        <v>0</v>
      </c>
      <c r="S56" s="22" t="n">
        <f aca="false">MIN(R56,E$8)</f>
        <v>0</v>
      </c>
      <c r="T56" s="22" t="n">
        <f aca="false">MAX(0,MIN(R56-S56,$C56-(P56)))</f>
        <v>0</v>
      </c>
      <c r="U56" s="22" t="n">
        <f aca="false">ROUND(R56-S56-T56,2)</f>
        <v>0</v>
      </c>
      <c r="V56" s="22" t="n">
        <f aca="false">Y55*(1+F$7)</f>
        <v>0</v>
      </c>
      <c r="W56" s="22" t="n">
        <f aca="false">MIN(V56,F$8)</f>
        <v>0</v>
      </c>
      <c r="X56" s="22" t="n">
        <f aca="false">MAX(0,MIN(V56-W56,$C56-(P56+T56)))</f>
        <v>0</v>
      </c>
      <c r="Y56" s="22" t="n">
        <f aca="false">ROUND(V56-W56-X56,2)</f>
        <v>0</v>
      </c>
      <c r="Z56" s="22" t="n">
        <f aca="false">AC55*(1+G$7)</f>
        <v>0</v>
      </c>
      <c r="AA56" s="22" t="n">
        <f aca="false">MIN(Z56,G$8)</f>
        <v>0</v>
      </c>
      <c r="AB56" s="22" t="n">
        <f aca="false">MAX(0,MIN(Z56-AA56,$C56-(P56+T56+X56)))</f>
        <v>0</v>
      </c>
      <c r="AC56" s="22" t="n">
        <f aca="false">ROUND(Z56-AA56-AB56,2)</f>
        <v>0</v>
      </c>
      <c r="AD56" s="22" t="n">
        <f aca="false">AG55*(1+H$7)</f>
        <v>0</v>
      </c>
      <c r="AE56" s="22" t="n">
        <f aca="false">MIN(AD56,H$8)</f>
        <v>0</v>
      </c>
      <c r="AF56" s="22" t="n">
        <f aca="false">MAX(0,MIN(AD56-AE56,$C56-(P56+T56+X56+AB56)))</f>
        <v>0</v>
      </c>
      <c r="AG56" s="22" t="n">
        <f aca="false">ROUND(AD56-AE56-AF56,2)</f>
        <v>0</v>
      </c>
      <c r="AH56" s="22" t="n">
        <f aca="false">AK55*(1+I$7)</f>
        <v>0</v>
      </c>
      <c r="AI56" s="22" t="n">
        <f aca="false">MIN(AH56,I$8)</f>
        <v>0</v>
      </c>
      <c r="AJ56" s="22" t="n">
        <f aca="false">MAX(0,MIN(AH56-AI56,$C56-(P56+T56+X56+AB56+AF56)))</f>
        <v>0</v>
      </c>
      <c r="AK56" s="22" t="n">
        <f aca="false">ROUND(AH56-AI56-AJ56,2)</f>
        <v>0</v>
      </c>
      <c r="AL56" s="22" t="n">
        <f aca="false">AO55*(1+J$7)</f>
        <v>0</v>
      </c>
      <c r="AM56" s="22" t="n">
        <f aca="false">MIN(AL56,J$8)</f>
        <v>0</v>
      </c>
      <c r="AN56" s="22" t="n">
        <f aca="false">MAX(0,MIN(AL56-AM56,$C56-(P56+T56+X56+AB56+AF56+AJ56)))</f>
        <v>0</v>
      </c>
      <c r="AO56" s="22" t="n">
        <f aca="false">ROUND(AL56-AM56-AN56,2)</f>
        <v>0</v>
      </c>
      <c r="AP56" s="22" t="n">
        <f aca="false">AS55*(1+K$7)</f>
        <v>0</v>
      </c>
      <c r="AQ56" s="22" t="n">
        <f aca="false">MIN(AP56,K$8)</f>
        <v>0</v>
      </c>
      <c r="AR56" s="22" t="n">
        <f aca="false">MAX(0,MIN(AP56-AQ56,$C56-(P56+T56+X56+AB56+AF56+AJ56+AN56)))</f>
        <v>0</v>
      </c>
      <c r="AS56" s="22" t="n">
        <f aca="false">ROUND(AP56-AQ56-AR56,2)</f>
        <v>0</v>
      </c>
      <c r="AT56" s="22" t="n">
        <f aca="false">AW55*(1+L$7)</f>
        <v>0</v>
      </c>
      <c r="AU56" s="22" t="n">
        <f aca="false">MIN(AT56,L$8)</f>
        <v>0</v>
      </c>
      <c r="AV56" s="22" t="n">
        <f aca="false">MAX(0,MIN(AT56-AU56,$C56-(P56+T56+X56+AB56+AF56+AJ56+AN56+AR56)))</f>
        <v>0</v>
      </c>
      <c r="AW56" s="22" t="n">
        <f aca="false">ROUND(AT56-AU56-AV56,2)</f>
        <v>0</v>
      </c>
      <c r="AX56" s="22" t="n">
        <f aca="false">BA55*(1+M$7)</f>
        <v>0</v>
      </c>
      <c r="AY56" s="22" t="n">
        <f aca="false">MIN(AX56,M$8)</f>
        <v>0</v>
      </c>
      <c r="AZ56" s="22" t="n">
        <f aca="false">MAX(0,MIN(AX56-AY56,$C56-(P56+T56+X56+AB56+AF56+AJ56+AN56+AR56+AV56)))</f>
        <v>0</v>
      </c>
      <c r="BA56" s="22" t="n">
        <f aca="false">ROUND(AX56-AY56-AZ56,2)</f>
        <v>0</v>
      </c>
    </row>
    <row r="57" customFormat="false" ht="15" hidden="false" customHeight="false" outlineLevel="0" collapsed="false">
      <c r="A57" s="0" t="n">
        <v>47</v>
      </c>
      <c r="B57" s="39" t="n">
        <f aca="false">EDATE(Borçlar!$K$7,46)</f>
        <v>47696</v>
      </c>
      <c r="C57" s="36" t="n">
        <f aca="false">MAX(0,SUM(Borçlar!$D$5:$D$14)-(O57+S57+W57+AA57+AE57+AI57+AM57+AQ57+AU57+AY57))</f>
        <v>14000</v>
      </c>
      <c r="D57" s="36" t="n">
        <f aca="false">O57+P57+S57+T57+W57+X57+AA57+AB57+AE57+AF57+AI57+AJ57+AM57+AN57+AQ57+AR57+AU57+AV57+AY57+AZ57</f>
        <v>0</v>
      </c>
      <c r="E57" s="36" t="n">
        <f aca="false">(N57+R57+V57+Z57+AD57+AH57+AL57+AP57+AT57+AX57)-(F56)</f>
        <v>0</v>
      </c>
      <c r="F57" s="36" t="n">
        <f aca="false">Q57+U57+Y57+AC57+AG57+AK57+AO57+AS57+AW57+BA57</f>
        <v>0</v>
      </c>
      <c r="N57" s="22" t="n">
        <f aca="false">Q56*(1+D$7)</f>
        <v>0</v>
      </c>
      <c r="O57" s="22" t="n">
        <f aca="false">MIN(N57,D$8)</f>
        <v>0</v>
      </c>
      <c r="P57" s="22" t="n">
        <f aca="false">MAX(0,MIN(N57-O57,$C57-(0)))</f>
        <v>0</v>
      </c>
      <c r="Q57" s="22" t="n">
        <f aca="false">ROUND(N57-O57-P57,2)</f>
        <v>0</v>
      </c>
      <c r="R57" s="22" t="n">
        <f aca="false">U56*(1+E$7)</f>
        <v>0</v>
      </c>
      <c r="S57" s="22" t="n">
        <f aca="false">MIN(R57,E$8)</f>
        <v>0</v>
      </c>
      <c r="T57" s="22" t="n">
        <f aca="false">MAX(0,MIN(R57-S57,$C57-(P57)))</f>
        <v>0</v>
      </c>
      <c r="U57" s="22" t="n">
        <f aca="false">ROUND(R57-S57-T57,2)</f>
        <v>0</v>
      </c>
      <c r="V57" s="22" t="n">
        <f aca="false">Y56*(1+F$7)</f>
        <v>0</v>
      </c>
      <c r="W57" s="22" t="n">
        <f aca="false">MIN(V57,F$8)</f>
        <v>0</v>
      </c>
      <c r="X57" s="22" t="n">
        <f aca="false">MAX(0,MIN(V57-W57,$C57-(P57+T57)))</f>
        <v>0</v>
      </c>
      <c r="Y57" s="22" t="n">
        <f aca="false">ROUND(V57-W57-X57,2)</f>
        <v>0</v>
      </c>
      <c r="Z57" s="22" t="n">
        <f aca="false">AC56*(1+G$7)</f>
        <v>0</v>
      </c>
      <c r="AA57" s="22" t="n">
        <f aca="false">MIN(Z57,G$8)</f>
        <v>0</v>
      </c>
      <c r="AB57" s="22" t="n">
        <f aca="false">MAX(0,MIN(Z57-AA57,$C57-(P57+T57+X57)))</f>
        <v>0</v>
      </c>
      <c r="AC57" s="22" t="n">
        <f aca="false">ROUND(Z57-AA57-AB57,2)</f>
        <v>0</v>
      </c>
      <c r="AD57" s="22" t="n">
        <f aca="false">AG56*(1+H$7)</f>
        <v>0</v>
      </c>
      <c r="AE57" s="22" t="n">
        <f aca="false">MIN(AD57,H$8)</f>
        <v>0</v>
      </c>
      <c r="AF57" s="22" t="n">
        <f aca="false">MAX(0,MIN(AD57-AE57,$C57-(P57+T57+X57+AB57)))</f>
        <v>0</v>
      </c>
      <c r="AG57" s="22" t="n">
        <f aca="false">ROUND(AD57-AE57-AF57,2)</f>
        <v>0</v>
      </c>
      <c r="AH57" s="22" t="n">
        <f aca="false">AK56*(1+I$7)</f>
        <v>0</v>
      </c>
      <c r="AI57" s="22" t="n">
        <f aca="false">MIN(AH57,I$8)</f>
        <v>0</v>
      </c>
      <c r="AJ57" s="22" t="n">
        <f aca="false">MAX(0,MIN(AH57-AI57,$C57-(P57+T57+X57+AB57+AF57)))</f>
        <v>0</v>
      </c>
      <c r="AK57" s="22" t="n">
        <f aca="false">ROUND(AH57-AI57-AJ57,2)</f>
        <v>0</v>
      </c>
      <c r="AL57" s="22" t="n">
        <f aca="false">AO56*(1+J$7)</f>
        <v>0</v>
      </c>
      <c r="AM57" s="22" t="n">
        <f aca="false">MIN(AL57,J$8)</f>
        <v>0</v>
      </c>
      <c r="AN57" s="22" t="n">
        <f aca="false">MAX(0,MIN(AL57-AM57,$C57-(P57+T57+X57+AB57+AF57+AJ57)))</f>
        <v>0</v>
      </c>
      <c r="AO57" s="22" t="n">
        <f aca="false">ROUND(AL57-AM57-AN57,2)</f>
        <v>0</v>
      </c>
      <c r="AP57" s="22" t="n">
        <f aca="false">AS56*(1+K$7)</f>
        <v>0</v>
      </c>
      <c r="AQ57" s="22" t="n">
        <f aca="false">MIN(AP57,K$8)</f>
        <v>0</v>
      </c>
      <c r="AR57" s="22" t="n">
        <f aca="false">MAX(0,MIN(AP57-AQ57,$C57-(P57+T57+X57+AB57+AF57+AJ57+AN57)))</f>
        <v>0</v>
      </c>
      <c r="AS57" s="22" t="n">
        <f aca="false">ROUND(AP57-AQ57-AR57,2)</f>
        <v>0</v>
      </c>
      <c r="AT57" s="22" t="n">
        <f aca="false">AW56*(1+L$7)</f>
        <v>0</v>
      </c>
      <c r="AU57" s="22" t="n">
        <f aca="false">MIN(AT57,L$8)</f>
        <v>0</v>
      </c>
      <c r="AV57" s="22" t="n">
        <f aca="false">MAX(0,MIN(AT57-AU57,$C57-(P57+T57+X57+AB57+AF57+AJ57+AN57+AR57)))</f>
        <v>0</v>
      </c>
      <c r="AW57" s="22" t="n">
        <f aca="false">ROUND(AT57-AU57-AV57,2)</f>
        <v>0</v>
      </c>
      <c r="AX57" s="22" t="n">
        <f aca="false">BA56*(1+M$7)</f>
        <v>0</v>
      </c>
      <c r="AY57" s="22" t="n">
        <f aca="false">MIN(AX57,M$8)</f>
        <v>0</v>
      </c>
      <c r="AZ57" s="22" t="n">
        <f aca="false">MAX(0,MIN(AX57-AY57,$C57-(P57+T57+X57+AB57+AF57+AJ57+AN57+AR57+AV57)))</f>
        <v>0</v>
      </c>
      <c r="BA57" s="22" t="n">
        <f aca="false">ROUND(AX57-AY57-AZ57,2)</f>
        <v>0</v>
      </c>
    </row>
    <row r="58" customFormat="false" ht="15" hidden="false" customHeight="false" outlineLevel="0" collapsed="false">
      <c r="A58" s="0" t="n">
        <v>48</v>
      </c>
      <c r="B58" s="39" t="n">
        <f aca="false">EDATE(Borçlar!$K$7,47)</f>
        <v>47727</v>
      </c>
      <c r="C58" s="36" t="n">
        <f aca="false">MAX(0,SUM(Borçlar!$D$5:$D$14)-(O58+S58+W58+AA58+AE58+AI58+AM58+AQ58+AU58+AY58))</f>
        <v>14000</v>
      </c>
      <c r="D58" s="36" t="n">
        <f aca="false">O58+P58+S58+T58+W58+X58+AA58+AB58+AE58+AF58+AI58+AJ58+AM58+AN58+AQ58+AR58+AU58+AV58+AY58+AZ58</f>
        <v>0</v>
      </c>
      <c r="E58" s="36" t="n">
        <f aca="false">(N58+R58+V58+Z58+AD58+AH58+AL58+AP58+AT58+AX58)-(F57)</f>
        <v>0</v>
      </c>
      <c r="F58" s="36" t="n">
        <f aca="false">Q58+U58+Y58+AC58+AG58+AK58+AO58+AS58+AW58+BA58</f>
        <v>0</v>
      </c>
      <c r="N58" s="22" t="n">
        <f aca="false">Q57*(1+D$7)</f>
        <v>0</v>
      </c>
      <c r="O58" s="22" t="n">
        <f aca="false">MIN(N58,D$8)</f>
        <v>0</v>
      </c>
      <c r="P58" s="22" t="n">
        <f aca="false">MAX(0,MIN(N58-O58,$C58-(0)))</f>
        <v>0</v>
      </c>
      <c r="Q58" s="22" t="n">
        <f aca="false">ROUND(N58-O58-P58,2)</f>
        <v>0</v>
      </c>
      <c r="R58" s="22" t="n">
        <f aca="false">U57*(1+E$7)</f>
        <v>0</v>
      </c>
      <c r="S58" s="22" t="n">
        <f aca="false">MIN(R58,E$8)</f>
        <v>0</v>
      </c>
      <c r="T58" s="22" t="n">
        <f aca="false">MAX(0,MIN(R58-S58,$C58-(P58)))</f>
        <v>0</v>
      </c>
      <c r="U58" s="22" t="n">
        <f aca="false">ROUND(R58-S58-T58,2)</f>
        <v>0</v>
      </c>
      <c r="V58" s="22" t="n">
        <f aca="false">Y57*(1+F$7)</f>
        <v>0</v>
      </c>
      <c r="W58" s="22" t="n">
        <f aca="false">MIN(V58,F$8)</f>
        <v>0</v>
      </c>
      <c r="X58" s="22" t="n">
        <f aca="false">MAX(0,MIN(V58-W58,$C58-(P58+T58)))</f>
        <v>0</v>
      </c>
      <c r="Y58" s="22" t="n">
        <f aca="false">ROUND(V58-W58-X58,2)</f>
        <v>0</v>
      </c>
      <c r="Z58" s="22" t="n">
        <f aca="false">AC57*(1+G$7)</f>
        <v>0</v>
      </c>
      <c r="AA58" s="22" t="n">
        <f aca="false">MIN(Z58,G$8)</f>
        <v>0</v>
      </c>
      <c r="AB58" s="22" t="n">
        <f aca="false">MAX(0,MIN(Z58-AA58,$C58-(P58+T58+X58)))</f>
        <v>0</v>
      </c>
      <c r="AC58" s="22" t="n">
        <f aca="false">ROUND(Z58-AA58-AB58,2)</f>
        <v>0</v>
      </c>
      <c r="AD58" s="22" t="n">
        <f aca="false">AG57*(1+H$7)</f>
        <v>0</v>
      </c>
      <c r="AE58" s="22" t="n">
        <f aca="false">MIN(AD58,H$8)</f>
        <v>0</v>
      </c>
      <c r="AF58" s="22" t="n">
        <f aca="false">MAX(0,MIN(AD58-AE58,$C58-(P58+T58+X58+AB58)))</f>
        <v>0</v>
      </c>
      <c r="AG58" s="22" t="n">
        <f aca="false">ROUND(AD58-AE58-AF58,2)</f>
        <v>0</v>
      </c>
      <c r="AH58" s="22" t="n">
        <f aca="false">AK57*(1+I$7)</f>
        <v>0</v>
      </c>
      <c r="AI58" s="22" t="n">
        <f aca="false">MIN(AH58,I$8)</f>
        <v>0</v>
      </c>
      <c r="AJ58" s="22" t="n">
        <f aca="false">MAX(0,MIN(AH58-AI58,$C58-(P58+T58+X58+AB58+AF58)))</f>
        <v>0</v>
      </c>
      <c r="AK58" s="22" t="n">
        <f aca="false">ROUND(AH58-AI58-AJ58,2)</f>
        <v>0</v>
      </c>
      <c r="AL58" s="22" t="n">
        <f aca="false">AO57*(1+J$7)</f>
        <v>0</v>
      </c>
      <c r="AM58" s="22" t="n">
        <f aca="false">MIN(AL58,J$8)</f>
        <v>0</v>
      </c>
      <c r="AN58" s="22" t="n">
        <f aca="false">MAX(0,MIN(AL58-AM58,$C58-(P58+T58+X58+AB58+AF58+AJ58)))</f>
        <v>0</v>
      </c>
      <c r="AO58" s="22" t="n">
        <f aca="false">ROUND(AL58-AM58-AN58,2)</f>
        <v>0</v>
      </c>
      <c r="AP58" s="22" t="n">
        <f aca="false">AS57*(1+K$7)</f>
        <v>0</v>
      </c>
      <c r="AQ58" s="22" t="n">
        <f aca="false">MIN(AP58,K$8)</f>
        <v>0</v>
      </c>
      <c r="AR58" s="22" t="n">
        <f aca="false">MAX(0,MIN(AP58-AQ58,$C58-(P58+T58+X58+AB58+AF58+AJ58+AN58)))</f>
        <v>0</v>
      </c>
      <c r="AS58" s="22" t="n">
        <f aca="false">ROUND(AP58-AQ58-AR58,2)</f>
        <v>0</v>
      </c>
      <c r="AT58" s="22" t="n">
        <f aca="false">AW57*(1+L$7)</f>
        <v>0</v>
      </c>
      <c r="AU58" s="22" t="n">
        <f aca="false">MIN(AT58,L$8)</f>
        <v>0</v>
      </c>
      <c r="AV58" s="22" t="n">
        <f aca="false">MAX(0,MIN(AT58-AU58,$C58-(P58+T58+X58+AB58+AF58+AJ58+AN58+AR58)))</f>
        <v>0</v>
      </c>
      <c r="AW58" s="22" t="n">
        <f aca="false">ROUND(AT58-AU58-AV58,2)</f>
        <v>0</v>
      </c>
      <c r="AX58" s="22" t="n">
        <f aca="false">BA57*(1+M$7)</f>
        <v>0</v>
      </c>
      <c r="AY58" s="22" t="n">
        <f aca="false">MIN(AX58,M$8)</f>
        <v>0</v>
      </c>
      <c r="AZ58" s="22" t="n">
        <f aca="false">MAX(0,MIN(AX58-AY58,$C58-(P58+T58+X58+AB58+AF58+AJ58+AN58+AR58+AV58)))</f>
        <v>0</v>
      </c>
      <c r="BA58" s="22" t="n">
        <f aca="false">ROUND(AX58-AY58-AZ58,2)</f>
        <v>0</v>
      </c>
    </row>
    <row r="59" customFormat="false" ht="15" hidden="false" customHeight="false" outlineLevel="0" collapsed="false">
      <c r="A59" s="0" t="n">
        <v>49</v>
      </c>
      <c r="B59" s="39" t="n">
        <f aca="false">EDATE(Borçlar!$K$7,48)</f>
        <v>47757</v>
      </c>
      <c r="C59" s="36" t="n">
        <f aca="false">MAX(0,SUM(Borçlar!$D$5:$D$14)-(O59+S59+W59+AA59+AE59+AI59+AM59+AQ59+AU59+AY59))</f>
        <v>14000</v>
      </c>
      <c r="D59" s="36" t="n">
        <f aca="false">O59+P59+S59+T59+W59+X59+AA59+AB59+AE59+AF59+AI59+AJ59+AM59+AN59+AQ59+AR59+AU59+AV59+AY59+AZ59</f>
        <v>0</v>
      </c>
      <c r="E59" s="36" t="n">
        <f aca="false">(N59+R59+V59+Z59+AD59+AH59+AL59+AP59+AT59+AX59)-(F58)</f>
        <v>0</v>
      </c>
      <c r="F59" s="36" t="n">
        <f aca="false">Q59+U59+Y59+AC59+AG59+AK59+AO59+AS59+AW59+BA59</f>
        <v>0</v>
      </c>
      <c r="N59" s="22" t="n">
        <f aca="false">Q58*(1+D$7)</f>
        <v>0</v>
      </c>
      <c r="O59" s="22" t="n">
        <f aca="false">MIN(N59,D$8)</f>
        <v>0</v>
      </c>
      <c r="P59" s="22" t="n">
        <f aca="false">MAX(0,MIN(N59-O59,$C59-(0)))</f>
        <v>0</v>
      </c>
      <c r="Q59" s="22" t="n">
        <f aca="false">ROUND(N59-O59-P59,2)</f>
        <v>0</v>
      </c>
      <c r="R59" s="22" t="n">
        <f aca="false">U58*(1+E$7)</f>
        <v>0</v>
      </c>
      <c r="S59" s="22" t="n">
        <f aca="false">MIN(R59,E$8)</f>
        <v>0</v>
      </c>
      <c r="T59" s="22" t="n">
        <f aca="false">MAX(0,MIN(R59-S59,$C59-(P59)))</f>
        <v>0</v>
      </c>
      <c r="U59" s="22" t="n">
        <f aca="false">ROUND(R59-S59-T59,2)</f>
        <v>0</v>
      </c>
      <c r="V59" s="22" t="n">
        <f aca="false">Y58*(1+F$7)</f>
        <v>0</v>
      </c>
      <c r="W59" s="22" t="n">
        <f aca="false">MIN(V59,F$8)</f>
        <v>0</v>
      </c>
      <c r="X59" s="22" t="n">
        <f aca="false">MAX(0,MIN(V59-W59,$C59-(P59+T59)))</f>
        <v>0</v>
      </c>
      <c r="Y59" s="22" t="n">
        <f aca="false">ROUND(V59-W59-X59,2)</f>
        <v>0</v>
      </c>
      <c r="Z59" s="22" t="n">
        <f aca="false">AC58*(1+G$7)</f>
        <v>0</v>
      </c>
      <c r="AA59" s="22" t="n">
        <f aca="false">MIN(Z59,G$8)</f>
        <v>0</v>
      </c>
      <c r="AB59" s="22" t="n">
        <f aca="false">MAX(0,MIN(Z59-AA59,$C59-(P59+T59+X59)))</f>
        <v>0</v>
      </c>
      <c r="AC59" s="22" t="n">
        <f aca="false">ROUND(Z59-AA59-AB59,2)</f>
        <v>0</v>
      </c>
      <c r="AD59" s="22" t="n">
        <f aca="false">AG58*(1+H$7)</f>
        <v>0</v>
      </c>
      <c r="AE59" s="22" t="n">
        <f aca="false">MIN(AD59,H$8)</f>
        <v>0</v>
      </c>
      <c r="AF59" s="22" t="n">
        <f aca="false">MAX(0,MIN(AD59-AE59,$C59-(P59+T59+X59+AB59)))</f>
        <v>0</v>
      </c>
      <c r="AG59" s="22" t="n">
        <f aca="false">ROUND(AD59-AE59-AF59,2)</f>
        <v>0</v>
      </c>
      <c r="AH59" s="22" t="n">
        <f aca="false">AK58*(1+I$7)</f>
        <v>0</v>
      </c>
      <c r="AI59" s="22" t="n">
        <f aca="false">MIN(AH59,I$8)</f>
        <v>0</v>
      </c>
      <c r="AJ59" s="22" t="n">
        <f aca="false">MAX(0,MIN(AH59-AI59,$C59-(P59+T59+X59+AB59+AF59)))</f>
        <v>0</v>
      </c>
      <c r="AK59" s="22" t="n">
        <f aca="false">ROUND(AH59-AI59-AJ59,2)</f>
        <v>0</v>
      </c>
      <c r="AL59" s="22" t="n">
        <f aca="false">AO58*(1+J$7)</f>
        <v>0</v>
      </c>
      <c r="AM59" s="22" t="n">
        <f aca="false">MIN(AL59,J$8)</f>
        <v>0</v>
      </c>
      <c r="AN59" s="22" t="n">
        <f aca="false">MAX(0,MIN(AL59-AM59,$C59-(P59+T59+X59+AB59+AF59+AJ59)))</f>
        <v>0</v>
      </c>
      <c r="AO59" s="22" t="n">
        <f aca="false">ROUND(AL59-AM59-AN59,2)</f>
        <v>0</v>
      </c>
      <c r="AP59" s="22" t="n">
        <f aca="false">AS58*(1+K$7)</f>
        <v>0</v>
      </c>
      <c r="AQ59" s="22" t="n">
        <f aca="false">MIN(AP59,K$8)</f>
        <v>0</v>
      </c>
      <c r="AR59" s="22" t="n">
        <f aca="false">MAX(0,MIN(AP59-AQ59,$C59-(P59+T59+X59+AB59+AF59+AJ59+AN59)))</f>
        <v>0</v>
      </c>
      <c r="AS59" s="22" t="n">
        <f aca="false">ROUND(AP59-AQ59-AR59,2)</f>
        <v>0</v>
      </c>
      <c r="AT59" s="22" t="n">
        <f aca="false">AW58*(1+L$7)</f>
        <v>0</v>
      </c>
      <c r="AU59" s="22" t="n">
        <f aca="false">MIN(AT59,L$8)</f>
        <v>0</v>
      </c>
      <c r="AV59" s="22" t="n">
        <f aca="false">MAX(0,MIN(AT59-AU59,$C59-(P59+T59+X59+AB59+AF59+AJ59+AN59+AR59)))</f>
        <v>0</v>
      </c>
      <c r="AW59" s="22" t="n">
        <f aca="false">ROUND(AT59-AU59-AV59,2)</f>
        <v>0</v>
      </c>
      <c r="AX59" s="22" t="n">
        <f aca="false">BA58*(1+M$7)</f>
        <v>0</v>
      </c>
      <c r="AY59" s="22" t="n">
        <f aca="false">MIN(AX59,M$8)</f>
        <v>0</v>
      </c>
      <c r="AZ59" s="22" t="n">
        <f aca="false">MAX(0,MIN(AX59-AY59,$C59-(P59+T59+X59+AB59+AF59+AJ59+AN59+AR59+AV59)))</f>
        <v>0</v>
      </c>
      <c r="BA59" s="22" t="n">
        <f aca="false">ROUND(AX59-AY59-AZ59,2)</f>
        <v>0</v>
      </c>
    </row>
    <row r="60" customFormat="false" ht="15" hidden="false" customHeight="false" outlineLevel="0" collapsed="false">
      <c r="A60" s="0" t="n">
        <v>50</v>
      </c>
      <c r="B60" s="39" t="n">
        <f aca="false">EDATE(Borçlar!$K$7,49)</f>
        <v>47788</v>
      </c>
      <c r="C60" s="36" t="n">
        <f aca="false">MAX(0,SUM(Borçlar!$D$5:$D$14)-(O60+S60+W60+AA60+AE60+AI60+AM60+AQ60+AU60+AY60))</f>
        <v>14000</v>
      </c>
      <c r="D60" s="36" t="n">
        <f aca="false">O60+P60+S60+T60+W60+X60+AA60+AB60+AE60+AF60+AI60+AJ60+AM60+AN60+AQ60+AR60+AU60+AV60+AY60+AZ60</f>
        <v>0</v>
      </c>
      <c r="E60" s="36" t="n">
        <f aca="false">(N60+R60+V60+Z60+AD60+AH60+AL60+AP60+AT60+AX60)-(F59)</f>
        <v>0</v>
      </c>
      <c r="F60" s="36" t="n">
        <f aca="false">Q60+U60+Y60+AC60+AG60+AK60+AO60+AS60+AW60+BA60</f>
        <v>0</v>
      </c>
      <c r="N60" s="22" t="n">
        <f aca="false">Q59*(1+D$7)</f>
        <v>0</v>
      </c>
      <c r="O60" s="22" t="n">
        <f aca="false">MIN(N60,D$8)</f>
        <v>0</v>
      </c>
      <c r="P60" s="22" t="n">
        <f aca="false">MAX(0,MIN(N60-O60,$C60-(0)))</f>
        <v>0</v>
      </c>
      <c r="Q60" s="22" t="n">
        <f aca="false">ROUND(N60-O60-P60,2)</f>
        <v>0</v>
      </c>
      <c r="R60" s="22" t="n">
        <f aca="false">U59*(1+E$7)</f>
        <v>0</v>
      </c>
      <c r="S60" s="22" t="n">
        <f aca="false">MIN(R60,E$8)</f>
        <v>0</v>
      </c>
      <c r="T60" s="22" t="n">
        <f aca="false">MAX(0,MIN(R60-S60,$C60-(P60)))</f>
        <v>0</v>
      </c>
      <c r="U60" s="22" t="n">
        <f aca="false">ROUND(R60-S60-T60,2)</f>
        <v>0</v>
      </c>
      <c r="V60" s="22" t="n">
        <f aca="false">Y59*(1+F$7)</f>
        <v>0</v>
      </c>
      <c r="W60" s="22" t="n">
        <f aca="false">MIN(V60,F$8)</f>
        <v>0</v>
      </c>
      <c r="X60" s="22" t="n">
        <f aca="false">MAX(0,MIN(V60-W60,$C60-(P60+T60)))</f>
        <v>0</v>
      </c>
      <c r="Y60" s="22" t="n">
        <f aca="false">ROUND(V60-W60-X60,2)</f>
        <v>0</v>
      </c>
      <c r="Z60" s="22" t="n">
        <f aca="false">AC59*(1+G$7)</f>
        <v>0</v>
      </c>
      <c r="AA60" s="22" t="n">
        <f aca="false">MIN(Z60,G$8)</f>
        <v>0</v>
      </c>
      <c r="AB60" s="22" t="n">
        <f aca="false">MAX(0,MIN(Z60-AA60,$C60-(P60+T60+X60)))</f>
        <v>0</v>
      </c>
      <c r="AC60" s="22" t="n">
        <f aca="false">ROUND(Z60-AA60-AB60,2)</f>
        <v>0</v>
      </c>
      <c r="AD60" s="22" t="n">
        <f aca="false">AG59*(1+H$7)</f>
        <v>0</v>
      </c>
      <c r="AE60" s="22" t="n">
        <f aca="false">MIN(AD60,H$8)</f>
        <v>0</v>
      </c>
      <c r="AF60" s="22" t="n">
        <f aca="false">MAX(0,MIN(AD60-AE60,$C60-(P60+T60+X60+AB60)))</f>
        <v>0</v>
      </c>
      <c r="AG60" s="22" t="n">
        <f aca="false">ROUND(AD60-AE60-AF60,2)</f>
        <v>0</v>
      </c>
      <c r="AH60" s="22" t="n">
        <f aca="false">AK59*(1+I$7)</f>
        <v>0</v>
      </c>
      <c r="AI60" s="22" t="n">
        <f aca="false">MIN(AH60,I$8)</f>
        <v>0</v>
      </c>
      <c r="AJ60" s="22" t="n">
        <f aca="false">MAX(0,MIN(AH60-AI60,$C60-(P60+T60+X60+AB60+AF60)))</f>
        <v>0</v>
      </c>
      <c r="AK60" s="22" t="n">
        <f aca="false">ROUND(AH60-AI60-AJ60,2)</f>
        <v>0</v>
      </c>
      <c r="AL60" s="22" t="n">
        <f aca="false">AO59*(1+J$7)</f>
        <v>0</v>
      </c>
      <c r="AM60" s="22" t="n">
        <f aca="false">MIN(AL60,J$8)</f>
        <v>0</v>
      </c>
      <c r="AN60" s="22" t="n">
        <f aca="false">MAX(0,MIN(AL60-AM60,$C60-(P60+T60+X60+AB60+AF60+AJ60)))</f>
        <v>0</v>
      </c>
      <c r="AO60" s="22" t="n">
        <f aca="false">ROUND(AL60-AM60-AN60,2)</f>
        <v>0</v>
      </c>
      <c r="AP60" s="22" t="n">
        <f aca="false">AS59*(1+K$7)</f>
        <v>0</v>
      </c>
      <c r="AQ60" s="22" t="n">
        <f aca="false">MIN(AP60,K$8)</f>
        <v>0</v>
      </c>
      <c r="AR60" s="22" t="n">
        <f aca="false">MAX(0,MIN(AP60-AQ60,$C60-(P60+T60+X60+AB60+AF60+AJ60+AN60)))</f>
        <v>0</v>
      </c>
      <c r="AS60" s="22" t="n">
        <f aca="false">ROUND(AP60-AQ60-AR60,2)</f>
        <v>0</v>
      </c>
      <c r="AT60" s="22" t="n">
        <f aca="false">AW59*(1+L$7)</f>
        <v>0</v>
      </c>
      <c r="AU60" s="22" t="n">
        <f aca="false">MIN(AT60,L$8)</f>
        <v>0</v>
      </c>
      <c r="AV60" s="22" t="n">
        <f aca="false">MAX(0,MIN(AT60-AU60,$C60-(P60+T60+X60+AB60+AF60+AJ60+AN60+AR60)))</f>
        <v>0</v>
      </c>
      <c r="AW60" s="22" t="n">
        <f aca="false">ROUND(AT60-AU60-AV60,2)</f>
        <v>0</v>
      </c>
      <c r="AX60" s="22" t="n">
        <f aca="false">BA59*(1+M$7)</f>
        <v>0</v>
      </c>
      <c r="AY60" s="22" t="n">
        <f aca="false">MIN(AX60,M$8)</f>
        <v>0</v>
      </c>
      <c r="AZ60" s="22" t="n">
        <f aca="false">MAX(0,MIN(AX60-AY60,$C60-(P60+T60+X60+AB60+AF60+AJ60+AN60+AR60+AV60)))</f>
        <v>0</v>
      </c>
      <c r="BA60" s="22" t="n">
        <f aca="false">ROUND(AX60-AY60-AZ60,2)</f>
        <v>0</v>
      </c>
    </row>
    <row r="61" customFormat="false" ht="15" hidden="false" customHeight="false" outlineLevel="0" collapsed="false">
      <c r="A61" s="0" t="n">
        <v>51</v>
      </c>
      <c r="B61" s="39" t="n">
        <f aca="false">EDATE(Borçlar!$K$7,50)</f>
        <v>47818</v>
      </c>
      <c r="C61" s="36" t="n">
        <f aca="false">MAX(0,SUM(Borçlar!$D$5:$D$14)-(O61+S61+W61+AA61+AE61+AI61+AM61+AQ61+AU61+AY61))</f>
        <v>14000</v>
      </c>
      <c r="D61" s="36" t="n">
        <f aca="false">O61+P61+S61+T61+W61+X61+AA61+AB61+AE61+AF61+AI61+AJ61+AM61+AN61+AQ61+AR61+AU61+AV61+AY61+AZ61</f>
        <v>0</v>
      </c>
      <c r="E61" s="36" t="n">
        <f aca="false">(N61+R61+V61+Z61+AD61+AH61+AL61+AP61+AT61+AX61)-(F60)</f>
        <v>0</v>
      </c>
      <c r="F61" s="36" t="n">
        <f aca="false">Q61+U61+Y61+AC61+AG61+AK61+AO61+AS61+AW61+BA61</f>
        <v>0</v>
      </c>
      <c r="N61" s="22" t="n">
        <f aca="false">Q60*(1+D$7)</f>
        <v>0</v>
      </c>
      <c r="O61" s="22" t="n">
        <f aca="false">MIN(N61,D$8)</f>
        <v>0</v>
      </c>
      <c r="P61" s="22" t="n">
        <f aca="false">MAX(0,MIN(N61-O61,$C61-(0)))</f>
        <v>0</v>
      </c>
      <c r="Q61" s="22" t="n">
        <f aca="false">ROUND(N61-O61-P61,2)</f>
        <v>0</v>
      </c>
      <c r="R61" s="22" t="n">
        <f aca="false">U60*(1+E$7)</f>
        <v>0</v>
      </c>
      <c r="S61" s="22" t="n">
        <f aca="false">MIN(R61,E$8)</f>
        <v>0</v>
      </c>
      <c r="T61" s="22" t="n">
        <f aca="false">MAX(0,MIN(R61-S61,$C61-(P61)))</f>
        <v>0</v>
      </c>
      <c r="U61" s="22" t="n">
        <f aca="false">ROUND(R61-S61-T61,2)</f>
        <v>0</v>
      </c>
      <c r="V61" s="22" t="n">
        <f aca="false">Y60*(1+F$7)</f>
        <v>0</v>
      </c>
      <c r="W61" s="22" t="n">
        <f aca="false">MIN(V61,F$8)</f>
        <v>0</v>
      </c>
      <c r="X61" s="22" t="n">
        <f aca="false">MAX(0,MIN(V61-W61,$C61-(P61+T61)))</f>
        <v>0</v>
      </c>
      <c r="Y61" s="22" t="n">
        <f aca="false">ROUND(V61-W61-X61,2)</f>
        <v>0</v>
      </c>
      <c r="Z61" s="22" t="n">
        <f aca="false">AC60*(1+G$7)</f>
        <v>0</v>
      </c>
      <c r="AA61" s="22" t="n">
        <f aca="false">MIN(Z61,G$8)</f>
        <v>0</v>
      </c>
      <c r="AB61" s="22" t="n">
        <f aca="false">MAX(0,MIN(Z61-AA61,$C61-(P61+T61+X61)))</f>
        <v>0</v>
      </c>
      <c r="AC61" s="22" t="n">
        <f aca="false">ROUND(Z61-AA61-AB61,2)</f>
        <v>0</v>
      </c>
      <c r="AD61" s="22" t="n">
        <f aca="false">AG60*(1+H$7)</f>
        <v>0</v>
      </c>
      <c r="AE61" s="22" t="n">
        <f aca="false">MIN(AD61,H$8)</f>
        <v>0</v>
      </c>
      <c r="AF61" s="22" t="n">
        <f aca="false">MAX(0,MIN(AD61-AE61,$C61-(P61+T61+X61+AB61)))</f>
        <v>0</v>
      </c>
      <c r="AG61" s="22" t="n">
        <f aca="false">ROUND(AD61-AE61-AF61,2)</f>
        <v>0</v>
      </c>
      <c r="AH61" s="22" t="n">
        <f aca="false">AK60*(1+I$7)</f>
        <v>0</v>
      </c>
      <c r="AI61" s="22" t="n">
        <f aca="false">MIN(AH61,I$8)</f>
        <v>0</v>
      </c>
      <c r="AJ61" s="22" t="n">
        <f aca="false">MAX(0,MIN(AH61-AI61,$C61-(P61+T61+X61+AB61+AF61)))</f>
        <v>0</v>
      </c>
      <c r="AK61" s="22" t="n">
        <f aca="false">ROUND(AH61-AI61-AJ61,2)</f>
        <v>0</v>
      </c>
      <c r="AL61" s="22" t="n">
        <f aca="false">AO60*(1+J$7)</f>
        <v>0</v>
      </c>
      <c r="AM61" s="22" t="n">
        <f aca="false">MIN(AL61,J$8)</f>
        <v>0</v>
      </c>
      <c r="AN61" s="22" t="n">
        <f aca="false">MAX(0,MIN(AL61-AM61,$C61-(P61+T61+X61+AB61+AF61+AJ61)))</f>
        <v>0</v>
      </c>
      <c r="AO61" s="22" t="n">
        <f aca="false">ROUND(AL61-AM61-AN61,2)</f>
        <v>0</v>
      </c>
      <c r="AP61" s="22" t="n">
        <f aca="false">AS60*(1+K$7)</f>
        <v>0</v>
      </c>
      <c r="AQ61" s="22" t="n">
        <f aca="false">MIN(AP61,K$8)</f>
        <v>0</v>
      </c>
      <c r="AR61" s="22" t="n">
        <f aca="false">MAX(0,MIN(AP61-AQ61,$C61-(P61+T61+X61+AB61+AF61+AJ61+AN61)))</f>
        <v>0</v>
      </c>
      <c r="AS61" s="22" t="n">
        <f aca="false">ROUND(AP61-AQ61-AR61,2)</f>
        <v>0</v>
      </c>
      <c r="AT61" s="22" t="n">
        <f aca="false">AW60*(1+L$7)</f>
        <v>0</v>
      </c>
      <c r="AU61" s="22" t="n">
        <f aca="false">MIN(AT61,L$8)</f>
        <v>0</v>
      </c>
      <c r="AV61" s="22" t="n">
        <f aca="false">MAX(0,MIN(AT61-AU61,$C61-(P61+T61+X61+AB61+AF61+AJ61+AN61+AR61)))</f>
        <v>0</v>
      </c>
      <c r="AW61" s="22" t="n">
        <f aca="false">ROUND(AT61-AU61-AV61,2)</f>
        <v>0</v>
      </c>
      <c r="AX61" s="22" t="n">
        <f aca="false">BA60*(1+M$7)</f>
        <v>0</v>
      </c>
      <c r="AY61" s="22" t="n">
        <f aca="false">MIN(AX61,M$8)</f>
        <v>0</v>
      </c>
      <c r="AZ61" s="22" t="n">
        <f aca="false">MAX(0,MIN(AX61-AY61,$C61-(P61+T61+X61+AB61+AF61+AJ61+AN61+AR61+AV61)))</f>
        <v>0</v>
      </c>
      <c r="BA61" s="22" t="n">
        <f aca="false">ROUND(AX61-AY61-AZ61,2)</f>
        <v>0</v>
      </c>
    </row>
    <row r="62" customFormat="false" ht="15" hidden="false" customHeight="false" outlineLevel="0" collapsed="false">
      <c r="A62" s="0" t="n">
        <v>52</v>
      </c>
      <c r="B62" s="39" t="n">
        <f aca="false">EDATE(Borçlar!$K$7,51)</f>
        <v>47849</v>
      </c>
      <c r="C62" s="36" t="n">
        <f aca="false">MAX(0,SUM(Borçlar!$D$5:$D$14)-(O62+S62+W62+AA62+AE62+AI62+AM62+AQ62+AU62+AY62))</f>
        <v>14000</v>
      </c>
      <c r="D62" s="36" t="n">
        <f aca="false">O62+P62+S62+T62+W62+X62+AA62+AB62+AE62+AF62+AI62+AJ62+AM62+AN62+AQ62+AR62+AU62+AV62+AY62+AZ62</f>
        <v>0</v>
      </c>
      <c r="E62" s="36" t="n">
        <f aca="false">(N62+R62+V62+Z62+AD62+AH62+AL62+AP62+AT62+AX62)-(F61)</f>
        <v>0</v>
      </c>
      <c r="F62" s="36" t="n">
        <f aca="false">Q62+U62+Y62+AC62+AG62+AK62+AO62+AS62+AW62+BA62</f>
        <v>0</v>
      </c>
      <c r="N62" s="22" t="n">
        <f aca="false">Q61*(1+D$7)</f>
        <v>0</v>
      </c>
      <c r="O62" s="22" t="n">
        <f aca="false">MIN(N62,D$8)</f>
        <v>0</v>
      </c>
      <c r="P62" s="22" t="n">
        <f aca="false">MAX(0,MIN(N62-O62,$C62-(0)))</f>
        <v>0</v>
      </c>
      <c r="Q62" s="22" t="n">
        <f aca="false">ROUND(N62-O62-P62,2)</f>
        <v>0</v>
      </c>
      <c r="R62" s="22" t="n">
        <f aca="false">U61*(1+E$7)</f>
        <v>0</v>
      </c>
      <c r="S62" s="22" t="n">
        <f aca="false">MIN(R62,E$8)</f>
        <v>0</v>
      </c>
      <c r="T62" s="22" t="n">
        <f aca="false">MAX(0,MIN(R62-S62,$C62-(P62)))</f>
        <v>0</v>
      </c>
      <c r="U62" s="22" t="n">
        <f aca="false">ROUND(R62-S62-T62,2)</f>
        <v>0</v>
      </c>
      <c r="V62" s="22" t="n">
        <f aca="false">Y61*(1+F$7)</f>
        <v>0</v>
      </c>
      <c r="W62" s="22" t="n">
        <f aca="false">MIN(V62,F$8)</f>
        <v>0</v>
      </c>
      <c r="X62" s="22" t="n">
        <f aca="false">MAX(0,MIN(V62-W62,$C62-(P62+T62)))</f>
        <v>0</v>
      </c>
      <c r="Y62" s="22" t="n">
        <f aca="false">ROUND(V62-W62-X62,2)</f>
        <v>0</v>
      </c>
      <c r="Z62" s="22" t="n">
        <f aca="false">AC61*(1+G$7)</f>
        <v>0</v>
      </c>
      <c r="AA62" s="22" t="n">
        <f aca="false">MIN(Z62,G$8)</f>
        <v>0</v>
      </c>
      <c r="AB62" s="22" t="n">
        <f aca="false">MAX(0,MIN(Z62-AA62,$C62-(P62+T62+X62)))</f>
        <v>0</v>
      </c>
      <c r="AC62" s="22" t="n">
        <f aca="false">ROUND(Z62-AA62-AB62,2)</f>
        <v>0</v>
      </c>
      <c r="AD62" s="22" t="n">
        <f aca="false">AG61*(1+H$7)</f>
        <v>0</v>
      </c>
      <c r="AE62" s="22" t="n">
        <f aca="false">MIN(AD62,H$8)</f>
        <v>0</v>
      </c>
      <c r="AF62" s="22" t="n">
        <f aca="false">MAX(0,MIN(AD62-AE62,$C62-(P62+T62+X62+AB62)))</f>
        <v>0</v>
      </c>
      <c r="AG62" s="22" t="n">
        <f aca="false">ROUND(AD62-AE62-AF62,2)</f>
        <v>0</v>
      </c>
      <c r="AH62" s="22" t="n">
        <f aca="false">AK61*(1+I$7)</f>
        <v>0</v>
      </c>
      <c r="AI62" s="22" t="n">
        <f aca="false">MIN(AH62,I$8)</f>
        <v>0</v>
      </c>
      <c r="AJ62" s="22" t="n">
        <f aca="false">MAX(0,MIN(AH62-AI62,$C62-(P62+T62+X62+AB62+AF62)))</f>
        <v>0</v>
      </c>
      <c r="AK62" s="22" t="n">
        <f aca="false">ROUND(AH62-AI62-AJ62,2)</f>
        <v>0</v>
      </c>
      <c r="AL62" s="22" t="n">
        <f aca="false">AO61*(1+J$7)</f>
        <v>0</v>
      </c>
      <c r="AM62" s="22" t="n">
        <f aca="false">MIN(AL62,J$8)</f>
        <v>0</v>
      </c>
      <c r="AN62" s="22" t="n">
        <f aca="false">MAX(0,MIN(AL62-AM62,$C62-(P62+T62+X62+AB62+AF62+AJ62)))</f>
        <v>0</v>
      </c>
      <c r="AO62" s="22" t="n">
        <f aca="false">ROUND(AL62-AM62-AN62,2)</f>
        <v>0</v>
      </c>
      <c r="AP62" s="22" t="n">
        <f aca="false">AS61*(1+K$7)</f>
        <v>0</v>
      </c>
      <c r="AQ62" s="22" t="n">
        <f aca="false">MIN(AP62,K$8)</f>
        <v>0</v>
      </c>
      <c r="AR62" s="22" t="n">
        <f aca="false">MAX(0,MIN(AP62-AQ62,$C62-(P62+T62+X62+AB62+AF62+AJ62+AN62)))</f>
        <v>0</v>
      </c>
      <c r="AS62" s="22" t="n">
        <f aca="false">ROUND(AP62-AQ62-AR62,2)</f>
        <v>0</v>
      </c>
      <c r="AT62" s="22" t="n">
        <f aca="false">AW61*(1+L$7)</f>
        <v>0</v>
      </c>
      <c r="AU62" s="22" t="n">
        <f aca="false">MIN(AT62,L$8)</f>
        <v>0</v>
      </c>
      <c r="AV62" s="22" t="n">
        <f aca="false">MAX(0,MIN(AT62-AU62,$C62-(P62+T62+X62+AB62+AF62+AJ62+AN62+AR62)))</f>
        <v>0</v>
      </c>
      <c r="AW62" s="22" t="n">
        <f aca="false">ROUND(AT62-AU62-AV62,2)</f>
        <v>0</v>
      </c>
      <c r="AX62" s="22" t="n">
        <f aca="false">BA61*(1+M$7)</f>
        <v>0</v>
      </c>
      <c r="AY62" s="22" t="n">
        <f aca="false">MIN(AX62,M$8)</f>
        <v>0</v>
      </c>
      <c r="AZ62" s="22" t="n">
        <f aca="false">MAX(0,MIN(AX62-AY62,$C62-(P62+T62+X62+AB62+AF62+AJ62+AN62+AR62+AV62)))</f>
        <v>0</v>
      </c>
      <c r="BA62" s="22" t="n">
        <f aca="false">ROUND(AX62-AY62-AZ62,2)</f>
        <v>0</v>
      </c>
    </row>
    <row r="63" customFormat="false" ht="15" hidden="false" customHeight="false" outlineLevel="0" collapsed="false">
      <c r="A63" s="0" t="n">
        <v>53</v>
      </c>
      <c r="B63" s="39" t="n">
        <f aca="false">EDATE(Borçlar!$K$7,52)</f>
        <v>47880</v>
      </c>
      <c r="C63" s="36" t="n">
        <f aca="false">MAX(0,SUM(Borçlar!$D$5:$D$14)-(O63+S63+W63+AA63+AE63+AI63+AM63+AQ63+AU63+AY63))</f>
        <v>14000</v>
      </c>
      <c r="D63" s="36" t="n">
        <f aca="false">O63+P63+S63+T63+W63+X63+AA63+AB63+AE63+AF63+AI63+AJ63+AM63+AN63+AQ63+AR63+AU63+AV63+AY63+AZ63</f>
        <v>0</v>
      </c>
      <c r="E63" s="36" t="n">
        <f aca="false">(N63+R63+V63+Z63+AD63+AH63+AL63+AP63+AT63+AX63)-(F62)</f>
        <v>0</v>
      </c>
      <c r="F63" s="36" t="n">
        <f aca="false">Q63+U63+Y63+AC63+AG63+AK63+AO63+AS63+AW63+BA63</f>
        <v>0</v>
      </c>
      <c r="N63" s="22" t="n">
        <f aca="false">Q62*(1+D$7)</f>
        <v>0</v>
      </c>
      <c r="O63" s="22" t="n">
        <f aca="false">MIN(N63,D$8)</f>
        <v>0</v>
      </c>
      <c r="P63" s="22" t="n">
        <f aca="false">MAX(0,MIN(N63-O63,$C63-(0)))</f>
        <v>0</v>
      </c>
      <c r="Q63" s="22" t="n">
        <f aca="false">ROUND(N63-O63-P63,2)</f>
        <v>0</v>
      </c>
      <c r="R63" s="22" t="n">
        <f aca="false">U62*(1+E$7)</f>
        <v>0</v>
      </c>
      <c r="S63" s="22" t="n">
        <f aca="false">MIN(R63,E$8)</f>
        <v>0</v>
      </c>
      <c r="T63" s="22" t="n">
        <f aca="false">MAX(0,MIN(R63-S63,$C63-(P63)))</f>
        <v>0</v>
      </c>
      <c r="U63" s="22" t="n">
        <f aca="false">ROUND(R63-S63-T63,2)</f>
        <v>0</v>
      </c>
      <c r="V63" s="22" t="n">
        <f aca="false">Y62*(1+F$7)</f>
        <v>0</v>
      </c>
      <c r="W63" s="22" t="n">
        <f aca="false">MIN(V63,F$8)</f>
        <v>0</v>
      </c>
      <c r="X63" s="22" t="n">
        <f aca="false">MAX(0,MIN(V63-W63,$C63-(P63+T63)))</f>
        <v>0</v>
      </c>
      <c r="Y63" s="22" t="n">
        <f aca="false">ROUND(V63-W63-X63,2)</f>
        <v>0</v>
      </c>
      <c r="Z63" s="22" t="n">
        <f aca="false">AC62*(1+G$7)</f>
        <v>0</v>
      </c>
      <c r="AA63" s="22" t="n">
        <f aca="false">MIN(Z63,G$8)</f>
        <v>0</v>
      </c>
      <c r="AB63" s="22" t="n">
        <f aca="false">MAX(0,MIN(Z63-AA63,$C63-(P63+T63+X63)))</f>
        <v>0</v>
      </c>
      <c r="AC63" s="22" t="n">
        <f aca="false">ROUND(Z63-AA63-AB63,2)</f>
        <v>0</v>
      </c>
      <c r="AD63" s="22" t="n">
        <f aca="false">AG62*(1+H$7)</f>
        <v>0</v>
      </c>
      <c r="AE63" s="22" t="n">
        <f aca="false">MIN(AD63,H$8)</f>
        <v>0</v>
      </c>
      <c r="AF63" s="22" t="n">
        <f aca="false">MAX(0,MIN(AD63-AE63,$C63-(P63+T63+X63+AB63)))</f>
        <v>0</v>
      </c>
      <c r="AG63" s="22" t="n">
        <f aca="false">ROUND(AD63-AE63-AF63,2)</f>
        <v>0</v>
      </c>
      <c r="AH63" s="22" t="n">
        <f aca="false">AK62*(1+I$7)</f>
        <v>0</v>
      </c>
      <c r="AI63" s="22" t="n">
        <f aca="false">MIN(AH63,I$8)</f>
        <v>0</v>
      </c>
      <c r="AJ63" s="22" t="n">
        <f aca="false">MAX(0,MIN(AH63-AI63,$C63-(P63+T63+X63+AB63+AF63)))</f>
        <v>0</v>
      </c>
      <c r="AK63" s="22" t="n">
        <f aca="false">ROUND(AH63-AI63-AJ63,2)</f>
        <v>0</v>
      </c>
      <c r="AL63" s="22" t="n">
        <f aca="false">AO62*(1+J$7)</f>
        <v>0</v>
      </c>
      <c r="AM63" s="22" t="n">
        <f aca="false">MIN(AL63,J$8)</f>
        <v>0</v>
      </c>
      <c r="AN63" s="22" t="n">
        <f aca="false">MAX(0,MIN(AL63-AM63,$C63-(P63+T63+X63+AB63+AF63+AJ63)))</f>
        <v>0</v>
      </c>
      <c r="AO63" s="22" t="n">
        <f aca="false">ROUND(AL63-AM63-AN63,2)</f>
        <v>0</v>
      </c>
      <c r="AP63" s="22" t="n">
        <f aca="false">AS62*(1+K$7)</f>
        <v>0</v>
      </c>
      <c r="AQ63" s="22" t="n">
        <f aca="false">MIN(AP63,K$8)</f>
        <v>0</v>
      </c>
      <c r="AR63" s="22" t="n">
        <f aca="false">MAX(0,MIN(AP63-AQ63,$C63-(P63+T63+X63+AB63+AF63+AJ63+AN63)))</f>
        <v>0</v>
      </c>
      <c r="AS63" s="22" t="n">
        <f aca="false">ROUND(AP63-AQ63-AR63,2)</f>
        <v>0</v>
      </c>
      <c r="AT63" s="22" t="n">
        <f aca="false">AW62*(1+L$7)</f>
        <v>0</v>
      </c>
      <c r="AU63" s="22" t="n">
        <f aca="false">MIN(AT63,L$8)</f>
        <v>0</v>
      </c>
      <c r="AV63" s="22" t="n">
        <f aca="false">MAX(0,MIN(AT63-AU63,$C63-(P63+T63+X63+AB63+AF63+AJ63+AN63+AR63)))</f>
        <v>0</v>
      </c>
      <c r="AW63" s="22" t="n">
        <f aca="false">ROUND(AT63-AU63-AV63,2)</f>
        <v>0</v>
      </c>
      <c r="AX63" s="22" t="n">
        <f aca="false">BA62*(1+M$7)</f>
        <v>0</v>
      </c>
      <c r="AY63" s="22" t="n">
        <f aca="false">MIN(AX63,M$8)</f>
        <v>0</v>
      </c>
      <c r="AZ63" s="22" t="n">
        <f aca="false">MAX(0,MIN(AX63-AY63,$C63-(P63+T63+X63+AB63+AF63+AJ63+AN63+AR63+AV63)))</f>
        <v>0</v>
      </c>
      <c r="BA63" s="22" t="n">
        <f aca="false">ROUND(AX63-AY63-AZ63,2)</f>
        <v>0</v>
      </c>
    </row>
    <row r="64" customFormat="false" ht="15" hidden="false" customHeight="false" outlineLevel="0" collapsed="false">
      <c r="A64" s="0" t="n">
        <v>54</v>
      </c>
      <c r="B64" s="39" t="n">
        <f aca="false">EDATE(Borçlar!$K$7,53)</f>
        <v>47908</v>
      </c>
      <c r="C64" s="36" t="n">
        <f aca="false">MAX(0,SUM(Borçlar!$D$5:$D$14)-(O64+S64+W64+AA64+AE64+AI64+AM64+AQ64+AU64+AY64))</f>
        <v>14000</v>
      </c>
      <c r="D64" s="36" t="n">
        <f aca="false">O64+P64+S64+T64+W64+X64+AA64+AB64+AE64+AF64+AI64+AJ64+AM64+AN64+AQ64+AR64+AU64+AV64+AY64+AZ64</f>
        <v>0</v>
      </c>
      <c r="E64" s="36" t="n">
        <f aca="false">(N64+R64+V64+Z64+AD64+AH64+AL64+AP64+AT64+AX64)-(F63)</f>
        <v>0</v>
      </c>
      <c r="F64" s="36" t="n">
        <f aca="false">Q64+U64+Y64+AC64+AG64+AK64+AO64+AS64+AW64+BA64</f>
        <v>0</v>
      </c>
      <c r="N64" s="22" t="n">
        <f aca="false">Q63*(1+D$7)</f>
        <v>0</v>
      </c>
      <c r="O64" s="22" t="n">
        <f aca="false">MIN(N64,D$8)</f>
        <v>0</v>
      </c>
      <c r="P64" s="22" t="n">
        <f aca="false">MAX(0,MIN(N64-O64,$C64-(0)))</f>
        <v>0</v>
      </c>
      <c r="Q64" s="22" t="n">
        <f aca="false">ROUND(N64-O64-P64,2)</f>
        <v>0</v>
      </c>
      <c r="R64" s="22" t="n">
        <f aca="false">U63*(1+E$7)</f>
        <v>0</v>
      </c>
      <c r="S64" s="22" t="n">
        <f aca="false">MIN(R64,E$8)</f>
        <v>0</v>
      </c>
      <c r="T64" s="22" t="n">
        <f aca="false">MAX(0,MIN(R64-S64,$C64-(P64)))</f>
        <v>0</v>
      </c>
      <c r="U64" s="22" t="n">
        <f aca="false">ROUND(R64-S64-T64,2)</f>
        <v>0</v>
      </c>
      <c r="V64" s="22" t="n">
        <f aca="false">Y63*(1+F$7)</f>
        <v>0</v>
      </c>
      <c r="W64" s="22" t="n">
        <f aca="false">MIN(V64,F$8)</f>
        <v>0</v>
      </c>
      <c r="X64" s="22" t="n">
        <f aca="false">MAX(0,MIN(V64-W64,$C64-(P64+T64)))</f>
        <v>0</v>
      </c>
      <c r="Y64" s="22" t="n">
        <f aca="false">ROUND(V64-W64-X64,2)</f>
        <v>0</v>
      </c>
      <c r="Z64" s="22" t="n">
        <f aca="false">AC63*(1+G$7)</f>
        <v>0</v>
      </c>
      <c r="AA64" s="22" t="n">
        <f aca="false">MIN(Z64,G$8)</f>
        <v>0</v>
      </c>
      <c r="AB64" s="22" t="n">
        <f aca="false">MAX(0,MIN(Z64-AA64,$C64-(P64+T64+X64)))</f>
        <v>0</v>
      </c>
      <c r="AC64" s="22" t="n">
        <f aca="false">ROUND(Z64-AA64-AB64,2)</f>
        <v>0</v>
      </c>
      <c r="AD64" s="22" t="n">
        <f aca="false">AG63*(1+H$7)</f>
        <v>0</v>
      </c>
      <c r="AE64" s="22" t="n">
        <f aca="false">MIN(AD64,H$8)</f>
        <v>0</v>
      </c>
      <c r="AF64" s="22" t="n">
        <f aca="false">MAX(0,MIN(AD64-AE64,$C64-(P64+T64+X64+AB64)))</f>
        <v>0</v>
      </c>
      <c r="AG64" s="22" t="n">
        <f aca="false">ROUND(AD64-AE64-AF64,2)</f>
        <v>0</v>
      </c>
      <c r="AH64" s="22" t="n">
        <f aca="false">AK63*(1+I$7)</f>
        <v>0</v>
      </c>
      <c r="AI64" s="22" t="n">
        <f aca="false">MIN(AH64,I$8)</f>
        <v>0</v>
      </c>
      <c r="AJ64" s="22" t="n">
        <f aca="false">MAX(0,MIN(AH64-AI64,$C64-(P64+T64+X64+AB64+AF64)))</f>
        <v>0</v>
      </c>
      <c r="AK64" s="22" t="n">
        <f aca="false">ROUND(AH64-AI64-AJ64,2)</f>
        <v>0</v>
      </c>
      <c r="AL64" s="22" t="n">
        <f aca="false">AO63*(1+J$7)</f>
        <v>0</v>
      </c>
      <c r="AM64" s="22" t="n">
        <f aca="false">MIN(AL64,J$8)</f>
        <v>0</v>
      </c>
      <c r="AN64" s="22" t="n">
        <f aca="false">MAX(0,MIN(AL64-AM64,$C64-(P64+T64+X64+AB64+AF64+AJ64)))</f>
        <v>0</v>
      </c>
      <c r="AO64" s="22" t="n">
        <f aca="false">ROUND(AL64-AM64-AN64,2)</f>
        <v>0</v>
      </c>
      <c r="AP64" s="22" t="n">
        <f aca="false">AS63*(1+K$7)</f>
        <v>0</v>
      </c>
      <c r="AQ64" s="22" t="n">
        <f aca="false">MIN(AP64,K$8)</f>
        <v>0</v>
      </c>
      <c r="AR64" s="22" t="n">
        <f aca="false">MAX(0,MIN(AP64-AQ64,$C64-(P64+T64+X64+AB64+AF64+AJ64+AN64)))</f>
        <v>0</v>
      </c>
      <c r="AS64" s="22" t="n">
        <f aca="false">ROUND(AP64-AQ64-AR64,2)</f>
        <v>0</v>
      </c>
      <c r="AT64" s="22" t="n">
        <f aca="false">AW63*(1+L$7)</f>
        <v>0</v>
      </c>
      <c r="AU64" s="22" t="n">
        <f aca="false">MIN(AT64,L$8)</f>
        <v>0</v>
      </c>
      <c r="AV64" s="22" t="n">
        <f aca="false">MAX(0,MIN(AT64-AU64,$C64-(P64+T64+X64+AB64+AF64+AJ64+AN64+AR64)))</f>
        <v>0</v>
      </c>
      <c r="AW64" s="22" t="n">
        <f aca="false">ROUND(AT64-AU64-AV64,2)</f>
        <v>0</v>
      </c>
      <c r="AX64" s="22" t="n">
        <f aca="false">BA63*(1+M$7)</f>
        <v>0</v>
      </c>
      <c r="AY64" s="22" t="n">
        <f aca="false">MIN(AX64,M$8)</f>
        <v>0</v>
      </c>
      <c r="AZ64" s="22" t="n">
        <f aca="false">MAX(0,MIN(AX64-AY64,$C64-(P64+T64+X64+AB64+AF64+AJ64+AN64+AR64+AV64)))</f>
        <v>0</v>
      </c>
      <c r="BA64" s="22" t="n">
        <f aca="false">ROUND(AX64-AY64-AZ64,2)</f>
        <v>0</v>
      </c>
    </row>
    <row r="65" customFormat="false" ht="15" hidden="false" customHeight="false" outlineLevel="0" collapsed="false">
      <c r="A65" s="0" t="n">
        <v>55</v>
      </c>
      <c r="B65" s="39" t="n">
        <f aca="false">EDATE(Borçlar!$K$7,54)</f>
        <v>47939</v>
      </c>
      <c r="C65" s="36" t="n">
        <f aca="false">MAX(0,SUM(Borçlar!$D$5:$D$14)-(O65+S65+W65+AA65+AE65+AI65+AM65+AQ65+AU65+AY65))</f>
        <v>14000</v>
      </c>
      <c r="D65" s="36" t="n">
        <f aca="false">O65+P65+S65+T65+W65+X65+AA65+AB65+AE65+AF65+AI65+AJ65+AM65+AN65+AQ65+AR65+AU65+AV65+AY65+AZ65</f>
        <v>0</v>
      </c>
      <c r="E65" s="36" t="n">
        <f aca="false">(N65+R65+V65+Z65+AD65+AH65+AL65+AP65+AT65+AX65)-(F64)</f>
        <v>0</v>
      </c>
      <c r="F65" s="36" t="n">
        <f aca="false">Q65+U65+Y65+AC65+AG65+AK65+AO65+AS65+AW65+BA65</f>
        <v>0</v>
      </c>
      <c r="N65" s="22" t="n">
        <f aca="false">Q64*(1+D$7)</f>
        <v>0</v>
      </c>
      <c r="O65" s="22" t="n">
        <f aca="false">MIN(N65,D$8)</f>
        <v>0</v>
      </c>
      <c r="P65" s="22" t="n">
        <f aca="false">MAX(0,MIN(N65-O65,$C65-(0)))</f>
        <v>0</v>
      </c>
      <c r="Q65" s="22" t="n">
        <f aca="false">ROUND(N65-O65-P65,2)</f>
        <v>0</v>
      </c>
      <c r="R65" s="22" t="n">
        <f aca="false">U64*(1+E$7)</f>
        <v>0</v>
      </c>
      <c r="S65" s="22" t="n">
        <f aca="false">MIN(R65,E$8)</f>
        <v>0</v>
      </c>
      <c r="T65" s="22" t="n">
        <f aca="false">MAX(0,MIN(R65-S65,$C65-(P65)))</f>
        <v>0</v>
      </c>
      <c r="U65" s="22" t="n">
        <f aca="false">ROUND(R65-S65-T65,2)</f>
        <v>0</v>
      </c>
      <c r="V65" s="22" t="n">
        <f aca="false">Y64*(1+F$7)</f>
        <v>0</v>
      </c>
      <c r="W65" s="22" t="n">
        <f aca="false">MIN(V65,F$8)</f>
        <v>0</v>
      </c>
      <c r="X65" s="22" t="n">
        <f aca="false">MAX(0,MIN(V65-W65,$C65-(P65+T65)))</f>
        <v>0</v>
      </c>
      <c r="Y65" s="22" t="n">
        <f aca="false">ROUND(V65-W65-X65,2)</f>
        <v>0</v>
      </c>
      <c r="Z65" s="22" t="n">
        <f aca="false">AC64*(1+G$7)</f>
        <v>0</v>
      </c>
      <c r="AA65" s="22" t="n">
        <f aca="false">MIN(Z65,G$8)</f>
        <v>0</v>
      </c>
      <c r="AB65" s="22" t="n">
        <f aca="false">MAX(0,MIN(Z65-AA65,$C65-(P65+T65+X65)))</f>
        <v>0</v>
      </c>
      <c r="AC65" s="22" t="n">
        <f aca="false">ROUND(Z65-AA65-AB65,2)</f>
        <v>0</v>
      </c>
      <c r="AD65" s="22" t="n">
        <f aca="false">AG64*(1+H$7)</f>
        <v>0</v>
      </c>
      <c r="AE65" s="22" t="n">
        <f aca="false">MIN(AD65,H$8)</f>
        <v>0</v>
      </c>
      <c r="AF65" s="22" t="n">
        <f aca="false">MAX(0,MIN(AD65-AE65,$C65-(P65+T65+X65+AB65)))</f>
        <v>0</v>
      </c>
      <c r="AG65" s="22" t="n">
        <f aca="false">ROUND(AD65-AE65-AF65,2)</f>
        <v>0</v>
      </c>
      <c r="AH65" s="22" t="n">
        <f aca="false">AK64*(1+I$7)</f>
        <v>0</v>
      </c>
      <c r="AI65" s="22" t="n">
        <f aca="false">MIN(AH65,I$8)</f>
        <v>0</v>
      </c>
      <c r="AJ65" s="22" t="n">
        <f aca="false">MAX(0,MIN(AH65-AI65,$C65-(P65+T65+X65+AB65+AF65)))</f>
        <v>0</v>
      </c>
      <c r="AK65" s="22" t="n">
        <f aca="false">ROUND(AH65-AI65-AJ65,2)</f>
        <v>0</v>
      </c>
      <c r="AL65" s="22" t="n">
        <f aca="false">AO64*(1+J$7)</f>
        <v>0</v>
      </c>
      <c r="AM65" s="22" t="n">
        <f aca="false">MIN(AL65,J$8)</f>
        <v>0</v>
      </c>
      <c r="AN65" s="22" t="n">
        <f aca="false">MAX(0,MIN(AL65-AM65,$C65-(P65+T65+X65+AB65+AF65+AJ65)))</f>
        <v>0</v>
      </c>
      <c r="AO65" s="22" t="n">
        <f aca="false">ROUND(AL65-AM65-AN65,2)</f>
        <v>0</v>
      </c>
      <c r="AP65" s="22" t="n">
        <f aca="false">AS64*(1+K$7)</f>
        <v>0</v>
      </c>
      <c r="AQ65" s="22" t="n">
        <f aca="false">MIN(AP65,K$8)</f>
        <v>0</v>
      </c>
      <c r="AR65" s="22" t="n">
        <f aca="false">MAX(0,MIN(AP65-AQ65,$C65-(P65+T65+X65+AB65+AF65+AJ65+AN65)))</f>
        <v>0</v>
      </c>
      <c r="AS65" s="22" t="n">
        <f aca="false">ROUND(AP65-AQ65-AR65,2)</f>
        <v>0</v>
      </c>
      <c r="AT65" s="22" t="n">
        <f aca="false">AW64*(1+L$7)</f>
        <v>0</v>
      </c>
      <c r="AU65" s="22" t="n">
        <f aca="false">MIN(AT65,L$8)</f>
        <v>0</v>
      </c>
      <c r="AV65" s="22" t="n">
        <f aca="false">MAX(0,MIN(AT65-AU65,$C65-(P65+T65+X65+AB65+AF65+AJ65+AN65+AR65)))</f>
        <v>0</v>
      </c>
      <c r="AW65" s="22" t="n">
        <f aca="false">ROUND(AT65-AU65-AV65,2)</f>
        <v>0</v>
      </c>
      <c r="AX65" s="22" t="n">
        <f aca="false">BA64*(1+M$7)</f>
        <v>0</v>
      </c>
      <c r="AY65" s="22" t="n">
        <f aca="false">MIN(AX65,M$8)</f>
        <v>0</v>
      </c>
      <c r="AZ65" s="22" t="n">
        <f aca="false">MAX(0,MIN(AX65-AY65,$C65-(P65+T65+X65+AB65+AF65+AJ65+AN65+AR65+AV65)))</f>
        <v>0</v>
      </c>
      <c r="BA65" s="22" t="n">
        <f aca="false">ROUND(AX65-AY65-AZ65,2)</f>
        <v>0</v>
      </c>
    </row>
    <row r="66" customFormat="false" ht="15" hidden="false" customHeight="false" outlineLevel="0" collapsed="false">
      <c r="A66" s="0" t="n">
        <v>56</v>
      </c>
      <c r="B66" s="39" t="n">
        <f aca="false">EDATE(Borçlar!$K$7,55)</f>
        <v>47969</v>
      </c>
      <c r="C66" s="36" t="n">
        <f aca="false">MAX(0,SUM(Borçlar!$D$5:$D$14)-(O66+S66+W66+AA66+AE66+AI66+AM66+AQ66+AU66+AY66))</f>
        <v>14000</v>
      </c>
      <c r="D66" s="36" t="n">
        <f aca="false">O66+P66+S66+T66+W66+X66+AA66+AB66+AE66+AF66+AI66+AJ66+AM66+AN66+AQ66+AR66+AU66+AV66+AY66+AZ66</f>
        <v>0</v>
      </c>
      <c r="E66" s="36" t="n">
        <f aca="false">(N66+R66+V66+Z66+AD66+AH66+AL66+AP66+AT66+AX66)-(F65)</f>
        <v>0</v>
      </c>
      <c r="F66" s="36" t="n">
        <f aca="false">Q66+U66+Y66+AC66+AG66+AK66+AO66+AS66+AW66+BA66</f>
        <v>0</v>
      </c>
      <c r="N66" s="22" t="n">
        <f aca="false">Q65*(1+D$7)</f>
        <v>0</v>
      </c>
      <c r="O66" s="22" t="n">
        <f aca="false">MIN(N66,D$8)</f>
        <v>0</v>
      </c>
      <c r="P66" s="22" t="n">
        <f aca="false">MAX(0,MIN(N66-O66,$C66-(0)))</f>
        <v>0</v>
      </c>
      <c r="Q66" s="22" t="n">
        <f aca="false">ROUND(N66-O66-P66,2)</f>
        <v>0</v>
      </c>
      <c r="R66" s="22" t="n">
        <f aca="false">U65*(1+E$7)</f>
        <v>0</v>
      </c>
      <c r="S66" s="22" t="n">
        <f aca="false">MIN(R66,E$8)</f>
        <v>0</v>
      </c>
      <c r="T66" s="22" t="n">
        <f aca="false">MAX(0,MIN(R66-S66,$C66-(P66)))</f>
        <v>0</v>
      </c>
      <c r="U66" s="22" t="n">
        <f aca="false">ROUND(R66-S66-T66,2)</f>
        <v>0</v>
      </c>
      <c r="V66" s="22" t="n">
        <f aca="false">Y65*(1+F$7)</f>
        <v>0</v>
      </c>
      <c r="W66" s="22" t="n">
        <f aca="false">MIN(V66,F$8)</f>
        <v>0</v>
      </c>
      <c r="X66" s="22" t="n">
        <f aca="false">MAX(0,MIN(V66-W66,$C66-(P66+T66)))</f>
        <v>0</v>
      </c>
      <c r="Y66" s="22" t="n">
        <f aca="false">ROUND(V66-W66-X66,2)</f>
        <v>0</v>
      </c>
      <c r="Z66" s="22" t="n">
        <f aca="false">AC65*(1+G$7)</f>
        <v>0</v>
      </c>
      <c r="AA66" s="22" t="n">
        <f aca="false">MIN(Z66,G$8)</f>
        <v>0</v>
      </c>
      <c r="AB66" s="22" t="n">
        <f aca="false">MAX(0,MIN(Z66-AA66,$C66-(P66+T66+X66)))</f>
        <v>0</v>
      </c>
      <c r="AC66" s="22" t="n">
        <f aca="false">ROUND(Z66-AA66-AB66,2)</f>
        <v>0</v>
      </c>
      <c r="AD66" s="22" t="n">
        <f aca="false">AG65*(1+H$7)</f>
        <v>0</v>
      </c>
      <c r="AE66" s="22" t="n">
        <f aca="false">MIN(AD66,H$8)</f>
        <v>0</v>
      </c>
      <c r="AF66" s="22" t="n">
        <f aca="false">MAX(0,MIN(AD66-AE66,$C66-(P66+T66+X66+AB66)))</f>
        <v>0</v>
      </c>
      <c r="AG66" s="22" t="n">
        <f aca="false">ROUND(AD66-AE66-AF66,2)</f>
        <v>0</v>
      </c>
      <c r="AH66" s="22" t="n">
        <f aca="false">AK65*(1+I$7)</f>
        <v>0</v>
      </c>
      <c r="AI66" s="22" t="n">
        <f aca="false">MIN(AH66,I$8)</f>
        <v>0</v>
      </c>
      <c r="AJ66" s="22" t="n">
        <f aca="false">MAX(0,MIN(AH66-AI66,$C66-(P66+T66+X66+AB66+AF66)))</f>
        <v>0</v>
      </c>
      <c r="AK66" s="22" t="n">
        <f aca="false">ROUND(AH66-AI66-AJ66,2)</f>
        <v>0</v>
      </c>
      <c r="AL66" s="22" t="n">
        <f aca="false">AO65*(1+J$7)</f>
        <v>0</v>
      </c>
      <c r="AM66" s="22" t="n">
        <f aca="false">MIN(AL66,J$8)</f>
        <v>0</v>
      </c>
      <c r="AN66" s="22" t="n">
        <f aca="false">MAX(0,MIN(AL66-AM66,$C66-(P66+T66+X66+AB66+AF66+AJ66)))</f>
        <v>0</v>
      </c>
      <c r="AO66" s="22" t="n">
        <f aca="false">ROUND(AL66-AM66-AN66,2)</f>
        <v>0</v>
      </c>
      <c r="AP66" s="22" t="n">
        <f aca="false">AS65*(1+K$7)</f>
        <v>0</v>
      </c>
      <c r="AQ66" s="22" t="n">
        <f aca="false">MIN(AP66,K$8)</f>
        <v>0</v>
      </c>
      <c r="AR66" s="22" t="n">
        <f aca="false">MAX(0,MIN(AP66-AQ66,$C66-(P66+T66+X66+AB66+AF66+AJ66+AN66)))</f>
        <v>0</v>
      </c>
      <c r="AS66" s="22" t="n">
        <f aca="false">ROUND(AP66-AQ66-AR66,2)</f>
        <v>0</v>
      </c>
      <c r="AT66" s="22" t="n">
        <f aca="false">AW65*(1+L$7)</f>
        <v>0</v>
      </c>
      <c r="AU66" s="22" t="n">
        <f aca="false">MIN(AT66,L$8)</f>
        <v>0</v>
      </c>
      <c r="AV66" s="22" t="n">
        <f aca="false">MAX(0,MIN(AT66-AU66,$C66-(P66+T66+X66+AB66+AF66+AJ66+AN66+AR66)))</f>
        <v>0</v>
      </c>
      <c r="AW66" s="22" t="n">
        <f aca="false">ROUND(AT66-AU66-AV66,2)</f>
        <v>0</v>
      </c>
      <c r="AX66" s="22" t="n">
        <f aca="false">BA65*(1+M$7)</f>
        <v>0</v>
      </c>
      <c r="AY66" s="22" t="n">
        <f aca="false">MIN(AX66,M$8)</f>
        <v>0</v>
      </c>
      <c r="AZ66" s="22" t="n">
        <f aca="false">MAX(0,MIN(AX66-AY66,$C66-(P66+T66+X66+AB66+AF66+AJ66+AN66+AR66+AV66)))</f>
        <v>0</v>
      </c>
      <c r="BA66" s="22" t="n">
        <f aca="false">ROUND(AX66-AY66-AZ66,2)</f>
        <v>0</v>
      </c>
    </row>
    <row r="67" customFormat="false" ht="15" hidden="false" customHeight="false" outlineLevel="0" collapsed="false">
      <c r="A67" s="0" t="n">
        <v>57</v>
      </c>
      <c r="B67" s="39" t="n">
        <f aca="false">EDATE(Borçlar!$K$7,56)</f>
        <v>48000</v>
      </c>
      <c r="C67" s="36" t="n">
        <f aca="false">MAX(0,SUM(Borçlar!$D$5:$D$14)-(O67+S67+W67+AA67+AE67+AI67+AM67+AQ67+AU67+AY67))</f>
        <v>14000</v>
      </c>
      <c r="D67" s="36" t="n">
        <f aca="false">O67+P67+S67+T67+W67+X67+AA67+AB67+AE67+AF67+AI67+AJ67+AM67+AN67+AQ67+AR67+AU67+AV67+AY67+AZ67</f>
        <v>0</v>
      </c>
      <c r="E67" s="36" t="n">
        <f aca="false">(N67+R67+V67+Z67+AD67+AH67+AL67+AP67+AT67+AX67)-(F66)</f>
        <v>0</v>
      </c>
      <c r="F67" s="36" t="n">
        <f aca="false">Q67+U67+Y67+AC67+AG67+AK67+AO67+AS67+AW67+BA67</f>
        <v>0</v>
      </c>
      <c r="N67" s="22" t="n">
        <f aca="false">Q66*(1+D$7)</f>
        <v>0</v>
      </c>
      <c r="O67" s="22" t="n">
        <f aca="false">MIN(N67,D$8)</f>
        <v>0</v>
      </c>
      <c r="P67" s="22" t="n">
        <f aca="false">MAX(0,MIN(N67-O67,$C67-(0)))</f>
        <v>0</v>
      </c>
      <c r="Q67" s="22" t="n">
        <f aca="false">ROUND(N67-O67-P67,2)</f>
        <v>0</v>
      </c>
      <c r="R67" s="22" t="n">
        <f aca="false">U66*(1+E$7)</f>
        <v>0</v>
      </c>
      <c r="S67" s="22" t="n">
        <f aca="false">MIN(R67,E$8)</f>
        <v>0</v>
      </c>
      <c r="T67" s="22" t="n">
        <f aca="false">MAX(0,MIN(R67-S67,$C67-(P67)))</f>
        <v>0</v>
      </c>
      <c r="U67" s="22" t="n">
        <f aca="false">ROUND(R67-S67-T67,2)</f>
        <v>0</v>
      </c>
      <c r="V67" s="22" t="n">
        <f aca="false">Y66*(1+F$7)</f>
        <v>0</v>
      </c>
      <c r="W67" s="22" t="n">
        <f aca="false">MIN(V67,F$8)</f>
        <v>0</v>
      </c>
      <c r="X67" s="22" t="n">
        <f aca="false">MAX(0,MIN(V67-W67,$C67-(P67+T67)))</f>
        <v>0</v>
      </c>
      <c r="Y67" s="22" t="n">
        <f aca="false">ROUND(V67-W67-X67,2)</f>
        <v>0</v>
      </c>
      <c r="Z67" s="22" t="n">
        <f aca="false">AC66*(1+G$7)</f>
        <v>0</v>
      </c>
      <c r="AA67" s="22" t="n">
        <f aca="false">MIN(Z67,G$8)</f>
        <v>0</v>
      </c>
      <c r="AB67" s="22" t="n">
        <f aca="false">MAX(0,MIN(Z67-AA67,$C67-(P67+T67+X67)))</f>
        <v>0</v>
      </c>
      <c r="AC67" s="22" t="n">
        <f aca="false">ROUND(Z67-AA67-AB67,2)</f>
        <v>0</v>
      </c>
      <c r="AD67" s="22" t="n">
        <f aca="false">AG66*(1+H$7)</f>
        <v>0</v>
      </c>
      <c r="AE67" s="22" t="n">
        <f aca="false">MIN(AD67,H$8)</f>
        <v>0</v>
      </c>
      <c r="AF67" s="22" t="n">
        <f aca="false">MAX(0,MIN(AD67-AE67,$C67-(P67+T67+X67+AB67)))</f>
        <v>0</v>
      </c>
      <c r="AG67" s="22" t="n">
        <f aca="false">ROUND(AD67-AE67-AF67,2)</f>
        <v>0</v>
      </c>
      <c r="AH67" s="22" t="n">
        <f aca="false">AK66*(1+I$7)</f>
        <v>0</v>
      </c>
      <c r="AI67" s="22" t="n">
        <f aca="false">MIN(AH67,I$8)</f>
        <v>0</v>
      </c>
      <c r="AJ67" s="22" t="n">
        <f aca="false">MAX(0,MIN(AH67-AI67,$C67-(P67+T67+X67+AB67+AF67)))</f>
        <v>0</v>
      </c>
      <c r="AK67" s="22" t="n">
        <f aca="false">ROUND(AH67-AI67-AJ67,2)</f>
        <v>0</v>
      </c>
      <c r="AL67" s="22" t="n">
        <f aca="false">AO66*(1+J$7)</f>
        <v>0</v>
      </c>
      <c r="AM67" s="22" t="n">
        <f aca="false">MIN(AL67,J$8)</f>
        <v>0</v>
      </c>
      <c r="AN67" s="22" t="n">
        <f aca="false">MAX(0,MIN(AL67-AM67,$C67-(P67+T67+X67+AB67+AF67+AJ67)))</f>
        <v>0</v>
      </c>
      <c r="AO67" s="22" t="n">
        <f aca="false">ROUND(AL67-AM67-AN67,2)</f>
        <v>0</v>
      </c>
      <c r="AP67" s="22" t="n">
        <f aca="false">AS66*(1+K$7)</f>
        <v>0</v>
      </c>
      <c r="AQ67" s="22" t="n">
        <f aca="false">MIN(AP67,K$8)</f>
        <v>0</v>
      </c>
      <c r="AR67" s="22" t="n">
        <f aca="false">MAX(0,MIN(AP67-AQ67,$C67-(P67+T67+X67+AB67+AF67+AJ67+AN67)))</f>
        <v>0</v>
      </c>
      <c r="AS67" s="22" t="n">
        <f aca="false">ROUND(AP67-AQ67-AR67,2)</f>
        <v>0</v>
      </c>
      <c r="AT67" s="22" t="n">
        <f aca="false">AW66*(1+L$7)</f>
        <v>0</v>
      </c>
      <c r="AU67" s="22" t="n">
        <f aca="false">MIN(AT67,L$8)</f>
        <v>0</v>
      </c>
      <c r="AV67" s="22" t="n">
        <f aca="false">MAX(0,MIN(AT67-AU67,$C67-(P67+T67+X67+AB67+AF67+AJ67+AN67+AR67)))</f>
        <v>0</v>
      </c>
      <c r="AW67" s="22" t="n">
        <f aca="false">ROUND(AT67-AU67-AV67,2)</f>
        <v>0</v>
      </c>
      <c r="AX67" s="22" t="n">
        <f aca="false">BA66*(1+M$7)</f>
        <v>0</v>
      </c>
      <c r="AY67" s="22" t="n">
        <f aca="false">MIN(AX67,M$8)</f>
        <v>0</v>
      </c>
      <c r="AZ67" s="22" t="n">
        <f aca="false">MAX(0,MIN(AX67-AY67,$C67-(P67+T67+X67+AB67+AF67+AJ67+AN67+AR67+AV67)))</f>
        <v>0</v>
      </c>
      <c r="BA67" s="22" t="n">
        <f aca="false">ROUND(AX67-AY67-AZ67,2)</f>
        <v>0</v>
      </c>
    </row>
    <row r="68" customFormat="false" ht="15" hidden="false" customHeight="false" outlineLevel="0" collapsed="false">
      <c r="A68" s="0" t="n">
        <v>58</v>
      </c>
      <c r="B68" s="39" t="n">
        <f aca="false">EDATE(Borçlar!$K$7,57)</f>
        <v>48030</v>
      </c>
      <c r="C68" s="36" t="n">
        <f aca="false">MAX(0,SUM(Borçlar!$D$5:$D$14)-(O68+S68+W68+AA68+AE68+AI68+AM68+AQ68+AU68+AY68))</f>
        <v>14000</v>
      </c>
      <c r="D68" s="36" t="n">
        <f aca="false">O68+P68+S68+T68+W68+X68+AA68+AB68+AE68+AF68+AI68+AJ68+AM68+AN68+AQ68+AR68+AU68+AV68+AY68+AZ68</f>
        <v>0</v>
      </c>
      <c r="E68" s="36" t="n">
        <f aca="false">(N68+R68+V68+Z68+AD68+AH68+AL68+AP68+AT68+AX68)-(F67)</f>
        <v>0</v>
      </c>
      <c r="F68" s="36" t="n">
        <f aca="false">Q68+U68+Y68+AC68+AG68+AK68+AO68+AS68+AW68+BA68</f>
        <v>0</v>
      </c>
      <c r="N68" s="22" t="n">
        <f aca="false">Q67*(1+D$7)</f>
        <v>0</v>
      </c>
      <c r="O68" s="22" t="n">
        <f aca="false">MIN(N68,D$8)</f>
        <v>0</v>
      </c>
      <c r="P68" s="22" t="n">
        <f aca="false">MAX(0,MIN(N68-O68,$C68-(0)))</f>
        <v>0</v>
      </c>
      <c r="Q68" s="22" t="n">
        <f aca="false">ROUND(N68-O68-P68,2)</f>
        <v>0</v>
      </c>
      <c r="R68" s="22" t="n">
        <f aca="false">U67*(1+E$7)</f>
        <v>0</v>
      </c>
      <c r="S68" s="22" t="n">
        <f aca="false">MIN(R68,E$8)</f>
        <v>0</v>
      </c>
      <c r="T68" s="22" t="n">
        <f aca="false">MAX(0,MIN(R68-S68,$C68-(P68)))</f>
        <v>0</v>
      </c>
      <c r="U68" s="22" t="n">
        <f aca="false">ROUND(R68-S68-T68,2)</f>
        <v>0</v>
      </c>
      <c r="V68" s="22" t="n">
        <f aca="false">Y67*(1+F$7)</f>
        <v>0</v>
      </c>
      <c r="W68" s="22" t="n">
        <f aca="false">MIN(V68,F$8)</f>
        <v>0</v>
      </c>
      <c r="X68" s="22" t="n">
        <f aca="false">MAX(0,MIN(V68-W68,$C68-(P68+T68)))</f>
        <v>0</v>
      </c>
      <c r="Y68" s="22" t="n">
        <f aca="false">ROUND(V68-W68-X68,2)</f>
        <v>0</v>
      </c>
      <c r="Z68" s="22" t="n">
        <f aca="false">AC67*(1+G$7)</f>
        <v>0</v>
      </c>
      <c r="AA68" s="22" t="n">
        <f aca="false">MIN(Z68,G$8)</f>
        <v>0</v>
      </c>
      <c r="AB68" s="22" t="n">
        <f aca="false">MAX(0,MIN(Z68-AA68,$C68-(P68+T68+X68)))</f>
        <v>0</v>
      </c>
      <c r="AC68" s="22" t="n">
        <f aca="false">ROUND(Z68-AA68-AB68,2)</f>
        <v>0</v>
      </c>
      <c r="AD68" s="22" t="n">
        <f aca="false">AG67*(1+H$7)</f>
        <v>0</v>
      </c>
      <c r="AE68" s="22" t="n">
        <f aca="false">MIN(AD68,H$8)</f>
        <v>0</v>
      </c>
      <c r="AF68" s="22" t="n">
        <f aca="false">MAX(0,MIN(AD68-AE68,$C68-(P68+T68+X68+AB68)))</f>
        <v>0</v>
      </c>
      <c r="AG68" s="22" t="n">
        <f aca="false">ROUND(AD68-AE68-AF68,2)</f>
        <v>0</v>
      </c>
      <c r="AH68" s="22" t="n">
        <f aca="false">AK67*(1+I$7)</f>
        <v>0</v>
      </c>
      <c r="AI68" s="22" t="n">
        <f aca="false">MIN(AH68,I$8)</f>
        <v>0</v>
      </c>
      <c r="AJ68" s="22" t="n">
        <f aca="false">MAX(0,MIN(AH68-AI68,$C68-(P68+T68+X68+AB68+AF68)))</f>
        <v>0</v>
      </c>
      <c r="AK68" s="22" t="n">
        <f aca="false">ROUND(AH68-AI68-AJ68,2)</f>
        <v>0</v>
      </c>
      <c r="AL68" s="22" t="n">
        <f aca="false">AO67*(1+J$7)</f>
        <v>0</v>
      </c>
      <c r="AM68" s="22" t="n">
        <f aca="false">MIN(AL68,J$8)</f>
        <v>0</v>
      </c>
      <c r="AN68" s="22" t="n">
        <f aca="false">MAX(0,MIN(AL68-AM68,$C68-(P68+T68+X68+AB68+AF68+AJ68)))</f>
        <v>0</v>
      </c>
      <c r="AO68" s="22" t="n">
        <f aca="false">ROUND(AL68-AM68-AN68,2)</f>
        <v>0</v>
      </c>
      <c r="AP68" s="22" t="n">
        <f aca="false">AS67*(1+K$7)</f>
        <v>0</v>
      </c>
      <c r="AQ68" s="22" t="n">
        <f aca="false">MIN(AP68,K$8)</f>
        <v>0</v>
      </c>
      <c r="AR68" s="22" t="n">
        <f aca="false">MAX(0,MIN(AP68-AQ68,$C68-(P68+T68+X68+AB68+AF68+AJ68+AN68)))</f>
        <v>0</v>
      </c>
      <c r="AS68" s="22" t="n">
        <f aca="false">ROUND(AP68-AQ68-AR68,2)</f>
        <v>0</v>
      </c>
      <c r="AT68" s="22" t="n">
        <f aca="false">AW67*(1+L$7)</f>
        <v>0</v>
      </c>
      <c r="AU68" s="22" t="n">
        <f aca="false">MIN(AT68,L$8)</f>
        <v>0</v>
      </c>
      <c r="AV68" s="22" t="n">
        <f aca="false">MAX(0,MIN(AT68-AU68,$C68-(P68+T68+X68+AB68+AF68+AJ68+AN68+AR68)))</f>
        <v>0</v>
      </c>
      <c r="AW68" s="22" t="n">
        <f aca="false">ROUND(AT68-AU68-AV68,2)</f>
        <v>0</v>
      </c>
      <c r="AX68" s="22" t="n">
        <f aca="false">BA67*(1+M$7)</f>
        <v>0</v>
      </c>
      <c r="AY68" s="22" t="n">
        <f aca="false">MIN(AX68,M$8)</f>
        <v>0</v>
      </c>
      <c r="AZ68" s="22" t="n">
        <f aca="false">MAX(0,MIN(AX68-AY68,$C68-(P68+T68+X68+AB68+AF68+AJ68+AN68+AR68+AV68)))</f>
        <v>0</v>
      </c>
      <c r="BA68" s="22" t="n">
        <f aca="false">ROUND(AX68-AY68-AZ68,2)</f>
        <v>0</v>
      </c>
    </row>
    <row r="69" customFormat="false" ht="15" hidden="false" customHeight="false" outlineLevel="0" collapsed="false">
      <c r="A69" s="0" t="n">
        <v>59</v>
      </c>
      <c r="B69" s="39" t="n">
        <f aca="false">EDATE(Borçlar!$K$7,58)</f>
        <v>48061</v>
      </c>
      <c r="C69" s="36" t="n">
        <f aca="false">MAX(0,SUM(Borçlar!$D$5:$D$14)-(O69+S69+W69+AA69+AE69+AI69+AM69+AQ69+AU69+AY69))</f>
        <v>14000</v>
      </c>
      <c r="D69" s="36" t="n">
        <f aca="false">O69+P69+S69+T69+W69+X69+AA69+AB69+AE69+AF69+AI69+AJ69+AM69+AN69+AQ69+AR69+AU69+AV69+AY69+AZ69</f>
        <v>0</v>
      </c>
      <c r="E69" s="36" t="n">
        <f aca="false">(N69+R69+V69+Z69+AD69+AH69+AL69+AP69+AT69+AX69)-(F68)</f>
        <v>0</v>
      </c>
      <c r="F69" s="36" t="n">
        <f aca="false">Q69+U69+Y69+AC69+AG69+AK69+AO69+AS69+AW69+BA69</f>
        <v>0</v>
      </c>
      <c r="N69" s="22" t="n">
        <f aca="false">Q68*(1+D$7)</f>
        <v>0</v>
      </c>
      <c r="O69" s="22" t="n">
        <f aca="false">MIN(N69,D$8)</f>
        <v>0</v>
      </c>
      <c r="P69" s="22" t="n">
        <f aca="false">MAX(0,MIN(N69-O69,$C69-(0)))</f>
        <v>0</v>
      </c>
      <c r="Q69" s="22" t="n">
        <f aca="false">ROUND(N69-O69-P69,2)</f>
        <v>0</v>
      </c>
      <c r="R69" s="22" t="n">
        <f aca="false">U68*(1+E$7)</f>
        <v>0</v>
      </c>
      <c r="S69" s="22" t="n">
        <f aca="false">MIN(R69,E$8)</f>
        <v>0</v>
      </c>
      <c r="T69" s="22" t="n">
        <f aca="false">MAX(0,MIN(R69-S69,$C69-(P69)))</f>
        <v>0</v>
      </c>
      <c r="U69" s="22" t="n">
        <f aca="false">ROUND(R69-S69-T69,2)</f>
        <v>0</v>
      </c>
      <c r="V69" s="22" t="n">
        <f aca="false">Y68*(1+F$7)</f>
        <v>0</v>
      </c>
      <c r="W69" s="22" t="n">
        <f aca="false">MIN(V69,F$8)</f>
        <v>0</v>
      </c>
      <c r="X69" s="22" t="n">
        <f aca="false">MAX(0,MIN(V69-W69,$C69-(P69+T69)))</f>
        <v>0</v>
      </c>
      <c r="Y69" s="22" t="n">
        <f aca="false">ROUND(V69-W69-X69,2)</f>
        <v>0</v>
      </c>
      <c r="Z69" s="22" t="n">
        <f aca="false">AC68*(1+G$7)</f>
        <v>0</v>
      </c>
      <c r="AA69" s="22" t="n">
        <f aca="false">MIN(Z69,G$8)</f>
        <v>0</v>
      </c>
      <c r="AB69" s="22" t="n">
        <f aca="false">MAX(0,MIN(Z69-AA69,$C69-(P69+T69+X69)))</f>
        <v>0</v>
      </c>
      <c r="AC69" s="22" t="n">
        <f aca="false">ROUND(Z69-AA69-AB69,2)</f>
        <v>0</v>
      </c>
      <c r="AD69" s="22" t="n">
        <f aca="false">AG68*(1+H$7)</f>
        <v>0</v>
      </c>
      <c r="AE69" s="22" t="n">
        <f aca="false">MIN(AD69,H$8)</f>
        <v>0</v>
      </c>
      <c r="AF69" s="22" t="n">
        <f aca="false">MAX(0,MIN(AD69-AE69,$C69-(P69+T69+X69+AB69)))</f>
        <v>0</v>
      </c>
      <c r="AG69" s="22" t="n">
        <f aca="false">ROUND(AD69-AE69-AF69,2)</f>
        <v>0</v>
      </c>
      <c r="AH69" s="22" t="n">
        <f aca="false">AK68*(1+I$7)</f>
        <v>0</v>
      </c>
      <c r="AI69" s="22" t="n">
        <f aca="false">MIN(AH69,I$8)</f>
        <v>0</v>
      </c>
      <c r="AJ69" s="22" t="n">
        <f aca="false">MAX(0,MIN(AH69-AI69,$C69-(P69+T69+X69+AB69+AF69)))</f>
        <v>0</v>
      </c>
      <c r="AK69" s="22" t="n">
        <f aca="false">ROUND(AH69-AI69-AJ69,2)</f>
        <v>0</v>
      </c>
      <c r="AL69" s="22" t="n">
        <f aca="false">AO68*(1+J$7)</f>
        <v>0</v>
      </c>
      <c r="AM69" s="22" t="n">
        <f aca="false">MIN(AL69,J$8)</f>
        <v>0</v>
      </c>
      <c r="AN69" s="22" t="n">
        <f aca="false">MAX(0,MIN(AL69-AM69,$C69-(P69+T69+X69+AB69+AF69+AJ69)))</f>
        <v>0</v>
      </c>
      <c r="AO69" s="22" t="n">
        <f aca="false">ROUND(AL69-AM69-AN69,2)</f>
        <v>0</v>
      </c>
      <c r="AP69" s="22" t="n">
        <f aca="false">AS68*(1+K$7)</f>
        <v>0</v>
      </c>
      <c r="AQ69" s="22" t="n">
        <f aca="false">MIN(AP69,K$8)</f>
        <v>0</v>
      </c>
      <c r="AR69" s="22" t="n">
        <f aca="false">MAX(0,MIN(AP69-AQ69,$C69-(P69+T69+X69+AB69+AF69+AJ69+AN69)))</f>
        <v>0</v>
      </c>
      <c r="AS69" s="22" t="n">
        <f aca="false">ROUND(AP69-AQ69-AR69,2)</f>
        <v>0</v>
      </c>
      <c r="AT69" s="22" t="n">
        <f aca="false">AW68*(1+L$7)</f>
        <v>0</v>
      </c>
      <c r="AU69" s="22" t="n">
        <f aca="false">MIN(AT69,L$8)</f>
        <v>0</v>
      </c>
      <c r="AV69" s="22" t="n">
        <f aca="false">MAX(0,MIN(AT69-AU69,$C69-(P69+T69+X69+AB69+AF69+AJ69+AN69+AR69)))</f>
        <v>0</v>
      </c>
      <c r="AW69" s="22" t="n">
        <f aca="false">ROUND(AT69-AU69-AV69,2)</f>
        <v>0</v>
      </c>
      <c r="AX69" s="22" t="n">
        <f aca="false">BA68*(1+M$7)</f>
        <v>0</v>
      </c>
      <c r="AY69" s="22" t="n">
        <f aca="false">MIN(AX69,M$8)</f>
        <v>0</v>
      </c>
      <c r="AZ69" s="22" t="n">
        <f aca="false">MAX(0,MIN(AX69-AY69,$C69-(P69+T69+X69+AB69+AF69+AJ69+AN69+AR69+AV69)))</f>
        <v>0</v>
      </c>
      <c r="BA69" s="22" t="n">
        <f aca="false">ROUND(AX69-AY69-AZ69,2)</f>
        <v>0</v>
      </c>
    </row>
    <row r="70" customFormat="false" ht="15" hidden="false" customHeight="false" outlineLevel="0" collapsed="false">
      <c r="A70" s="0" t="n">
        <v>60</v>
      </c>
      <c r="B70" s="39" t="n">
        <f aca="false">EDATE(Borçlar!$K$7,59)</f>
        <v>48092</v>
      </c>
      <c r="C70" s="36" t="n">
        <f aca="false">MAX(0,SUM(Borçlar!$D$5:$D$14)-(O70+S70+W70+AA70+AE70+AI70+AM70+AQ70+AU70+AY70))</f>
        <v>14000</v>
      </c>
      <c r="D70" s="36" t="n">
        <f aca="false">O70+P70+S70+T70+W70+X70+AA70+AB70+AE70+AF70+AI70+AJ70+AM70+AN70+AQ70+AR70+AU70+AV70+AY70+AZ70</f>
        <v>0</v>
      </c>
      <c r="E70" s="36" t="n">
        <f aca="false">(N70+R70+V70+Z70+AD70+AH70+AL70+AP70+AT70+AX70)-(F69)</f>
        <v>0</v>
      </c>
      <c r="F70" s="36" t="n">
        <f aca="false">Q70+U70+Y70+AC70+AG70+AK70+AO70+AS70+AW70+BA70</f>
        <v>0</v>
      </c>
      <c r="N70" s="22" t="n">
        <f aca="false">Q69*(1+D$7)</f>
        <v>0</v>
      </c>
      <c r="O70" s="22" t="n">
        <f aca="false">MIN(N70,D$8)</f>
        <v>0</v>
      </c>
      <c r="P70" s="22" t="n">
        <f aca="false">MAX(0,MIN(N70-O70,$C70-(0)))</f>
        <v>0</v>
      </c>
      <c r="Q70" s="22" t="n">
        <f aca="false">ROUND(N70-O70-P70,2)</f>
        <v>0</v>
      </c>
      <c r="R70" s="22" t="n">
        <f aca="false">U69*(1+E$7)</f>
        <v>0</v>
      </c>
      <c r="S70" s="22" t="n">
        <f aca="false">MIN(R70,E$8)</f>
        <v>0</v>
      </c>
      <c r="T70" s="22" t="n">
        <f aca="false">MAX(0,MIN(R70-S70,$C70-(P70)))</f>
        <v>0</v>
      </c>
      <c r="U70" s="22" t="n">
        <f aca="false">ROUND(R70-S70-T70,2)</f>
        <v>0</v>
      </c>
      <c r="V70" s="22" t="n">
        <f aca="false">Y69*(1+F$7)</f>
        <v>0</v>
      </c>
      <c r="W70" s="22" t="n">
        <f aca="false">MIN(V70,F$8)</f>
        <v>0</v>
      </c>
      <c r="X70" s="22" t="n">
        <f aca="false">MAX(0,MIN(V70-W70,$C70-(P70+T70)))</f>
        <v>0</v>
      </c>
      <c r="Y70" s="22" t="n">
        <f aca="false">ROUND(V70-W70-X70,2)</f>
        <v>0</v>
      </c>
      <c r="Z70" s="22" t="n">
        <f aca="false">AC69*(1+G$7)</f>
        <v>0</v>
      </c>
      <c r="AA70" s="22" t="n">
        <f aca="false">MIN(Z70,G$8)</f>
        <v>0</v>
      </c>
      <c r="AB70" s="22" t="n">
        <f aca="false">MAX(0,MIN(Z70-AA70,$C70-(P70+T70+X70)))</f>
        <v>0</v>
      </c>
      <c r="AC70" s="22" t="n">
        <f aca="false">ROUND(Z70-AA70-AB70,2)</f>
        <v>0</v>
      </c>
      <c r="AD70" s="22" t="n">
        <f aca="false">AG69*(1+H$7)</f>
        <v>0</v>
      </c>
      <c r="AE70" s="22" t="n">
        <f aca="false">MIN(AD70,H$8)</f>
        <v>0</v>
      </c>
      <c r="AF70" s="22" t="n">
        <f aca="false">MAX(0,MIN(AD70-AE70,$C70-(P70+T70+X70+AB70)))</f>
        <v>0</v>
      </c>
      <c r="AG70" s="22" t="n">
        <f aca="false">ROUND(AD70-AE70-AF70,2)</f>
        <v>0</v>
      </c>
      <c r="AH70" s="22" t="n">
        <f aca="false">AK69*(1+I$7)</f>
        <v>0</v>
      </c>
      <c r="AI70" s="22" t="n">
        <f aca="false">MIN(AH70,I$8)</f>
        <v>0</v>
      </c>
      <c r="AJ70" s="22" t="n">
        <f aca="false">MAX(0,MIN(AH70-AI70,$C70-(P70+T70+X70+AB70+AF70)))</f>
        <v>0</v>
      </c>
      <c r="AK70" s="22" t="n">
        <f aca="false">ROUND(AH70-AI70-AJ70,2)</f>
        <v>0</v>
      </c>
      <c r="AL70" s="22" t="n">
        <f aca="false">AO69*(1+J$7)</f>
        <v>0</v>
      </c>
      <c r="AM70" s="22" t="n">
        <f aca="false">MIN(AL70,J$8)</f>
        <v>0</v>
      </c>
      <c r="AN70" s="22" t="n">
        <f aca="false">MAX(0,MIN(AL70-AM70,$C70-(P70+T70+X70+AB70+AF70+AJ70)))</f>
        <v>0</v>
      </c>
      <c r="AO70" s="22" t="n">
        <f aca="false">ROUND(AL70-AM70-AN70,2)</f>
        <v>0</v>
      </c>
      <c r="AP70" s="22" t="n">
        <f aca="false">AS69*(1+K$7)</f>
        <v>0</v>
      </c>
      <c r="AQ70" s="22" t="n">
        <f aca="false">MIN(AP70,K$8)</f>
        <v>0</v>
      </c>
      <c r="AR70" s="22" t="n">
        <f aca="false">MAX(0,MIN(AP70-AQ70,$C70-(P70+T70+X70+AB70+AF70+AJ70+AN70)))</f>
        <v>0</v>
      </c>
      <c r="AS70" s="22" t="n">
        <f aca="false">ROUND(AP70-AQ70-AR70,2)</f>
        <v>0</v>
      </c>
      <c r="AT70" s="22" t="n">
        <f aca="false">AW69*(1+L$7)</f>
        <v>0</v>
      </c>
      <c r="AU70" s="22" t="n">
        <f aca="false">MIN(AT70,L$8)</f>
        <v>0</v>
      </c>
      <c r="AV70" s="22" t="n">
        <f aca="false">MAX(0,MIN(AT70-AU70,$C70-(P70+T70+X70+AB70+AF70+AJ70+AN70+AR70)))</f>
        <v>0</v>
      </c>
      <c r="AW70" s="22" t="n">
        <f aca="false">ROUND(AT70-AU70-AV70,2)</f>
        <v>0</v>
      </c>
      <c r="AX70" s="22" t="n">
        <f aca="false">BA69*(1+M$7)</f>
        <v>0</v>
      </c>
      <c r="AY70" s="22" t="n">
        <f aca="false">MIN(AX70,M$8)</f>
        <v>0</v>
      </c>
      <c r="AZ70" s="22" t="n">
        <f aca="false">MAX(0,MIN(AX70-AY70,$C70-(P70+T70+X70+AB70+AF70+AJ70+AN70+AR70+AV70)))</f>
        <v>0</v>
      </c>
      <c r="BA70" s="22" t="n">
        <f aca="false">ROUND(AX70-AY70-AZ70,2)</f>
        <v>0</v>
      </c>
    </row>
    <row r="71" customFormat="false" ht="15" hidden="false" customHeight="false" outlineLevel="0" collapsed="false">
      <c r="A71" s="0" t="n">
        <v>61</v>
      </c>
      <c r="B71" s="39" t="n">
        <f aca="false">EDATE(Borçlar!$K$7,60)</f>
        <v>48122</v>
      </c>
      <c r="C71" s="36" t="n">
        <f aca="false">MAX(0,SUM(Borçlar!$D$5:$D$14)-(O71+S71+W71+AA71+AE71+AI71+AM71+AQ71+AU71+AY71))</f>
        <v>14000</v>
      </c>
      <c r="D71" s="36" t="n">
        <f aca="false">O71+P71+S71+T71+W71+X71+AA71+AB71+AE71+AF71+AI71+AJ71+AM71+AN71+AQ71+AR71+AU71+AV71+AY71+AZ71</f>
        <v>0</v>
      </c>
      <c r="E71" s="36" t="n">
        <f aca="false">(N71+R71+V71+Z71+AD71+AH71+AL71+AP71+AT71+AX71)-(F70)</f>
        <v>0</v>
      </c>
      <c r="F71" s="36" t="n">
        <f aca="false">Q71+U71+Y71+AC71+AG71+AK71+AO71+AS71+AW71+BA71</f>
        <v>0</v>
      </c>
      <c r="N71" s="22" t="n">
        <f aca="false">Q70*(1+D$7)</f>
        <v>0</v>
      </c>
      <c r="O71" s="22" t="n">
        <f aca="false">MIN(N71,D$8)</f>
        <v>0</v>
      </c>
      <c r="P71" s="22" t="n">
        <f aca="false">MAX(0,MIN(N71-O71,$C71-(0)))</f>
        <v>0</v>
      </c>
      <c r="Q71" s="22" t="n">
        <f aca="false">ROUND(N71-O71-P71,2)</f>
        <v>0</v>
      </c>
      <c r="R71" s="22" t="n">
        <f aca="false">U70*(1+E$7)</f>
        <v>0</v>
      </c>
      <c r="S71" s="22" t="n">
        <f aca="false">MIN(R71,E$8)</f>
        <v>0</v>
      </c>
      <c r="T71" s="22" t="n">
        <f aca="false">MAX(0,MIN(R71-S71,$C71-(P71)))</f>
        <v>0</v>
      </c>
      <c r="U71" s="22" t="n">
        <f aca="false">ROUND(R71-S71-T71,2)</f>
        <v>0</v>
      </c>
      <c r="V71" s="22" t="n">
        <f aca="false">Y70*(1+F$7)</f>
        <v>0</v>
      </c>
      <c r="W71" s="22" t="n">
        <f aca="false">MIN(V71,F$8)</f>
        <v>0</v>
      </c>
      <c r="X71" s="22" t="n">
        <f aca="false">MAX(0,MIN(V71-W71,$C71-(P71+T71)))</f>
        <v>0</v>
      </c>
      <c r="Y71" s="22" t="n">
        <f aca="false">ROUND(V71-W71-X71,2)</f>
        <v>0</v>
      </c>
      <c r="Z71" s="22" t="n">
        <f aca="false">AC70*(1+G$7)</f>
        <v>0</v>
      </c>
      <c r="AA71" s="22" t="n">
        <f aca="false">MIN(Z71,G$8)</f>
        <v>0</v>
      </c>
      <c r="AB71" s="22" t="n">
        <f aca="false">MAX(0,MIN(Z71-AA71,$C71-(P71+T71+X71)))</f>
        <v>0</v>
      </c>
      <c r="AC71" s="22" t="n">
        <f aca="false">ROUND(Z71-AA71-AB71,2)</f>
        <v>0</v>
      </c>
      <c r="AD71" s="22" t="n">
        <f aca="false">AG70*(1+H$7)</f>
        <v>0</v>
      </c>
      <c r="AE71" s="22" t="n">
        <f aca="false">MIN(AD71,H$8)</f>
        <v>0</v>
      </c>
      <c r="AF71" s="22" t="n">
        <f aca="false">MAX(0,MIN(AD71-AE71,$C71-(P71+T71+X71+AB71)))</f>
        <v>0</v>
      </c>
      <c r="AG71" s="22" t="n">
        <f aca="false">ROUND(AD71-AE71-AF71,2)</f>
        <v>0</v>
      </c>
      <c r="AH71" s="22" t="n">
        <f aca="false">AK70*(1+I$7)</f>
        <v>0</v>
      </c>
      <c r="AI71" s="22" t="n">
        <f aca="false">MIN(AH71,I$8)</f>
        <v>0</v>
      </c>
      <c r="AJ71" s="22" t="n">
        <f aca="false">MAX(0,MIN(AH71-AI71,$C71-(P71+T71+X71+AB71+AF71)))</f>
        <v>0</v>
      </c>
      <c r="AK71" s="22" t="n">
        <f aca="false">ROUND(AH71-AI71-AJ71,2)</f>
        <v>0</v>
      </c>
      <c r="AL71" s="22" t="n">
        <f aca="false">AO70*(1+J$7)</f>
        <v>0</v>
      </c>
      <c r="AM71" s="22" t="n">
        <f aca="false">MIN(AL71,J$8)</f>
        <v>0</v>
      </c>
      <c r="AN71" s="22" t="n">
        <f aca="false">MAX(0,MIN(AL71-AM71,$C71-(P71+T71+X71+AB71+AF71+AJ71)))</f>
        <v>0</v>
      </c>
      <c r="AO71" s="22" t="n">
        <f aca="false">ROUND(AL71-AM71-AN71,2)</f>
        <v>0</v>
      </c>
      <c r="AP71" s="22" t="n">
        <f aca="false">AS70*(1+K$7)</f>
        <v>0</v>
      </c>
      <c r="AQ71" s="22" t="n">
        <f aca="false">MIN(AP71,K$8)</f>
        <v>0</v>
      </c>
      <c r="AR71" s="22" t="n">
        <f aca="false">MAX(0,MIN(AP71-AQ71,$C71-(P71+T71+X71+AB71+AF71+AJ71+AN71)))</f>
        <v>0</v>
      </c>
      <c r="AS71" s="22" t="n">
        <f aca="false">ROUND(AP71-AQ71-AR71,2)</f>
        <v>0</v>
      </c>
      <c r="AT71" s="22" t="n">
        <f aca="false">AW70*(1+L$7)</f>
        <v>0</v>
      </c>
      <c r="AU71" s="22" t="n">
        <f aca="false">MIN(AT71,L$8)</f>
        <v>0</v>
      </c>
      <c r="AV71" s="22" t="n">
        <f aca="false">MAX(0,MIN(AT71-AU71,$C71-(P71+T71+X71+AB71+AF71+AJ71+AN71+AR71)))</f>
        <v>0</v>
      </c>
      <c r="AW71" s="22" t="n">
        <f aca="false">ROUND(AT71-AU71-AV71,2)</f>
        <v>0</v>
      </c>
      <c r="AX71" s="22" t="n">
        <f aca="false">BA70*(1+M$7)</f>
        <v>0</v>
      </c>
      <c r="AY71" s="22" t="n">
        <f aca="false">MIN(AX71,M$8)</f>
        <v>0</v>
      </c>
      <c r="AZ71" s="22" t="n">
        <f aca="false">MAX(0,MIN(AX71-AY71,$C71-(P71+T71+X71+AB71+AF71+AJ71+AN71+AR71+AV71)))</f>
        <v>0</v>
      </c>
      <c r="BA71" s="22" t="n">
        <f aca="false">ROUND(AX71-AY71-AZ71,2)</f>
        <v>0</v>
      </c>
    </row>
    <row r="72" customFormat="false" ht="15" hidden="false" customHeight="false" outlineLevel="0" collapsed="false">
      <c r="A72" s="0" t="n">
        <v>62</v>
      </c>
      <c r="B72" s="39" t="n">
        <f aca="false">EDATE(Borçlar!$K$7,61)</f>
        <v>48153</v>
      </c>
      <c r="C72" s="36" t="n">
        <f aca="false">MAX(0,SUM(Borçlar!$D$5:$D$14)-(O72+S72+W72+AA72+AE72+AI72+AM72+AQ72+AU72+AY72))</f>
        <v>14000</v>
      </c>
      <c r="D72" s="36" t="n">
        <f aca="false">O72+P72+S72+T72+W72+X72+AA72+AB72+AE72+AF72+AI72+AJ72+AM72+AN72+AQ72+AR72+AU72+AV72+AY72+AZ72</f>
        <v>0</v>
      </c>
      <c r="E72" s="36" t="n">
        <f aca="false">(N72+R72+V72+Z72+AD72+AH72+AL72+AP72+AT72+AX72)-(F71)</f>
        <v>0</v>
      </c>
      <c r="F72" s="36" t="n">
        <f aca="false">Q72+U72+Y72+AC72+AG72+AK72+AO72+AS72+AW72+BA72</f>
        <v>0</v>
      </c>
      <c r="N72" s="22" t="n">
        <f aca="false">Q71*(1+D$7)</f>
        <v>0</v>
      </c>
      <c r="O72" s="22" t="n">
        <f aca="false">MIN(N72,D$8)</f>
        <v>0</v>
      </c>
      <c r="P72" s="22" t="n">
        <f aca="false">MAX(0,MIN(N72-O72,$C72-(0)))</f>
        <v>0</v>
      </c>
      <c r="Q72" s="22" t="n">
        <f aca="false">ROUND(N72-O72-P72,2)</f>
        <v>0</v>
      </c>
      <c r="R72" s="22" t="n">
        <f aca="false">U71*(1+E$7)</f>
        <v>0</v>
      </c>
      <c r="S72" s="22" t="n">
        <f aca="false">MIN(R72,E$8)</f>
        <v>0</v>
      </c>
      <c r="T72" s="22" t="n">
        <f aca="false">MAX(0,MIN(R72-S72,$C72-(P72)))</f>
        <v>0</v>
      </c>
      <c r="U72" s="22" t="n">
        <f aca="false">ROUND(R72-S72-T72,2)</f>
        <v>0</v>
      </c>
      <c r="V72" s="22" t="n">
        <f aca="false">Y71*(1+F$7)</f>
        <v>0</v>
      </c>
      <c r="W72" s="22" t="n">
        <f aca="false">MIN(V72,F$8)</f>
        <v>0</v>
      </c>
      <c r="X72" s="22" t="n">
        <f aca="false">MAX(0,MIN(V72-W72,$C72-(P72+T72)))</f>
        <v>0</v>
      </c>
      <c r="Y72" s="22" t="n">
        <f aca="false">ROUND(V72-W72-X72,2)</f>
        <v>0</v>
      </c>
      <c r="Z72" s="22" t="n">
        <f aca="false">AC71*(1+G$7)</f>
        <v>0</v>
      </c>
      <c r="AA72" s="22" t="n">
        <f aca="false">MIN(Z72,G$8)</f>
        <v>0</v>
      </c>
      <c r="AB72" s="22" t="n">
        <f aca="false">MAX(0,MIN(Z72-AA72,$C72-(P72+T72+X72)))</f>
        <v>0</v>
      </c>
      <c r="AC72" s="22" t="n">
        <f aca="false">ROUND(Z72-AA72-AB72,2)</f>
        <v>0</v>
      </c>
      <c r="AD72" s="22" t="n">
        <f aca="false">AG71*(1+H$7)</f>
        <v>0</v>
      </c>
      <c r="AE72" s="22" t="n">
        <f aca="false">MIN(AD72,H$8)</f>
        <v>0</v>
      </c>
      <c r="AF72" s="22" t="n">
        <f aca="false">MAX(0,MIN(AD72-AE72,$C72-(P72+T72+X72+AB72)))</f>
        <v>0</v>
      </c>
      <c r="AG72" s="22" t="n">
        <f aca="false">ROUND(AD72-AE72-AF72,2)</f>
        <v>0</v>
      </c>
      <c r="AH72" s="22" t="n">
        <f aca="false">AK71*(1+I$7)</f>
        <v>0</v>
      </c>
      <c r="AI72" s="22" t="n">
        <f aca="false">MIN(AH72,I$8)</f>
        <v>0</v>
      </c>
      <c r="AJ72" s="22" t="n">
        <f aca="false">MAX(0,MIN(AH72-AI72,$C72-(P72+T72+X72+AB72+AF72)))</f>
        <v>0</v>
      </c>
      <c r="AK72" s="22" t="n">
        <f aca="false">ROUND(AH72-AI72-AJ72,2)</f>
        <v>0</v>
      </c>
      <c r="AL72" s="22" t="n">
        <f aca="false">AO71*(1+J$7)</f>
        <v>0</v>
      </c>
      <c r="AM72" s="22" t="n">
        <f aca="false">MIN(AL72,J$8)</f>
        <v>0</v>
      </c>
      <c r="AN72" s="22" t="n">
        <f aca="false">MAX(0,MIN(AL72-AM72,$C72-(P72+T72+X72+AB72+AF72+AJ72)))</f>
        <v>0</v>
      </c>
      <c r="AO72" s="22" t="n">
        <f aca="false">ROUND(AL72-AM72-AN72,2)</f>
        <v>0</v>
      </c>
      <c r="AP72" s="22" t="n">
        <f aca="false">AS71*(1+K$7)</f>
        <v>0</v>
      </c>
      <c r="AQ72" s="22" t="n">
        <f aca="false">MIN(AP72,K$8)</f>
        <v>0</v>
      </c>
      <c r="AR72" s="22" t="n">
        <f aca="false">MAX(0,MIN(AP72-AQ72,$C72-(P72+T72+X72+AB72+AF72+AJ72+AN72)))</f>
        <v>0</v>
      </c>
      <c r="AS72" s="22" t="n">
        <f aca="false">ROUND(AP72-AQ72-AR72,2)</f>
        <v>0</v>
      </c>
      <c r="AT72" s="22" t="n">
        <f aca="false">AW71*(1+L$7)</f>
        <v>0</v>
      </c>
      <c r="AU72" s="22" t="n">
        <f aca="false">MIN(AT72,L$8)</f>
        <v>0</v>
      </c>
      <c r="AV72" s="22" t="n">
        <f aca="false">MAX(0,MIN(AT72-AU72,$C72-(P72+T72+X72+AB72+AF72+AJ72+AN72+AR72)))</f>
        <v>0</v>
      </c>
      <c r="AW72" s="22" t="n">
        <f aca="false">ROUND(AT72-AU72-AV72,2)</f>
        <v>0</v>
      </c>
      <c r="AX72" s="22" t="n">
        <f aca="false">BA71*(1+M$7)</f>
        <v>0</v>
      </c>
      <c r="AY72" s="22" t="n">
        <f aca="false">MIN(AX72,M$8)</f>
        <v>0</v>
      </c>
      <c r="AZ72" s="22" t="n">
        <f aca="false">MAX(0,MIN(AX72-AY72,$C72-(P72+T72+X72+AB72+AF72+AJ72+AN72+AR72+AV72)))</f>
        <v>0</v>
      </c>
      <c r="BA72" s="22" t="n">
        <f aca="false">ROUND(AX72-AY72-AZ72,2)</f>
        <v>0</v>
      </c>
    </row>
    <row r="73" customFormat="false" ht="15" hidden="false" customHeight="false" outlineLevel="0" collapsed="false">
      <c r="A73" s="0" t="n">
        <v>63</v>
      </c>
      <c r="B73" s="39" t="n">
        <f aca="false">EDATE(Borçlar!$K$7,62)</f>
        <v>48183</v>
      </c>
      <c r="C73" s="36" t="n">
        <f aca="false">MAX(0,SUM(Borçlar!$D$5:$D$14)-(O73+S73+W73+AA73+AE73+AI73+AM73+AQ73+AU73+AY73))</f>
        <v>14000</v>
      </c>
      <c r="D73" s="36" t="n">
        <f aca="false">O73+P73+S73+T73+W73+X73+AA73+AB73+AE73+AF73+AI73+AJ73+AM73+AN73+AQ73+AR73+AU73+AV73+AY73+AZ73</f>
        <v>0</v>
      </c>
      <c r="E73" s="36" t="n">
        <f aca="false">(N73+R73+V73+Z73+AD73+AH73+AL73+AP73+AT73+AX73)-(F72)</f>
        <v>0</v>
      </c>
      <c r="F73" s="36" t="n">
        <f aca="false">Q73+U73+Y73+AC73+AG73+AK73+AO73+AS73+AW73+BA73</f>
        <v>0</v>
      </c>
      <c r="N73" s="22" t="n">
        <f aca="false">Q72*(1+D$7)</f>
        <v>0</v>
      </c>
      <c r="O73" s="22" t="n">
        <f aca="false">MIN(N73,D$8)</f>
        <v>0</v>
      </c>
      <c r="P73" s="22" t="n">
        <f aca="false">MAX(0,MIN(N73-O73,$C73-(0)))</f>
        <v>0</v>
      </c>
      <c r="Q73" s="22" t="n">
        <f aca="false">ROUND(N73-O73-P73,2)</f>
        <v>0</v>
      </c>
      <c r="R73" s="22" t="n">
        <f aca="false">U72*(1+E$7)</f>
        <v>0</v>
      </c>
      <c r="S73" s="22" t="n">
        <f aca="false">MIN(R73,E$8)</f>
        <v>0</v>
      </c>
      <c r="T73" s="22" t="n">
        <f aca="false">MAX(0,MIN(R73-S73,$C73-(P73)))</f>
        <v>0</v>
      </c>
      <c r="U73" s="22" t="n">
        <f aca="false">ROUND(R73-S73-T73,2)</f>
        <v>0</v>
      </c>
      <c r="V73" s="22" t="n">
        <f aca="false">Y72*(1+F$7)</f>
        <v>0</v>
      </c>
      <c r="W73" s="22" t="n">
        <f aca="false">MIN(V73,F$8)</f>
        <v>0</v>
      </c>
      <c r="X73" s="22" t="n">
        <f aca="false">MAX(0,MIN(V73-W73,$C73-(P73+T73)))</f>
        <v>0</v>
      </c>
      <c r="Y73" s="22" t="n">
        <f aca="false">ROUND(V73-W73-X73,2)</f>
        <v>0</v>
      </c>
      <c r="Z73" s="22" t="n">
        <f aca="false">AC72*(1+G$7)</f>
        <v>0</v>
      </c>
      <c r="AA73" s="22" t="n">
        <f aca="false">MIN(Z73,G$8)</f>
        <v>0</v>
      </c>
      <c r="AB73" s="22" t="n">
        <f aca="false">MAX(0,MIN(Z73-AA73,$C73-(P73+T73+X73)))</f>
        <v>0</v>
      </c>
      <c r="AC73" s="22" t="n">
        <f aca="false">ROUND(Z73-AA73-AB73,2)</f>
        <v>0</v>
      </c>
      <c r="AD73" s="22" t="n">
        <f aca="false">AG72*(1+H$7)</f>
        <v>0</v>
      </c>
      <c r="AE73" s="22" t="n">
        <f aca="false">MIN(AD73,H$8)</f>
        <v>0</v>
      </c>
      <c r="AF73" s="22" t="n">
        <f aca="false">MAX(0,MIN(AD73-AE73,$C73-(P73+T73+X73+AB73)))</f>
        <v>0</v>
      </c>
      <c r="AG73" s="22" t="n">
        <f aca="false">ROUND(AD73-AE73-AF73,2)</f>
        <v>0</v>
      </c>
      <c r="AH73" s="22" t="n">
        <f aca="false">AK72*(1+I$7)</f>
        <v>0</v>
      </c>
      <c r="AI73" s="22" t="n">
        <f aca="false">MIN(AH73,I$8)</f>
        <v>0</v>
      </c>
      <c r="AJ73" s="22" t="n">
        <f aca="false">MAX(0,MIN(AH73-AI73,$C73-(P73+T73+X73+AB73+AF73)))</f>
        <v>0</v>
      </c>
      <c r="AK73" s="22" t="n">
        <f aca="false">ROUND(AH73-AI73-AJ73,2)</f>
        <v>0</v>
      </c>
      <c r="AL73" s="22" t="n">
        <f aca="false">AO72*(1+J$7)</f>
        <v>0</v>
      </c>
      <c r="AM73" s="22" t="n">
        <f aca="false">MIN(AL73,J$8)</f>
        <v>0</v>
      </c>
      <c r="AN73" s="22" t="n">
        <f aca="false">MAX(0,MIN(AL73-AM73,$C73-(P73+T73+X73+AB73+AF73+AJ73)))</f>
        <v>0</v>
      </c>
      <c r="AO73" s="22" t="n">
        <f aca="false">ROUND(AL73-AM73-AN73,2)</f>
        <v>0</v>
      </c>
      <c r="AP73" s="22" t="n">
        <f aca="false">AS72*(1+K$7)</f>
        <v>0</v>
      </c>
      <c r="AQ73" s="22" t="n">
        <f aca="false">MIN(AP73,K$8)</f>
        <v>0</v>
      </c>
      <c r="AR73" s="22" t="n">
        <f aca="false">MAX(0,MIN(AP73-AQ73,$C73-(P73+T73+X73+AB73+AF73+AJ73+AN73)))</f>
        <v>0</v>
      </c>
      <c r="AS73" s="22" t="n">
        <f aca="false">ROUND(AP73-AQ73-AR73,2)</f>
        <v>0</v>
      </c>
      <c r="AT73" s="22" t="n">
        <f aca="false">AW72*(1+L$7)</f>
        <v>0</v>
      </c>
      <c r="AU73" s="22" t="n">
        <f aca="false">MIN(AT73,L$8)</f>
        <v>0</v>
      </c>
      <c r="AV73" s="22" t="n">
        <f aca="false">MAX(0,MIN(AT73-AU73,$C73-(P73+T73+X73+AB73+AF73+AJ73+AN73+AR73)))</f>
        <v>0</v>
      </c>
      <c r="AW73" s="22" t="n">
        <f aca="false">ROUND(AT73-AU73-AV73,2)</f>
        <v>0</v>
      </c>
      <c r="AX73" s="22" t="n">
        <f aca="false">BA72*(1+M$7)</f>
        <v>0</v>
      </c>
      <c r="AY73" s="22" t="n">
        <f aca="false">MIN(AX73,M$8)</f>
        <v>0</v>
      </c>
      <c r="AZ73" s="22" t="n">
        <f aca="false">MAX(0,MIN(AX73-AY73,$C73-(P73+T73+X73+AB73+AF73+AJ73+AN73+AR73+AV73)))</f>
        <v>0</v>
      </c>
      <c r="BA73" s="22" t="n">
        <f aca="false">ROUND(AX73-AY73-AZ73,2)</f>
        <v>0</v>
      </c>
    </row>
    <row r="74" customFormat="false" ht="15" hidden="false" customHeight="false" outlineLevel="0" collapsed="false">
      <c r="A74" s="0" t="n">
        <v>64</v>
      </c>
      <c r="B74" s="39" t="n">
        <f aca="false">EDATE(Borçlar!$K$7,63)</f>
        <v>48214</v>
      </c>
      <c r="C74" s="36" t="n">
        <f aca="false">MAX(0,SUM(Borçlar!$D$5:$D$14)-(O74+S74+W74+AA74+AE74+AI74+AM74+AQ74+AU74+AY74))</f>
        <v>14000</v>
      </c>
      <c r="D74" s="36" t="n">
        <f aca="false">O74+P74+S74+T74+W74+X74+AA74+AB74+AE74+AF74+AI74+AJ74+AM74+AN74+AQ74+AR74+AU74+AV74+AY74+AZ74</f>
        <v>0</v>
      </c>
      <c r="E74" s="36" t="n">
        <f aca="false">(N74+R74+V74+Z74+AD74+AH74+AL74+AP74+AT74+AX74)-(F73)</f>
        <v>0</v>
      </c>
      <c r="F74" s="36" t="n">
        <f aca="false">Q74+U74+Y74+AC74+AG74+AK74+AO74+AS74+AW74+BA74</f>
        <v>0</v>
      </c>
      <c r="N74" s="22" t="n">
        <f aca="false">Q73*(1+D$7)</f>
        <v>0</v>
      </c>
      <c r="O74" s="22" t="n">
        <f aca="false">MIN(N74,D$8)</f>
        <v>0</v>
      </c>
      <c r="P74" s="22" t="n">
        <f aca="false">MAX(0,MIN(N74-O74,$C74-(0)))</f>
        <v>0</v>
      </c>
      <c r="Q74" s="22" t="n">
        <f aca="false">ROUND(N74-O74-P74,2)</f>
        <v>0</v>
      </c>
      <c r="R74" s="22" t="n">
        <f aca="false">U73*(1+E$7)</f>
        <v>0</v>
      </c>
      <c r="S74" s="22" t="n">
        <f aca="false">MIN(R74,E$8)</f>
        <v>0</v>
      </c>
      <c r="T74" s="22" t="n">
        <f aca="false">MAX(0,MIN(R74-S74,$C74-(P74)))</f>
        <v>0</v>
      </c>
      <c r="U74" s="22" t="n">
        <f aca="false">ROUND(R74-S74-T74,2)</f>
        <v>0</v>
      </c>
      <c r="V74" s="22" t="n">
        <f aca="false">Y73*(1+F$7)</f>
        <v>0</v>
      </c>
      <c r="W74" s="22" t="n">
        <f aca="false">MIN(V74,F$8)</f>
        <v>0</v>
      </c>
      <c r="X74" s="22" t="n">
        <f aca="false">MAX(0,MIN(V74-W74,$C74-(P74+T74)))</f>
        <v>0</v>
      </c>
      <c r="Y74" s="22" t="n">
        <f aca="false">ROUND(V74-W74-X74,2)</f>
        <v>0</v>
      </c>
      <c r="Z74" s="22" t="n">
        <f aca="false">AC73*(1+G$7)</f>
        <v>0</v>
      </c>
      <c r="AA74" s="22" t="n">
        <f aca="false">MIN(Z74,G$8)</f>
        <v>0</v>
      </c>
      <c r="AB74" s="22" t="n">
        <f aca="false">MAX(0,MIN(Z74-AA74,$C74-(P74+T74+X74)))</f>
        <v>0</v>
      </c>
      <c r="AC74" s="22" t="n">
        <f aca="false">ROUND(Z74-AA74-AB74,2)</f>
        <v>0</v>
      </c>
      <c r="AD74" s="22" t="n">
        <f aca="false">AG73*(1+H$7)</f>
        <v>0</v>
      </c>
      <c r="AE74" s="22" t="n">
        <f aca="false">MIN(AD74,H$8)</f>
        <v>0</v>
      </c>
      <c r="AF74" s="22" t="n">
        <f aca="false">MAX(0,MIN(AD74-AE74,$C74-(P74+T74+X74+AB74)))</f>
        <v>0</v>
      </c>
      <c r="AG74" s="22" t="n">
        <f aca="false">ROUND(AD74-AE74-AF74,2)</f>
        <v>0</v>
      </c>
      <c r="AH74" s="22" t="n">
        <f aca="false">AK73*(1+I$7)</f>
        <v>0</v>
      </c>
      <c r="AI74" s="22" t="n">
        <f aca="false">MIN(AH74,I$8)</f>
        <v>0</v>
      </c>
      <c r="AJ74" s="22" t="n">
        <f aca="false">MAX(0,MIN(AH74-AI74,$C74-(P74+T74+X74+AB74+AF74)))</f>
        <v>0</v>
      </c>
      <c r="AK74" s="22" t="n">
        <f aca="false">ROUND(AH74-AI74-AJ74,2)</f>
        <v>0</v>
      </c>
      <c r="AL74" s="22" t="n">
        <f aca="false">AO73*(1+J$7)</f>
        <v>0</v>
      </c>
      <c r="AM74" s="22" t="n">
        <f aca="false">MIN(AL74,J$8)</f>
        <v>0</v>
      </c>
      <c r="AN74" s="22" t="n">
        <f aca="false">MAX(0,MIN(AL74-AM74,$C74-(P74+T74+X74+AB74+AF74+AJ74)))</f>
        <v>0</v>
      </c>
      <c r="AO74" s="22" t="n">
        <f aca="false">ROUND(AL74-AM74-AN74,2)</f>
        <v>0</v>
      </c>
      <c r="AP74" s="22" t="n">
        <f aca="false">AS73*(1+K$7)</f>
        <v>0</v>
      </c>
      <c r="AQ74" s="22" t="n">
        <f aca="false">MIN(AP74,K$8)</f>
        <v>0</v>
      </c>
      <c r="AR74" s="22" t="n">
        <f aca="false">MAX(0,MIN(AP74-AQ74,$C74-(P74+T74+X74+AB74+AF74+AJ74+AN74)))</f>
        <v>0</v>
      </c>
      <c r="AS74" s="22" t="n">
        <f aca="false">ROUND(AP74-AQ74-AR74,2)</f>
        <v>0</v>
      </c>
      <c r="AT74" s="22" t="n">
        <f aca="false">AW73*(1+L$7)</f>
        <v>0</v>
      </c>
      <c r="AU74" s="22" t="n">
        <f aca="false">MIN(AT74,L$8)</f>
        <v>0</v>
      </c>
      <c r="AV74" s="22" t="n">
        <f aca="false">MAX(0,MIN(AT74-AU74,$C74-(P74+T74+X74+AB74+AF74+AJ74+AN74+AR74)))</f>
        <v>0</v>
      </c>
      <c r="AW74" s="22" t="n">
        <f aca="false">ROUND(AT74-AU74-AV74,2)</f>
        <v>0</v>
      </c>
      <c r="AX74" s="22" t="n">
        <f aca="false">BA73*(1+M$7)</f>
        <v>0</v>
      </c>
      <c r="AY74" s="22" t="n">
        <f aca="false">MIN(AX74,M$8)</f>
        <v>0</v>
      </c>
      <c r="AZ74" s="22" t="n">
        <f aca="false">MAX(0,MIN(AX74-AY74,$C74-(P74+T74+X74+AB74+AF74+AJ74+AN74+AR74+AV74)))</f>
        <v>0</v>
      </c>
      <c r="BA74" s="22" t="n">
        <f aca="false">ROUND(AX74-AY74-AZ74,2)</f>
        <v>0</v>
      </c>
    </row>
    <row r="75" customFormat="false" ht="15" hidden="false" customHeight="false" outlineLevel="0" collapsed="false">
      <c r="A75" s="0" t="n">
        <v>65</v>
      </c>
      <c r="B75" s="39" t="n">
        <f aca="false">EDATE(Borçlar!$K$7,64)</f>
        <v>48245</v>
      </c>
      <c r="C75" s="36" t="n">
        <f aca="false">MAX(0,SUM(Borçlar!$D$5:$D$14)-(O75+S75+W75+AA75+AE75+AI75+AM75+AQ75+AU75+AY75))</f>
        <v>14000</v>
      </c>
      <c r="D75" s="36" t="n">
        <f aca="false">O75+P75+S75+T75+W75+X75+AA75+AB75+AE75+AF75+AI75+AJ75+AM75+AN75+AQ75+AR75+AU75+AV75+AY75+AZ75</f>
        <v>0</v>
      </c>
      <c r="E75" s="36" t="n">
        <f aca="false">(N75+R75+V75+Z75+AD75+AH75+AL75+AP75+AT75+AX75)-(F74)</f>
        <v>0</v>
      </c>
      <c r="F75" s="36" t="n">
        <f aca="false">Q75+U75+Y75+AC75+AG75+AK75+AO75+AS75+AW75+BA75</f>
        <v>0</v>
      </c>
      <c r="N75" s="22" t="n">
        <f aca="false">Q74*(1+D$7)</f>
        <v>0</v>
      </c>
      <c r="O75" s="22" t="n">
        <f aca="false">MIN(N75,D$8)</f>
        <v>0</v>
      </c>
      <c r="P75" s="22" t="n">
        <f aca="false">MAX(0,MIN(N75-O75,$C75-(0)))</f>
        <v>0</v>
      </c>
      <c r="Q75" s="22" t="n">
        <f aca="false">ROUND(N75-O75-P75,2)</f>
        <v>0</v>
      </c>
      <c r="R75" s="22" t="n">
        <f aca="false">U74*(1+E$7)</f>
        <v>0</v>
      </c>
      <c r="S75" s="22" t="n">
        <f aca="false">MIN(R75,E$8)</f>
        <v>0</v>
      </c>
      <c r="T75" s="22" t="n">
        <f aca="false">MAX(0,MIN(R75-S75,$C75-(P75)))</f>
        <v>0</v>
      </c>
      <c r="U75" s="22" t="n">
        <f aca="false">ROUND(R75-S75-T75,2)</f>
        <v>0</v>
      </c>
      <c r="V75" s="22" t="n">
        <f aca="false">Y74*(1+F$7)</f>
        <v>0</v>
      </c>
      <c r="W75" s="22" t="n">
        <f aca="false">MIN(V75,F$8)</f>
        <v>0</v>
      </c>
      <c r="X75" s="22" t="n">
        <f aca="false">MAX(0,MIN(V75-W75,$C75-(P75+T75)))</f>
        <v>0</v>
      </c>
      <c r="Y75" s="22" t="n">
        <f aca="false">ROUND(V75-W75-X75,2)</f>
        <v>0</v>
      </c>
      <c r="Z75" s="22" t="n">
        <f aca="false">AC74*(1+G$7)</f>
        <v>0</v>
      </c>
      <c r="AA75" s="22" t="n">
        <f aca="false">MIN(Z75,G$8)</f>
        <v>0</v>
      </c>
      <c r="AB75" s="22" t="n">
        <f aca="false">MAX(0,MIN(Z75-AA75,$C75-(P75+T75+X75)))</f>
        <v>0</v>
      </c>
      <c r="AC75" s="22" t="n">
        <f aca="false">ROUND(Z75-AA75-AB75,2)</f>
        <v>0</v>
      </c>
      <c r="AD75" s="22" t="n">
        <f aca="false">AG74*(1+H$7)</f>
        <v>0</v>
      </c>
      <c r="AE75" s="22" t="n">
        <f aca="false">MIN(AD75,H$8)</f>
        <v>0</v>
      </c>
      <c r="AF75" s="22" t="n">
        <f aca="false">MAX(0,MIN(AD75-AE75,$C75-(P75+T75+X75+AB75)))</f>
        <v>0</v>
      </c>
      <c r="AG75" s="22" t="n">
        <f aca="false">ROUND(AD75-AE75-AF75,2)</f>
        <v>0</v>
      </c>
      <c r="AH75" s="22" t="n">
        <f aca="false">AK74*(1+I$7)</f>
        <v>0</v>
      </c>
      <c r="AI75" s="22" t="n">
        <f aca="false">MIN(AH75,I$8)</f>
        <v>0</v>
      </c>
      <c r="AJ75" s="22" t="n">
        <f aca="false">MAX(0,MIN(AH75-AI75,$C75-(P75+T75+X75+AB75+AF75)))</f>
        <v>0</v>
      </c>
      <c r="AK75" s="22" t="n">
        <f aca="false">ROUND(AH75-AI75-AJ75,2)</f>
        <v>0</v>
      </c>
      <c r="AL75" s="22" t="n">
        <f aca="false">AO74*(1+J$7)</f>
        <v>0</v>
      </c>
      <c r="AM75" s="22" t="n">
        <f aca="false">MIN(AL75,J$8)</f>
        <v>0</v>
      </c>
      <c r="AN75" s="22" t="n">
        <f aca="false">MAX(0,MIN(AL75-AM75,$C75-(P75+T75+X75+AB75+AF75+AJ75)))</f>
        <v>0</v>
      </c>
      <c r="AO75" s="22" t="n">
        <f aca="false">ROUND(AL75-AM75-AN75,2)</f>
        <v>0</v>
      </c>
      <c r="AP75" s="22" t="n">
        <f aca="false">AS74*(1+K$7)</f>
        <v>0</v>
      </c>
      <c r="AQ75" s="22" t="n">
        <f aca="false">MIN(AP75,K$8)</f>
        <v>0</v>
      </c>
      <c r="AR75" s="22" t="n">
        <f aca="false">MAX(0,MIN(AP75-AQ75,$C75-(P75+T75+X75+AB75+AF75+AJ75+AN75)))</f>
        <v>0</v>
      </c>
      <c r="AS75" s="22" t="n">
        <f aca="false">ROUND(AP75-AQ75-AR75,2)</f>
        <v>0</v>
      </c>
      <c r="AT75" s="22" t="n">
        <f aca="false">AW74*(1+L$7)</f>
        <v>0</v>
      </c>
      <c r="AU75" s="22" t="n">
        <f aca="false">MIN(AT75,L$8)</f>
        <v>0</v>
      </c>
      <c r="AV75" s="22" t="n">
        <f aca="false">MAX(0,MIN(AT75-AU75,$C75-(P75+T75+X75+AB75+AF75+AJ75+AN75+AR75)))</f>
        <v>0</v>
      </c>
      <c r="AW75" s="22" t="n">
        <f aca="false">ROUND(AT75-AU75-AV75,2)</f>
        <v>0</v>
      </c>
      <c r="AX75" s="22" t="n">
        <f aca="false">BA74*(1+M$7)</f>
        <v>0</v>
      </c>
      <c r="AY75" s="22" t="n">
        <f aca="false">MIN(AX75,M$8)</f>
        <v>0</v>
      </c>
      <c r="AZ75" s="22" t="n">
        <f aca="false">MAX(0,MIN(AX75-AY75,$C75-(P75+T75+X75+AB75+AF75+AJ75+AN75+AR75+AV75)))</f>
        <v>0</v>
      </c>
      <c r="BA75" s="22" t="n">
        <f aca="false">ROUND(AX75-AY75-AZ75,2)</f>
        <v>0</v>
      </c>
    </row>
    <row r="76" customFormat="false" ht="15" hidden="false" customHeight="false" outlineLevel="0" collapsed="false">
      <c r="A76" s="0" t="n">
        <v>66</v>
      </c>
      <c r="B76" s="39" t="n">
        <f aca="false">EDATE(Borçlar!$K$7,65)</f>
        <v>48274</v>
      </c>
      <c r="C76" s="36" t="n">
        <f aca="false">MAX(0,SUM(Borçlar!$D$5:$D$14)-(O76+S76+W76+AA76+AE76+AI76+AM76+AQ76+AU76+AY76))</f>
        <v>14000</v>
      </c>
      <c r="D76" s="36" t="n">
        <f aca="false">O76+P76+S76+T76+W76+X76+AA76+AB76+AE76+AF76+AI76+AJ76+AM76+AN76+AQ76+AR76+AU76+AV76+AY76+AZ76</f>
        <v>0</v>
      </c>
      <c r="E76" s="36" t="n">
        <f aca="false">(N76+R76+V76+Z76+AD76+AH76+AL76+AP76+AT76+AX76)-(F75)</f>
        <v>0</v>
      </c>
      <c r="F76" s="36" t="n">
        <f aca="false">Q76+U76+Y76+AC76+AG76+AK76+AO76+AS76+AW76+BA76</f>
        <v>0</v>
      </c>
      <c r="N76" s="22" t="n">
        <f aca="false">Q75*(1+D$7)</f>
        <v>0</v>
      </c>
      <c r="O76" s="22" t="n">
        <f aca="false">MIN(N76,D$8)</f>
        <v>0</v>
      </c>
      <c r="P76" s="22" t="n">
        <f aca="false">MAX(0,MIN(N76-O76,$C76-(0)))</f>
        <v>0</v>
      </c>
      <c r="Q76" s="22" t="n">
        <f aca="false">ROUND(N76-O76-P76,2)</f>
        <v>0</v>
      </c>
      <c r="R76" s="22" t="n">
        <f aca="false">U75*(1+E$7)</f>
        <v>0</v>
      </c>
      <c r="S76" s="22" t="n">
        <f aca="false">MIN(R76,E$8)</f>
        <v>0</v>
      </c>
      <c r="T76" s="22" t="n">
        <f aca="false">MAX(0,MIN(R76-S76,$C76-(P76)))</f>
        <v>0</v>
      </c>
      <c r="U76" s="22" t="n">
        <f aca="false">ROUND(R76-S76-T76,2)</f>
        <v>0</v>
      </c>
      <c r="V76" s="22" t="n">
        <f aca="false">Y75*(1+F$7)</f>
        <v>0</v>
      </c>
      <c r="W76" s="22" t="n">
        <f aca="false">MIN(V76,F$8)</f>
        <v>0</v>
      </c>
      <c r="X76" s="22" t="n">
        <f aca="false">MAX(0,MIN(V76-W76,$C76-(P76+T76)))</f>
        <v>0</v>
      </c>
      <c r="Y76" s="22" t="n">
        <f aca="false">ROUND(V76-W76-X76,2)</f>
        <v>0</v>
      </c>
      <c r="Z76" s="22" t="n">
        <f aca="false">AC75*(1+G$7)</f>
        <v>0</v>
      </c>
      <c r="AA76" s="22" t="n">
        <f aca="false">MIN(Z76,G$8)</f>
        <v>0</v>
      </c>
      <c r="AB76" s="22" t="n">
        <f aca="false">MAX(0,MIN(Z76-AA76,$C76-(P76+T76+X76)))</f>
        <v>0</v>
      </c>
      <c r="AC76" s="22" t="n">
        <f aca="false">ROUND(Z76-AA76-AB76,2)</f>
        <v>0</v>
      </c>
      <c r="AD76" s="22" t="n">
        <f aca="false">AG75*(1+H$7)</f>
        <v>0</v>
      </c>
      <c r="AE76" s="22" t="n">
        <f aca="false">MIN(AD76,H$8)</f>
        <v>0</v>
      </c>
      <c r="AF76" s="22" t="n">
        <f aca="false">MAX(0,MIN(AD76-AE76,$C76-(P76+T76+X76+AB76)))</f>
        <v>0</v>
      </c>
      <c r="AG76" s="22" t="n">
        <f aca="false">ROUND(AD76-AE76-AF76,2)</f>
        <v>0</v>
      </c>
      <c r="AH76" s="22" t="n">
        <f aca="false">AK75*(1+I$7)</f>
        <v>0</v>
      </c>
      <c r="AI76" s="22" t="n">
        <f aca="false">MIN(AH76,I$8)</f>
        <v>0</v>
      </c>
      <c r="AJ76" s="22" t="n">
        <f aca="false">MAX(0,MIN(AH76-AI76,$C76-(P76+T76+X76+AB76+AF76)))</f>
        <v>0</v>
      </c>
      <c r="AK76" s="22" t="n">
        <f aca="false">ROUND(AH76-AI76-AJ76,2)</f>
        <v>0</v>
      </c>
      <c r="AL76" s="22" t="n">
        <f aca="false">AO75*(1+J$7)</f>
        <v>0</v>
      </c>
      <c r="AM76" s="22" t="n">
        <f aca="false">MIN(AL76,J$8)</f>
        <v>0</v>
      </c>
      <c r="AN76" s="22" t="n">
        <f aca="false">MAX(0,MIN(AL76-AM76,$C76-(P76+T76+X76+AB76+AF76+AJ76)))</f>
        <v>0</v>
      </c>
      <c r="AO76" s="22" t="n">
        <f aca="false">ROUND(AL76-AM76-AN76,2)</f>
        <v>0</v>
      </c>
      <c r="AP76" s="22" t="n">
        <f aca="false">AS75*(1+K$7)</f>
        <v>0</v>
      </c>
      <c r="AQ76" s="22" t="n">
        <f aca="false">MIN(AP76,K$8)</f>
        <v>0</v>
      </c>
      <c r="AR76" s="22" t="n">
        <f aca="false">MAX(0,MIN(AP76-AQ76,$C76-(P76+T76+X76+AB76+AF76+AJ76+AN76)))</f>
        <v>0</v>
      </c>
      <c r="AS76" s="22" t="n">
        <f aca="false">ROUND(AP76-AQ76-AR76,2)</f>
        <v>0</v>
      </c>
      <c r="AT76" s="22" t="n">
        <f aca="false">AW75*(1+L$7)</f>
        <v>0</v>
      </c>
      <c r="AU76" s="22" t="n">
        <f aca="false">MIN(AT76,L$8)</f>
        <v>0</v>
      </c>
      <c r="AV76" s="22" t="n">
        <f aca="false">MAX(0,MIN(AT76-AU76,$C76-(P76+T76+X76+AB76+AF76+AJ76+AN76+AR76)))</f>
        <v>0</v>
      </c>
      <c r="AW76" s="22" t="n">
        <f aca="false">ROUND(AT76-AU76-AV76,2)</f>
        <v>0</v>
      </c>
      <c r="AX76" s="22" t="n">
        <f aca="false">BA75*(1+M$7)</f>
        <v>0</v>
      </c>
      <c r="AY76" s="22" t="n">
        <f aca="false">MIN(AX76,M$8)</f>
        <v>0</v>
      </c>
      <c r="AZ76" s="22" t="n">
        <f aca="false">MAX(0,MIN(AX76-AY76,$C76-(P76+T76+X76+AB76+AF76+AJ76+AN76+AR76+AV76)))</f>
        <v>0</v>
      </c>
      <c r="BA76" s="22" t="n">
        <f aca="false">ROUND(AX76-AY76-AZ76,2)</f>
        <v>0</v>
      </c>
    </row>
    <row r="77" customFormat="false" ht="15" hidden="false" customHeight="false" outlineLevel="0" collapsed="false">
      <c r="A77" s="0" t="n">
        <v>67</v>
      </c>
      <c r="B77" s="39" t="n">
        <f aca="false">EDATE(Borçlar!$K$7,66)</f>
        <v>48305</v>
      </c>
      <c r="C77" s="36" t="n">
        <f aca="false">MAX(0,SUM(Borçlar!$D$5:$D$14)-(O77+S77+W77+AA77+AE77+AI77+AM77+AQ77+AU77+AY77))</f>
        <v>14000</v>
      </c>
      <c r="D77" s="36" t="n">
        <f aca="false">O77+P77+S77+T77+W77+X77+AA77+AB77+AE77+AF77+AI77+AJ77+AM77+AN77+AQ77+AR77+AU77+AV77+AY77+AZ77</f>
        <v>0</v>
      </c>
      <c r="E77" s="36" t="n">
        <f aca="false">(N77+R77+V77+Z77+AD77+AH77+AL77+AP77+AT77+AX77)-(F76)</f>
        <v>0</v>
      </c>
      <c r="F77" s="36" t="n">
        <f aca="false">Q77+U77+Y77+AC77+AG77+AK77+AO77+AS77+AW77+BA77</f>
        <v>0</v>
      </c>
      <c r="N77" s="22" t="n">
        <f aca="false">Q76*(1+D$7)</f>
        <v>0</v>
      </c>
      <c r="O77" s="22" t="n">
        <f aca="false">MIN(N77,D$8)</f>
        <v>0</v>
      </c>
      <c r="P77" s="22" t="n">
        <f aca="false">MAX(0,MIN(N77-O77,$C77-(0)))</f>
        <v>0</v>
      </c>
      <c r="Q77" s="22" t="n">
        <f aca="false">ROUND(N77-O77-P77,2)</f>
        <v>0</v>
      </c>
      <c r="R77" s="22" t="n">
        <f aca="false">U76*(1+E$7)</f>
        <v>0</v>
      </c>
      <c r="S77" s="22" t="n">
        <f aca="false">MIN(R77,E$8)</f>
        <v>0</v>
      </c>
      <c r="T77" s="22" t="n">
        <f aca="false">MAX(0,MIN(R77-S77,$C77-(P77)))</f>
        <v>0</v>
      </c>
      <c r="U77" s="22" t="n">
        <f aca="false">ROUND(R77-S77-T77,2)</f>
        <v>0</v>
      </c>
      <c r="V77" s="22" t="n">
        <f aca="false">Y76*(1+F$7)</f>
        <v>0</v>
      </c>
      <c r="W77" s="22" t="n">
        <f aca="false">MIN(V77,F$8)</f>
        <v>0</v>
      </c>
      <c r="X77" s="22" t="n">
        <f aca="false">MAX(0,MIN(V77-W77,$C77-(P77+T77)))</f>
        <v>0</v>
      </c>
      <c r="Y77" s="22" t="n">
        <f aca="false">ROUND(V77-W77-X77,2)</f>
        <v>0</v>
      </c>
      <c r="Z77" s="22" t="n">
        <f aca="false">AC76*(1+G$7)</f>
        <v>0</v>
      </c>
      <c r="AA77" s="22" t="n">
        <f aca="false">MIN(Z77,G$8)</f>
        <v>0</v>
      </c>
      <c r="AB77" s="22" t="n">
        <f aca="false">MAX(0,MIN(Z77-AA77,$C77-(P77+T77+X77)))</f>
        <v>0</v>
      </c>
      <c r="AC77" s="22" t="n">
        <f aca="false">ROUND(Z77-AA77-AB77,2)</f>
        <v>0</v>
      </c>
      <c r="AD77" s="22" t="n">
        <f aca="false">AG76*(1+H$7)</f>
        <v>0</v>
      </c>
      <c r="AE77" s="22" t="n">
        <f aca="false">MIN(AD77,H$8)</f>
        <v>0</v>
      </c>
      <c r="AF77" s="22" t="n">
        <f aca="false">MAX(0,MIN(AD77-AE77,$C77-(P77+T77+X77+AB77)))</f>
        <v>0</v>
      </c>
      <c r="AG77" s="22" t="n">
        <f aca="false">ROUND(AD77-AE77-AF77,2)</f>
        <v>0</v>
      </c>
      <c r="AH77" s="22" t="n">
        <f aca="false">AK76*(1+I$7)</f>
        <v>0</v>
      </c>
      <c r="AI77" s="22" t="n">
        <f aca="false">MIN(AH77,I$8)</f>
        <v>0</v>
      </c>
      <c r="AJ77" s="22" t="n">
        <f aca="false">MAX(0,MIN(AH77-AI77,$C77-(P77+T77+X77+AB77+AF77)))</f>
        <v>0</v>
      </c>
      <c r="AK77" s="22" t="n">
        <f aca="false">ROUND(AH77-AI77-AJ77,2)</f>
        <v>0</v>
      </c>
      <c r="AL77" s="22" t="n">
        <f aca="false">AO76*(1+J$7)</f>
        <v>0</v>
      </c>
      <c r="AM77" s="22" t="n">
        <f aca="false">MIN(AL77,J$8)</f>
        <v>0</v>
      </c>
      <c r="AN77" s="22" t="n">
        <f aca="false">MAX(0,MIN(AL77-AM77,$C77-(P77+T77+X77+AB77+AF77+AJ77)))</f>
        <v>0</v>
      </c>
      <c r="AO77" s="22" t="n">
        <f aca="false">ROUND(AL77-AM77-AN77,2)</f>
        <v>0</v>
      </c>
      <c r="AP77" s="22" t="n">
        <f aca="false">AS76*(1+K$7)</f>
        <v>0</v>
      </c>
      <c r="AQ77" s="22" t="n">
        <f aca="false">MIN(AP77,K$8)</f>
        <v>0</v>
      </c>
      <c r="AR77" s="22" t="n">
        <f aca="false">MAX(0,MIN(AP77-AQ77,$C77-(P77+T77+X77+AB77+AF77+AJ77+AN77)))</f>
        <v>0</v>
      </c>
      <c r="AS77" s="22" t="n">
        <f aca="false">ROUND(AP77-AQ77-AR77,2)</f>
        <v>0</v>
      </c>
      <c r="AT77" s="22" t="n">
        <f aca="false">AW76*(1+L$7)</f>
        <v>0</v>
      </c>
      <c r="AU77" s="22" t="n">
        <f aca="false">MIN(AT77,L$8)</f>
        <v>0</v>
      </c>
      <c r="AV77" s="22" t="n">
        <f aca="false">MAX(0,MIN(AT77-AU77,$C77-(P77+T77+X77+AB77+AF77+AJ77+AN77+AR77)))</f>
        <v>0</v>
      </c>
      <c r="AW77" s="22" t="n">
        <f aca="false">ROUND(AT77-AU77-AV77,2)</f>
        <v>0</v>
      </c>
      <c r="AX77" s="22" t="n">
        <f aca="false">BA76*(1+M$7)</f>
        <v>0</v>
      </c>
      <c r="AY77" s="22" t="n">
        <f aca="false">MIN(AX77,M$8)</f>
        <v>0</v>
      </c>
      <c r="AZ77" s="22" t="n">
        <f aca="false">MAX(0,MIN(AX77-AY77,$C77-(P77+T77+X77+AB77+AF77+AJ77+AN77+AR77+AV77)))</f>
        <v>0</v>
      </c>
      <c r="BA77" s="22" t="n">
        <f aca="false">ROUND(AX77-AY77-AZ77,2)</f>
        <v>0</v>
      </c>
    </row>
    <row r="78" customFormat="false" ht="15" hidden="false" customHeight="false" outlineLevel="0" collapsed="false">
      <c r="A78" s="0" t="n">
        <v>68</v>
      </c>
      <c r="B78" s="39" t="n">
        <f aca="false">EDATE(Borçlar!$K$7,67)</f>
        <v>48335</v>
      </c>
      <c r="C78" s="36" t="n">
        <f aca="false">MAX(0,SUM(Borçlar!$D$5:$D$14)-(O78+S78+W78+AA78+AE78+AI78+AM78+AQ78+AU78+AY78))</f>
        <v>14000</v>
      </c>
      <c r="D78" s="36" t="n">
        <f aca="false">O78+P78+S78+T78+W78+X78+AA78+AB78+AE78+AF78+AI78+AJ78+AM78+AN78+AQ78+AR78+AU78+AV78+AY78+AZ78</f>
        <v>0</v>
      </c>
      <c r="E78" s="36" t="n">
        <f aca="false">(N78+R78+V78+Z78+AD78+AH78+AL78+AP78+AT78+AX78)-(F77)</f>
        <v>0</v>
      </c>
      <c r="F78" s="36" t="n">
        <f aca="false">Q78+U78+Y78+AC78+AG78+AK78+AO78+AS78+AW78+BA78</f>
        <v>0</v>
      </c>
      <c r="N78" s="22" t="n">
        <f aca="false">Q77*(1+D$7)</f>
        <v>0</v>
      </c>
      <c r="O78" s="22" t="n">
        <f aca="false">MIN(N78,D$8)</f>
        <v>0</v>
      </c>
      <c r="P78" s="22" t="n">
        <f aca="false">MAX(0,MIN(N78-O78,$C78-(0)))</f>
        <v>0</v>
      </c>
      <c r="Q78" s="22" t="n">
        <f aca="false">ROUND(N78-O78-P78,2)</f>
        <v>0</v>
      </c>
      <c r="R78" s="22" t="n">
        <f aca="false">U77*(1+E$7)</f>
        <v>0</v>
      </c>
      <c r="S78" s="22" t="n">
        <f aca="false">MIN(R78,E$8)</f>
        <v>0</v>
      </c>
      <c r="T78" s="22" t="n">
        <f aca="false">MAX(0,MIN(R78-S78,$C78-(P78)))</f>
        <v>0</v>
      </c>
      <c r="U78" s="22" t="n">
        <f aca="false">ROUND(R78-S78-T78,2)</f>
        <v>0</v>
      </c>
      <c r="V78" s="22" t="n">
        <f aca="false">Y77*(1+F$7)</f>
        <v>0</v>
      </c>
      <c r="W78" s="22" t="n">
        <f aca="false">MIN(V78,F$8)</f>
        <v>0</v>
      </c>
      <c r="X78" s="22" t="n">
        <f aca="false">MAX(0,MIN(V78-W78,$C78-(P78+T78)))</f>
        <v>0</v>
      </c>
      <c r="Y78" s="22" t="n">
        <f aca="false">ROUND(V78-W78-X78,2)</f>
        <v>0</v>
      </c>
      <c r="Z78" s="22" t="n">
        <f aca="false">AC77*(1+G$7)</f>
        <v>0</v>
      </c>
      <c r="AA78" s="22" t="n">
        <f aca="false">MIN(Z78,G$8)</f>
        <v>0</v>
      </c>
      <c r="AB78" s="22" t="n">
        <f aca="false">MAX(0,MIN(Z78-AA78,$C78-(P78+T78+X78)))</f>
        <v>0</v>
      </c>
      <c r="AC78" s="22" t="n">
        <f aca="false">ROUND(Z78-AA78-AB78,2)</f>
        <v>0</v>
      </c>
      <c r="AD78" s="22" t="n">
        <f aca="false">AG77*(1+H$7)</f>
        <v>0</v>
      </c>
      <c r="AE78" s="22" t="n">
        <f aca="false">MIN(AD78,H$8)</f>
        <v>0</v>
      </c>
      <c r="AF78" s="22" t="n">
        <f aca="false">MAX(0,MIN(AD78-AE78,$C78-(P78+T78+X78+AB78)))</f>
        <v>0</v>
      </c>
      <c r="AG78" s="22" t="n">
        <f aca="false">ROUND(AD78-AE78-AF78,2)</f>
        <v>0</v>
      </c>
      <c r="AH78" s="22" t="n">
        <f aca="false">AK77*(1+I$7)</f>
        <v>0</v>
      </c>
      <c r="AI78" s="22" t="n">
        <f aca="false">MIN(AH78,I$8)</f>
        <v>0</v>
      </c>
      <c r="AJ78" s="22" t="n">
        <f aca="false">MAX(0,MIN(AH78-AI78,$C78-(P78+T78+X78+AB78+AF78)))</f>
        <v>0</v>
      </c>
      <c r="AK78" s="22" t="n">
        <f aca="false">ROUND(AH78-AI78-AJ78,2)</f>
        <v>0</v>
      </c>
      <c r="AL78" s="22" t="n">
        <f aca="false">AO77*(1+J$7)</f>
        <v>0</v>
      </c>
      <c r="AM78" s="22" t="n">
        <f aca="false">MIN(AL78,J$8)</f>
        <v>0</v>
      </c>
      <c r="AN78" s="22" t="n">
        <f aca="false">MAX(0,MIN(AL78-AM78,$C78-(P78+T78+X78+AB78+AF78+AJ78)))</f>
        <v>0</v>
      </c>
      <c r="AO78" s="22" t="n">
        <f aca="false">ROUND(AL78-AM78-AN78,2)</f>
        <v>0</v>
      </c>
      <c r="AP78" s="22" t="n">
        <f aca="false">AS77*(1+K$7)</f>
        <v>0</v>
      </c>
      <c r="AQ78" s="22" t="n">
        <f aca="false">MIN(AP78,K$8)</f>
        <v>0</v>
      </c>
      <c r="AR78" s="22" t="n">
        <f aca="false">MAX(0,MIN(AP78-AQ78,$C78-(P78+T78+X78+AB78+AF78+AJ78+AN78)))</f>
        <v>0</v>
      </c>
      <c r="AS78" s="22" t="n">
        <f aca="false">ROUND(AP78-AQ78-AR78,2)</f>
        <v>0</v>
      </c>
      <c r="AT78" s="22" t="n">
        <f aca="false">AW77*(1+L$7)</f>
        <v>0</v>
      </c>
      <c r="AU78" s="22" t="n">
        <f aca="false">MIN(AT78,L$8)</f>
        <v>0</v>
      </c>
      <c r="AV78" s="22" t="n">
        <f aca="false">MAX(0,MIN(AT78-AU78,$C78-(P78+T78+X78+AB78+AF78+AJ78+AN78+AR78)))</f>
        <v>0</v>
      </c>
      <c r="AW78" s="22" t="n">
        <f aca="false">ROUND(AT78-AU78-AV78,2)</f>
        <v>0</v>
      </c>
      <c r="AX78" s="22" t="n">
        <f aca="false">BA77*(1+M$7)</f>
        <v>0</v>
      </c>
      <c r="AY78" s="22" t="n">
        <f aca="false">MIN(AX78,M$8)</f>
        <v>0</v>
      </c>
      <c r="AZ78" s="22" t="n">
        <f aca="false">MAX(0,MIN(AX78-AY78,$C78-(P78+T78+X78+AB78+AF78+AJ78+AN78+AR78+AV78)))</f>
        <v>0</v>
      </c>
      <c r="BA78" s="22" t="n">
        <f aca="false">ROUND(AX78-AY78-AZ78,2)</f>
        <v>0</v>
      </c>
    </row>
    <row r="79" customFormat="false" ht="15" hidden="false" customHeight="false" outlineLevel="0" collapsed="false">
      <c r="A79" s="0" t="n">
        <v>69</v>
      </c>
      <c r="B79" s="39" t="n">
        <f aca="false">EDATE(Borçlar!$K$7,68)</f>
        <v>48366</v>
      </c>
      <c r="C79" s="36" t="n">
        <f aca="false">MAX(0,SUM(Borçlar!$D$5:$D$14)-(O79+S79+W79+AA79+AE79+AI79+AM79+AQ79+AU79+AY79))</f>
        <v>14000</v>
      </c>
      <c r="D79" s="36" t="n">
        <f aca="false">O79+P79+S79+T79+W79+X79+AA79+AB79+AE79+AF79+AI79+AJ79+AM79+AN79+AQ79+AR79+AU79+AV79+AY79+AZ79</f>
        <v>0</v>
      </c>
      <c r="E79" s="36" t="n">
        <f aca="false">(N79+R79+V79+Z79+AD79+AH79+AL79+AP79+AT79+AX79)-(F78)</f>
        <v>0</v>
      </c>
      <c r="F79" s="36" t="n">
        <f aca="false">Q79+U79+Y79+AC79+AG79+AK79+AO79+AS79+AW79+BA79</f>
        <v>0</v>
      </c>
      <c r="N79" s="22" t="n">
        <f aca="false">Q78*(1+D$7)</f>
        <v>0</v>
      </c>
      <c r="O79" s="22" t="n">
        <f aca="false">MIN(N79,D$8)</f>
        <v>0</v>
      </c>
      <c r="P79" s="22" t="n">
        <f aca="false">MAX(0,MIN(N79-O79,$C79-(0)))</f>
        <v>0</v>
      </c>
      <c r="Q79" s="22" t="n">
        <f aca="false">ROUND(N79-O79-P79,2)</f>
        <v>0</v>
      </c>
      <c r="R79" s="22" t="n">
        <f aca="false">U78*(1+E$7)</f>
        <v>0</v>
      </c>
      <c r="S79" s="22" t="n">
        <f aca="false">MIN(R79,E$8)</f>
        <v>0</v>
      </c>
      <c r="T79" s="22" t="n">
        <f aca="false">MAX(0,MIN(R79-S79,$C79-(P79)))</f>
        <v>0</v>
      </c>
      <c r="U79" s="22" t="n">
        <f aca="false">ROUND(R79-S79-T79,2)</f>
        <v>0</v>
      </c>
      <c r="V79" s="22" t="n">
        <f aca="false">Y78*(1+F$7)</f>
        <v>0</v>
      </c>
      <c r="W79" s="22" t="n">
        <f aca="false">MIN(V79,F$8)</f>
        <v>0</v>
      </c>
      <c r="X79" s="22" t="n">
        <f aca="false">MAX(0,MIN(V79-W79,$C79-(P79+T79)))</f>
        <v>0</v>
      </c>
      <c r="Y79" s="22" t="n">
        <f aca="false">ROUND(V79-W79-X79,2)</f>
        <v>0</v>
      </c>
      <c r="Z79" s="22" t="n">
        <f aca="false">AC78*(1+G$7)</f>
        <v>0</v>
      </c>
      <c r="AA79" s="22" t="n">
        <f aca="false">MIN(Z79,G$8)</f>
        <v>0</v>
      </c>
      <c r="AB79" s="22" t="n">
        <f aca="false">MAX(0,MIN(Z79-AA79,$C79-(P79+T79+X79)))</f>
        <v>0</v>
      </c>
      <c r="AC79" s="22" t="n">
        <f aca="false">ROUND(Z79-AA79-AB79,2)</f>
        <v>0</v>
      </c>
      <c r="AD79" s="22" t="n">
        <f aca="false">AG78*(1+H$7)</f>
        <v>0</v>
      </c>
      <c r="AE79" s="22" t="n">
        <f aca="false">MIN(AD79,H$8)</f>
        <v>0</v>
      </c>
      <c r="AF79" s="22" t="n">
        <f aca="false">MAX(0,MIN(AD79-AE79,$C79-(P79+T79+X79+AB79)))</f>
        <v>0</v>
      </c>
      <c r="AG79" s="22" t="n">
        <f aca="false">ROUND(AD79-AE79-AF79,2)</f>
        <v>0</v>
      </c>
      <c r="AH79" s="22" t="n">
        <f aca="false">AK78*(1+I$7)</f>
        <v>0</v>
      </c>
      <c r="AI79" s="22" t="n">
        <f aca="false">MIN(AH79,I$8)</f>
        <v>0</v>
      </c>
      <c r="AJ79" s="22" t="n">
        <f aca="false">MAX(0,MIN(AH79-AI79,$C79-(P79+T79+X79+AB79+AF79)))</f>
        <v>0</v>
      </c>
      <c r="AK79" s="22" t="n">
        <f aca="false">ROUND(AH79-AI79-AJ79,2)</f>
        <v>0</v>
      </c>
      <c r="AL79" s="22" t="n">
        <f aca="false">AO78*(1+J$7)</f>
        <v>0</v>
      </c>
      <c r="AM79" s="22" t="n">
        <f aca="false">MIN(AL79,J$8)</f>
        <v>0</v>
      </c>
      <c r="AN79" s="22" t="n">
        <f aca="false">MAX(0,MIN(AL79-AM79,$C79-(P79+T79+X79+AB79+AF79+AJ79)))</f>
        <v>0</v>
      </c>
      <c r="AO79" s="22" t="n">
        <f aca="false">ROUND(AL79-AM79-AN79,2)</f>
        <v>0</v>
      </c>
      <c r="AP79" s="22" t="n">
        <f aca="false">AS78*(1+K$7)</f>
        <v>0</v>
      </c>
      <c r="AQ79" s="22" t="n">
        <f aca="false">MIN(AP79,K$8)</f>
        <v>0</v>
      </c>
      <c r="AR79" s="22" t="n">
        <f aca="false">MAX(0,MIN(AP79-AQ79,$C79-(P79+T79+X79+AB79+AF79+AJ79+AN79)))</f>
        <v>0</v>
      </c>
      <c r="AS79" s="22" t="n">
        <f aca="false">ROUND(AP79-AQ79-AR79,2)</f>
        <v>0</v>
      </c>
      <c r="AT79" s="22" t="n">
        <f aca="false">AW78*(1+L$7)</f>
        <v>0</v>
      </c>
      <c r="AU79" s="22" t="n">
        <f aca="false">MIN(AT79,L$8)</f>
        <v>0</v>
      </c>
      <c r="AV79" s="22" t="n">
        <f aca="false">MAX(0,MIN(AT79-AU79,$C79-(P79+T79+X79+AB79+AF79+AJ79+AN79+AR79)))</f>
        <v>0</v>
      </c>
      <c r="AW79" s="22" t="n">
        <f aca="false">ROUND(AT79-AU79-AV79,2)</f>
        <v>0</v>
      </c>
      <c r="AX79" s="22" t="n">
        <f aca="false">BA78*(1+M$7)</f>
        <v>0</v>
      </c>
      <c r="AY79" s="22" t="n">
        <f aca="false">MIN(AX79,M$8)</f>
        <v>0</v>
      </c>
      <c r="AZ79" s="22" t="n">
        <f aca="false">MAX(0,MIN(AX79-AY79,$C79-(P79+T79+X79+AB79+AF79+AJ79+AN79+AR79+AV79)))</f>
        <v>0</v>
      </c>
      <c r="BA79" s="22" t="n">
        <f aca="false">ROUND(AX79-AY79-AZ79,2)</f>
        <v>0</v>
      </c>
    </row>
    <row r="80" customFormat="false" ht="15" hidden="false" customHeight="false" outlineLevel="0" collapsed="false">
      <c r="A80" s="0" t="n">
        <v>70</v>
      </c>
      <c r="B80" s="39" t="n">
        <f aca="false">EDATE(Borçlar!$K$7,69)</f>
        <v>48396</v>
      </c>
      <c r="C80" s="36" t="n">
        <f aca="false">MAX(0,SUM(Borçlar!$D$5:$D$14)-(O80+S80+W80+AA80+AE80+AI80+AM80+AQ80+AU80+AY80))</f>
        <v>14000</v>
      </c>
      <c r="D80" s="36" t="n">
        <f aca="false">O80+P80+S80+T80+W80+X80+AA80+AB80+AE80+AF80+AI80+AJ80+AM80+AN80+AQ80+AR80+AU80+AV80+AY80+AZ80</f>
        <v>0</v>
      </c>
      <c r="E80" s="36" t="n">
        <f aca="false">(N80+R80+V80+Z80+AD80+AH80+AL80+AP80+AT80+AX80)-(F79)</f>
        <v>0</v>
      </c>
      <c r="F80" s="36" t="n">
        <f aca="false">Q80+U80+Y80+AC80+AG80+AK80+AO80+AS80+AW80+BA80</f>
        <v>0</v>
      </c>
      <c r="N80" s="22" t="n">
        <f aca="false">Q79*(1+D$7)</f>
        <v>0</v>
      </c>
      <c r="O80" s="22" t="n">
        <f aca="false">MIN(N80,D$8)</f>
        <v>0</v>
      </c>
      <c r="P80" s="22" t="n">
        <f aca="false">MAX(0,MIN(N80-O80,$C80-(0)))</f>
        <v>0</v>
      </c>
      <c r="Q80" s="22" t="n">
        <f aca="false">ROUND(N80-O80-P80,2)</f>
        <v>0</v>
      </c>
      <c r="R80" s="22" t="n">
        <f aca="false">U79*(1+E$7)</f>
        <v>0</v>
      </c>
      <c r="S80" s="22" t="n">
        <f aca="false">MIN(R80,E$8)</f>
        <v>0</v>
      </c>
      <c r="T80" s="22" t="n">
        <f aca="false">MAX(0,MIN(R80-S80,$C80-(P80)))</f>
        <v>0</v>
      </c>
      <c r="U80" s="22" t="n">
        <f aca="false">ROUND(R80-S80-T80,2)</f>
        <v>0</v>
      </c>
      <c r="V80" s="22" t="n">
        <f aca="false">Y79*(1+F$7)</f>
        <v>0</v>
      </c>
      <c r="W80" s="22" t="n">
        <f aca="false">MIN(V80,F$8)</f>
        <v>0</v>
      </c>
      <c r="X80" s="22" t="n">
        <f aca="false">MAX(0,MIN(V80-W80,$C80-(P80+T80)))</f>
        <v>0</v>
      </c>
      <c r="Y80" s="22" t="n">
        <f aca="false">ROUND(V80-W80-X80,2)</f>
        <v>0</v>
      </c>
      <c r="Z80" s="22" t="n">
        <f aca="false">AC79*(1+G$7)</f>
        <v>0</v>
      </c>
      <c r="AA80" s="22" t="n">
        <f aca="false">MIN(Z80,G$8)</f>
        <v>0</v>
      </c>
      <c r="AB80" s="22" t="n">
        <f aca="false">MAX(0,MIN(Z80-AA80,$C80-(P80+T80+X80)))</f>
        <v>0</v>
      </c>
      <c r="AC80" s="22" t="n">
        <f aca="false">ROUND(Z80-AA80-AB80,2)</f>
        <v>0</v>
      </c>
      <c r="AD80" s="22" t="n">
        <f aca="false">AG79*(1+H$7)</f>
        <v>0</v>
      </c>
      <c r="AE80" s="22" t="n">
        <f aca="false">MIN(AD80,H$8)</f>
        <v>0</v>
      </c>
      <c r="AF80" s="22" t="n">
        <f aca="false">MAX(0,MIN(AD80-AE80,$C80-(P80+T80+X80+AB80)))</f>
        <v>0</v>
      </c>
      <c r="AG80" s="22" t="n">
        <f aca="false">ROUND(AD80-AE80-AF80,2)</f>
        <v>0</v>
      </c>
      <c r="AH80" s="22" t="n">
        <f aca="false">AK79*(1+I$7)</f>
        <v>0</v>
      </c>
      <c r="AI80" s="22" t="n">
        <f aca="false">MIN(AH80,I$8)</f>
        <v>0</v>
      </c>
      <c r="AJ80" s="22" t="n">
        <f aca="false">MAX(0,MIN(AH80-AI80,$C80-(P80+T80+X80+AB80+AF80)))</f>
        <v>0</v>
      </c>
      <c r="AK80" s="22" t="n">
        <f aca="false">ROUND(AH80-AI80-AJ80,2)</f>
        <v>0</v>
      </c>
      <c r="AL80" s="22" t="n">
        <f aca="false">AO79*(1+J$7)</f>
        <v>0</v>
      </c>
      <c r="AM80" s="22" t="n">
        <f aca="false">MIN(AL80,J$8)</f>
        <v>0</v>
      </c>
      <c r="AN80" s="22" t="n">
        <f aca="false">MAX(0,MIN(AL80-AM80,$C80-(P80+T80+X80+AB80+AF80+AJ80)))</f>
        <v>0</v>
      </c>
      <c r="AO80" s="22" t="n">
        <f aca="false">ROUND(AL80-AM80-AN80,2)</f>
        <v>0</v>
      </c>
      <c r="AP80" s="22" t="n">
        <f aca="false">AS79*(1+K$7)</f>
        <v>0</v>
      </c>
      <c r="AQ80" s="22" t="n">
        <f aca="false">MIN(AP80,K$8)</f>
        <v>0</v>
      </c>
      <c r="AR80" s="22" t="n">
        <f aca="false">MAX(0,MIN(AP80-AQ80,$C80-(P80+T80+X80+AB80+AF80+AJ80+AN80)))</f>
        <v>0</v>
      </c>
      <c r="AS80" s="22" t="n">
        <f aca="false">ROUND(AP80-AQ80-AR80,2)</f>
        <v>0</v>
      </c>
      <c r="AT80" s="22" t="n">
        <f aca="false">AW79*(1+L$7)</f>
        <v>0</v>
      </c>
      <c r="AU80" s="22" t="n">
        <f aca="false">MIN(AT80,L$8)</f>
        <v>0</v>
      </c>
      <c r="AV80" s="22" t="n">
        <f aca="false">MAX(0,MIN(AT80-AU80,$C80-(P80+T80+X80+AB80+AF80+AJ80+AN80+AR80)))</f>
        <v>0</v>
      </c>
      <c r="AW80" s="22" t="n">
        <f aca="false">ROUND(AT80-AU80-AV80,2)</f>
        <v>0</v>
      </c>
      <c r="AX80" s="22" t="n">
        <f aca="false">BA79*(1+M$7)</f>
        <v>0</v>
      </c>
      <c r="AY80" s="22" t="n">
        <f aca="false">MIN(AX80,M$8)</f>
        <v>0</v>
      </c>
      <c r="AZ80" s="22" t="n">
        <f aca="false">MAX(0,MIN(AX80-AY80,$C80-(P80+T80+X80+AB80+AF80+AJ80+AN80+AR80+AV80)))</f>
        <v>0</v>
      </c>
      <c r="BA80" s="22" t="n">
        <f aca="false">ROUND(AX80-AY80-AZ80,2)</f>
        <v>0</v>
      </c>
    </row>
    <row r="81" customFormat="false" ht="15" hidden="false" customHeight="false" outlineLevel="0" collapsed="false">
      <c r="A81" s="0" t="n">
        <v>71</v>
      </c>
      <c r="B81" s="39" t="n">
        <f aca="false">EDATE(Borçlar!$K$7,70)</f>
        <v>48427</v>
      </c>
      <c r="C81" s="36" t="n">
        <f aca="false">MAX(0,SUM(Borçlar!$D$5:$D$14)-(O81+S81+W81+AA81+AE81+AI81+AM81+AQ81+AU81+AY81))</f>
        <v>14000</v>
      </c>
      <c r="D81" s="36" t="n">
        <f aca="false">O81+P81+S81+T81+W81+X81+AA81+AB81+AE81+AF81+AI81+AJ81+AM81+AN81+AQ81+AR81+AU81+AV81+AY81+AZ81</f>
        <v>0</v>
      </c>
      <c r="E81" s="36" t="n">
        <f aca="false">(N81+R81+V81+Z81+AD81+AH81+AL81+AP81+AT81+AX81)-(F80)</f>
        <v>0</v>
      </c>
      <c r="F81" s="36" t="n">
        <f aca="false">Q81+U81+Y81+AC81+AG81+AK81+AO81+AS81+AW81+BA81</f>
        <v>0</v>
      </c>
      <c r="N81" s="22" t="n">
        <f aca="false">Q80*(1+D$7)</f>
        <v>0</v>
      </c>
      <c r="O81" s="22" t="n">
        <f aca="false">MIN(N81,D$8)</f>
        <v>0</v>
      </c>
      <c r="P81" s="22" t="n">
        <f aca="false">MAX(0,MIN(N81-O81,$C81-(0)))</f>
        <v>0</v>
      </c>
      <c r="Q81" s="22" t="n">
        <f aca="false">ROUND(N81-O81-P81,2)</f>
        <v>0</v>
      </c>
      <c r="R81" s="22" t="n">
        <f aca="false">U80*(1+E$7)</f>
        <v>0</v>
      </c>
      <c r="S81" s="22" t="n">
        <f aca="false">MIN(R81,E$8)</f>
        <v>0</v>
      </c>
      <c r="T81" s="22" t="n">
        <f aca="false">MAX(0,MIN(R81-S81,$C81-(P81)))</f>
        <v>0</v>
      </c>
      <c r="U81" s="22" t="n">
        <f aca="false">ROUND(R81-S81-T81,2)</f>
        <v>0</v>
      </c>
      <c r="V81" s="22" t="n">
        <f aca="false">Y80*(1+F$7)</f>
        <v>0</v>
      </c>
      <c r="W81" s="22" t="n">
        <f aca="false">MIN(V81,F$8)</f>
        <v>0</v>
      </c>
      <c r="X81" s="22" t="n">
        <f aca="false">MAX(0,MIN(V81-W81,$C81-(P81+T81)))</f>
        <v>0</v>
      </c>
      <c r="Y81" s="22" t="n">
        <f aca="false">ROUND(V81-W81-X81,2)</f>
        <v>0</v>
      </c>
      <c r="Z81" s="22" t="n">
        <f aca="false">AC80*(1+G$7)</f>
        <v>0</v>
      </c>
      <c r="AA81" s="22" t="n">
        <f aca="false">MIN(Z81,G$8)</f>
        <v>0</v>
      </c>
      <c r="AB81" s="22" t="n">
        <f aca="false">MAX(0,MIN(Z81-AA81,$C81-(P81+T81+X81)))</f>
        <v>0</v>
      </c>
      <c r="AC81" s="22" t="n">
        <f aca="false">ROUND(Z81-AA81-AB81,2)</f>
        <v>0</v>
      </c>
      <c r="AD81" s="22" t="n">
        <f aca="false">AG80*(1+H$7)</f>
        <v>0</v>
      </c>
      <c r="AE81" s="22" t="n">
        <f aca="false">MIN(AD81,H$8)</f>
        <v>0</v>
      </c>
      <c r="AF81" s="22" t="n">
        <f aca="false">MAX(0,MIN(AD81-AE81,$C81-(P81+T81+X81+AB81)))</f>
        <v>0</v>
      </c>
      <c r="AG81" s="22" t="n">
        <f aca="false">ROUND(AD81-AE81-AF81,2)</f>
        <v>0</v>
      </c>
      <c r="AH81" s="22" t="n">
        <f aca="false">AK80*(1+I$7)</f>
        <v>0</v>
      </c>
      <c r="AI81" s="22" t="n">
        <f aca="false">MIN(AH81,I$8)</f>
        <v>0</v>
      </c>
      <c r="AJ81" s="22" t="n">
        <f aca="false">MAX(0,MIN(AH81-AI81,$C81-(P81+T81+X81+AB81+AF81)))</f>
        <v>0</v>
      </c>
      <c r="AK81" s="22" t="n">
        <f aca="false">ROUND(AH81-AI81-AJ81,2)</f>
        <v>0</v>
      </c>
      <c r="AL81" s="22" t="n">
        <f aca="false">AO80*(1+J$7)</f>
        <v>0</v>
      </c>
      <c r="AM81" s="22" t="n">
        <f aca="false">MIN(AL81,J$8)</f>
        <v>0</v>
      </c>
      <c r="AN81" s="22" t="n">
        <f aca="false">MAX(0,MIN(AL81-AM81,$C81-(P81+T81+X81+AB81+AF81+AJ81)))</f>
        <v>0</v>
      </c>
      <c r="AO81" s="22" t="n">
        <f aca="false">ROUND(AL81-AM81-AN81,2)</f>
        <v>0</v>
      </c>
      <c r="AP81" s="22" t="n">
        <f aca="false">AS80*(1+K$7)</f>
        <v>0</v>
      </c>
      <c r="AQ81" s="22" t="n">
        <f aca="false">MIN(AP81,K$8)</f>
        <v>0</v>
      </c>
      <c r="AR81" s="22" t="n">
        <f aca="false">MAX(0,MIN(AP81-AQ81,$C81-(P81+T81+X81+AB81+AF81+AJ81+AN81)))</f>
        <v>0</v>
      </c>
      <c r="AS81" s="22" t="n">
        <f aca="false">ROUND(AP81-AQ81-AR81,2)</f>
        <v>0</v>
      </c>
      <c r="AT81" s="22" t="n">
        <f aca="false">AW80*(1+L$7)</f>
        <v>0</v>
      </c>
      <c r="AU81" s="22" t="n">
        <f aca="false">MIN(AT81,L$8)</f>
        <v>0</v>
      </c>
      <c r="AV81" s="22" t="n">
        <f aca="false">MAX(0,MIN(AT81-AU81,$C81-(P81+T81+X81+AB81+AF81+AJ81+AN81+AR81)))</f>
        <v>0</v>
      </c>
      <c r="AW81" s="22" t="n">
        <f aca="false">ROUND(AT81-AU81-AV81,2)</f>
        <v>0</v>
      </c>
      <c r="AX81" s="22" t="n">
        <f aca="false">BA80*(1+M$7)</f>
        <v>0</v>
      </c>
      <c r="AY81" s="22" t="n">
        <f aca="false">MIN(AX81,M$8)</f>
        <v>0</v>
      </c>
      <c r="AZ81" s="22" t="n">
        <f aca="false">MAX(0,MIN(AX81-AY81,$C81-(P81+T81+X81+AB81+AF81+AJ81+AN81+AR81+AV81)))</f>
        <v>0</v>
      </c>
      <c r="BA81" s="22" t="n">
        <f aca="false">ROUND(AX81-AY81-AZ81,2)</f>
        <v>0</v>
      </c>
    </row>
    <row r="82" customFormat="false" ht="15" hidden="false" customHeight="false" outlineLevel="0" collapsed="false">
      <c r="A82" s="0" t="n">
        <v>72</v>
      </c>
      <c r="B82" s="39" t="n">
        <f aca="false">EDATE(Borçlar!$K$7,71)</f>
        <v>48458</v>
      </c>
      <c r="C82" s="36" t="n">
        <f aca="false">MAX(0,SUM(Borçlar!$D$5:$D$14)-(O82+S82+W82+AA82+AE82+AI82+AM82+AQ82+AU82+AY82))</f>
        <v>14000</v>
      </c>
      <c r="D82" s="36" t="n">
        <f aca="false">O82+P82+S82+T82+W82+X82+AA82+AB82+AE82+AF82+AI82+AJ82+AM82+AN82+AQ82+AR82+AU82+AV82+AY82+AZ82</f>
        <v>0</v>
      </c>
      <c r="E82" s="36" t="n">
        <f aca="false">(N82+R82+V82+Z82+AD82+AH82+AL82+AP82+AT82+AX82)-(F81)</f>
        <v>0</v>
      </c>
      <c r="F82" s="36" t="n">
        <f aca="false">Q82+U82+Y82+AC82+AG82+AK82+AO82+AS82+AW82+BA82</f>
        <v>0</v>
      </c>
      <c r="N82" s="22" t="n">
        <f aca="false">Q81*(1+D$7)</f>
        <v>0</v>
      </c>
      <c r="O82" s="22" t="n">
        <f aca="false">MIN(N82,D$8)</f>
        <v>0</v>
      </c>
      <c r="P82" s="22" t="n">
        <f aca="false">MAX(0,MIN(N82-O82,$C82-(0)))</f>
        <v>0</v>
      </c>
      <c r="Q82" s="22" t="n">
        <f aca="false">ROUND(N82-O82-P82,2)</f>
        <v>0</v>
      </c>
      <c r="R82" s="22" t="n">
        <f aca="false">U81*(1+E$7)</f>
        <v>0</v>
      </c>
      <c r="S82" s="22" t="n">
        <f aca="false">MIN(R82,E$8)</f>
        <v>0</v>
      </c>
      <c r="T82" s="22" t="n">
        <f aca="false">MAX(0,MIN(R82-S82,$C82-(P82)))</f>
        <v>0</v>
      </c>
      <c r="U82" s="22" t="n">
        <f aca="false">ROUND(R82-S82-T82,2)</f>
        <v>0</v>
      </c>
      <c r="V82" s="22" t="n">
        <f aca="false">Y81*(1+F$7)</f>
        <v>0</v>
      </c>
      <c r="W82" s="22" t="n">
        <f aca="false">MIN(V82,F$8)</f>
        <v>0</v>
      </c>
      <c r="X82" s="22" t="n">
        <f aca="false">MAX(0,MIN(V82-W82,$C82-(P82+T82)))</f>
        <v>0</v>
      </c>
      <c r="Y82" s="22" t="n">
        <f aca="false">ROUND(V82-W82-X82,2)</f>
        <v>0</v>
      </c>
      <c r="Z82" s="22" t="n">
        <f aca="false">AC81*(1+G$7)</f>
        <v>0</v>
      </c>
      <c r="AA82" s="22" t="n">
        <f aca="false">MIN(Z82,G$8)</f>
        <v>0</v>
      </c>
      <c r="AB82" s="22" t="n">
        <f aca="false">MAX(0,MIN(Z82-AA82,$C82-(P82+T82+X82)))</f>
        <v>0</v>
      </c>
      <c r="AC82" s="22" t="n">
        <f aca="false">ROUND(Z82-AA82-AB82,2)</f>
        <v>0</v>
      </c>
      <c r="AD82" s="22" t="n">
        <f aca="false">AG81*(1+H$7)</f>
        <v>0</v>
      </c>
      <c r="AE82" s="22" t="n">
        <f aca="false">MIN(AD82,H$8)</f>
        <v>0</v>
      </c>
      <c r="AF82" s="22" t="n">
        <f aca="false">MAX(0,MIN(AD82-AE82,$C82-(P82+T82+X82+AB82)))</f>
        <v>0</v>
      </c>
      <c r="AG82" s="22" t="n">
        <f aca="false">ROUND(AD82-AE82-AF82,2)</f>
        <v>0</v>
      </c>
      <c r="AH82" s="22" t="n">
        <f aca="false">AK81*(1+I$7)</f>
        <v>0</v>
      </c>
      <c r="AI82" s="22" t="n">
        <f aca="false">MIN(AH82,I$8)</f>
        <v>0</v>
      </c>
      <c r="AJ82" s="22" t="n">
        <f aca="false">MAX(0,MIN(AH82-AI82,$C82-(P82+T82+X82+AB82+AF82)))</f>
        <v>0</v>
      </c>
      <c r="AK82" s="22" t="n">
        <f aca="false">ROUND(AH82-AI82-AJ82,2)</f>
        <v>0</v>
      </c>
      <c r="AL82" s="22" t="n">
        <f aca="false">AO81*(1+J$7)</f>
        <v>0</v>
      </c>
      <c r="AM82" s="22" t="n">
        <f aca="false">MIN(AL82,J$8)</f>
        <v>0</v>
      </c>
      <c r="AN82" s="22" t="n">
        <f aca="false">MAX(0,MIN(AL82-AM82,$C82-(P82+T82+X82+AB82+AF82+AJ82)))</f>
        <v>0</v>
      </c>
      <c r="AO82" s="22" t="n">
        <f aca="false">ROUND(AL82-AM82-AN82,2)</f>
        <v>0</v>
      </c>
      <c r="AP82" s="22" t="n">
        <f aca="false">AS81*(1+K$7)</f>
        <v>0</v>
      </c>
      <c r="AQ82" s="22" t="n">
        <f aca="false">MIN(AP82,K$8)</f>
        <v>0</v>
      </c>
      <c r="AR82" s="22" t="n">
        <f aca="false">MAX(0,MIN(AP82-AQ82,$C82-(P82+T82+X82+AB82+AF82+AJ82+AN82)))</f>
        <v>0</v>
      </c>
      <c r="AS82" s="22" t="n">
        <f aca="false">ROUND(AP82-AQ82-AR82,2)</f>
        <v>0</v>
      </c>
      <c r="AT82" s="22" t="n">
        <f aca="false">AW81*(1+L$7)</f>
        <v>0</v>
      </c>
      <c r="AU82" s="22" t="n">
        <f aca="false">MIN(AT82,L$8)</f>
        <v>0</v>
      </c>
      <c r="AV82" s="22" t="n">
        <f aca="false">MAX(0,MIN(AT82-AU82,$C82-(P82+T82+X82+AB82+AF82+AJ82+AN82+AR82)))</f>
        <v>0</v>
      </c>
      <c r="AW82" s="22" t="n">
        <f aca="false">ROUND(AT82-AU82-AV82,2)</f>
        <v>0</v>
      </c>
      <c r="AX82" s="22" t="n">
        <f aca="false">BA81*(1+M$7)</f>
        <v>0</v>
      </c>
      <c r="AY82" s="22" t="n">
        <f aca="false">MIN(AX82,M$8)</f>
        <v>0</v>
      </c>
      <c r="AZ82" s="22" t="n">
        <f aca="false">MAX(0,MIN(AX82-AY82,$C82-(P82+T82+X82+AB82+AF82+AJ82+AN82+AR82+AV82)))</f>
        <v>0</v>
      </c>
      <c r="BA82" s="22" t="n">
        <f aca="false">ROUND(AX82-AY82-AZ82,2)</f>
        <v>0</v>
      </c>
    </row>
    <row r="83" customFormat="false" ht="15" hidden="false" customHeight="false" outlineLevel="0" collapsed="false">
      <c r="A83" s="0" t="n">
        <v>73</v>
      </c>
      <c r="B83" s="39" t="n">
        <f aca="false">EDATE(Borçlar!$K$7,72)</f>
        <v>48488</v>
      </c>
      <c r="C83" s="36" t="n">
        <f aca="false">MAX(0,SUM(Borçlar!$D$5:$D$14)-(O83+S83+W83+AA83+AE83+AI83+AM83+AQ83+AU83+AY83))</f>
        <v>14000</v>
      </c>
      <c r="D83" s="36" t="n">
        <f aca="false">O83+P83+S83+T83+W83+X83+AA83+AB83+AE83+AF83+AI83+AJ83+AM83+AN83+AQ83+AR83+AU83+AV83+AY83+AZ83</f>
        <v>0</v>
      </c>
      <c r="E83" s="36" t="n">
        <f aca="false">(N83+R83+V83+Z83+AD83+AH83+AL83+AP83+AT83+AX83)-(F82)</f>
        <v>0</v>
      </c>
      <c r="F83" s="36" t="n">
        <f aca="false">Q83+U83+Y83+AC83+AG83+AK83+AO83+AS83+AW83+BA83</f>
        <v>0</v>
      </c>
      <c r="N83" s="22" t="n">
        <f aca="false">Q82*(1+D$7)</f>
        <v>0</v>
      </c>
      <c r="O83" s="22" t="n">
        <f aca="false">MIN(N83,D$8)</f>
        <v>0</v>
      </c>
      <c r="P83" s="22" t="n">
        <f aca="false">MAX(0,MIN(N83-O83,$C83-(0)))</f>
        <v>0</v>
      </c>
      <c r="Q83" s="22" t="n">
        <f aca="false">ROUND(N83-O83-P83,2)</f>
        <v>0</v>
      </c>
      <c r="R83" s="22" t="n">
        <f aca="false">U82*(1+E$7)</f>
        <v>0</v>
      </c>
      <c r="S83" s="22" t="n">
        <f aca="false">MIN(R83,E$8)</f>
        <v>0</v>
      </c>
      <c r="T83" s="22" t="n">
        <f aca="false">MAX(0,MIN(R83-S83,$C83-(P83)))</f>
        <v>0</v>
      </c>
      <c r="U83" s="22" t="n">
        <f aca="false">ROUND(R83-S83-T83,2)</f>
        <v>0</v>
      </c>
      <c r="V83" s="22" t="n">
        <f aca="false">Y82*(1+F$7)</f>
        <v>0</v>
      </c>
      <c r="W83" s="22" t="n">
        <f aca="false">MIN(V83,F$8)</f>
        <v>0</v>
      </c>
      <c r="X83" s="22" t="n">
        <f aca="false">MAX(0,MIN(V83-W83,$C83-(P83+T83)))</f>
        <v>0</v>
      </c>
      <c r="Y83" s="22" t="n">
        <f aca="false">ROUND(V83-W83-X83,2)</f>
        <v>0</v>
      </c>
      <c r="Z83" s="22" t="n">
        <f aca="false">AC82*(1+G$7)</f>
        <v>0</v>
      </c>
      <c r="AA83" s="22" t="n">
        <f aca="false">MIN(Z83,G$8)</f>
        <v>0</v>
      </c>
      <c r="AB83" s="22" t="n">
        <f aca="false">MAX(0,MIN(Z83-AA83,$C83-(P83+T83+X83)))</f>
        <v>0</v>
      </c>
      <c r="AC83" s="22" t="n">
        <f aca="false">ROUND(Z83-AA83-AB83,2)</f>
        <v>0</v>
      </c>
      <c r="AD83" s="22" t="n">
        <f aca="false">AG82*(1+H$7)</f>
        <v>0</v>
      </c>
      <c r="AE83" s="22" t="n">
        <f aca="false">MIN(AD83,H$8)</f>
        <v>0</v>
      </c>
      <c r="AF83" s="22" t="n">
        <f aca="false">MAX(0,MIN(AD83-AE83,$C83-(P83+T83+X83+AB83)))</f>
        <v>0</v>
      </c>
      <c r="AG83" s="22" t="n">
        <f aca="false">ROUND(AD83-AE83-AF83,2)</f>
        <v>0</v>
      </c>
      <c r="AH83" s="22" t="n">
        <f aca="false">AK82*(1+I$7)</f>
        <v>0</v>
      </c>
      <c r="AI83" s="22" t="n">
        <f aca="false">MIN(AH83,I$8)</f>
        <v>0</v>
      </c>
      <c r="AJ83" s="22" t="n">
        <f aca="false">MAX(0,MIN(AH83-AI83,$C83-(P83+T83+X83+AB83+AF83)))</f>
        <v>0</v>
      </c>
      <c r="AK83" s="22" t="n">
        <f aca="false">ROUND(AH83-AI83-AJ83,2)</f>
        <v>0</v>
      </c>
      <c r="AL83" s="22" t="n">
        <f aca="false">AO82*(1+J$7)</f>
        <v>0</v>
      </c>
      <c r="AM83" s="22" t="n">
        <f aca="false">MIN(AL83,J$8)</f>
        <v>0</v>
      </c>
      <c r="AN83" s="22" t="n">
        <f aca="false">MAX(0,MIN(AL83-AM83,$C83-(P83+T83+X83+AB83+AF83+AJ83)))</f>
        <v>0</v>
      </c>
      <c r="AO83" s="22" t="n">
        <f aca="false">ROUND(AL83-AM83-AN83,2)</f>
        <v>0</v>
      </c>
      <c r="AP83" s="22" t="n">
        <f aca="false">AS82*(1+K$7)</f>
        <v>0</v>
      </c>
      <c r="AQ83" s="22" t="n">
        <f aca="false">MIN(AP83,K$8)</f>
        <v>0</v>
      </c>
      <c r="AR83" s="22" t="n">
        <f aca="false">MAX(0,MIN(AP83-AQ83,$C83-(P83+T83+X83+AB83+AF83+AJ83+AN83)))</f>
        <v>0</v>
      </c>
      <c r="AS83" s="22" t="n">
        <f aca="false">ROUND(AP83-AQ83-AR83,2)</f>
        <v>0</v>
      </c>
      <c r="AT83" s="22" t="n">
        <f aca="false">AW82*(1+L$7)</f>
        <v>0</v>
      </c>
      <c r="AU83" s="22" t="n">
        <f aca="false">MIN(AT83,L$8)</f>
        <v>0</v>
      </c>
      <c r="AV83" s="22" t="n">
        <f aca="false">MAX(0,MIN(AT83-AU83,$C83-(P83+T83+X83+AB83+AF83+AJ83+AN83+AR83)))</f>
        <v>0</v>
      </c>
      <c r="AW83" s="22" t="n">
        <f aca="false">ROUND(AT83-AU83-AV83,2)</f>
        <v>0</v>
      </c>
      <c r="AX83" s="22" t="n">
        <f aca="false">BA82*(1+M$7)</f>
        <v>0</v>
      </c>
      <c r="AY83" s="22" t="n">
        <f aca="false">MIN(AX83,M$8)</f>
        <v>0</v>
      </c>
      <c r="AZ83" s="22" t="n">
        <f aca="false">MAX(0,MIN(AX83-AY83,$C83-(P83+T83+X83+AB83+AF83+AJ83+AN83+AR83+AV83)))</f>
        <v>0</v>
      </c>
      <c r="BA83" s="22" t="n">
        <f aca="false">ROUND(AX83-AY83-AZ83,2)</f>
        <v>0</v>
      </c>
    </row>
    <row r="84" customFormat="false" ht="15" hidden="false" customHeight="false" outlineLevel="0" collapsed="false">
      <c r="A84" s="0" t="n">
        <v>74</v>
      </c>
      <c r="B84" s="39" t="n">
        <f aca="false">EDATE(Borçlar!$K$7,73)</f>
        <v>48519</v>
      </c>
      <c r="C84" s="36" t="n">
        <f aca="false">MAX(0,SUM(Borçlar!$D$5:$D$14)-(O84+S84+W84+AA84+AE84+AI84+AM84+AQ84+AU84+AY84))</f>
        <v>14000</v>
      </c>
      <c r="D84" s="36" t="n">
        <f aca="false">O84+P84+S84+T84+W84+X84+AA84+AB84+AE84+AF84+AI84+AJ84+AM84+AN84+AQ84+AR84+AU84+AV84+AY84+AZ84</f>
        <v>0</v>
      </c>
      <c r="E84" s="36" t="n">
        <f aca="false">(N84+R84+V84+Z84+AD84+AH84+AL84+AP84+AT84+AX84)-(F83)</f>
        <v>0</v>
      </c>
      <c r="F84" s="36" t="n">
        <f aca="false">Q84+U84+Y84+AC84+AG84+AK84+AO84+AS84+AW84+BA84</f>
        <v>0</v>
      </c>
      <c r="N84" s="22" t="n">
        <f aca="false">Q83*(1+D$7)</f>
        <v>0</v>
      </c>
      <c r="O84" s="22" t="n">
        <f aca="false">MIN(N84,D$8)</f>
        <v>0</v>
      </c>
      <c r="P84" s="22" t="n">
        <f aca="false">MAX(0,MIN(N84-O84,$C84-(0)))</f>
        <v>0</v>
      </c>
      <c r="Q84" s="22" t="n">
        <f aca="false">ROUND(N84-O84-P84,2)</f>
        <v>0</v>
      </c>
      <c r="R84" s="22" t="n">
        <f aca="false">U83*(1+E$7)</f>
        <v>0</v>
      </c>
      <c r="S84" s="22" t="n">
        <f aca="false">MIN(R84,E$8)</f>
        <v>0</v>
      </c>
      <c r="T84" s="22" t="n">
        <f aca="false">MAX(0,MIN(R84-S84,$C84-(P84)))</f>
        <v>0</v>
      </c>
      <c r="U84" s="22" t="n">
        <f aca="false">ROUND(R84-S84-T84,2)</f>
        <v>0</v>
      </c>
      <c r="V84" s="22" t="n">
        <f aca="false">Y83*(1+F$7)</f>
        <v>0</v>
      </c>
      <c r="W84" s="22" t="n">
        <f aca="false">MIN(V84,F$8)</f>
        <v>0</v>
      </c>
      <c r="X84" s="22" t="n">
        <f aca="false">MAX(0,MIN(V84-W84,$C84-(P84+T84)))</f>
        <v>0</v>
      </c>
      <c r="Y84" s="22" t="n">
        <f aca="false">ROUND(V84-W84-X84,2)</f>
        <v>0</v>
      </c>
      <c r="Z84" s="22" t="n">
        <f aca="false">AC83*(1+G$7)</f>
        <v>0</v>
      </c>
      <c r="AA84" s="22" t="n">
        <f aca="false">MIN(Z84,G$8)</f>
        <v>0</v>
      </c>
      <c r="AB84" s="22" t="n">
        <f aca="false">MAX(0,MIN(Z84-AA84,$C84-(P84+T84+X84)))</f>
        <v>0</v>
      </c>
      <c r="AC84" s="22" t="n">
        <f aca="false">ROUND(Z84-AA84-AB84,2)</f>
        <v>0</v>
      </c>
      <c r="AD84" s="22" t="n">
        <f aca="false">AG83*(1+H$7)</f>
        <v>0</v>
      </c>
      <c r="AE84" s="22" t="n">
        <f aca="false">MIN(AD84,H$8)</f>
        <v>0</v>
      </c>
      <c r="AF84" s="22" t="n">
        <f aca="false">MAX(0,MIN(AD84-AE84,$C84-(P84+T84+X84+AB84)))</f>
        <v>0</v>
      </c>
      <c r="AG84" s="22" t="n">
        <f aca="false">ROUND(AD84-AE84-AF84,2)</f>
        <v>0</v>
      </c>
      <c r="AH84" s="22" t="n">
        <f aca="false">AK83*(1+I$7)</f>
        <v>0</v>
      </c>
      <c r="AI84" s="22" t="n">
        <f aca="false">MIN(AH84,I$8)</f>
        <v>0</v>
      </c>
      <c r="AJ84" s="22" t="n">
        <f aca="false">MAX(0,MIN(AH84-AI84,$C84-(P84+T84+X84+AB84+AF84)))</f>
        <v>0</v>
      </c>
      <c r="AK84" s="22" t="n">
        <f aca="false">ROUND(AH84-AI84-AJ84,2)</f>
        <v>0</v>
      </c>
      <c r="AL84" s="22" t="n">
        <f aca="false">AO83*(1+J$7)</f>
        <v>0</v>
      </c>
      <c r="AM84" s="22" t="n">
        <f aca="false">MIN(AL84,J$8)</f>
        <v>0</v>
      </c>
      <c r="AN84" s="22" t="n">
        <f aca="false">MAX(0,MIN(AL84-AM84,$C84-(P84+T84+X84+AB84+AF84+AJ84)))</f>
        <v>0</v>
      </c>
      <c r="AO84" s="22" t="n">
        <f aca="false">ROUND(AL84-AM84-AN84,2)</f>
        <v>0</v>
      </c>
      <c r="AP84" s="22" t="n">
        <f aca="false">AS83*(1+K$7)</f>
        <v>0</v>
      </c>
      <c r="AQ84" s="22" t="n">
        <f aca="false">MIN(AP84,K$8)</f>
        <v>0</v>
      </c>
      <c r="AR84" s="22" t="n">
        <f aca="false">MAX(0,MIN(AP84-AQ84,$C84-(P84+T84+X84+AB84+AF84+AJ84+AN84)))</f>
        <v>0</v>
      </c>
      <c r="AS84" s="22" t="n">
        <f aca="false">ROUND(AP84-AQ84-AR84,2)</f>
        <v>0</v>
      </c>
      <c r="AT84" s="22" t="n">
        <f aca="false">AW83*(1+L$7)</f>
        <v>0</v>
      </c>
      <c r="AU84" s="22" t="n">
        <f aca="false">MIN(AT84,L$8)</f>
        <v>0</v>
      </c>
      <c r="AV84" s="22" t="n">
        <f aca="false">MAX(0,MIN(AT84-AU84,$C84-(P84+T84+X84+AB84+AF84+AJ84+AN84+AR84)))</f>
        <v>0</v>
      </c>
      <c r="AW84" s="22" t="n">
        <f aca="false">ROUND(AT84-AU84-AV84,2)</f>
        <v>0</v>
      </c>
      <c r="AX84" s="22" t="n">
        <f aca="false">BA83*(1+M$7)</f>
        <v>0</v>
      </c>
      <c r="AY84" s="22" t="n">
        <f aca="false">MIN(AX84,M$8)</f>
        <v>0</v>
      </c>
      <c r="AZ84" s="22" t="n">
        <f aca="false">MAX(0,MIN(AX84-AY84,$C84-(P84+T84+X84+AB84+AF84+AJ84+AN84+AR84+AV84)))</f>
        <v>0</v>
      </c>
      <c r="BA84" s="22" t="n">
        <f aca="false">ROUND(AX84-AY84-AZ84,2)</f>
        <v>0</v>
      </c>
    </row>
    <row r="85" customFormat="false" ht="15" hidden="false" customHeight="false" outlineLevel="0" collapsed="false">
      <c r="A85" s="0" t="n">
        <v>75</v>
      </c>
      <c r="B85" s="39" t="n">
        <f aca="false">EDATE(Borçlar!$K$7,74)</f>
        <v>48549</v>
      </c>
      <c r="C85" s="36" t="n">
        <f aca="false">MAX(0,SUM(Borçlar!$D$5:$D$14)-(O85+S85+W85+AA85+AE85+AI85+AM85+AQ85+AU85+AY85))</f>
        <v>14000</v>
      </c>
      <c r="D85" s="36" t="n">
        <f aca="false">O85+P85+S85+T85+W85+X85+AA85+AB85+AE85+AF85+AI85+AJ85+AM85+AN85+AQ85+AR85+AU85+AV85+AY85+AZ85</f>
        <v>0</v>
      </c>
      <c r="E85" s="36" t="n">
        <f aca="false">(N85+R85+V85+Z85+AD85+AH85+AL85+AP85+AT85+AX85)-(F84)</f>
        <v>0</v>
      </c>
      <c r="F85" s="36" t="n">
        <f aca="false">Q85+U85+Y85+AC85+AG85+AK85+AO85+AS85+AW85+BA85</f>
        <v>0</v>
      </c>
      <c r="N85" s="22" t="n">
        <f aca="false">Q84*(1+D$7)</f>
        <v>0</v>
      </c>
      <c r="O85" s="22" t="n">
        <f aca="false">MIN(N85,D$8)</f>
        <v>0</v>
      </c>
      <c r="P85" s="22" t="n">
        <f aca="false">MAX(0,MIN(N85-O85,$C85-(0)))</f>
        <v>0</v>
      </c>
      <c r="Q85" s="22" t="n">
        <f aca="false">ROUND(N85-O85-P85,2)</f>
        <v>0</v>
      </c>
      <c r="R85" s="22" t="n">
        <f aca="false">U84*(1+E$7)</f>
        <v>0</v>
      </c>
      <c r="S85" s="22" t="n">
        <f aca="false">MIN(R85,E$8)</f>
        <v>0</v>
      </c>
      <c r="T85" s="22" t="n">
        <f aca="false">MAX(0,MIN(R85-S85,$C85-(P85)))</f>
        <v>0</v>
      </c>
      <c r="U85" s="22" t="n">
        <f aca="false">ROUND(R85-S85-T85,2)</f>
        <v>0</v>
      </c>
      <c r="V85" s="22" t="n">
        <f aca="false">Y84*(1+F$7)</f>
        <v>0</v>
      </c>
      <c r="W85" s="22" t="n">
        <f aca="false">MIN(V85,F$8)</f>
        <v>0</v>
      </c>
      <c r="X85" s="22" t="n">
        <f aca="false">MAX(0,MIN(V85-W85,$C85-(P85+T85)))</f>
        <v>0</v>
      </c>
      <c r="Y85" s="22" t="n">
        <f aca="false">ROUND(V85-W85-X85,2)</f>
        <v>0</v>
      </c>
      <c r="Z85" s="22" t="n">
        <f aca="false">AC84*(1+G$7)</f>
        <v>0</v>
      </c>
      <c r="AA85" s="22" t="n">
        <f aca="false">MIN(Z85,G$8)</f>
        <v>0</v>
      </c>
      <c r="AB85" s="22" t="n">
        <f aca="false">MAX(0,MIN(Z85-AA85,$C85-(P85+T85+X85)))</f>
        <v>0</v>
      </c>
      <c r="AC85" s="22" t="n">
        <f aca="false">ROUND(Z85-AA85-AB85,2)</f>
        <v>0</v>
      </c>
      <c r="AD85" s="22" t="n">
        <f aca="false">AG84*(1+H$7)</f>
        <v>0</v>
      </c>
      <c r="AE85" s="22" t="n">
        <f aca="false">MIN(AD85,H$8)</f>
        <v>0</v>
      </c>
      <c r="AF85" s="22" t="n">
        <f aca="false">MAX(0,MIN(AD85-AE85,$C85-(P85+T85+X85+AB85)))</f>
        <v>0</v>
      </c>
      <c r="AG85" s="22" t="n">
        <f aca="false">ROUND(AD85-AE85-AF85,2)</f>
        <v>0</v>
      </c>
      <c r="AH85" s="22" t="n">
        <f aca="false">AK84*(1+I$7)</f>
        <v>0</v>
      </c>
      <c r="AI85" s="22" t="n">
        <f aca="false">MIN(AH85,I$8)</f>
        <v>0</v>
      </c>
      <c r="AJ85" s="22" t="n">
        <f aca="false">MAX(0,MIN(AH85-AI85,$C85-(P85+T85+X85+AB85+AF85)))</f>
        <v>0</v>
      </c>
      <c r="AK85" s="22" t="n">
        <f aca="false">ROUND(AH85-AI85-AJ85,2)</f>
        <v>0</v>
      </c>
      <c r="AL85" s="22" t="n">
        <f aca="false">AO84*(1+J$7)</f>
        <v>0</v>
      </c>
      <c r="AM85" s="22" t="n">
        <f aca="false">MIN(AL85,J$8)</f>
        <v>0</v>
      </c>
      <c r="AN85" s="22" t="n">
        <f aca="false">MAX(0,MIN(AL85-AM85,$C85-(P85+T85+X85+AB85+AF85+AJ85)))</f>
        <v>0</v>
      </c>
      <c r="AO85" s="22" t="n">
        <f aca="false">ROUND(AL85-AM85-AN85,2)</f>
        <v>0</v>
      </c>
      <c r="AP85" s="22" t="n">
        <f aca="false">AS84*(1+K$7)</f>
        <v>0</v>
      </c>
      <c r="AQ85" s="22" t="n">
        <f aca="false">MIN(AP85,K$8)</f>
        <v>0</v>
      </c>
      <c r="AR85" s="22" t="n">
        <f aca="false">MAX(0,MIN(AP85-AQ85,$C85-(P85+T85+X85+AB85+AF85+AJ85+AN85)))</f>
        <v>0</v>
      </c>
      <c r="AS85" s="22" t="n">
        <f aca="false">ROUND(AP85-AQ85-AR85,2)</f>
        <v>0</v>
      </c>
      <c r="AT85" s="22" t="n">
        <f aca="false">AW84*(1+L$7)</f>
        <v>0</v>
      </c>
      <c r="AU85" s="22" t="n">
        <f aca="false">MIN(AT85,L$8)</f>
        <v>0</v>
      </c>
      <c r="AV85" s="22" t="n">
        <f aca="false">MAX(0,MIN(AT85-AU85,$C85-(P85+T85+X85+AB85+AF85+AJ85+AN85+AR85)))</f>
        <v>0</v>
      </c>
      <c r="AW85" s="22" t="n">
        <f aca="false">ROUND(AT85-AU85-AV85,2)</f>
        <v>0</v>
      </c>
      <c r="AX85" s="22" t="n">
        <f aca="false">BA84*(1+M$7)</f>
        <v>0</v>
      </c>
      <c r="AY85" s="22" t="n">
        <f aca="false">MIN(AX85,M$8)</f>
        <v>0</v>
      </c>
      <c r="AZ85" s="22" t="n">
        <f aca="false">MAX(0,MIN(AX85-AY85,$C85-(P85+T85+X85+AB85+AF85+AJ85+AN85+AR85+AV85)))</f>
        <v>0</v>
      </c>
      <c r="BA85" s="22" t="n">
        <f aca="false">ROUND(AX85-AY85-AZ85,2)</f>
        <v>0</v>
      </c>
    </row>
    <row r="86" customFormat="false" ht="15" hidden="false" customHeight="false" outlineLevel="0" collapsed="false">
      <c r="A86" s="0" t="n">
        <v>76</v>
      </c>
      <c r="B86" s="39" t="n">
        <f aca="false">EDATE(Borçlar!$K$7,75)</f>
        <v>48580</v>
      </c>
      <c r="C86" s="36" t="n">
        <f aca="false">MAX(0,SUM(Borçlar!$D$5:$D$14)-(O86+S86+W86+AA86+AE86+AI86+AM86+AQ86+AU86+AY86))</f>
        <v>14000</v>
      </c>
      <c r="D86" s="36" t="n">
        <f aca="false">O86+P86+S86+T86+W86+X86+AA86+AB86+AE86+AF86+AI86+AJ86+AM86+AN86+AQ86+AR86+AU86+AV86+AY86+AZ86</f>
        <v>0</v>
      </c>
      <c r="E86" s="36" t="n">
        <f aca="false">(N86+R86+V86+Z86+AD86+AH86+AL86+AP86+AT86+AX86)-(F85)</f>
        <v>0</v>
      </c>
      <c r="F86" s="36" t="n">
        <f aca="false">Q86+U86+Y86+AC86+AG86+AK86+AO86+AS86+AW86+BA86</f>
        <v>0</v>
      </c>
      <c r="N86" s="22" t="n">
        <f aca="false">Q85*(1+D$7)</f>
        <v>0</v>
      </c>
      <c r="O86" s="22" t="n">
        <f aca="false">MIN(N86,D$8)</f>
        <v>0</v>
      </c>
      <c r="P86" s="22" t="n">
        <f aca="false">MAX(0,MIN(N86-O86,$C86-(0)))</f>
        <v>0</v>
      </c>
      <c r="Q86" s="22" t="n">
        <f aca="false">ROUND(N86-O86-P86,2)</f>
        <v>0</v>
      </c>
      <c r="R86" s="22" t="n">
        <f aca="false">U85*(1+E$7)</f>
        <v>0</v>
      </c>
      <c r="S86" s="22" t="n">
        <f aca="false">MIN(R86,E$8)</f>
        <v>0</v>
      </c>
      <c r="T86" s="22" t="n">
        <f aca="false">MAX(0,MIN(R86-S86,$C86-(P86)))</f>
        <v>0</v>
      </c>
      <c r="U86" s="22" t="n">
        <f aca="false">ROUND(R86-S86-T86,2)</f>
        <v>0</v>
      </c>
      <c r="V86" s="22" t="n">
        <f aca="false">Y85*(1+F$7)</f>
        <v>0</v>
      </c>
      <c r="W86" s="22" t="n">
        <f aca="false">MIN(V86,F$8)</f>
        <v>0</v>
      </c>
      <c r="X86" s="22" t="n">
        <f aca="false">MAX(0,MIN(V86-W86,$C86-(P86+T86)))</f>
        <v>0</v>
      </c>
      <c r="Y86" s="22" t="n">
        <f aca="false">ROUND(V86-W86-X86,2)</f>
        <v>0</v>
      </c>
      <c r="Z86" s="22" t="n">
        <f aca="false">AC85*(1+G$7)</f>
        <v>0</v>
      </c>
      <c r="AA86" s="22" t="n">
        <f aca="false">MIN(Z86,G$8)</f>
        <v>0</v>
      </c>
      <c r="AB86" s="22" t="n">
        <f aca="false">MAX(0,MIN(Z86-AA86,$C86-(P86+T86+X86)))</f>
        <v>0</v>
      </c>
      <c r="AC86" s="22" t="n">
        <f aca="false">ROUND(Z86-AA86-AB86,2)</f>
        <v>0</v>
      </c>
      <c r="AD86" s="22" t="n">
        <f aca="false">AG85*(1+H$7)</f>
        <v>0</v>
      </c>
      <c r="AE86" s="22" t="n">
        <f aca="false">MIN(AD86,H$8)</f>
        <v>0</v>
      </c>
      <c r="AF86" s="22" t="n">
        <f aca="false">MAX(0,MIN(AD86-AE86,$C86-(P86+T86+X86+AB86)))</f>
        <v>0</v>
      </c>
      <c r="AG86" s="22" t="n">
        <f aca="false">ROUND(AD86-AE86-AF86,2)</f>
        <v>0</v>
      </c>
      <c r="AH86" s="22" t="n">
        <f aca="false">AK85*(1+I$7)</f>
        <v>0</v>
      </c>
      <c r="AI86" s="22" t="n">
        <f aca="false">MIN(AH86,I$8)</f>
        <v>0</v>
      </c>
      <c r="AJ86" s="22" t="n">
        <f aca="false">MAX(0,MIN(AH86-AI86,$C86-(P86+T86+X86+AB86+AF86)))</f>
        <v>0</v>
      </c>
      <c r="AK86" s="22" t="n">
        <f aca="false">ROUND(AH86-AI86-AJ86,2)</f>
        <v>0</v>
      </c>
      <c r="AL86" s="22" t="n">
        <f aca="false">AO85*(1+J$7)</f>
        <v>0</v>
      </c>
      <c r="AM86" s="22" t="n">
        <f aca="false">MIN(AL86,J$8)</f>
        <v>0</v>
      </c>
      <c r="AN86" s="22" t="n">
        <f aca="false">MAX(0,MIN(AL86-AM86,$C86-(P86+T86+X86+AB86+AF86+AJ86)))</f>
        <v>0</v>
      </c>
      <c r="AO86" s="22" t="n">
        <f aca="false">ROUND(AL86-AM86-AN86,2)</f>
        <v>0</v>
      </c>
      <c r="AP86" s="22" t="n">
        <f aca="false">AS85*(1+K$7)</f>
        <v>0</v>
      </c>
      <c r="AQ86" s="22" t="n">
        <f aca="false">MIN(AP86,K$8)</f>
        <v>0</v>
      </c>
      <c r="AR86" s="22" t="n">
        <f aca="false">MAX(0,MIN(AP86-AQ86,$C86-(P86+T86+X86+AB86+AF86+AJ86+AN86)))</f>
        <v>0</v>
      </c>
      <c r="AS86" s="22" t="n">
        <f aca="false">ROUND(AP86-AQ86-AR86,2)</f>
        <v>0</v>
      </c>
      <c r="AT86" s="22" t="n">
        <f aca="false">AW85*(1+L$7)</f>
        <v>0</v>
      </c>
      <c r="AU86" s="22" t="n">
        <f aca="false">MIN(AT86,L$8)</f>
        <v>0</v>
      </c>
      <c r="AV86" s="22" t="n">
        <f aca="false">MAX(0,MIN(AT86-AU86,$C86-(P86+T86+X86+AB86+AF86+AJ86+AN86+AR86)))</f>
        <v>0</v>
      </c>
      <c r="AW86" s="22" t="n">
        <f aca="false">ROUND(AT86-AU86-AV86,2)</f>
        <v>0</v>
      </c>
      <c r="AX86" s="22" t="n">
        <f aca="false">BA85*(1+M$7)</f>
        <v>0</v>
      </c>
      <c r="AY86" s="22" t="n">
        <f aca="false">MIN(AX86,M$8)</f>
        <v>0</v>
      </c>
      <c r="AZ86" s="22" t="n">
        <f aca="false">MAX(0,MIN(AX86-AY86,$C86-(P86+T86+X86+AB86+AF86+AJ86+AN86+AR86+AV86)))</f>
        <v>0</v>
      </c>
      <c r="BA86" s="22" t="n">
        <f aca="false">ROUND(AX86-AY86-AZ86,2)</f>
        <v>0</v>
      </c>
    </row>
    <row r="87" customFormat="false" ht="15" hidden="false" customHeight="false" outlineLevel="0" collapsed="false">
      <c r="A87" s="0" t="n">
        <v>77</v>
      </c>
      <c r="B87" s="39" t="n">
        <f aca="false">EDATE(Borçlar!$K$7,76)</f>
        <v>48611</v>
      </c>
      <c r="C87" s="36" t="n">
        <f aca="false">MAX(0,SUM(Borçlar!$D$5:$D$14)-(O87+S87+W87+AA87+AE87+AI87+AM87+AQ87+AU87+AY87))</f>
        <v>14000</v>
      </c>
      <c r="D87" s="36" t="n">
        <f aca="false">O87+P87+S87+T87+W87+X87+AA87+AB87+AE87+AF87+AI87+AJ87+AM87+AN87+AQ87+AR87+AU87+AV87+AY87+AZ87</f>
        <v>0</v>
      </c>
      <c r="E87" s="36" t="n">
        <f aca="false">(N87+R87+V87+Z87+AD87+AH87+AL87+AP87+AT87+AX87)-(F86)</f>
        <v>0</v>
      </c>
      <c r="F87" s="36" t="n">
        <f aca="false">Q87+U87+Y87+AC87+AG87+AK87+AO87+AS87+AW87+BA87</f>
        <v>0</v>
      </c>
      <c r="N87" s="22" t="n">
        <f aca="false">Q86*(1+D$7)</f>
        <v>0</v>
      </c>
      <c r="O87" s="22" t="n">
        <f aca="false">MIN(N87,D$8)</f>
        <v>0</v>
      </c>
      <c r="P87" s="22" t="n">
        <f aca="false">MAX(0,MIN(N87-O87,$C87-(0)))</f>
        <v>0</v>
      </c>
      <c r="Q87" s="22" t="n">
        <f aca="false">ROUND(N87-O87-P87,2)</f>
        <v>0</v>
      </c>
      <c r="R87" s="22" t="n">
        <f aca="false">U86*(1+E$7)</f>
        <v>0</v>
      </c>
      <c r="S87" s="22" t="n">
        <f aca="false">MIN(R87,E$8)</f>
        <v>0</v>
      </c>
      <c r="T87" s="22" t="n">
        <f aca="false">MAX(0,MIN(R87-S87,$C87-(P87)))</f>
        <v>0</v>
      </c>
      <c r="U87" s="22" t="n">
        <f aca="false">ROUND(R87-S87-T87,2)</f>
        <v>0</v>
      </c>
      <c r="V87" s="22" t="n">
        <f aca="false">Y86*(1+F$7)</f>
        <v>0</v>
      </c>
      <c r="W87" s="22" t="n">
        <f aca="false">MIN(V87,F$8)</f>
        <v>0</v>
      </c>
      <c r="X87" s="22" t="n">
        <f aca="false">MAX(0,MIN(V87-W87,$C87-(P87+T87)))</f>
        <v>0</v>
      </c>
      <c r="Y87" s="22" t="n">
        <f aca="false">ROUND(V87-W87-X87,2)</f>
        <v>0</v>
      </c>
      <c r="Z87" s="22" t="n">
        <f aca="false">AC86*(1+G$7)</f>
        <v>0</v>
      </c>
      <c r="AA87" s="22" t="n">
        <f aca="false">MIN(Z87,G$8)</f>
        <v>0</v>
      </c>
      <c r="AB87" s="22" t="n">
        <f aca="false">MAX(0,MIN(Z87-AA87,$C87-(P87+T87+X87)))</f>
        <v>0</v>
      </c>
      <c r="AC87" s="22" t="n">
        <f aca="false">ROUND(Z87-AA87-AB87,2)</f>
        <v>0</v>
      </c>
      <c r="AD87" s="22" t="n">
        <f aca="false">AG86*(1+H$7)</f>
        <v>0</v>
      </c>
      <c r="AE87" s="22" t="n">
        <f aca="false">MIN(AD87,H$8)</f>
        <v>0</v>
      </c>
      <c r="AF87" s="22" t="n">
        <f aca="false">MAX(0,MIN(AD87-AE87,$C87-(P87+T87+X87+AB87)))</f>
        <v>0</v>
      </c>
      <c r="AG87" s="22" t="n">
        <f aca="false">ROUND(AD87-AE87-AF87,2)</f>
        <v>0</v>
      </c>
      <c r="AH87" s="22" t="n">
        <f aca="false">AK86*(1+I$7)</f>
        <v>0</v>
      </c>
      <c r="AI87" s="22" t="n">
        <f aca="false">MIN(AH87,I$8)</f>
        <v>0</v>
      </c>
      <c r="AJ87" s="22" t="n">
        <f aca="false">MAX(0,MIN(AH87-AI87,$C87-(P87+T87+X87+AB87+AF87)))</f>
        <v>0</v>
      </c>
      <c r="AK87" s="22" t="n">
        <f aca="false">ROUND(AH87-AI87-AJ87,2)</f>
        <v>0</v>
      </c>
      <c r="AL87" s="22" t="n">
        <f aca="false">AO86*(1+J$7)</f>
        <v>0</v>
      </c>
      <c r="AM87" s="22" t="n">
        <f aca="false">MIN(AL87,J$8)</f>
        <v>0</v>
      </c>
      <c r="AN87" s="22" t="n">
        <f aca="false">MAX(0,MIN(AL87-AM87,$C87-(P87+T87+X87+AB87+AF87+AJ87)))</f>
        <v>0</v>
      </c>
      <c r="AO87" s="22" t="n">
        <f aca="false">ROUND(AL87-AM87-AN87,2)</f>
        <v>0</v>
      </c>
      <c r="AP87" s="22" t="n">
        <f aca="false">AS86*(1+K$7)</f>
        <v>0</v>
      </c>
      <c r="AQ87" s="22" t="n">
        <f aca="false">MIN(AP87,K$8)</f>
        <v>0</v>
      </c>
      <c r="AR87" s="22" t="n">
        <f aca="false">MAX(0,MIN(AP87-AQ87,$C87-(P87+T87+X87+AB87+AF87+AJ87+AN87)))</f>
        <v>0</v>
      </c>
      <c r="AS87" s="22" t="n">
        <f aca="false">ROUND(AP87-AQ87-AR87,2)</f>
        <v>0</v>
      </c>
      <c r="AT87" s="22" t="n">
        <f aca="false">AW86*(1+L$7)</f>
        <v>0</v>
      </c>
      <c r="AU87" s="22" t="n">
        <f aca="false">MIN(AT87,L$8)</f>
        <v>0</v>
      </c>
      <c r="AV87" s="22" t="n">
        <f aca="false">MAX(0,MIN(AT87-AU87,$C87-(P87+T87+X87+AB87+AF87+AJ87+AN87+AR87)))</f>
        <v>0</v>
      </c>
      <c r="AW87" s="22" t="n">
        <f aca="false">ROUND(AT87-AU87-AV87,2)</f>
        <v>0</v>
      </c>
      <c r="AX87" s="22" t="n">
        <f aca="false">BA86*(1+M$7)</f>
        <v>0</v>
      </c>
      <c r="AY87" s="22" t="n">
        <f aca="false">MIN(AX87,M$8)</f>
        <v>0</v>
      </c>
      <c r="AZ87" s="22" t="n">
        <f aca="false">MAX(0,MIN(AX87-AY87,$C87-(P87+T87+X87+AB87+AF87+AJ87+AN87+AR87+AV87)))</f>
        <v>0</v>
      </c>
      <c r="BA87" s="22" t="n">
        <f aca="false">ROUND(AX87-AY87-AZ87,2)</f>
        <v>0</v>
      </c>
    </row>
    <row r="88" customFormat="false" ht="15" hidden="false" customHeight="false" outlineLevel="0" collapsed="false">
      <c r="A88" s="0" t="n">
        <v>78</v>
      </c>
      <c r="B88" s="39" t="n">
        <f aca="false">EDATE(Borçlar!$K$7,77)</f>
        <v>48639</v>
      </c>
      <c r="C88" s="36" t="n">
        <f aca="false">MAX(0,SUM(Borçlar!$D$5:$D$14)-(O88+S88+W88+AA88+AE88+AI88+AM88+AQ88+AU88+AY88))</f>
        <v>14000</v>
      </c>
      <c r="D88" s="36" t="n">
        <f aca="false">O88+P88+S88+T88+W88+X88+AA88+AB88+AE88+AF88+AI88+AJ88+AM88+AN88+AQ88+AR88+AU88+AV88+AY88+AZ88</f>
        <v>0</v>
      </c>
      <c r="E88" s="36" t="n">
        <f aca="false">(N88+R88+V88+Z88+AD88+AH88+AL88+AP88+AT88+AX88)-(F87)</f>
        <v>0</v>
      </c>
      <c r="F88" s="36" t="n">
        <f aca="false">Q88+U88+Y88+AC88+AG88+AK88+AO88+AS88+AW88+BA88</f>
        <v>0</v>
      </c>
      <c r="N88" s="22" t="n">
        <f aca="false">Q87*(1+D$7)</f>
        <v>0</v>
      </c>
      <c r="O88" s="22" t="n">
        <f aca="false">MIN(N88,D$8)</f>
        <v>0</v>
      </c>
      <c r="P88" s="22" t="n">
        <f aca="false">MAX(0,MIN(N88-O88,$C88-(0)))</f>
        <v>0</v>
      </c>
      <c r="Q88" s="22" t="n">
        <f aca="false">ROUND(N88-O88-P88,2)</f>
        <v>0</v>
      </c>
      <c r="R88" s="22" t="n">
        <f aca="false">U87*(1+E$7)</f>
        <v>0</v>
      </c>
      <c r="S88" s="22" t="n">
        <f aca="false">MIN(R88,E$8)</f>
        <v>0</v>
      </c>
      <c r="T88" s="22" t="n">
        <f aca="false">MAX(0,MIN(R88-S88,$C88-(P88)))</f>
        <v>0</v>
      </c>
      <c r="U88" s="22" t="n">
        <f aca="false">ROUND(R88-S88-T88,2)</f>
        <v>0</v>
      </c>
      <c r="V88" s="22" t="n">
        <f aca="false">Y87*(1+F$7)</f>
        <v>0</v>
      </c>
      <c r="W88" s="22" t="n">
        <f aca="false">MIN(V88,F$8)</f>
        <v>0</v>
      </c>
      <c r="X88" s="22" t="n">
        <f aca="false">MAX(0,MIN(V88-W88,$C88-(P88+T88)))</f>
        <v>0</v>
      </c>
      <c r="Y88" s="22" t="n">
        <f aca="false">ROUND(V88-W88-X88,2)</f>
        <v>0</v>
      </c>
      <c r="Z88" s="22" t="n">
        <f aca="false">AC87*(1+G$7)</f>
        <v>0</v>
      </c>
      <c r="AA88" s="22" t="n">
        <f aca="false">MIN(Z88,G$8)</f>
        <v>0</v>
      </c>
      <c r="AB88" s="22" t="n">
        <f aca="false">MAX(0,MIN(Z88-AA88,$C88-(P88+T88+X88)))</f>
        <v>0</v>
      </c>
      <c r="AC88" s="22" t="n">
        <f aca="false">ROUND(Z88-AA88-AB88,2)</f>
        <v>0</v>
      </c>
      <c r="AD88" s="22" t="n">
        <f aca="false">AG87*(1+H$7)</f>
        <v>0</v>
      </c>
      <c r="AE88" s="22" t="n">
        <f aca="false">MIN(AD88,H$8)</f>
        <v>0</v>
      </c>
      <c r="AF88" s="22" t="n">
        <f aca="false">MAX(0,MIN(AD88-AE88,$C88-(P88+T88+X88+AB88)))</f>
        <v>0</v>
      </c>
      <c r="AG88" s="22" t="n">
        <f aca="false">ROUND(AD88-AE88-AF88,2)</f>
        <v>0</v>
      </c>
      <c r="AH88" s="22" t="n">
        <f aca="false">AK87*(1+I$7)</f>
        <v>0</v>
      </c>
      <c r="AI88" s="22" t="n">
        <f aca="false">MIN(AH88,I$8)</f>
        <v>0</v>
      </c>
      <c r="AJ88" s="22" t="n">
        <f aca="false">MAX(0,MIN(AH88-AI88,$C88-(P88+T88+X88+AB88+AF88)))</f>
        <v>0</v>
      </c>
      <c r="AK88" s="22" t="n">
        <f aca="false">ROUND(AH88-AI88-AJ88,2)</f>
        <v>0</v>
      </c>
      <c r="AL88" s="22" t="n">
        <f aca="false">AO87*(1+J$7)</f>
        <v>0</v>
      </c>
      <c r="AM88" s="22" t="n">
        <f aca="false">MIN(AL88,J$8)</f>
        <v>0</v>
      </c>
      <c r="AN88" s="22" t="n">
        <f aca="false">MAX(0,MIN(AL88-AM88,$C88-(P88+T88+X88+AB88+AF88+AJ88)))</f>
        <v>0</v>
      </c>
      <c r="AO88" s="22" t="n">
        <f aca="false">ROUND(AL88-AM88-AN88,2)</f>
        <v>0</v>
      </c>
      <c r="AP88" s="22" t="n">
        <f aca="false">AS87*(1+K$7)</f>
        <v>0</v>
      </c>
      <c r="AQ88" s="22" t="n">
        <f aca="false">MIN(AP88,K$8)</f>
        <v>0</v>
      </c>
      <c r="AR88" s="22" t="n">
        <f aca="false">MAX(0,MIN(AP88-AQ88,$C88-(P88+T88+X88+AB88+AF88+AJ88+AN88)))</f>
        <v>0</v>
      </c>
      <c r="AS88" s="22" t="n">
        <f aca="false">ROUND(AP88-AQ88-AR88,2)</f>
        <v>0</v>
      </c>
      <c r="AT88" s="22" t="n">
        <f aca="false">AW87*(1+L$7)</f>
        <v>0</v>
      </c>
      <c r="AU88" s="22" t="n">
        <f aca="false">MIN(AT88,L$8)</f>
        <v>0</v>
      </c>
      <c r="AV88" s="22" t="n">
        <f aca="false">MAX(0,MIN(AT88-AU88,$C88-(P88+T88+X88+AB88+AF88+AJ88+AN88+AR88)))</f>
        <v>0</v>
      </c>
      <c r="AW88" s="22" t="n">
        <f aca="false">ROUND(AT88-AU88-AV88,2)</f>
        <v>0</v>
      </c>
      <c r="AX88" s="22" t="n">
        <f aca="false">BA87*(1+M$7)</f>
        <v>0</v>
      </c>
      <c r="AY88" s="22" t="n">
        <f aca="false">MIN(AX88,M$8)</f>
        <v>0</v>
      </c>
      <c r="AZ88" s="22" t="n">
        <f aca="false">MAX(0,MIN(AX88-AY88,$C88-(P88+T88+X88+AB88+AF88+AJ88+AN88+AR88+AV88)))</f>
        <v>0</v>
      </c>
      <c r="BA88" s="22" t="n">
        <f aca="false">ROUND(AX88-AY88-AZ88,2)</f>
        <v>0</v>
      </c>
    </row>
    <row r="89" customFormat="false" ht="15" hidden="false" customHeight="false" outlineLevel="0" collapsed="false">
      <c r="A89" s="0" t="n">
        <v>79</v>
      </c>
      <c r="B89" s="39" t="n">
        <f aca="false">EDATE(Borçlar!$K$7,78)</f>
        <v>48670</v>
      </c>
      <c r="C89" s="36" t="n">
        <f aca="false">MAX(0,SUM(Borçlar!$D$5:$D$14)-(O89+S89+W89+AA89+AE89+AI89+AM89+AQ89+AU89+AY89))</f>
        <v>14000</v>
      </c>
      <c r="D89" s="36" t="n">
        <f aca="false">O89+P89+S89+T89+W89+X89+AA89+AB89+AE89+AF89+AI89+AJ89+AM89+AN89+AQ89+AR89+AU89+AV89+AY89+AZ89</f>
        <v>0</v>
      </c>
      <c r="E89" s="36" t="n">
        <f aca="false">(N89+R89+V89+Z89+AD89+AH89+AL89+AP89+AT89+AX89)-(F88)</f>
        <v>0</v>
      </c>
      <c r="F89" s="36" t="n">
        <f aca="false">Q89+U89+Y89+AC89+AG89+AK89+AO89+AS89+AW89+BA89</f>
        <v>0</v>
      </c>
      <c r="N89" s="22" t="n">
        <f aca="false">Q88*(1+D$7)</f>
        <v>0</v>
      </c>
      <c r="O89" s="22" t="n">
        <f aca="false">MIN(N89,D$8)</f>
        <v>0</v>
      </c>
      <c r="P89" s="22" t="n">
        <f aca="false">MAX(0,MIN(N89-O89,$C89-(0)))</f>
        <v>0</v>
      </c>
      <c r="Q89" s="22" t="n">
        <f aca="false">ROUND(N89-O89-P89,2)</f>
        <v>0</v>
      </c>
      <c r="R89" s="22" t="n">
        <f aca="false">U88*(1+E$7)</f>
        <v>0</v>
      </c>
      <c r="S89" s="22" t="n">
        <f aca="false">MIN(R89,E$8)</f>
        <v>0</v>
      </c>
      <c r="T89" s="22" t="n">
        <f aca="false">MAX(0,MIN(R89-S89,$C89-(P89)))</f>
        <v>0</v>
      </c>
      <c r="U89" s="22" t="n">
        <f aca="false">ROUND(R89-S89-T89,2)</f>
        <v>0</v>
      </c>
      <c r="V89" s="22" t="n">
        <f aca="false">Y88*(1+F$7)</f>
        <v>0</v>
      </c>
      <c r="W89" s="22" t="n">
        <f aca="false">MIN(V89,F$8)</f>
        <v>0</v>
      </c>
      <c r="X89" s="22" t="n">
        <f aca="false">MAX(0,MIN(V89-W89,$C89-(P89+T89)))</f>
        <v>0</v>
      </c>
      <c r="Y89" s="22" t="n">
        <f aca="false">ROUND(V89-W89-X89,2)</f>
        <v>0</v>
      </c>
      <c r="Z89" s="22" t="n">
        <f aca="false">AC88*(1+G$7)</f>
        <v>0</v>
      </c>
      <c r="AA89" s="22" t="n">
        <f aca="false">MIN(Z89,G$8)</f>
        <v>0</v>
      </c>
      <c r="AB89" s="22" t="n">
        <f aca="false">MAX(0,MIN(Z89-AA89,$C89-(P89+T89+X89)))</f>
        <v>0</v>
      </c>
      <c r="AC89" s="22" t="n">
        <f aca="false">ROUND(Z89-AA89-AB89,2)</f>
        <v>0</v>
      </c>
      <c r="AD89" s="22" t="n">
        <f aca="false">AG88*(1+H$7)</f>
        <v>0</v>
      </c>
      <c r="AE89" s="22" t="n">
        <f aca="false">MIN(AD89,H$8)</f>
        <v>0</v>
      </c>
      <c r="AF89" s="22" t="n">
        <f aca="false">MAX(0,MIN(AD89-AE89,$C89-(P89+T89+X89+AB89)))</f>
        <v>0</v>
      </c>
      <c r="AG89" s="22" t="n">
        <f aca="false">ROUND(AD89-AE89-AF89,2)</f>
        <v>0</v>
      </c>
      <c r="AH89" s="22" t="n">
        <f aca="false">AK88*(1+I$7)</f>
        <v>0</v>
      </c>
      <c r="AI89" s="22" t="n">
        <f aca="false">MIN(AH89,I$8)</f>
        <v>0</v>
      </c>
      <c r="AJ89" s="22" t="n">
        <f aca="false">MAX(0,MIN(AH89-AI89,$C89-(P89+T89+X89+AB89+AF89)))</f>
        <v>0</v>
      </c>
      <c r="AK89" s="22" t="n">
        <f aca="false">ROUND(AH89-AI89-AJ89,2)</f>
        <v>0</v>
      </c>
      <c r="AL89" s="22" t="n">
        <f aca="false">AO88*(1+J$7)</f>
        <v>0</v>
      </c>
      <c r="AM89" s="22" t="n">
        <f aca="false">MIN(AL89,J$8)</f>
        <v>0</v>
      </c>
      <c r="AN89" s="22" t="n">
        <f aca="false">MAX(0,MIN(AL89-AM89,$C89-(P89+T89+X89+AB89+AF89+AJ89)))</f>
        <v>0</v>
      </c>
      <c r="AO89" s="22" t="n">
        <f aca="false">ROUND(AL89-AM89-AN89,2)</f>
        <v>0</v>
      </c>
      <c r="AP89" s="22" t="n">
        <f aca="false">AS88*(1+K$7)</f>
        <v>0</v>
      </c>
      <c r="AQ89" s="22" t="n">
        <f aca="false">MIN(AP89,K$8)</f>
        <v>0</v>
      </c>
      <c r="AR89" s="22" t="n">
        <f aca="false">MAX(0,MIN(AP89-AQ89,$C89-(P89+T89+X89+AB89+AF89+AJ89+AN89)))</f>
        <v>0</v>
      </c>
      <c r="AS89" s="22" t="n">
        <f aca="false">ROUND(AP89-AQ89-AR89,2)</f>
        <v>0</v>
      </c>
      <c r="AT89" s="22" t="n">
        <f aca="false">AW88*(1+L$7)</f>
        <v>0</v>
      </c>
      <c r="AU89" s="22" t="n">
        <f aca="false">MIN(AT89,L$8)</f>
        <v>0</v>
      </c>
      <c r="AV89" s="22" t="n">
        <f aca="false">MAX(0,MIN(AT89-AU89,$C89-(P89+T89+X89+AB89+AF89+AJ89+AN89+AR89)))</f>
        <v>0</v>
      </c>
      <c r="AW89" s="22" t="n">
        <f aca="false">ROUND(AT89-AU89-AV89,2)</f>
        <v>0</v>
      </c>
      <c r="AX89" s="22" t="n">
        <f aca="false">BA88*(1+M$7)</f>
        <v>0</v>
      </c>
      <c r="AY89" s="22" t="n">
        <f aca="false">MIN(AX89,M$8)</f>
        <v>0</v>
      </c>
      <c r="AZ89" s="22" t="n">
        <f aca="false">MAX(0,MIN(AX89-AY89,$C89-(P89+T89+X89+AB89+AF89+AJ89+AN89+AR89+AV89)))</f>
        <v>0</v>
      </c>
      <c r="BA89" s="22" t="n">
        <f aca="false">ROUND(AX89-AY89-AZ89,2)</f>
        <v>0</v>
      </c>
    </row>
    <row r="90" customFormat="false" ht="15" hidden="false" customHeight="false" outlineLevel="0" collapsed="false">
      <c r="A90" s="0" t="n">
        <v>80</v>
      </c>
      <c r="B90" s="39" t="n">
        <f aca="false">EDATE(Borçlar!$K$7,79)</f>
        <v>48700</v>
      </c>
      <c r="C90" s="36" t="n">
        <f aca="false">MAX(0,SUM(Borçlar!$D$5:$D$14)-(O90+S90+W90+AA90+AE90+AI90+AM90+AQ90+AU90+AY90))</f>
        <v>14000</v>
      </c>
      <c r="D90" s="36" t="n">
        <f aca="false">O90+P90+S90+T90+W90+X90+AA90+AB90+AE90+AF90+AI90+AJ90+AM90+AN90+AQ90+AR90+AU90+AV90+AY90+AZ90</f>
        <v>0</v>
      </c>
      <c r="E90" s="36" t="n">
        <f aca="false">(N90+R90+V90+Z90+AD90+AH90+AL90+AP90+AT90+AX90)-(F89)</f>
        <v>0</v>
      </c>
      <c r="F90" s="36" t="n">
        <f aca="false">Q90+U90+Y90+AC90+AG90+AK90+AO90+AS90+AW90+BA90</f>
        <v>0</v>
      </c>
      <c r="N90" s="22" t="n">
        <f aca="false">Q89*(1+D$7)</f>
        <v>0</v>
      </c>
      <c r="O90" s="22" t="n">
        <f aca="false">MIN(N90,D$8)</f>
        <v>0</v>
      </c>
      <c r="P90" s="22" t="n">
        <f aca="false">MAX(0,MIN(N90-O90,$C90-(0)))</f>
        <v>0</v>
      </c>
      <c r="Q90" s="22" t="n">
        <f aca="false">ROUND(N90-O90-P90,2)</f>
        <v>0</v>
      </c>
      <c r="R90" s="22" t="n">
        <f aca="false">U89*(1+E$7)</f>
        <v>0</v>
      </c>
      <c r="S90" s="22" t="n">
        <f aca="false">MIN(R90,E$8)</f>
        <v>0</v>
      </c>
      <c r="T90" s="22" t="n">
        <f aca="false">MAX(0,MIN(R90-S90,$C90-(P90)))</f>
        <v>0</v>
      </c>
      <c r="U90" s="22" t="n">
        <f aca="false">ROUND(R90-S90-T90,2)</f>
        <v>0</v>
      </c>
      <c r="V90" s="22" t="n">
        <f aca="false">Y89*(1+F$7)</f>
        <v>0</v>
      </c>
      <c r="W90" s="22" t="n">
        <f aca="false">MIN(V90,F$8)</f>
        <v>0</v>
      </c>
      <c r="X90" s="22" t="n">
        <f aca="false">MAX(0,MIN(V90-W90,$C90-(P90+T90)))</f>
        <v>0</v>
      </c>
      <c r="Y90" s="22" t="n">
        <f aca="false">ROUND(V90-W90-X90,2)</f>
        <v>0</v>
      </c>
      <c r="Z90" s="22" t="n">
        <f aca="false">AC89*(1+G$7)</f>
        <v>0</v>
      </c>
      <c r="AA90" s="22" t="n">
        <f aca="false">MIN(Z90,G$8)</f>
        <v>0</v>
      </c>
      <c r="AB90" s="22" t="n">
        <f aca="false">MAX(0,MIN(Z90-AA90,$C90-(P90+T90+X90)))</f>
        <v>0</v>
      </c>
      <c r="AC90" s="22" t="n">
        <f aca="false">ROUND(Z90-AA90-AB90,2)</f>
        <v>0</v>
      </c>
      <c r="AD90" s="22" t="n">
        <f aca="false">AG89*(1+H$7)</f>
        <v>0</v>
      </c>
      <c r="AE90" s="22" t="n">
        <f aca="false">MIN(AD90,H$8)</f>
        <v>0</v>
      </c>
      <c r="AF90" s="22" t="n">
        <f aca="false">MAX(0,MIN(AD90-AE90,$C90-(P90+T90+X90+AB90)))</f>
        <v>0</v>
      </c>
      <c r="AG90" s="22" t="n">
        <f aca="false">ROUND(AD90-AE90-AF90,2)</f>
        <v>0</v>
      </c>
      <c r="AH90" s="22" t="n">
        <f aca="false">AK89*(1+I$7)</f>
        <v>0</v>
      </c>
      <c r="AI90" s="22" t="n">
        <f aca="false">MIN(AH90,I$8)</f>
        <v>0</v>
      </c>
      <c r="AJ90" s="22" t="n">
        <f aca="false">MAX(0,MIN(AH90-AI90,$C90-(P90+T90+X90+AB90+AF90)))</f>
        <v>0</v>
      </c>
      <c r="AK90" s="22" t="n">
        <f aca="false">ROUND(AH90-AI90-AJ90,2)</f>
        <v>0</v>
      </c>
      <c r="AL90" s="22" t="n">
        <f aca="false">AO89*(1+J$7)</f>
        <v>0</v>
      </c>
      <c r="AM90" s="22" t="n">
        <f aca="false">MIN(AL90,J$8)</f>
        <v>0</v>
      </c>
      <c r="AN90" s="22" t="n">
        <f aca="false">MAX(0,MIN(AL90-AM90,$C90-(P90+T90+X90+AB90+AF90+AJ90)))</f>
        <v>0</v>
      </c>
      <c r="AO90" s="22" t="n">
        <f aca="false">ROUND(AL90-AM90-AN90,2)</f>
        <v>0</v>
      </c>
      <c r="AP90" s="22" t="n">
        <f aca="false">AS89*(1+K$7)</f>
        <v>0</v>
      </c>
      <c r="AQ90" s="22" t="n">
        <f aca="false">MIN(AP90,K$8)</f>
        <v>0</v>
      </c>
      <c r="AR90" s="22" t="n">
        <f aca="false">MAX(0,MIN(AP90-AQ90,$C90-(P90+T90+X90+AB90+AF90+AJ90+AN90)))</f>
        <v>0</v>
      </c>
      <c r="AS90" s="22" t="n">
        <f aca="false">ROUND(AP90-AQ90-AR90,2)</f>
        <v>0</v>
      </c>
      <c r="AT90" s="22" t="n">
        <f aca="false">AW89*(1+L$7)</f>
        <v>0</v>
      </c>
      <c r="AU90" s="22" t="n">
        <f aca="false">MIN(AT90,L$8)</f>
        <v>0</v>
      </c>
      <c r="AV90" s="22" t="n">
        <f aca="false">MAX(0,MIN(AT90-AU90,$C90-(P90+T90+X90+AB90+AF90+AJ90+AN90+AR90)))</f>
        <v>0</v>
      </c>
      <c r="AW90" s="22" t="n">
        <f aca="false">ROUND(AT90-AU90-AV90,2)</f>
        <v>0</v>
      </c>
      <c r="AX90" s="22" t="n">
        <f aca="false">BA89*(1+M$7)</f>
        <v>0</v>
      </c>
      <c r="AY90" s="22" t="n">
        <f aca="false">MIN(AX90,M$8)</f>
        <v>0</v>
      </c>
      <c r="AZ90" s="22" t="n">
        <f aca="false">MAX(0,MIN(AX90-AY90,$C90-(P90+T90+X90+AB90+AF90+AJ90+AN90+AR90+AV90)))</f>
        <v>0</v>
      </c>
      <c r="BA90" s="22" t="n">
        <f aca="false">ROUND(AX90-AY90-AZ90,2)</f>
        <v>0</v>
      </c>
    </row>
    <row r="91" customFormat="false" ht="15" hidden="false" customHeight="false" outlineLevel="0" collapsed="false">
      <c r="A91" s="0" t="n">
        <v>81</v>
      </c>
      <c r="B91" s="39" t="n">
        <f aca="false">EDATE(Borçlar!$K$7,80)</f>
        <v>48731</v>
      </c>
      <c r="C91" s="36" t="n">
        <f aca="false">MAX(0,SUM(Borçlar!$D$5:$D$14)-(O91+S91+W91+AA91+AE91+AI91+AM91+AQ91+AU91+AY91))</f>
        <v>14000</v>
      </c>
      <c r="D91" s="36" t="n">
        <f aca="false">O91+P91+S91+T91+W91+X91+AA91+AB91+AE91+AF91+AI91+AJ91+AM91+AN91+AQ91+AR91+AU91+AV91+AY91+AZ91</f>
        <v>0</v>
      </c>
      <c r="E91" s="36" t="n">
        <f aca="false">(N91+R91+V91+Z91+AD91+AH91+AL91+AP91+AT91+AX91)-(F90)</f>
        <v>0</v>
      </c>
      <c r="F91" s="36" t="n">
        <f aca="false">Q91+U91+Y91+AC91+AG91+AK91+AO91+AS91+AW91+BA91</f>
        <v>0</v>
      </c>
      <c r="N91" s="22" t="n">
        <f aca="false">Q90*(1+D$7)</f>
        <v>0</v>
      </c>
      <c r="O91" s="22" t="n">
        <f aca="false">MIN(N91,D$8)</f>
        <v>0</v>
      </c>
      <c r="P91" s="22" t="n">
        <f aca="false">MAX(0,MIN(N91-O91,$C91-(0)))</f>
        <v>0</v>
      </c>
      <c r="Q91" s="22" t="n">
        <f aca="false">ROUND(N91-O91-P91,2)</f>
        <v>0</v>
      </c>
      <c r="R91" s="22" t="n">
        <f aca="false">U90*(1+E$7)</f>
        <v>0</v>
      </c>
      <c r="S91" s="22" t="n">
        <f aca="false">MIN(R91,E$8)</f>
        <v>0</v>
      </c>
      <c r="T91" s="22" t="n">
        <f aca="false">MAX(0,MIN(R91-S91,$C91-(P91)))</f>
        <v>0</v>
      </c>
      <c r="U91" s="22" t="n">
        <f aca="false">ROUND(R91-S91-T91,2)</f>
        <v>0</v>
      </c>
      <c r="V91" s="22" t="n">
        <f aca="false">Y90*(1+F$7)</f>
        <v>0</v>
      </c>
      <c r="W91" s="22" t="n">
        <f aca="false">MIN(V91,F$8)</f>
        <v>0</v>
      </c>
      <c r="X91" s="22" t="n">
        <f aca="false">MAX(0,MIN(V91-W91,$C91-(P91+T91)))</f>
        <v>0</v>
      </c>
      <c r="Y91" s="22" t="n">
        <f aca="false">ROUND(V91-W91-X91,2)</f>
        <v>0</v>
      </c>
      <c r="Z91" s="22" t="n">
        <f aca="false">AC90*(1+G$7)</f>
        <v>0</v>
      </c>
      <c r="AA91" s="22" t="n">
        <f aca="false">MIN(Z91,G$8)</f>
        <v>0</v>
      </c>
      <c r="AB91" s="22" t="n">
        <f aca="false">MAX(0,MIN(Z91-AA91,$C91-(P91+T91+X91)))</f>
        <v>0</v>
      </c>
      <c r="AC91" s="22" t="n">
        <f aca="false">ROUND(Z91-AA91-AB91,2)</f>
        <v>0</v>
      </c>
      <c r="AD91" s="22" t="n">
        <f aca="false">AG90*(1+H$7)</f>
        <v>0</v>
      </c>
      <c r="AE91" s="22" t="n">
        <f aca="false">MIN(AD91,H$8)</f>
        <v>0</v>
      </c>
      <c r="AF91" s="22" t="n">
        <f aca="false">MAX(0,MIN(AD91-AE91,$C91-(P91+T91+X91+AB91)))</f>
        <v>0</v>
      </c>
      <c r="AG91" s="22" t="n">
        <f aca="false">ROUND(AD91-AE91-AF91,2)</f>
        <v>0</v>
      </c>
      <c r="AH91" s="22" t="n">
        <f aca="false">AK90*(1+I$7)</f>
        <v>0</v>
      </c>
      <c r="AI91" s="22" t="n">
        <f aca="false">MIN(AH91,I$8)</f>
        <v>0</v>
      </c>
      <c r="AJ91" s="22" t="n">
        <f aca="false">MAX(0,MIN(AH91-AI91,$C91-(P91+T91+X91+AB91+AF91)))</f>
        <v>0</v>
      </c>
      <c r="AK91" s="22" t="n">
        <f aca="false">ROUND(AH91-AI91-AJ91,2)</f>
        <v>0</v>
      </c>
      <c r="AL91" s="22" t="n">
        <f aca="false">AO90*(1+J$7)</f>
        <v>0</v>
      </c>
      <c r="AM91" s="22" t="n">
        <f aca="false">MIN(AL91,J$8)</f>
        <v>0</v>
      </c>
      <c r="AN91" s="22" t="n">
        <f aca="false">MAX(0,MIN(AL91-AM91,$C91-(P91+T91+X91+AB91+AF91+AJ91)))</f>
        <v>0</v>
      </c>
      <c r="AO91" s="22" t="n">
        <f aca="false">ROUND(AL91-AM91-AN91,2)</f>
        <v>0</v>
      </c>
      <c r="AP91" s="22" t="n">
        <f aca="false">AS90*(1+K$7)</f>
        <v>0</v>
      </c>
      <c r="AQ91" s="22" t="n">
        <f aca="false">MIN(AP91,K$8)</f>
        <v>0</v>
      </c>
      <c r="AR91" s="22" t="n">
        <f aca="false">MAX(0,MIN(AP91-AQ91,$C91-(P91+T91+X91+AB91+AF91+AJ91+AN91)))</f>
        <v>0</v>
      </c>
      <c r="AS91" s="22" t="n">
        <f aca="false">ROUND(AP91-AQ91-AR91,2)</f>
        <v>0</v>
      </c>
      <c r="AT91" s="22" t="n">
        <f aca="false">AW90*(1+L$7)</f>
        <v>0</v>
      </c>
      <c r="AU91" s="22" t="n">
        <f aca="false">MIN(AT91,L$8)</f>
        <v>0</v>
      </c>
      <c r="AV91" s="22" t="n">
        <f aca="false">MAX(0,MIN(AT91-AU91,$C91-(P91+T91+X91+AB91+AF91+AJ91+AN91+AR91)))</f>
        <v>0</v>
      </c>
      <c r="AW91" s="22" t="n">
        <f aca="false">ROUND(AT91-AU91-AV91,2)</f>
        <v>0</v>
      </c>
      <c r="AX91" s="22" t="n">
        <f aca="false">BA90*(1+M$7)</f>
        <v>0</v>
      </c>
      <c r="AY91" s="22" t="n">
        <f aca="false">MIN(AX91,M$8)</f>
        <v>0</v>
      </c>
      <c r="AZ91" s="22" t="n">
        <f aca="false">MAX(0,MIN(AX91-AY91,$C91-(P91+T91+X91+AB91+AF91+AJ91+AN91+AR91+AV91)))</f>
        <v>0</v>
      </c>
      <c r="BA91" s="22" t="n">
        <f aca="false">ROUND(AX91-AY91-AZ91,2)</f>
        <v>0</v>
      </c>
    </row>
    <row r="92" customFormat="false" ht="15" hidden="false" customHeight="false" outlineLevel="0" collapsed="false">
      <c r="A92" s="0" t="n">
        <v>82</v>
      </c>
      <c r="B92" s="39" t="n">
        <f aca="false">EDATE(Borçlar!$K$7,81)</f>
        <v>48761</v>
      </c>
      <c r="C92" s="36" t="n">
        <f aca="false">MAX(0,SUM(Borçlar!$D$5:$D$14)-(O92+S92+W92+AA92+AE92+AI92+AM92+AQ92+AU92+AY92))</f>
        <v>14000</v>
      </c>
      <c r="D92" s="36" t="n">
        <f aca="false">O92+P92+S92+T92+W92+X92+AA92+AB92+AE92+AF92+AI92+AJ92+AM92+AN92+AQ92+AR92+AU92+AV92+AY92+AZ92</f>
        <v>0</v>
      </c>
      <c r="E92" s="36" t="n">
        <f aca="false">(N92+R92+V92+Z92+AD92+AH92+AL92+AP92+AT92+AX92)-(F91)</f>
        <v>0</v>
      </c>
      <c r="F92" s="36" t="n">
        <f aca="false">Q92+U92+Y92+AC92+AG92+AK92+AO92+AS92+AW92+BA92</f>
        <v>0</v>
      </c>
      <c r="N92" s="22" t="n">
        <f aca="false">Q91*(1+D$7)</f>
        <v>0</v>
      </c>
      <c r="O92" s="22" t="n">
        <f aca="false">MIN(N92,D$8)</f>
        <v>0</v>
      </c>
      <c r="P92" s="22" t="n">
        <f aca="false">MAX(0,MIN(N92-O92,$C92-(0)))</f>
        <v>0</v>
      </c>
      <c r="Q92" s="22" t="n">
        <f aca="false">ROUND(N92-O92-P92,2)</f>
        <v>0</v>
      </c>
      <c r="R92" s="22" t="n">
        <f aca="false">U91*(1+E$7)</f>
        <v>0</v>
      </c>
      <c r="S92" s="22" t="n">
        <f aca="false">MIN(R92,E$8)</f>
        <v>0</v>
      </c>
      <c r="T92" s="22" t="n">
        <f aca="false">MAX(0,MIN(R92-S92,$C92-(P92)))</f>
        <v>0</v>
      </c>
      <c r="U92" s="22" t="n">
        <f aca="false">ROUND(R92-S92-T92,2)</f>
        <v>0</v>
      </c>
      <c r="V92" s="22" t="n">
        <f aca="false">Y91*(1+F$7)</f>
        <v>0</v>
      </c>
      <c r="W92" s="22" t="n">
        <f aca="false">MIN(V92,F$8)</f>
        <v>0</v>
      </c>
      <c r="X92" s="22" t="n">
        <f aca="false">MAX(0,MIN(V92-W92,$C92-(P92+T92)))</f>
        <v>0</v>
      </c>
      <c r="Y92" s="22" t="n">
        <f aca="false">ROUND(V92-W92-X92,2)</f>
        <v>0</v>
      </c>
      <c r="Z92" s="22" t="n">
        <f aca="false">AC91*(1+G$7)</f>
        <v>0</v>
      </c>
      <c r="AA92" s="22" t="n">
        <f aca="false">MIN(Z92,G$8)</f>
        <v>0</v>
      </c>
      <c r="AB92" s="22" t="n">
        <f aca="false">MAX(0,MIN(Z92-AA92,$C92-(P92+T92+X92)))</f>
        <v>0</v>
      </c>
      <c r="AC92" s="22" t="n">
        <f aca="false">ROUND(Z92-AA92-AB92,2)</f>
        <v>0</v>
      </c>
      <c r="AD92" s="22" t="n">
        <f aca="false">AG91*(1+H$7)</f>
        <v>0</v>
      </c>
      <c r="AE92" s="22" t="n">
        <f aca="false">MIN(AD92,H$8)</f>
        <v>0</v>
      </c>
      <c r="AF92" s="22" t="n">
        <f aca="false">MAX(0,MIN(AD92-AE92,$C92-(P92+T92+X92+AB92)))</f>
        <v>0</v>
      </c>
      <c r="AG92" s="22" t="n">
        <f aca="false">ROUND(AD92-AE92-AF92,2)</f>
        <v>0</v>
      </c>
      <c r="AH92" s="22" t="n">
        <f aca="false">AK91*(1+I$7)</f>
        <v>0</v>
      </c>
      <c r="AI92" s="22" t="n">
        <f aca="false">MIN(AH92,I$8)</f>
        <v>0</v>
      </c>
      <c r="AJ92" s="22" t="n">
        <f aca="false">MAX(0,MIN(AH92-AI92,$C92-(P92+T92+X92+AB92+AF92)))</f>
        <v>0</v>
      </c>
      <c r="AK92" s="22" t="n">
        <f aca="false">ROUND(AH92-AI92-AJ92,2)</f>
        <v>0</v>
      </c>
      <c r="AL92" s="22" t="n">
        <f aca="false">AO91*(1+J$7)</f>
        <v>0</v>
      </c>
      <c r="AM92" s="22" t="n">
        <f aca="false">MIN(AL92,J$8)</f>
        <v>0</v>
      </c>
      <c r="AN92" s="22" t="n">
        <f aca="false">MAX(0,MIN(AL92-AM92,$C92-(P92+T92+X92+AB92+AF92+AJ92)))</f>
        <v>0</v>
      </c>
      <c r="AO92" s="22" t="n">
        <f aca="false">ROUND(AL92-AM92-AN92,2)</f>
        <v>0</v>
      </c>
      <c r="AP92" s="22" t="n">
        <f aca="false">AS91*(1+K$7)</f>
        <v>0</v>
      </c>
      <c r="AQ92" s="22" t="n">
        <f aca="false">MIN(AP92,K$8)</f>
        <v>0</v>
      </c>
      <c r="AR92" s="22" t="n">
        <f aca="false">MAX(0,MIN(AP92-AQ92,$C92-(P92+T92+X92+AB92+AF92+AJ92+AN92)))</f>
        <v>0</v>
      </c>
      <c r="AS92" s="22" t="n">
        <f aca="false">ROUND(AP92-AQ92-AR92,2)</f>
        <v>0</v>
      </c>
      <c r="AT92" s="22" t="n">
        <f aca="false">AW91*(1+L$7)</f>
        <v>0</v>
      </c>
      <c r="AU92" s="22" t="n">
        <f aca="false">MIN(AT92,L$8)</f>
        <v>0</v>
      </c>
      <c r="AV92" s="22" t="n">
        <f aca="false">MAX(0,MIN(AT92-AU92,$C92-(P92+T92+X92+AB92+AF92+AJ92+AN92+AR92)))</f>
        <v>0</v>
      </c>
      <c r="AW92" s="22" t="n">
        <f aca="false">ROUND(AT92-AU92-AV92,2)</f>
        <v>0</v>
      </c>
      <c r="AX92" s="22" t="n">
        <f aca="false">BA91*(1+M$7)</f>
        <v>0</v>
      </c>
      <c r="AY92" s="22" t="n">
        <f aca="false">MIN(AX92,M$8)</f>
        <v>0</v>
      </c>
      <c r="AZ92" s="22" t="n">
        <f aca="false">MAX(0,MIN(AX92-AY92,$C92-(P92+T92+X92+AB92+AF92+AJ92+AN92+AR92+AV92)))</f>
        <v>0</v>
      </c>
      <c r="BA92" s="22" t="n">
        <f aca="false">ROUND(AX92-AY92-AZ92,2)</f>
        <v>0</v>
      </c>
    </row>
    <row r="93" customFormat="false" ht="15" hidden="false" customHeight="false" outlineLevel="0" collapsed="false">
      <c r="A93" s="0" t="n">
        <v>83</v>
      </c>
      <c r="B93" s="39" t="n">
        <f aca="false">EDATE(Borçlar!$K$7,82)</f>
        <v>48792</v>
      </c>
      <c r="C93" s="36" t="n">
        <f aca="false">MAX(0,SUM(Borçlar!$D$5:$D$14)-(O93+S93+W93+AA93+AE93+AI93+AM93+AQ93+AU93+AY93))</f>
        <v>14000</v>
      </c>
      <c r="D93" s="36" t="n">
        <f aca="false">O93+P93+S93+T93+W93+X93+AA93+AB93+AE93+AF93+AI93+AJ93+AM93+AN93+AQ93+AR93+AU93+AV93+AY93+AZ93</f>
        <v>0</v>
      </c>
      <c r="E93" s="36" t="n">
        <f aca="false">(N93+R93+V93+Z93+AD93+AH93+AL93+AP93+AT93+AX93)-(F92)</f>
        <v>0</v>
      </c>
      <c r="F93" s="36" t="n">
        <f aca="false">Q93+U93+Y93+AC93+AG93+AK93+AO93+AS93+AW93+BA93</f>
        <v>0</v>
      </c>
      <c r="N93" s="22" t="n">
        <f aca="false">Q92*(1+D$7)</f>
        <v>0</v>
      </c>
      <c r="O93" s="22" t="n">
        <f aca="false">MIN(N93,D$8)</f>
        <v>0</v>
      </c>
      <c r="P93" s="22" t="n">
        <f aca="false">MAX(0,MIN(N93-O93,$C93-(0)))</f>
        <v>0</v>
      </c>
      <c r="Q93" s="22" t="n">
        <f aca="false">ROUND(N93-O93-P93,2)</f>
        <v>0</v>
      </c>
      <c r="R93" s="22" t="n">
        <f aca="false">U92*(1+E$7)</f>
        <v>0</v>
      </c>
      <c r="S93" s="22" t="n">
        <f aca="false">MIN(R93,E$8)</f>
        <v>0</v>
      </c>
      <c r="T93" s="22" t="n">
        <f aca="false">MAX(0,MIN(R93-S93,$C93-(P93)))</f>
        <v>0</v>
      </c>
      <c r="U93" s="22" t="n">
        <f aca="false">ROUND(R93-S93-T93,2)</f>
        <v>0</v>
      </c>
      <c r="V93" s="22" t="n">
        <f aca="false">Y92*(1+F$7)</f>
        <v>0</v>
      </c>
      <c r="W93" s="22" t="n">
        <f aca="false">MIN(V93,F$8)</f>
        <v>0</v>
      </c>
      <c r="X93" s="22" t="n">
        <f aca="false">MAX(0,MIN(V93-W93,$C93-(P93+T93)))</f>
        <v>0</v>
      </c>
      <c r="Y93" s="22" t="n">
        <f aca="false">ROUND(V93-W93-X93,2)</f>
        <v>0</v>
      </c>
      <c r="Z93" s="22" t="n">
        <f aca="false">AC92*(1+G$7)</f>
        <v>0</v>
      </c>
      <c r="AA93" s="22" t="n">
        <f aca="false">MIN(Z93,G$8)</f>
        <v>0</v>
      </c>
      <c r="AB93" s="22" t="n">
        <f aca="false">MAX(0,MIN(Z93-AA93,$C93-(P93+T93+X93)))</f>
        <v>0</v>
      </c>
      <c r="AC93" s="22" t="n">
        <f aca="false">ROUND(Z93-AA93-AB93,2)</f>
        <v>0</v>
      </c>
      <c r="AD93" s="22" t="n">
        <f aca="false">AG92*(1+H$7)</f>
        <v>0</v>
      </c>
      <c r="AE93" s="22" t="n">
        <f aca="false">MIN(AD93,H$8)</f>
        <v>0</v>
      </c>
      <c r="AF93" s="22" t="n">
        <f aca="false">MAX(0,MIN(AD93-AE93,$C93-(P93+T93+X93+AB93)))</f>
        <v>0</v>
      </c>
      <c r="AG93" s="22" t="n">
        <f aca="false">ROUND(AD93-AE93-AF93,2)</f>
        <v>0</v>
      </c>
      <c r="AH93" s="22" t="n">
        <f aca="false">AK92*(1+I$7)</f>
        <v>0</v>
      </c>
      <c r="AI93" s="22" t="n">
        <f aca="false">MIN(AH93,I$8)</f>
        <v>0</v>
      </c>
      <c r="AJ93" s="22" t="n">
        <f aca="false">MAX(0,MIN(AH93-AI93,$C93-(P93+T93+X93+AB93+AF93)))</f>
        <v>0</v>
      </c>
      <c r="AK93" s="22" t="n">
        <f aca="false">ROUND(AH93-AI93-AJ93,2)</f>
        <v>0</v>
      </c>
      <c r="AL93" s="22" t="n">
        <f aca="false">AO92*(1+J$7)</f>
        <v>0</v>
      </c>
      <c r="AM93" s="22" t="n">
        <f aca="false">MIN(AL93,J$8)</f>
        <v>0</v>
      </c>
      <c r="AN93" s="22" t="n">
        <f aca="false">MAX(0,MIN(AL93-AM93,$C93-(P93+T93+X93+AB93+AF93+AJ93)))</f>
        <v>0</v>
      </c>
      <c r="AO93" s="22" t="n">
        <f aca="false">ROUND(AL93-AM93-AN93,2)</f>
        <v>0</v>
      </c>
      <c r="AP93" s="22" t="n">
        <f aca="false">AS92*(1+K$7)</f>
        <v>0</v>
      </c>
      <c r="AQ93" s="22" t="n">
        <f aca="false">MIN(AP93,K$8)</f>
        <v>0</v>
      </c>
      <c r="AR93" s="22" t="n">
        <f aca="false">MAX(0,MIN(AP93-AQ93,$C93-(P93+T93+X93+AB93+AF93+AJ93+AN93)))</f>
        <v>0</v>
      </c>
      <c r="AS93" s="22" t="n">
        <f aca="false">ROUND(AP93-AQ93-AR93,2)</f>
        <v>0</v>
      </c>
      <c r="AT93" s="22" t="n">
        <f aca="false">AW92*(1+L$7)</f>
        <v>0</v>
      </c>
      <c r="AU93" s="22" t="n">
        <f aca="false">MIN(AT93,L$8)</f>
        <v>0</v>
      </c>
      <c r="AV93" s="22" t="n">
        <f aca="false">MAX(0,MIN(AT93-AU93,$C93-(P93+T93+X93+AB93+AF93+AJ93+AN93+AR93)))</f>
        <v>0</v>
      </c>
      <c r="AW93" s="22" t="n">
        <f aca="false">ROUND(AT93-AU93-AV93,2)</f>
        <v>0</v>
      </c>
      <c r="AX93" s="22" t="n">
        <f aca="false">BA92*(1+M$7)</f>
        <v>0</v>
      </c>
      <c r="AY93" s="22" t="n">
        <f aca="false">MIN(AX93,M$8)</f>
        <v>0</v>
      </c>
      <c r="AZ93" s="22" t="n">
        <f aca="false">MAX(0,MIN(AX93-AY93,$C93-(P93+T93+X93+AB93+AF93+AJ93+AN93+AR93+AV93)))</f>
        <v>0</v>
      </c>
      <c r="BA93" s="22" t="n">
        <f aca="false">ROUND(AX93-AY93-AZ93,2)</f>
        <v>0</v>
      </c>
    </row>
    <row r="94" customFormat="false" ht="15" hidden="false" customHeight="false" outlineLevel="0" collapsed="false">
      <c r="A94" s="0" t="n">
        <v>84</v>
      </c>
      <c r="B94" s="39" t="n">
        <f aca="false">EDATE(Borçlar!$K$7,83)</f>
        <v>48823</v>
      </c>
      <c r="C94" s="36" t="n">
        <f aca="false">MAX(0,SUM(Borçlar!$D$5:$D$14)-(O94+S94+W94+AA94+AE94+AI94+AM94+AQ94+AU94+AY94))</f>
        <v>14000</v>
      </c>
      <c r="D94" s="36" t="n">
        <f aca="false">O94+P94+S94+T94+W94+X94+AA94+AB94+AE94+AF94+AI94+AJ94+AM94+AN94+AQ94+AR94+AU94+AV94+AY94+AZ94</f>
        <v>0</v>
      </c>
      <c r="E94" s="36" t="n">
        <f aca="false">(N94+R94+V94+Z94+AD94+AH94+AL94+AP94+AT94+AX94)-(F93)</f>
        <v>0</v>
      </c>
      <c r="F94" s="36" t="n">
        <f aca="false">Q94+U94+Y94+AC94+AG94+AK94+AO94+AS94+AW94+BA94</f>
        <v>0</v>
      </c>
      <c r="N94" s="22" t="n">
        <f aca="false">Q93*(1+D$7)</f>
        <v>0</v>
      </c>
      <c r="O94" s="22" t="n">
        <f aca="false">MIN(N94,D$8)</f>
        <v>0</v>
      </c>
      <c r="P94" s="22" t="n">
        <f aca="false">MAX(0,MIN(N94-O94,$C94-(0)))</f>
        <v>0</v>
      </c>
      <c r="Q94" s="22" t="n">
        <f aca="false">ROUND(N94-O94-P94,2)</f>
        <v>0</v>
      </c>
      <c r="R94" s="22" t="n">
        <f aca="false">U93*(1+E$7)</f>
        <v>0</v>
      </c>
      <c r="S94" s="22" t="n">
        <f aca="false">MIN(R94,E$8)</f>
        <v>0</v>
      </c>
      <c r="T94" s="22" t="n">
        <f aca="false">MAX(0,MIN(R94-S94,$C94-(P94)))</f>
        <v>0</v>
      </c>
      <c r="U94" s="22" t="n">
        <f aca="false">ROUND(R94-S94-T94,2)</f>
        <v>0</v>
      </c>
      <c r="V94" s="22" t="n">
        <f aca="false">Y93*(1+F$7)</f>
        <v>0</v>
      </c>
      <c r="W94" s="22" t="n">
        <f aca="false">MIN(V94,F$8)</f>
        <v>0</v>
      </c>
      <c r="X94" s="22" t="n">
        <f aca="false">MAX(0,MIN(V94-W94,$C94-(P94+T94)))</f>
        <v>0</v>
      </c>
      <c r="Y94" s="22" t="n">
        <f aca="false">ROUND(V94-W94-X94,2)</f>
        <v>0</v>
      </c>
      <c r="Z94" s="22" t="n">
        <f aca="false">AC93*(1+G$7)</f>
        <v>0</v>
      </c>
      <c r="AA94" s="22" t="n">
        <f aca="false">MIN(Z94,G$8)</f>
        <v>0</v>
      </c>
      <c r="AB94" s="22" t="n">
        <f aca="false">MAX(0,MIN(Z94-AA94,$C94-(P94+T94+X94)))</f>
        <v>0</v>
      </c>
      <c r="AC94" s="22" t="n">
        <f aca="false">ROUND(Z94-AA94-AB94,2)</f>
        <v>0</v>
      </c>
      <c r="AD94" s="22" t="n">
        <f aca="false">AG93*(1+H$7)</f>
        <v>0</v>
      </c>
      <c r="AE94" s="22" t="n">
        <f aca="false">MIN(AD94,H$8)</f>
        <v>0</v>
      </c>
      <c r="AF94" s="22" t="n">
        <f aca="false">MAX(0,MIN(AD94-AE94,$C94-(P94+T94+X94+AB94)))</f>
        <v>0</v>
      </c>
      <c r="AG94" s="22" t="n">
        <f aca="false">ROUND(AD94-AE94-AF94,2)</f>
        <v>0</v>
      </c>
      <c r="AH94" s="22" t="n">
        <f aca="false">AK93*(1+I$7)</f>
        <v>0</v>
      </c>
      <c r="AI94" s="22" t="n">
        <f aca="false">MIN(AH94,I$8)</f>
        <v>0</v>
      </c>
      <c r="AJ94" s="22" t="n">
        <f aca="false">MAX(0,MIN(AH94-AI94,$C94-(P94+T94+X94+AB94+AF94)))</f>
        <v>0</v>
      </c>
      <c r="AK94" s="22" t="n">
        <f aca="false">ROUND(AH94-AI94-AJ94,2)</f>
        <v>0</v>
      </c>
      <c r="AL94" s="22" t="n">
        <f aca="false">AO93*(1+J$7)</f>
        <v>0</v>
      </c>
      <c r="AM94" s="22" t="n">
        <f aca="false">MIN(AL94,J$8)</f>
        <v>0</v>
      </c>
      <c r="AN94" s="22" t="n">
        <f aca="false">MAX(0,MIN(AL94-AM94,$C94-(P94+T94+X94+AB94+AF94+AJ94)))</f>
        <v>0</v>
      </c>
      <c r="AO94" s="22" t="n">
        <f aca="false">ROUND(AL94-AM94-AN94,2)</f>
        <v>0</v>
      </c>
      <c r="AP94" s="22" t="n">
        <f aca="false">AS93*(1+K$7)</f>
        <v>0</v>
      </c>
      <c r="AQ94" s="22" t="n">
        <f aca="false">MIN(AP94,K$8)</f>
        <v>0</v>
      </c>
      <c r="AR94" s="22" t="n">
        <f aca="false">MAX(0,MIN(AP94-AQ94,$C94-(P94+T94+X94+AB94+AF94+AJ94+AN94)))</f>
        <v>0</v>
      </c>
      <c r="AS94" s="22" t="n">
        <f aca="false">ROUND(AP94-AQ94-AR94,2)</f>
        <v>0</v>
      </c>
      <c r="AT94" s="22" t="n">
        <f aca="false">AW93*(1+L$7)</f>
        <v>0</v>
      </c>
      <c r="AU94" s="22" t="n">
        <f aca="false">MIN(AT94,L$8)</f>
        <v>0</v>
      </c>
      <c r="AV94" s="22" t="n">
        <f aca="false">MAX(0,MIN(AT94-AU94,$C94-(P94+T94+X94+AB94+AF94+AJ94+AN94+AR94)))</f>
        <v>0</v>
      </c>
      <c r="AW94" s="22" t="n">
        <f aca="false">ROUND(AT94-AU94-AV94,2)</f>
        <v>0</v>
      </c>
      <c r="AX94" s="22" t="n">
        <f aca="false">BA93*(1+M$7)</f>
        <v>0</v>
      </c>
      <c r="AY94" s="22" t="n">
        <f aca="false">MIN(AX94,M$8)</f>
        <v>0</v>
      </c>
      <c r="AZ94" s="22" t="n">
        <f aca="false">MAX(0,MIN(AX94-AY94,$C94-(P94+T94+X94+AB94+AF94+AJ94+AN94+AR94+AV94)))</f>
        <v>0</v>
      </c>
      <c r="BA94" s="22" t="n">
        <f aca="false">ROUND(AX94-AY94-AZ94,2)</f>
        <v>0</v>
      </c>
    </row>
    <row r="95" customFormat="false" ht="15" hidden="false" customHeight="false" outlineLevel="0" collapsed="false">
      <c r="A95" s="0" t="n">
        <v>85</v>
      </c>
      <c r="B95" s="39" t="n">
        <f aca="false">EDATE(Borçlar!$K$7,84)</f>
        <v>48853</v>
      </c>
      <c r="C95" s="36" t="n">
        <f aca="false">MAX(0,SUM(Borçlar!$D$5:$D$14)-(O95+S95+W95+AA95+AE95+AI95+AM95+AQ95+AU95+AY95))</f>
        <v>14000</v>
      </c>
      <c r="D95" s="36" t="n">
        <f aca="false">O95+P95+S95+T95+W95+X95+AA95+AB95+AE95+AF95+AI95+AJ95+AM95+AN95+AQ95+AR95+AU95+AV95+AY95+AZ95</f>
        <v>0</v>
      </c>
      <c r="E95" s="36" t="n">
        <f aca="false">(N95+R95+V95+Z95+AD95+AH95+AL95+AP95+AT95+AX95)-(F94)</f>
        <v>0</v>
      </c>
      <c r="F95" s="36" t="n">
        <f aca="false">Q95+U95+Y95+AC95+AG95+AK95+AO95+AS95+AW95+BA95</f>
        <v>0</v>
      </c>
      <c r="N95" s="22" t="n">
        <f aca="false">Q94*(1+D$7)</f>
        <v>0</v>
      </c>
      <c r="O95" s="22" t="n">
        <f aca="false">MIN(N95,D$8)</f>
        <v>0</v>
      </c>
      <c r="P95" s="22" t="n">
        <f aca="false">MAX(0,MIN(N95-O95,$C95-(0)))</f>
        <v>0</v>
      </c>
      <c r="Q95" s="22" t="n">
        <f aca="false">ROUND(N95-O95-P95,2)</f>
        <v>0</v>
      </c>
      <c r="R95" s="22" t="n">
        <f aca="false">U94*(1+E$7)</f>
        <v>0</v>
      </c>
      <c r="S95" s="22" t="n">
        <f aca="false">MIN(R95,E$8)</f>
        <v>0</v>
      </c>
      <c r="T95" s="22" t="n">
        <f aca="false">MAX(0,MIN(R95-S95,$C95-(P95)))</f>
        <v>0</v>
      </c>
      <c r="U95" s="22" t="n">
        <f aca="false">ROUND(R95-S95-T95,2)</f>
        <v>0</v>
      </c>
      <c r="V95" s="22" t="n">
        <f aca="false">Y94*(1+F$7)</f>
        <v>0</v>
      </c>
      <c r="W95" s="22" t="n">
        <f aca="false">MIN(V95,F$8)</f>
        <v>0</v>
      </c>
      <c r="X95" s="22" t="n">
        <f aca="false">MAX(0,MIN(V95-W95,$C95-(P95+T95)))</f>
        <v>0</v>
      </c>
      <c r="Y95" s="22" t="n">
        <f aca="false">ROUND(V95-W95-X95,2)</f>
        <v>0</v>
      </c>
      <c r="Z95" s="22" t="n">
        <f aca="false">AC94*(1+G$7)</f>
        <v>0</v>
      </c>
      <c r="AA95" s="22" t="n">
        <f aca="false">MIN(Z95,G$8)</f>
        <v>0</v>
      </c>
      <c r="AB95" s="22" t="n">
        <f aca="false">MAX(0,MIN(Z95-AA95,$C95-(P95+T95+X95)))</f>
        <v>0</v>
      </c>
      <c r="AC95" s="22" t="n">
        <f aca="false">ROUND(Z95-AA95-AB95,2)</f>
        <v>0</v>
      </c>
      <c r="AD95" s="22" t="n">
        <f aca="false">AG94*(1+H$7)</f>
        <v>0</v>
      </c>
      <c r="AE95" s="22" t="n">
        <f aca="false">MIN(AD95,H$8)</f>
        <v>0</v>
      </c>
      <c r="AF95" s="22" t="n">
        <f aca="false">MAX(0,MIN(AD95-AE95,$C95-(P95+T95+X95+AB95)))</f>
        <v>0</v>
      </c>
      <c r="AG95" s="22" t="n">
        <f aca="false">ROUND(AD95-AE95-AF95,2)</f>
        <v>0</v>
      </c>
      <c r="AH95" s="22" t="n">
        <f aca="false">AK94*(1+I$7)</f>
        <v>0</v>
      </c>
      <c r="AI95" s="22" t="n">
        <f aca="false">MIN(AH95,I$8)</f>
        <v>0</v>
      </c>
      <c r="AJ95" s="22" t="n">
        <f aca="false">MAX(0,MIN(AH95-AI95,$C95-(P95+T95+X95+AB95+AF95)))</f>
        <v>0</v>
      </c>
      <c r="AK95" s="22" t="n">
        <f aca="false">ROUND(AH95-AI95-AJ95,2)</f>
        <v>0</v>
      </c>
      <c r="AL95" s="22" t="n">
        <f aca="false">AO94*(1+J$7)</f>
        <v>0</v>
      </c>
      <c r="AM95" s="22" t="n">
        <f aca="false">MIN(AL95,J$8)</f>
        <v>0</v>
      </c>
      <c r="AN95" s="22" t="n">
        <f aca="false">MAX(0,MIN(AL95-AM95,$C95-(P95+T95+X95+AB95+AF95+AJ95)))</f>
        <v>0</v>
      </c>
      <c r="AO95" s="22" t="n">
        <f aca="false">ROUND(AL95-AM95-AN95,2)</f>
        <v>0</v>
      </c>
      <c r="AP95" s="22" t="n">
        <f aca="false">AS94*(1+K$7)</f>
        <v>0</v>
      </c>
      <c r="AQ95" s="22" t="n">
        <f aca="false">MIN(AP95,K$8)</f>
        <v>0</v>
      </c>
      <c r="AR95" s="22" t="n">
        <f aca="false">MAX(0,MIN(AP95-AQ95,$C95-(P95+T95+X95+AB95+AF95+AJ95+AN95)))</f>
        <v>0</v>
      </c>
      <c r="AS95" s="22" t="n">
        <f aca="false">ROUND(AP95-AQ95-AR95,2)</f>
        <v>0</v>
      </c>
      <c r="AT95" s="22" t="n">
        <f aca="false">AW94*(1+L$7)</f>
        <v>0</v>
      </c>
      <c r="AU95" s="22" t="n">
        <f aca="false">MIN(AT95,L$8)</f>
        <v>0</v>
      </c>
      <c r="AV95" s="22" t="n">
        <f aca="false">MAX(0,MIN(AT95-AU95,$C95-(P95+T95+X95+AB95+AF95+AJ95+AN95+AR95)))</f>
        <v>0</v>
      </c>
      <c r="AW95" s="22" t="n">
        <f aca="false">ROUND(AT95-AU95-AV95,2)</f>
        <v>0</v>
      </c>
      <c r="AX95" s="22" t="n">
        <f aca="false">BA94*(1+M$7)</f>
        <v>0</v>
      </c>
      <c r="AY95" s="22" t="n">
        <f aca="false">MIN(AX95,M$8)</f>
        <v>0</v>
      </c>
      <c r="AZ95" s="22" t="n">
        <f aca="false">MAX(0,MIN(AX95-AY95,$C95-(P95+T95+X95+AB95+AF95+AJ95+AN95+AR95+AV95)))</f>
        <v>0</v>
      </c>
      <c r="BA95" s="22" t="n">
        <f aca="false">ROUND(AX95-AY95-AZ95,2)</f>
        <v>0</v>
      </c>
    </row>
    <row r="96" customFormat="false" ht="15" hidden="false" customHeight="false" outlineLevel="0" collapsed="false">
      <c r="A96" s="0" t="n">
        <v>86</v>
      </c>
      <c r="B96" s="39" t="n">
        <f aca="false">EDATE(Borçlar!$K$7,85)</f>
        <v>48884</v>
      </c>
      <c r="C96" s="36" t="n">
        <f aca="false">MAX(0,SUM(Borçlar!$D$5:$D$14)-(O96+S96+W96+AA96+AE96+AI96+AM96+AQ96+AU96+AY96))</f>
        <v>14000</v>
      </c>
      <c r="D96" s="36" t="n">
        <f aca="false">O96+P96+S96+T96+W96+X96+AA96+AB96+AE96+AF96+AI96+AJ96+AM96+AN96+AQ96+AR96+AU96+AV96+AY96+AZ96</f>
        <v>0</v>
      </c>
      <c r="E96" s="36" t="n">
        <f aca="false">(N96+R96+V96+Z96+AD96+AH96+AL96+AP96+AT96+AX96)-(F95)</f>
        <v>0</v>
      </c>
      <c r="F96" s="36" t="n">
        <f aca="false">Q96+U96+Y96+AC96+AG96+AK96+AO96+AS96+AW96+BA96</f>
        <v>0</v>
      </c>
      <c r="N96" s="22" t="n">
        <f aca="false">Q95*(1+D$7)</f>
        <v>0</v>
      </c>
      <c r="O96" s="22" t="n">
        <f aca="false">MIN(N96,D$8)</f>
        <v>0</v>
      </c>
      <c r="P96" s="22" t="n">
        <f aca="false">MAX(0,MIN(N96-O96,$C96-(0)))</f>
        <v>0</v>
      </c>
      <c r="Q96" s="22" t="n">
        <f aca="false">ROUND(N96-O96-P96,2)</f>
        <v>0</v>
      </c>
      <c r="R96" s="22" t="n">
        <f aca="false">U95*(1+E$7)</f>
        <v>0</v>
      </c>
      <c r="S96" s="22" t="n">
        <f aca="false">MIN(R96,E$8)</f>
        <v>0</v>
      </c>
      <c r="T96" s="22" t="n">
        <f aca="false">MAX(0,MIN(R96-S96,$C96-(P96)))</f>
        <v>0</v>
      </c>
      <c r="U96" s="22" t="n">
        <f aca="false">ROUND(R96-S96-T96,2)</f>
        <v>0</v>
      </c>
      <c r="V96" s="22" t="n">
        <f aca="false">Y95*(1+F$7)</f>
        <v>0</v>
      </c>
      <c r="W96" s="22" t="n">
        <f aca="false">MIN(V96,F$8)</f>
        <v>0</v>
      </c>
      <c r="X96" s="22" t="n">
        <f aca="false">MAX(0,MIN(V96-W96,$C96-(P96+T96)))</f>
        <v>0</v>
      </c>
      <c r="Y96" s="22" t="n">
        <f aca="false">ROUND(V96-W96-X96,2)</f>
        <v>0</v>
      </c>
      <c r="Z96" s="22" t="n">
        <f aca="false">AC95*(1+G$7)</f>
        <v>0</v>
      </c>
      <c r="AA96" s="22" t="n">
        <f aca="false">MIN(Z96,G$8)</f>
        <v>0</v>
      </c>
      <c r="AB96" s="22" t="n">
        <f aca="false">MAX(0,MIN(Z96-AA96,$C96-(P96+T96+X96)))</f>
        <v>0</v>
      </c>
      <c r="AC96" s="22" t="n">
        <f aca="false">ROUND(Z96-AA96-AB96,2)</f>
        <v>0</v>
      </c>
      <c r="AD96" s="22" t="n">
        <f aca="false">AG95*(1+H$7)</f>
        <v>0</v>
      </c>
      <c r="AE96" s="22" t="n">
        <f aca="false">MIN(AD96,H$8)</f>
        <v>0</v>
      </c>
      <c r="AF96" s="22" t="n">
        <f aca="false">MAX(0,MIN(AD96-AE96,$C96-(P96+T96+X96+AB96)))</f>
        <v>0</v>
      </c>
      <c r="AG96" s="22" t="n">
        <f aca="false">ROUND(AD96-AE96-AF96,2)</f>
        <v>0</v>
      </c>
      <c r="AH96" s="22" t="n">
        <f aca="false">AK95*(1+I$7)</f>
        <v>0</v>
      </c>
      <c r="AI96" s="22" t="n">
        <f aca="false">MIN(AH96,I$8)</f>
        <v>0</v>
      </c>
      <c r="AJ96" s="22" t="n">
        <f aca="false">MAX(0,MIN(AH96-AI96,$C96-(P96+T96+X96+AB96+AF96)))</f>
        <v>0</v>
      </c>
      <c r="AK96" s="22" t="n">
        <f aca="false">ROUND(AH96-AI96-AJ96,2)</f>
        <v>0</v>
      </c>
      <c r="AL96" s="22" t="n">
        <f aca="false">AO95*(1+J$7)</f>
        <v>0</v>
      </c>
      <c r="AM96" s="22" t="n">
        <f aca="false">MIN(AL96,J$8)</f>
        <v>0</v>
      </c>
      <c r="AN96" s="22" t="n">
        <f aca="false">MAX(0,MIN(AL96-AM96,$C96-(P96+T96+X96+AB96+AF96+AJ96)))</f>
        <v>0</v>
      </c>
      <c r="AO96" s="22" t="n">
        <f aca="false">ROUND(AL96-AM96-AN96,2)</f>
        <v>0</v>
      </c>
      <c r="AP96" s="22" t="n">
        <f aca="false">AS95*(1+K$7)</f>
        <v>0</v>
      </c>
      <c r="AQ96" s="22" t="n">
        <f aca="false">MIN(AP96,K$8)</f>
        <v>0</v>
      </c>
      <c r="AR96" s="22" t="n">
        <f aca="false">MAX(0,MIN(AP96-AQ96,$C96-(P96+T96+X96+AB96+AF96+AJ96+AN96)))</f>
        <v>0</v>
      </c>
      <c r="AS96" s="22" t="n">
        <f aca="false">ROUND(AP96-AQ96-AR96,2)</f>
        <v>0</v>
      </c>
      <c r="AT96" s="22" t="n">
        <f aca="false">AW95*(1+L$7)</f>
        <v>0</v>
      </c>
      <c r="AU96" s="22" t="n">
        <f aca="false">MIN(AT96,L$8)</f>
        <v>0</v>
      </c>
      <c r="AV96" s="22" t="n">
        <f aca="false">MAX(0,MIN(AT96-AU96,$C96-(P96+T96+X96+AB96+AF96+AJ96+AN96+AR96)))</f>
        <v>0</v>
      </c>
      <c r="AW96" s="22" t="n">
        <f aca="false">ROUND(AT96-AU96-AV96,2)</f>
        <v>0</v>
      </c>
      <c r="AX96" s="22" t="n">
        <f aca="false">BA95*(1+M$7)</f>
        <v>0</v>
      </c>
      <c r="AY96" s="22" t="n">
        <f aca="false">MIN(AX96,M$8)</f>
        <v>0</v>
      </c>
      <c r="AZ96" s="22" t="n">
        <f aca="false">MAX(0,MIN(AX96-AY96,$C96-(P96+T96+X96+AB96+AF96+AJ96+AN96+AR96+AV96)))</f>
        <v>0</v>
      </c>
      <c r="BA96" s="22" t="n">
        <f aca="false">ROUND(AX96-AY96-AZ96,2)</f>
        <v>0</v>
      </c>
    </row>
    <row r="97" customFormat="false" ht="15" hidden="false" customHeight="false" outlineLevel="0" collapsed="false">
      <c r="A97" s="0" t="n">
        <v>87</v>
      </c>
      <c r="B97" s="39" t="n">
        <f aca="false">EDATE(Borçlar!$K$7,86)</f>
        <v>48914</v>
      </c>
      <c r="C97" s="36" t="n">
        <f aca="false">MAX(0,SUM(Borçlar!$D$5:$D$14)-(O97+S97+W97+AA97+AE97+AI97+AM97+AQ97+AU97+AY97))</f>
        <v>14000</v>
      </c>
      <c r="D97" s="36" t="n">
        <f aca="false">O97+P97+S97+T97+W97+X97+AA97+AB97+AE97+AF97+AI97+AJ97+AM97+AN97+AQ97+AR97+AU97+AV97+AY97+AZ97</f>
        <v>0</v>
      </c>
      <c r="E97" s="36" t="n">
        <f aca="false">(N97+R97+V97+Z97+AD97+AH97+AL97+AP97+AT97+AX97)-(F96)</f>
        <v>0</v>
      </c>
      <c r="F97" s="36" t="n">
        <f aca="false">Q97+U97+Y97+AC97+AG97+AK97+AO97+AS97+AW97+BA97</f>
        <v>0</v>
      </c>
      <c r="N97" s="22" t="n">
        <f aca="false">Q96*(1+D$7)</f>
        <v>0</v>
      </c>
      <c r="O97" s="22" t="n">
        <f aca="false">MIN(N97,D$8)</f>
        <v>0</v>
      </c>
      <c r="P97" s="22" t="n">
        <f aca="false">MAX(0,MIN(N97-O97,$C97-(0)))</f>
        <v>0</v>
      </c>
      <c r="Q97" s="22" t="n">
        <f aca="false">ROUND(N97-O97-P97,2)</f>
        <v>0</v>
      </c>
      <c r="R97" s="22" t="n">
        <f aca="false">U96*(1+E$7)</f>
        <v>0</v>
      </c>
      <c r="S97" s="22" t="n">
        <f aca="false">MIN(R97,E$8)</f>
        <v>0</v>
      </c>
      <c r="T97" s="22" t="n">
        <f aca="false">MAX(0,MIN(R97-S97,$C97-(P97)))</f>
        <v>0</v>
      </c>
      <c r="U97" s="22" t="n">
        <f aca="false">ROUND(R97-S97-T97,2)</f>
        <v>0</v>
      </c>
      <c r="V97" s="22" t="n">
        <f aca="false">Y96*(1+F$7)</f>
        <v>0</v>
      </c>
      <c r="W97" s="22" t="n">
        <f aca="false">MIN(V97,F$8)</f>
        <v>0</v>
      </c>
      <c r="X97" s="22" t="n">
        <f aca="false">MAX(0,MIN(V97-W97,$C97-(P97+T97)))</f>
        <v>0</v>
      </c>
      <c r="Y97" s="22" t="n">
        <f aca="false">ROUND(V97-W97-X97,2)</f>
        <v>0</v>
      </c>
      <c r="Z97" s="22" t="n">
        <f aca="false">AC96*(1+G$7)</f>
        <v>0</v>
      </c>
      <c r="AA97" s="22" t="n">
        <f aca="false">MIN(Z97,G$8)</f>
        <v>0</v>
      </c>
      <c r="AB97" s="22" t="n">
        <f aca="false">MAX(0,MIN(Z97-AA97,$C97-(P97+T97+X97)))</f>
        <v>0</v>
      </c>
      <c r="AC97" s="22" t="n">
        <f aca="false">ROUND(Z97-AA97-AB97,2)</f>
        <v>0</v>
      </c>
      <c r="AD97" s="22" t="n">
        <f aca="false">AG96*(1+H$7)</f>
        <v>0</v>
      </c>
      <c r="AE97" s="22" t="n">
        <f aca="false">MIN(AD97,H$8)</f>
        <v>0</v>
      </c>
      <c r="AF97" s="22" t="n">
        <f aca="false">MAX(0,MIN(AD97-AE97,$C97-(P97+T97+X97+AB97)))</f>
        <v>0</v>
      </c>
      <c r="AG97" s="22" t="n">
        <f aca="false">ROUND(AD97-AE97-AF97,2)</f>
        <v>0</v>
      </c>
      <c r="AH97" s="22" t="n">
        <f aca="false">AK96*(1+I$7)</f>
        <v>0</v>
      </c>
      <c r="AI97" s="22" t="n">
        <f aca="false">MIN(AH97,I$8)</f>
        <v>0</v>
      </c>
      <c r="AJ97" s="22" t="n">
        <f aca="false">MAX(0,MIN(AH97-AI97,$C97-(P97+T97+X97+AB97+AF97)))</f>
        <v>0</v>
      </c>
      <c r="AK97" s="22" t="n">
        <f aca="false">ROUND(AH97-AI97-AJ97,2)</f>
        <v>0</v>
      </c>
      <c r="AL97" s="22" t="n">
        <f aca="false">AO96*(1+J$7)</f>
        <v>0</v>
      </c>
      <c r="AM97" s="22" t="n">
        <f aca="false">MIN(AL97,J$8)</f>
        <v>0</v>
      </c>
      <c r="AN97" s="22" t="n">
        <f aca="false">MAX(0,MIN(AL97-AM97,$C97-(P97+T97+X97+AB97+AF97+AJ97)))</f>
        <v>0</v>
      </c>
      <c r="AO97" s="22" t="n">
        <f aca="false">ROUND(AL97-AM97-AN97,2)</f>
        <v>0</v>
      </c>
      <c r="AP97" s="22" t="n">
        <f aca="false">AS96*(1+K$7)</f>
        <v>0</v>
      </c>
      <c r="AQ97" s="22" t="n">
        <f aca="false">MIN(AP97,K$8)</f>
        <v>0</v>
      </c>
      <c r="AR97" s="22" t="n">
        <f aca="false">MAX(0,MIN(AP97-AQ97,$C97-(P97+T97+X97+AB97+AF97+AJ97+AN97)))</f>
        <v>0</v>
      </c>
      <c r="AS97" s="22" t="n">
        <f aca="false">ROUND(AP97-AQ97-AR97,2)</f>
        <v>0</v>
      </c>
      <c r="AT97" s="22" t="n">
        <f aca="false">AW96*(1+L$7)</f>
        <v>0</v>
      </c>
      <c r="AU97" s="22" t="n">
        <f aca="false">MIN(AT97,L$8)</f>
        <v>0</v>
      </c>
      <c r="AV97" s="22" t="n">
        <f aca="false">MAX(0,MIN(AT97-AU97,$C97-(P97+T97+X97+AB97+AF97+AJ97+AN97+AR97)))</f>
        <v>0</v>
      </c>
      <c r="AW97" s="22" t="n">
        <f aca="false">ROUND(AT97-AU97-AV97,2)</f>
        <v>0</v>
      </c>
      <c r="AX97" s="22" t="n">
        <f aca="false">BA96*(1+M$7)</f>
        <v>0</v>
      </c>
      <c r="AY97" s="22" t="n">
        <f aca="false">MIN(AX97,M$8)</f>
        <v>0</v>
      </c>
      <c r="AZ97" s="22" t="n">
        <f aca="false">MAX(0,MIN(AX97-AY97,$C97-(P97+T97+X97+AB97+AF97+AJ97+AN97+AR97+AV97)))</f>
        <v>0</v>
      </c>
      <c r="BA97" s="22" t="n">
        <f aca="false">ROUND(AX97-AY97-AZ97,2)</f>
        <v>0</v>
      </c>
    </row>
    <row r="98" customFormat="false" ht="15" hidden="false" customHeight="false" outlineLevel="0" collapsed="false">
      <c r="A98" s="0" t="n">
        <v>88</v>
      </c>
      <c r="B98" s="39" t="n">
        <f aca="false">EDATE(Borçlar!$K$7,87)</f>
        <v>48945</v>
      </c>
      <c r="C98" s="36" t="n">
        <f aca="false">MAX(0,SUM(Borçlar!$D$5:$D$14)-(O98+S98+W98+AA98+AE98+AI98+AM98+AQ98+AU98+AY98))</f>
        <v>14000</v>
      </c>
      <c r="D98" s="36" t="n">
        <f aca="false">O98+P98+S98+T98+W98+X98+AA98+AB98+AE98+AF98+AI98+AJ98+AM98+AN98+AQ98+AR98+AU98+AV98+AY98+AZ98</f>
        <v>0</v>
      </c>
      <c r="E98" s="36" t="n">
        <f aca="false">(N98+R98+V98+Z98+AD98+AH98+AL98+AP98+AT98+AX98)-(F97)</f>
        <v>0</v>
      </c>
      <c r="F98" s="36" t="n">
        <f aca="false">Q98+U98+Y98+AC98+AG98+AK98+AO98+AS98+AW98+BA98</f>
        <v>0</v>
      </c>
      <c r="N98" s="22" t="n">
        <f aca="false">Q97*(1+D$7)</f>
        <v>0</v>
      </c>
      <c r="O98" s="22" t="n">
        <f aca="false">MIN(N98,D$8)</f>
        <v>0</v>
      </c>
      <c r="P98" s="22" t="n">
        <f aca="false">MAX(0,MIN(N98-O98,$C98-(0)))</f>
        <v>0</v>
      </c>
      <c r="Q98" s="22" t="n">
        <f aca="false">ROUND(N98-O98-P98,2)</f>
        <v>0</v>
      </c>
      <c r="R98" s="22" t="n">
        <f aca="false">U97*(1+E$7)</f>
        <v>0</v>
      </c>
      <c r="S98" s="22" t="n">
        <f aca="false">MIN(R98,E$8)</f>
        <v>0</v>
      </c>
      <c r="T98" s="22" t="n">
        <f aca="false">MAX(0,MIN(R98-S98,$C98-(P98)))</f>
        <v>0</v>
      </c>
      <c r="U98" s="22" t="n">
        <f aca="false">ROUND(R98-S98-T98,2)</f>
        <v>0</v>
      </c>
      <c r="V98" s="22" t="n">
        <f aca="false">Y97*(1+F$7)</f>
        <v>0</v>
      </c>
      <c r="W98" s="22" t="n">
        <f aca="false">MIN(V98,F$8)</f>
        <v>0</v>
      </c>
      <c r="X98" s="22" t="n">
        <f aca="false">MAX(0,MIN(V98-W98,$C98-(P98+T98)))</f>
        <v>0</v>
      </c>
      <c r="Y98" s="22" t="n">
        <f aca="false">ROUND(V98-W98-X98,2)</f>
        <v>0</v>
      </c>
      <c r="Z98" s="22" t="n">
        <f aca="false">AC97*(1+G$7)</f>
        <v>0</v>
      </c>
      <c r="AA98" s="22" t="n">
        <f aca="false">MIN(Z98,G$8)</f>
        <v>0</v>
      </c>
      <c r="AB98" s="22" t="n">
        <f aca="false">MAX(0,MIN(Z98-AA98,$C98-(P98+T98+X98)))</f>
        <v>0</v>
      </c>
      <c r="AC98" s="22" t="n">
        <f aca="false">ROUND(Z98-AA98-AB98,2)</f>
        <v>0</v>
      </c>
      <c r="AD98" s="22" t="n">
        <f aca="false">AG97*(1+H$7)</f>
        <v>0</v>
      </c>
      <c r="AE98" s="22" t="n">
        <f aca="false">MIN(AD98,H$8)</f>
        <v>0</v>
      </c>
      <c r="AF98" s="22" t="n">
        <f aca="false">MAX(0,MIN(AD98-AE98,$C98-(P98+T98+X98+AB98)))</f>
        <v>0</v>
      </c>
      <c r="AG98" s="22" t="n">
        <f aca="false">ROUND(AD98-AE98-AF98,2)</f>
        <v>0</v>
      </c>
      <c r="AH98" s="22" t="n">
        <f aca="false">AK97*(1+I$7)</f>
        <v>0</v>
      </c>
      <c r="AI98" s="22" t="n">
        <f aca="false">MIN(AH98,I$8)</f>
        <v>0</v>
      </c>
      <c r="AJ98" s="22" t="n">
        <f aca="false">MAX(0,MIN(AH98-AI98,$C98-(P98+T98+X98+AB98+AF98)))</f>
        <v>0</v>
      </c>
      <c r="AK98" s="22" t="n">
        <f aca="false">ROUND(AH98-AI98-AJ98,2)</f>
        <v>0</v>
      </c>
      <c r="AL98" s="22" t="n">
        <f aca="false">AO97*(1+J$7)</f>
        <v>0</v>
      </c>
      <c r="AM98" s="22" t="n">
        <f aca="false">MIN(AL98,J$8)</f>
        <v>0</v>
      </c>
      <c r="AN98" s="22" t="n">
        <f aca="false">MAX(0,MIN(AL98-AM98,$C98-(P98+T98+X98+AB98+AF98+AJ98)))</f>
        <v>0</v>
      </c>
      <c r="AO98" s="22" t="n">
        <f aca="false">ROUND(AL98-AM98-AN98,2)</f>
        <v>0</v>
      </c>
      <c r="AP98" s="22" t="n">
        <f aca="false">AS97*(1+K$7)</f>
        <v>0</v>
      </c>
      <c r="AQ98" s="22" t="n">
        <f aca="false">MIN(AP98,K$8)</f>
        <v>0</v>
      </c>
      <c r="AR98" s="22" t="n">
        <f aca="false">MAX(0,MIN(AP98-AQ98,$C98-(P98+T98+X98+AB98+AF98+AJ98+AN98)))</f>
        <v>0</v>
      </c>
      <c r="AS98" s="22" t="n">
        <f aca="false">ROUND(AP98-AQ98-AR98,2)</f>
        <v>0</v>
      </c>
      <c r="AT98" s="22" t="n">
        <f aca="false">AW97*(1+L$7)</f>
        <v>0</v>
      </c>
      <c r="AU98" s="22" t="n">
        <f aca="false">MIN(AT98,L$8)</f>
        <v>0</v>
      </c>
      <c r="AV98" s="22" t="n">
        <f aca="false">MAX(0,MIN(AT98-AU98,$C98-(P98+T98+X98+AB98+AF98+AJ98+AN98+AR98)))</f>
        <v>0</v>
      </c>
      <c r="AW98" s="22" t="n">
        <f aca="false">ROUND(AT98-AU98-AV98,2)</f>
        <v>0</v>
      </c>
      <c r="AX98" s="22" t="n">
        <f aca="false">BA97*(1+M$7)</f>
        <v>0</v>
      </c>
      <c r="AY98" s="22" t="n">
        <f aca="false">MIN(AX98,M$8)</f>
        <v>0</v>
      </c>
      <c r="AZ98" s="22" t="n">
        <f aca="false">MAX(0,MIN(AX98-AY98,$C98-(P98+T98+X98+AB98+AF98+AJ98+AN98+AR98+AV98)))</f>
        <v>0</v>
      </c>
      <c r="BA98" s="22" t="n">
        <f aca="false">ROUND(AX98-AY98-AZ98,2)</f>
        <v>0</v>
      </c>
    </row>
    <row r="99" customFormat="false" ht="15" hidden="false" customHeight="false" outlineLevel="0" collapsed="false">
      <c r="A99" s="0" t="n">
        <v>89</v>
      </c>
      <c r="B99" s="39" t="n">
        <f aca="false">EDATE(Borçlar!$K$7,88)</f>
        <v>48976</v>
      </c>
      <c r="C99" s="36" t="n">
        <f aca="false">MAX(0,SUM(Borçlar!$D$5:$D$14)-(O99+S99+W99+AA99+AE99+AI99+AM99+AQ99+AU99+AY99))</f>
        <v>14000</v>
      </c>
      <c r="D99" s="36" t="n">
        <f aca="false">O99+P99+S99+T99+W99+X99+AA99+AB99+AE99+AF99+AI99+AJ99+AM99+AN99+AQ99+AR99+AU99+AV99+AY99+AZ99</f>
        <v>0</v>
      </c>
      <c r="E99" s="36" t="n">
        <f aca="false">(N99+R99+V99+Z99+AD99+AH99+AL99+AP99+AT99+AX99)-(F98)</f>
        <v>0</v>
      </c>
      <c r="F99" s="36" t="n">
        <f aca="false">Q99+U99+Y99+AC99+AG99+AK99+AO99+AS99+AW99+BA99</f>
        <v>0</v>
      </c>
      <c r="N99" s="22" t="n">
        <f aca="false">Q98*(1+D$7)</f>
        <v>0</v>
      </c>
      <c r="O99" s="22" t="n">
        <f aca="false">MIN(N99,D$8)</f>
        <v>0</v>
      </c>
      <c r="P99" s="22" t="n">
        <f aca="false">MAX(0,MIN(N99-O99,$C99-(0)))</f>
        <v>0</v>
      </c>
      <c r="Q99" s="22" t="n">
        <f aca="false">ROUND(N99-O99-P99,2)</f>
        <v>0</v>
      </c>
      <c r="R99" s="22" t="n">
        <f aca="false">U98*(1+E$7)</f>
        <v>0</v>
      </c>
      <c r="S99" s="22" t="n">
        <f aca="false">MIN(R99,E$8)</f>
        <v>0</v>
      </c>
      <c r="T99" s="22" t="n">
        <f aca="false">MAX(0,MIN(R99-S99,$C99-(P99)))</f>
        <v>0</v>
      </c>
      <c r="U99" s="22" t="n">
        <f aca="false">ROUND(R99-S99-T99,2)</f>
        <v>0</v>
      </c>
      <c r="V99" s="22" t="n">
        <f aca="false">Y98*(1+F$7)</f>
        <v>0</v>
      </c>
      <c r="W99" s="22" t="n">
        <f aca="false">MIN(V99,F$8)</f>
        <v>0</v>
      </c>
      <c r="X99" s="22" t="n">
        <f aca="false">MAX(0,MIN(V99-W99,$C99-(P99+T99)))</f>
        <v>0</v>
      </c>
      <c r="Y99" s="22" t="n">
        <f aca="false">ROUND(V99-W99-X99,2)</f>
        <v>0</v>
      </c>
      <c r="Z99" s="22" t="n">
        <f aca="false">AC98*(1+G$7)</f>
        <v>0</v>
      </c>
      <c r="AA99" s="22" t="n">
        <f aca="false">MIN(Z99,G$8)</f>
        <v>0</v>
      </c>
      <c r="AB99" s="22" t="n">
        <f aca="false">MAX(0,MIN(Z99-AA99,$C99-(P99+T99+X99)))</f>
        <v>0</v>
      </c>
      <c r="AC99" s="22" t="n">
        <f aca="false">ROUND(Z99-AA99-AB99,2)</f>
        <v>0</v>
      </c>
      <c r="AD99" s="22" t="n">
        <f aca="false">AG98*(1+H$7)</f>
        <v>0</v>
      </c>
      <c r="AE99" s="22" t="n">
        <f aca="false">MIN(AD99,H$8)</f>
        <v>0</v>
      </c>
      <c r="AF99" s="22" t="n">
        <f aca="false">MAX(0,MIN(AD99-AE99,$C99-(P99+T99+X99+AB99)))</f>
        <v>0</v>
      </c>
      <c r="AG99" s="22" t="n">
        <f aca="false">ROUND(AD99-AE99-AF99,2)</f>
        <v>0</v>
      </c>
      <c r="AH99" s="22" t="n">
        <f aca="false">AK98*(1+I$7)</f>
        <v>0</v>
      </c>
      <c r="AI99" s="22" t="n">
        <f aca="false">MIN(AH99,I$8)</f>
        <v>0</v>
      </c>
      <c r="AJ99" s="22" t="n">
        <f aca="false">MAX(0,MIN(AH99-AI99,$C99-(P99+T99+X99+AB99+AF99)))</f>
        <v>0</v>
      </c>
      <c r="AK99" s="22" t="n">
        <f aca="false">ROUND(AH99-AI99-AJ99,2)</f>
        <v>0</v>
      </c>
      <c r="AL99" s="22" t="n">
        <f aca="false">AO98*(1+J$7)</f>
        <v>0</v>
      </c>
      <c r="AM99" s="22" t="n">
        <f aca="false">MIN(AL99,J$8)</f>
        <v>0</v>
      </c>
      <c r="AN99" s="22" t="n">
        <f aca="false">MAX(0,MIN(AL99-AM99,$C99-(P99+T99+X99+AB99+AF99+AJ99)))</f>
        <v>0</v>
      </c>
      <c r="AO99" s="22" t="n">
        <f aca="false">ROUND(AL99-AM99-AN99,2)</f>
        <v>0</v>
      </c>
      <c r="AP99" s="22" t="n">
        <f aca="false">AS98*(1+K$7)</f>
        <v>0</v>
      </c>
      <c r="AQ99" s="22" t="n">
        <f aca="false">MIN(AP99,K$8)</f>
        <v>0</v>
      </c>
      <c r="AR99" s="22" t="n">
        <f aca="false">MAX(0,MIN(AP99-AQ99,$C99-(P99+T99+X99+AB99+AF99+AJ99+AN99)))</f>
        <v>0</v>
      </c>
      <c r="AS99" s="22" t="n">
        <f aca="false">ROUND(AP99-AQ99-AR99,2)</f>
        <v>0</v>
      </c>
      <c r="AT99" s="22" t="n">
        <f aca="false">AW98*(1+L$7)</f>
        <v>0</v>
      </c>
      <c r="AU99" s="22" t="n">
        <f aca="false">MIN(AT99,L$8)</f>
        <v>0</v>
      </c>
      <c r="AV99" s="22" t="n">
        <f aca="false">MAX(0,MIN(AT99-AU99,$C99-(P99+T99+X99+AB99+AF99+AJ99+AN99+AR99)))</f>
        <v>0</v>
      </c>
      <c r="AW99" s="22" t="n">
        <f aca="false">ROUND(AT99-AU99-AV99,2)</f>
        <v>0</v>
      </c>
      <c r="AX99" s="22" t="n">
        <f aca="false">BA98*(1+M$7)</f>
        <v>0</v>
      </c>
      <c r="AY99" s="22" t="n">
        <f aca="false">MIN(AX99,M$8)</f>
        <v>0</v>
      </c>
      <c r="AZ99" s="22" t="n">
        <f aca="false">MAX(0,MIN(AX99-AY99,$C99-(P99+T99+X99+AB99+AF99+AJ99+AN99+AR99+AV99)))</f>
        <v>0</v>
      </c>
      <c r="BA99" s="22" t="n">
        <f aca="false">ROUND(AX99-AY99-AZ99,2)</f>
        <v>0</v>
      </c>
    </row>
    <row r="100" customFormat="false" ht="15" hidden="false" customHeight="false" outlineLevel="0" collapsed="false">
      <c r="A100" s="0" t="n">
        <v>90</v>
      </c>
      <c r="B100" s="39" t="n">
        <f aca="false">EDATE(Borçlar!$K$7,89)</f>
        <v>49004</v>
      </c>
      <c r="C100" s="36" t="n">
        <f aca="false">MAX(0,SUM(Borçlar!$D$5:$D$14)-(O100+S100+W100+AA100+AE100+AI100+AM100+AQ100+AU100+AY100))</f>
        <v>14000</v>
      </c>
      <c r="D100" s="36" t="n">
        <f aca="false">O100+P100+S100+T100+W100+X100+AA100+AB100+AE100+AF100+AI100+AJ100+AM100+AN100+AQ100+AR100+AU100+AV100+AY100+AZ100</f>
        <v>0</v>
      </c>
      <c r="E100" s="36" t="n">
        <f aca="false">(N100+R100+V100+Z100+AD100+AH100+AL100+AP100+AT100+AX100)-(F99)</f>
        <v>0</v>
      </c>
      <c r="F100" s="36" t="n">
        <f aca="false">Q100+U100+Y100+AC100+AG100+AK100+AO100+AS100+AW100+BA100</f>
        <v>0</v>
      </c>
      <c r="N100" s="22" t="n">
        <f aca="false">Q99*(1+D$7)</f>
        <v>0</v>
      </c>
      <c r="O100" s="22" t="n">
        <f aca="false">MIN(N100,D$8)</f>
        <v>0</v>
      </c>
      <c r="P100" s="22" t="n">
        <f aca="false">MAX(0,MIN(N100-O100,$C100-(0)))</f>
        <v>0</v>
      </c>
      <c r="Q100" s="22" t="n">
        <f aca="false">ROUND(N100-O100-P100,2)</f>
        <v>0</v>
      </c>
      <c r="R100" s="22" t="n">
        <f aca="false">U99*(1+E$7)</f>
        <v>0</v>
      </c>
      <c r="S100" s="22" t="n">
        <f aca="false">MIN(R100,E$8)</f>
        <v>0</v>
      </c>
      <c r="T100" s="22" t="n">
        <f aca="false">MAX(0,MIN(R100-S100,$C100-(P100)))</f>
        <v>0</v>
      </c>
      <c r="U100" s="22" t="n">
        <f aca="false">ROUND(R100-S100-T100,2)</f>
        <v>0</v>
      </c>
      <c r="V100" s="22" t="n">
        <f aca="false">Y99*(1+F$7)</f>
        <v>0</v>
      </c>
      <c r="W100" s="22" t="n">
        <f aca="false">MIN(V100,F$8)</f>
        <v>0</v>
      </c>
      <c r="X100" s="22" t="n">
        <f aca="false">MAX(0,MIN(V100-W100,$C100-(P100+T100)))</f>
        <v>0</v>
      </c>
      <c r="Y100" s="22" t="n">
        <f aca="false">ROUND(V100-W100-X100,2)</f>
        <v>0</v>
      </c>
      <c r="Z100" s="22" t="n">
        <f aca="false">AC99*(1+G$7)</f>
        <v>0</v>
      </c>
      <c r="AA100" s="22" t="n">
        <f aca="false">MIN(Z100,G$8)</f>
        <v>0</v>
      </c>
      <c r="AB100" s="22" t="n">
        <f aca="false">MAX(0,MIN(Z100-AA100,$C100-(P100+T100+X100)))</f>
        <v>0</v>
      </c>
      <c r="AC100" s="22" t="n">
        <f aca="false">ROUND(Z100-AA100-AB100,2)</f>
        <v>0</v>
      </c>
      <c r="AD100" s="22" t="n">
        <f aca="false">AG99*(1+H$7)</f>
        <v>0</v>
      </c>
      <c r="AE100" s="22" t="n">
        <f aca="false">MIN(AD100,H$8)</f>
        <v>0</v>
      </c>
      <c r="AF100" s="22" t="n">
        <f aca="false">MAX(0,MIN(AD100-AE100,$C100-(P100+T100+X100+AB100)))</f>
        <v>0</v>
      </c>
      <c r="AG100" s="22" t="n">
        <f aca="false">ROUND(AD100-AE100-AF100,2)</f>
        <v>0</v>
      </c>
      <c r="AH100" s="22" t="n">
        <f aca="false">AK99*(1+I$7)</f>
        <v>0</v>
      </c>
      <c r="AI100" s="22" t="n">
        <f aca="false">MIN(AH100,I$8)</f>
        <v>0</v>
      </c>
      <c r="AJ100" s="22" t="n">
        <f aca="false">MAX(0,MIN(AH100-AI100,$C100-(P100+T100+X100+AB100+AF100)))</f>
        <v>0</v>
      </c>
      <c r="AK100" s="22" t="n">
        <f aca="false">ROUND(AH100-AI100-AJ100,2)</f>
        <v>0</v>
      </c>
      <c r="AL100" s="22" t="n">
        <f aca="false">AO99*(1+J$7)</f>
        <v>0</v>
      </c>
      <c r="AM100" s="22" t="n">
        <f aca="false">MIN(AL100,J$8)</f>
        <v>0</v>
      </c>
      <c r="AN100" s="22" t="n">
        <f aca="false">MAX(0,MIN(AL100-AM100,$C100-(P100+T100+X100+AB100+AF100+AJ100)))</f>
        <v>0</v>
      </c>
      <c r="AO100" s="22" t="n">
        <f aca="false">ROUND(AL100-AM100-AN100,2)</f>
        <v>0</v>
      </c>
      <c r="AP100" s="22" t="n">
        <f aca="false">AS99*(1+K$7)</f>
        <v>0</v>
      </c>
      <c r="AQ100" s="22" t="n">
        <f aca="false">MIN(AP100,K$8)</f>
        <v>0</v>
      </c>
      <c r="AR100" s="22" t="n">
        <f aca="false">MAX(0,MIN(AP100-AQ100,$C100-(P100+T100+X100+AB100+AF100+AJ100+AN100)))</f>
        <v>0</v>
      </c>
      <c r="AS100" s="22" t="n">
        <f aca="false">ROUND(AP100-AQ100-AR100,2)</f>
        <v>0</v>
      </c>
      <c r="AT100" s="22" t="n">
        <f aca="false">AW99*(1+L$7)</f>
        <v>0</v>
      </c>
      <c r="AU100" s="22" t="n">
        <f aca="false">MIN(AT100,L$8)</f>
        <v>0</v>
      </c>
      <c r="AV100" s="22" t="n">
        <f aca="false">MAX(0,MIN(AT100-AU100,$C100-(P100+T100+X100+AB100+AF100+AJ100+AN100+AR100)))</f>
        <v>0</v>
      </c>
      <c r="AW100" s="22" t="n">
        <f aca="false">ROUND(AT100-AU100-AV100,2)</f>
        <v>0</v>
      </c>
      <c r="AX100" s="22" t="n">
        <f aca="false">BA99*(1+M$7)</f>
        <v>0</v>
      </c>
      <c r="AY100" s="22" t="n">
        <f aca="false">MIN(AX100,M$8)</f>
        <v>0</v>
      </c>
      <c r="AZ100" s="22" t="n">
        <f aca="false">MAX(0,MIN(AX100-AY100,$C100-(P100+T100+X100+AB100+AF100+AJ100+AN100+AR100+AV100)))</f>
        <v>0</v>
      </c>
      <c r="BA100" s="22" t="n">
        <f aca="false">ROUND(AX100-AY100-AZ100,2)</f>
        <v>0</v>
      </c>
    </row>
    <row r="101" customFormat="false" ht="15" hidden="false" customHeight="false" outlineLevel="0" collapsed="false">
      <c r="A101" s="0" t="n">
        <v>91</v>
      </c>
      <c r="B101" s="39" t="n">
        <f aca="false">EDATE(Borçlar!$K$7,90)</f>
        <v>49035</v>
      </c>
      <c r="C101" s="36" t="n">
        <f aca="false">MAX(0,SUM(Borçlar!$D$5:$D$14)-(O101+S101+W101+AA101+AE101+AI101+AM101+AQ101+AU101+AY101))</f>
        <v>14000</v>
      </c>
      <c r="D101" s="36" t="n">
        <f aca="false">O101+P101+S101+T101+W101+X101+AA101+AB101+AE101+AF101+AI101+AJ101+AM101+AN101+AQ101+AR101+AU101+AV101+AY101+AZ101</f>
        <v>0</v>
      </c>
      <c r="E101" s="36" t="n">
        <f aca="false">(N101+R101+V101+Z101+AD101+AH101+AL101+AP101+AT101+AX101)-(F100)</f>
        <v>0</v>
      </c>
      <c r="F101" s="36" t="n">
        <f aca="false">Q101+U101+Y101+AC101+AG101+AK101+AO101+AS101+AW101+BA101</f>
        <v>0</v>
      </c>
      <c r="N101" s="22" t="n">
        <f aca="false">Q100*(1+D$7)</f>
        <v>0</v>
      </c>
      <c r="O101" s="22" t="n">
        <f aca="false">MIN(N101,D$8)</f>
        <v>0</v>
      </c>
      <c r="P101" s="22" t="n">
        <f aca="false">MAX(0,MIN(N101-O101,$C101-(0)))</f>
        <v>0</v>
      </c>
      <c r="Q101" s="22" t="n">
        <f aca="false">ROUND(N101-O101-P101,2)</f>
        <v>0</v>
      </c>
      <c r="R101" s="22" t="n">
        <f aca="false">U100*(1+E$7)</f>
        <v>0</v>
      </c>
      <c r="S101" s="22" t="n">
        <f aca="false">MIN(R101,E$8)</f>
        <v>0</v>
      </c>
      <c r="T101" s="22" t="n">
        <f aca="false">MAX(0,MIN(R101-S101,$C101-(P101)))</f>
        <v>0</v>
      </c>
      <c r="U101" s="22" t="n">
        <f aca="false">ROUND(R101-S101-T101,2)</f>
        <v>0</v>
      </c>
      <c r="V101" s="22" t="n">
        <f aca="false">Y100*(1+F$7)</f>
        <v>0</v>
      </c>
      <c r="W101" s="22" t="n">
        <f aca="false">MIN(V101,F$8)</f>
        <v>0</v>
      </c>
      <c r="X101" s="22" t="n">
        <f aca="false">MAX(0,MIN(V101-W101,$C101-(P101+T101)))</f>
        <v>0</v>
      </c>
      <c r="Y101" s="22" t="n">
        <f aca="false">ROUND(V101-W101-X101,2)</f>
        <v>0</v>
      </c>
      <c r="Z101" s="22" t="n">
        <f aca="false">AC100*(1+G$7)</f>
        <v>0</v>
      </c>
      <c r="AA101" s="22" t="n">
        <f aca="false">MIN(Z101,G$8)</f>
        <v>0</v>
      </c>
      <c r="AB101" s="22" t="n">
        <f aca="false">MAX(0,MIN(Z101-AA101,$C101-(P101+T101+X101)))</f>
        <v>0</v>
      </c>
      <c r="AC101" s="22" t="n">
        <f aca="false">ROUND(Z101-AA101-AB101,2)</f>
        <v>0</v>
      </c>
      <c r="AD101" s="22" t="n">
        <f aca="false">AG100*(1+H$7)</f>
        <v>0</v>
      </c>
      <c r="AE101" s="22" t="n">
        <f aca="false">MIN(AD101,H$8)</f>
        <v>0</v>
      </c>
      <c r="AF101" s="22" t="n">
        <f aca="false">MAX(0,MIN(AD101-AE101,$C101-(P101+T101+X101+AB101)))</f>
        <v>0</v>
      </c>
      <c r="AG101" s="22" t="n">
        <f aca="false">ROUND(AD101-AE101-AF101,2)</f>
        <v>0</v>
      </c>
      <c r="AH101" s="22" t="n">
        <f aca="false">AK100*(1+I$7)</f>
        <v>0</v>
      </c>
      <c r="AI101" s="22" t="n">
        <f aca="false">MIN(AH101,I$8)</f>
        <v>0</v>
      </c>
      <c r="AJ101" s="22" t="n">
        <f aca="false">MAX(0,MIN(AH101-AI101,$C101-(P101+T101+X101+AB101+AF101)))</f>
        <v>0</v>
      </c>
      <c r="AK101" s="22" t="n">
        <f aca="false">ROUND(AH101-AI101-AJ101,2)</f>
        <v>0</v>
      </c>
      <c r="AL101" s="22" t="n">
        <f aca="false">AO100*(1+J$7)</f>
        <v>0</v>
      </c>
      <c r="AM101" s="22" t="n">
        <f aca="false">MIN(AL101,J$8)</f>
        <v>0</v>
      </c>
      <c r="AN101" s="22" t="n">
        <f aca="false">MAX(0,MIN(AL101-AM101,$C101-(P101+T101+X101+AB101+AF101+AJ101)))</f>
        <v>0</v>
      </c>
      <c r="AO101" s="22" t="n">
        <f aca="false">ROUND(AL101-AM101-AN101,2)</f>
        <v>0</v>
      </c>
      <c r="AP101" s="22" t="n">
        <f aca="false">AS100*(1+K$7)</f>
        <v>0</v>
      </c>
      <c r="AQ101" s="22" t="n">
        <f aca="false">MIN(AP101,K$8)</f>
        <v>0</v>
      </c>
      <c r="AR101" s="22" t="n">
        <f aca="false">MAX(0,MIN(AP101-AQ101,$C101-(P101+T101+X101+AB101+AF101+AJ101+AN101)))</f>
        <v>0</v>
      </c>
      <c r="AS101" s="22" t="n">
        <f aca="false">ROUND(AP101-AQ101-AR101,2)</f>
        <v>0</v>
      </c>
      <c r="AT101" s="22" t="n">
        <f aca="false">AW100*(1+L$7)</f>
        <v>0</v>
      </c>
      <c r="AU101" s="22" t="n">
        <f aca="false">MIN(AT101,L$8)</f>
        <v>0</v>
      </c>
      <c r="AV101" s="22" t="n">
        <f aca="false">MAX(0,MIN(AT101-AU101,$C101-(P101+T101+X101+AB101+AF101+AJ101+AN101+AR101)))</f>
        <v>0</v>
      </c>
      <c r="AW101" s="22" t="n">
        <f aca="false">ROUND(AT101-AU101-AV101,2)</f>
        <v>0</v>
      </c>
      <c r="AX101" s="22" t="n">
        <f aca="false">BA100*(1+M$7)</f>
        <v>0</v>
      </c>
      <c r="AY101" s="22" t="n">
        <f aca="false">MIN(AX101,M$8)</f>
        <v>0</v>
      </c>
      <c r="AZ101" s="22" t="n">
        <f aca="false">MAX(0,MIN(AX101-AY101,$C101-(P101+T101+X101+AB101+AF101+AJ101+AN101+AR101+AV101)))</f>
        <v>0</v>
      </c>
      <c r="BA101" s="22" t="n">
        <f aca="false">ROUND(AX101-AY101-AZ101,2)</f>
        <v>0</v>
      </c>
    </row>
    <row r="102" customFormat="false" ht="15" hidden="false" customHeight="false" outlineLevel="0" collapsed="false">
      <c r="A102" s="0" t="n">
        <v>92</v>
      </c>
      <c r="B102" s="39" t="n">
        <f aca="false">EDATE(Borçlar!$K$7,91)</f>
        <v>49065</v>
      </c>
      <c r="C102" s="36" t="n">
        <f aca="false">MAX(0,SUM(Borçlar!$D$5:$D$14)-(O102+S102+W102+AA102+AE102+AI102+AM102+AQ102+AU102+AY102))</f>
        <v>14000</v>
      </c>
      <c r="D102" s="36" t="n">
        <f aca="false">O102+P102+S102+T102+W102+X102+AA102+AB102+AE102+AF102+AI102+AJ102+AM102+AN102+AQ102+AR102+AU102+AV102+AY102+AZ102</f>
        <v>0</v>
      </c>
      <c r="E102" s="36" t="n">
        <f aca="false">(N102+R102+V102+Z102+AD102+AH102+AL102+AP102+AT102+AX102)-(F101)</f>
        <v>0</v>
      </c>
      <c r="F102" s="36" t="n">
        <f aca="false">Q102+U102+Y102+AC102+AG102+AK102+AO102+AS102+AW102+BA102</f>
        <v>0</v>
      </c>
      <c r="N102" s="22" t="n">
        <f aca="false">Q101*(1+D$7)</f>
        <v>0</v>
      </c>
      <c r="O102" s="22" t="n">
        <f aca="false">MIN(N102,D$8)</f>
        <v>0</v>
      </c>
      <c r="P102" s="22" t="n">
        <f aca="false">MAX(0,MIN(N102-O102,$C102-(0)))</f>
        <v>0</v>
      </c>
      <c r="Q102" s="22" t="n">
        <f aca="false">ROUND(N102-O102-P102,2)</f>
        <v>0</v>
      </c>
      <c r="R102" s="22" t="n">
        <f aca="false">U101*(1+E$7)</f>
        <v>0</v>
      </c>
      <c r="S102" s="22" t="n">
        <f aca="false">MIN(R102,E$8)</f>
        <v>0</v>
      </c>
      <c r="T102" s="22" t="n">
        <f aca="false">MAX(0,MIN(R102-S102,$C102-(P102)))</f>
        <v>0</v>
      </c>
      <c r="U102" s="22" t="n">
        <f aca="false">ROUND(R102-S102-T102,2)</f>
        <v>0</v>
      </c>
      <c r="V102" s="22" t="n">
        <f aca="false">Y101*(1+F$7)</f>
        <v>0</v>
      </c>
      <c r="W102" s="22" t="n">
        <f aca="false">MIN(V102,F$8)</f>
        <v>0</v>
      </c>
      <c r="X102" s="22" t="n">
        <f aca="false">MAX(0,MIN(V102-W102,$C102-(P102+T102)))</f>
        <v>0</v>
      </c>
      <c r="Y102" s="22" t="n">
        <f aca="false">ROUND(V102-W102-X102,2)</f>
        <v>0</v>
      </c>
      <c r="Z102" s="22" t="n">
        <f aca="false">AC101*(1+G$7)</f>
        <v>0</v>
      </c>
      <c r="AA102" s="22" t="n">
        <f aca="false">MIN(Z102,G$8)</f>
        <v>0</v>
      </c>
      <c r="AB102" s="22" t="n">
        <f aca="false">MAX(0,MIN(Z102-AA102,$C102-(P102+T102+X102)))</f>
        <v>0</v>
      </c>
      <c r="AC102" s="22" t="n">
        <f aca="false">ROUND(Z102-AA102-AB102,2)</f>
        <v>0</v>
      </c>
      <c r="AD102" s="22" t="n">
        <f aca="false">AG101*(1+H$7)</f>
        <v>0</v>
      </c>
      <c r="AE102" s="22" t="n">
        <f aca="false">MIN(AD102,H$8)</f>
        <v>0</v>
      </c>
      <c r="AF102" s="22" t="n">
        <f aca="false">MAX(0,MIN(AD102-AE102,$C102-(P102+T102+X102+AB102)))</f>
        <v>0</v>
      </c>
      <c r="AG102" s="22" t="n">
        <f aca="false">ROUND(AD102-AE102-AF102,2)</f>
        <v>0</v>
      </c>
      <c r="AH102" s="22" t="n">
        <f aca="false">AK101*(1+I$7)</f>
        <v>0</v>
      </c>
      <c r="AI102" s="22" t="n">
        <f aca="false">MIN(AH102,I$8)</f>
        <v>0</v>
      </c>
      <c r="AJ102" s="22" t="n">
        <f aca="false">MAX(0,MIN(AH102-AI102,$C102-(P102+T102+X102+AB102+AF102)))</f>
        <v>0</v>
      </c>
      <c r="AK102" s="22" t="n">
        <f aca="false">ROUND(AH102-AI102-AJ102,2)</f>
        <v>0</v>
      </c>
      <c r="AL102" s="22" t="n">
        <f aca="false">AO101*(1+J$7)</f>
        <v>0</v>
      </c>
      <c r="AM102" s="22" t="n">
        <f aca="false">MIN(AL102,J$8)</f>
        <v>0</v>
      </c>
      <c r="AN102" s="22" t="n">
        <f aca="false">MAX(0,MIN(AL102-AM102,$C102-(P102+T102+X102+AB102+AF102+AJ102)))</f>
        <v>0</v>
      </c>
      <c r="AO102" s="22" t="n">
        <f aca="false">ROUND(AL102-AM102-AN102,2)</f>
        <v>0</v>
      </c>
      <c r="AP102" s="22" t="n">
        <f aca="false">AS101*(1+K$7)</f>
        <v>0</v>
      </c>
      <c r="AQ102" s="22" t="n">
        <f aca="false">MIN(AP102,K$8)</f>
        <v>0</v>
      </c>
      <c r="AR102" s="22" t="n">
        <f aca="false">MAX(0,MIN(AP102-AQ102,$C102-(P102+T102+X102+AB102+AF102+AJ102+AN102)))</f>
        <v>0</v>
      </c>
      <c r="AS102" s="22" t="n">
        <f aca="false">ROUND(AP102-AQ102-AR102,2)</f>
        <v>0</v>
      </c>
      <c r="AT102" s="22" t="n">
        <f aca="false">AW101*(1+L$7)</f>
        <v>0</v>
      </c>
      <c r="AU102" s="22" t="n">
        <f aca="false">MIN(AT102,L$8)</f>
        <v>0</v>
      </c>
      <c r="AV102" s="22" t="n">
        <f aca="false">MAX(0,MIN(AT102-AU102,$C102-(P102+T102+X102+AB102+AF102+AJ102+AN102+AR102)))</f>
        <v>0</v>
      </c>
      <c r="AW102" s="22" t="n">
        <f aca="false">ROUND(AT102-AU102-AV102,2)</f>
        <v>0</v>
      </c>
      <c r="AX102" s="22" t="n">
        <f aca="false">BA101*(1+M$7)</f>
        <v>0</v>
      </c>
      <c r="AY102" s="22" t="n">
        <f aca="false">MIN(AX102,M$8)</f>
        <v>0</v>
      </c>
      <c r="AZ102" s="22" t="n">
        <f aca="false">MAX(0,MIN(AX102-AY102,$C102-(P102+T102+X102+AB102+AF102+AJ102+AN102+AR102+AV102)))</f>
        <v>0</v>
      </c>
      <c r="BA102" s="22" t="n">
        <f aca="false">ROUND(AX102-AY102-AZ102,2)</f>
        <v>0</v>
      </c>
    </row>
    <row r="103" customFormat="false" ht="15" hidden="false" customHeight="false" outlineLevel="0" collapsed="false">
      <c r="A103" s="0" t="n">
        <v>93</v>
      </c>
      <c r="B103" s="39" t="n">
        <f aca="false">EDATE(Borçlar!$K$7,92)</f>
        <v>49096</v>
      </c>
      <c r="C103" s="36" t="n">
        <f aca="false">MAX(0,SUM(Borçlar!$D$5:$D$14)-(O103+S103+W103+AA103+AE103+AI103+AM103+AQ103+AU103+AY103))</f>
        <v>14000</v>
      </c>
      <c r="D103" s="36" t="n">
        <f aca="false">O103+P103+S103+T103+W103+X103+AA103+AB103+AE103+AF103+AI103+AJ103+AM103+AN103+AQ103+AR103+AU103+AV103+AY103+AZ103</f>
        <v>0</v>
      </c>
      <c r="E103" s="36" t="n">
        <f aca="false">(N103+R103+V103+Z103+AD103+AH103+AL103+AP103+AT103+AX103)-(F102)</f>
        <v>0</v>
      </c>
      <c r="F103" s="36" t="n">
        <f aca="false">Q103+U103+Y103+AC103+AG103+AK103+AO103+AS103+AW103+BA103</f>
        <v>0</v>
      </c>
      <c r="N103" s="22" t="n">
        <f aca="false">Q102*(1+D$7)</f>
        <v>0</v>
      </c>
      <c r="O103" s="22" t="n">
        <f aca="false">MIN(N103,D$8)</f>
        <v>0</v>
      </c>
      <c r="P103" s="22" t="n">
        <f aca="false">MAX(0,MIN(N103-O103,$C103-(0)))</f>
        <v>0</v>
      </c>
      <c r="Q103" s="22" t="n">
        <f aca="false">ROUND(N103-O103-P103,2)</f>
        <v>0</v>
      </c>
      <c r="R103" s="22" t="n">
        <f aca="false">U102*(1+E$7)</f>
        <v>0</v>
      </c>
      <c r="S103" s="22" t="n">
        <f aca="false">MIN(R103,E$8)</f>
        <v>0</v>
      </c>
      <c r="T103" s="22" t="n">
        <f aca="false">MAX(0,MIN(R103-S103,$C103-(P103)))</f>
        <v>0</v>
      </c>
      <c r="U103" s="22" t="n">
        <f aca="false">ROUND(R103-S103-T103,2)</f>
        <v>0</v>
      </c>
      <c r="V103" s="22" t="n">
        <f aca="false">Y102*(1+F$7)</f>
        <v>0</v>
      </c>
      <c r="W103" s="22" t="n">
        <f aca="false">MIN(V103,F$8)</f>
        <v>0</v>
      </c>
      <c r="X103" s="22" t="n">
        <f aca="false">MAX(0,MIN(V103-W103,$C103-(P103+T103)))</f>
        <v>0</v>
      </c>
      <c r="Y103" s="22" t="n">
        <f aca="false">ROUND(V103-W103-X103,2)</f>
        <v>0</v>
      </c>
      <c r="Z103" s="22" t="n">
        <f aca="false">AC102*(1+G$7)</f>
        <v>0</v>
      </c>
      <c r="AA103" s="22" t="n">
        <f aca="false">MIN(Z103,G$8)</f>
        <v>0</v>
      </c>
      <c r="AB103" s="22" t="n">
        <f aca="false">MAX(0,MIN(Z103-AA103,$C103-(P103+T103+X103)))</f>
        <v>0</v>
      </c>
      <c r="AC103" s="22" t="n">
        <f aca="false">ROUND(Z103-AA103-AB103,2)</f>
        <v>0</v>
      </c>
      <c r="AD103" s="22" t="n">
        <f aca="false">AG102*(1+H$7)</f>
        <v>0</v>
      </c>
      <c r="AE103" s="22" t="n">
        <f aca="false">MIN(AD103,H$8)</f>
        <v>0</v>
      </c>
      <c r="AF103" s="22" t="n">
        <f aca="false">MAX(0,MIN(AD103-AE103,$C103-(P103+T103+X103+AB103)))</f>
        <v>0</v>
      </c>
      <c r="AG103" s="22" t="n">
        <f aca="false">ROUND(AD103-AE103-AF103,2)</f>
        <v>0</v>
      </c>
      <c r="AH103" s="22" t="n">
        <f aca="false">AK102*(1+I$7)</f>
        <v>0</v>
      </c>
      <c r="AI103" s="22" t="n">
        <f aca="false">MIN(AH103,I$8)</f>
        <v>0</v>
      </c>
      <c r="AJ103" s="22" t="n">
        <f aca="false">MAX(0,MIN(AH103-AI103,$C103-(P103+T103+X103+AB103+AF103)))</f>
        <v>0</v>
      </c>
      <c r="AK103" s="22" t="n">
        <f aca="false">ROUND(AH103-AI103-AJ103,2)</f>
        <v>0</v>
      </c>
      <c r="AL103" s="22" t="n">
        <f aca="false">AO102*(1+J$7)</f>
        <v>0</v>
      </c>
      <c r="AM103" s="22" t="n">
        <f aca="false">MIN(AL103,J$8)</f>
        <v>0</v>
      </c>
      <c r="AN103" s="22" t="n">
        <f aca="false">MAX(0,MIN(AL103-AM103,$C103-(P103+T103+X103+AB103+AF103+AJ103)))</f>
        <v>0</v>
      </c>
      <c r="AO103" s="22" t="n">
        <f aca="false">ROUND(AL103-AM103-AN103,2)</f>
        <v>0</v>
      </c>
      <c r="AP103" s="22" t="n">
        <f aca="false">AS102*(1+K$7)</f>
        <v>0</v>
      </c>
      <c r="AQ103" s="22" t="n">
        <f aca="false">MIN(AP103,K$8)</f>
        <v>0</v>
      </c>
      <c r="AR103" s="22" t="n">
        <f aca="false">MAX(0,MIN(AP103-AQ103,$C103-(P103+T103+X103+AB103+AF103+AJ103+AN103)))</f>
        <v>0</v>
      </c>
      <c r="AS103" s="22" t="n">
        <f aca="false">ROUND(AP103-AQ103-AR103,2)</f>
        <v>0</v>
      </c>
      <c r="AT103" s="22" t="n">
        <f aca="false">AW102*(1+L$7)</f>
        <v>0</v>
      </c>
      <c r="AU103" s="22" t="n">
        <f aca="false">MIN(AT103,L$8)</f>
        <v>0</v>
      </c>
      <c r="AV103" s="22" t="n">
        <f aca="false">MAX(0,MIN(AT103-AU103,$C103-(P103+T103+X103+AB103+AF103+AJ103+AN103+AR103)))</f>
        <v>0</v>
      </c>
      <c r="AW103" s="22" t="n">
        <f aca="false">ROUND(AT103-AU103-AV103,2)</f>
        <v>0</v>
      </c>
      <c r="AX103" s="22" t="n">
        <f aca="false">BA102*(1+M$7)</f>
        <v>0</v>
      </c>
      <c r="AY103" s="22" t="n">
        <f aca="false">MIN(AX103,M$8)</f>
        <v>0</v>
      </c>
      <c r="AZ103" s="22" t="n">
        <f aca="false">MAX(0,MIN(AX103-AY103,$C103-(P103+T103+X103+AB103+AF103+AJ103+AN103+AR103+AV103)))</f>
        <v>0</v>
      </c>
      <c r="BA103" s="22" t="n">
        <f aca="false">ROUND(AX103-AY103-AZ103,2)</f>
        <v>0</v>
      </c>
    </row>
    <row r="104" customFormat="false" ht="15" hidden="false" customHeight="false" outlineLevel="0" collapsed="false">
      <c r="A104" s="0" t="n">
        <v>94</v>
      </c>
      <c r="B104" s="39" t="n">
        <f aca="false">EDATE(Borçlar!$K$7,93)</f>
        <v>49126</v>
      </c>
      <c r="C104" s="36" t="n">
        <f aca="false">MAX(0,SUM(Borçlar!$D$5:$D$14)-(O104+S104+W104+AA104+AE104+AI104+AM104+AQ104+AU104+AY104))</f>
        <v>14000</v>
      </c>
      <c r="D104" s="36" t="n">
        <f aca="false">O104+P104+S104+T104+W104+X104+AA104+AB104+AE104+AF104+AI104+AJ104+AM104+AN104+AQ104+AR104+AU104+AV104+AY104+AZ104</f>
        <v>0</v>
      </c>
      <c r="E104" s="36" t="n">
        <f aca="false">(N104+R104+V104+Z104+AD104+AH104+AL104+AP104+AT104+AX104)-(F103)</f>
        <v>0</v>
      </c>
      <c r="F104" s="36" t="n">
        <f aca="false">Q104+U104+Y104+AC104+AG104+AK104+AO104+AS104+AW104+BA104</f>
        <v>0</v>
      </c>
      <c r="N104" s="22" t="n">
        <f aca="false">Q103*(1+D$7)</f>
        <v>0</v>
      </c>
      <c r="O104" s="22" t="n">
        <f aca="false">MIN(N104,D$8)</f>
        <v>0</v>
      </c>
      <c r="P104" s="22" t="n">
        <f aca="false">MAX(0,MIN(N104-O104,$C104-(0)))</f>
        <v>0</v>
      </c>
      <c r="Q104" s="22" t="n">
        <f aca="false">ROUND(N104-O104-P104,2)</f>
        <v>0</v>
      </c>
      <c r="R104" s="22" t="n">
        <f aca="false">U103*(1+E$7)</f>
        <v>0</v>
      </c>
      <c r="S104" s="22" t="n">
        <f aca="false">MIN(R104,E$8)</f>
        <v>0</v>
      </c>
      <c r="T104" s="22" t="n">
        <f aca="false">MAX(0,MIN(R104-S104,$C104-(P104)))</f>
        <v>0</v>
      </c>
      <c r="U104" s="22" t="n">
        <f aca="false">ROUND(R104-S104-T104,2)</f>
        <v>0</v>
      </c>
      <c r="V104" s="22" t="n">
        <f aca="false">Y103*(1+F$7)</f>
        <v>0</v>
      </c>
      <c r="W104" s="22" t="n">
        <f aca="false">MIN(V104,F$8)</f>
        <v>0</v>
      </c>
      <c r="X104" s="22" t="n">
        <f aca="false">MAX(0,MIN(V104-W104,$C104-(P104+T104)))</f>
        <v>0</v>
      </c>
      <c r="Y104" s="22" t="n">
        <f aca="false">ROUND(V104-W104-X104,2)</f>
        <v>0</v>
      </c>
      <c r="Z104" s="22" t="n">
        <f aca="false">AC103*(1+G$7)</f>
        <v>0</v>
      </c>
      <c r="AA104" s="22" t="n">
        <f aca="false">MIN(Z104,G$8)</f>
        <v>0</v>
      </c>
      <c r="AB104" s="22" t="n">
        <f aca="false">MAX(0,MIN(Z104-AA104,$C104-(P104+T104+X104)))</f>
        <v>0</v>
      </c>
      <c r="AC104" s="22" t="n">
        <f aca="false">ROUND(Z104-AA104-AB104,2)</f>
        <v>0</v>
      </c>
      <c r="AD104" s="22" t="n">
        <f aca="false">AG103*(1+H$7)</f>
        <v>0</v>
      </c>
      <c r="AE104" s="22" t="n">
        <f aca="false">MIN(AD104,H$8)</f>
        <v>0</v>
      </c>
      <c r="AF104" s="22" t="n">
        <f aca="false">MAX(0,MIN(AD104-AE104,$C104-(P104+T104+X104+AB104)))</f>
        <v>0</v>
      </c>
      <c r="AG104" s="22" t="n">
        <f aca="false">ROUND(AD104-AE104-AF104,2)</f>
        <v>0</v>
      </c>
      <c r="AH104" s="22" t="n">
        <f aca="false">AK103*(1+I$7)</f>
        <v>0</v>
      </c>
      <c r="AI104" s="22" t="n">
        <f aca="false">MIN(AH104,I$8)</f>
        <v>0</v>
      </c>
      <c r="AJ104" s="22" t="n">
        <f aca="false">MAX(0,MIN(AH104-AI104,$C104-(P104+T104+X104+AB104+AF104)))</f>
        <v>0</v>
      </c>
      <c r="AK104" s="22" t="n">
        <f aca="false">ROUND(AH104-AI104-AJ104,2)</f>
        <v>0</v>
      </c>
      <c r="AL104" s="22" t="n">
        <f aca="false">AO103*(1+J$7)</f>
        <v>0</v>
      </c>
      <c r="AM104" s="22" t="n">
        <f aca="false">MIN(AL104,J$8)</f>
        <v>0</v>
      </c>
      <c r="AN104" s="22" t="n">
        <f aca="false">MAX(0,MIN(AL104-AM104,$C104-(P104+T104+X104+AB104+AF104+AJ104)))</f>
        <v>0</v>
      </c>
      <c r="AO104" s="22" t="n">
        <f aca="false">ROUND(AL104-AM104-AN104,2)</f>
        <v>0</v>
      </c>
      <c r="AP104" s="22" t="n">
        <f aca="false">AS103*(1+K$7)</f>
        <v>0</v>
      </c>
      <c r="AQ104" s="22" t="n">
        <f aca="false">MIN(AP104,K$8)</f>
        <v>0</v>
      </c>
      <c r="AR104" s="22" t="n">
        <f aca="false">MAX(0,MIN(AP104-AQ104,$C104-(P104+T104+X104+AB104+AF104+AJ104+AN104)))</f>
        <v>0</v>
      </c>
      <c r="AS104" s="22" t="n">
        <f aca="false">ROUND(AP104-AQ104-AR104,2)</f>
        <v>0</v>
      </c>
      <c r="AT104" s="22" t="n">
        <f aca="false">AW103*(1+L$7)</f>
        <v>0</v>
      </c>
      <c r="AU104" s="22" t="n">
        <f aca="false">MIN(AT104,L$8)</f>
        <v>0</v>
      </c>
      <c r="AV104" s="22" t="n">
        <f aca="false">MAX(0,MIN(AT104-AU104,$C104-(P104+T104+X104+AB104+AF104+AJ104+AN104+AR104)))</f>
        <v>0</v>
      </c>
      <c r="AW104" s="22" t="n">
        <f aca="false">ROUND(AT104-AU104-AV104,2)</f>
        <v>0</v>
      </c>
      <c r="AX104" s="22" t="n">
        <f aca="false">BA103*(1+M$7)</f>
        <v>0</v>
      </c>
      <c r="AY104" s="22" t="n">
        <f aca="false">MIN(AX104,M$8)</f>
        <v>0</v>
      </c>
      <c r="AZ104" s="22" t="n">
        <f aca="false">MAX(0,MIN(AX104-AY104,$C104-(P104+T104+X104+AB104+AF104+AJ104+AN104+AR104+AV104)))</f>
        <v>0</v>
      </c>
      <c r="BA104" s="22" t="n">
        <f aca="false">ROUND(AX104-AY104-AZ104,2)</f>
        <v>0</v>
      </c>
    </row>
    <row r="105" customFormat="false" ht="15" hidden="false" customHeight="false" outlineLevel="0" collapsed="false">
      <c r="A105" s="0" t="n">
        <v>95</v>
      </c>
      <c r="B105" s="39" t="n">
        <f aca="false">EDATE(Borçlar!$K$7,94)</f>
        <v>49157</v>
      </c>
      <c r="C105" s="36" t="n">
        <f aca="false">MAX(0,SUM(Borçlar!$D$5:$D$14)-(O105+S105+W105+AA105+AE105+AI105+AM105+AQ105+AU105+AY105))</f>
        <v>14000</v>
      </c>
      <c r="D105" s="36" t="n">
        <f aca="false">O105+P105+S105+T105+W105+X105+AA105+AB105+AE105+AF105+AI105+AJ105+AM105+AN105+AQ105+AR105+AU105+AV105+AY105+AZ105</f>
        <v>0</v>
      </c>
      <c r="E105" s="36" t="n">
        <f aca="false">(N105+R105+V105+Z105+AD105+AH105+AL105+AP105+AT105+AX105)-(F104)</f>
        <v>0</v>
      </c>
      <c r="F105" s="36" t="n">
        <f aca="false">Q105+U105+Y105+AC105+AG105+AK105+AO105+AS105+AW105+BA105</f>
        <v>0</v>
      </c>
      <c r="N105" s="22" t="n">
        <f aca="false">Q104*(1+D$7)</f>
        <v>0</v>
      </c>
      <c r="O105" s="22" t="n">
        <f aca="false">MIN(N105,D$8)</f>
        <v>0</v>
      </c>
      <c r="P105" s="22" t="n">
        <f aca="false">MAX(0,MIN(N105-O105,$C105-(0)))</f>
        <v>0</v>
      </c>
      <c r="Q105" s="22" t="n">
        <f aca="false">ROUND(N105-O105-P105,2)</f>
        <v>0</v>
      </c>
      <c r="R105" s="22" t="n">
        <f aca="false">U104*(1+E$7)</f>
        <v>0</v>
      </c>
      <c r="S105" s="22" t="n">
        <f aca="false">MIN(R105,E$8)</f>
        <v>0</v>
      </c>
      <c r="T105" s="22" t="n">
        <f aca="false">MAX(0,MIN(R105-S105,$C105-(P105)))</f>
        <v>0</v>
      </c>
      <c r="U105" s="22" t="n">
        <f aca="false">ROUND(R105-S105-T105,2)</f>
        <v>0</v>
      </c>
      <c r="V105" s="22" t="n">
        <f aca="false">Y104*(1+F$7)</f>
        <v>0</v>
      </c>
      <c r="W105" s="22" t="n">
        <f aca="false">MIN(V105,F$8)</f>
        <v>0</v>
      </c>
      <c r="X105" s="22" t="n">
        <f aca="false">MAX(0,MIN(V105-W105,$C105-(P105+T105)))</f>
        <v>0</v>
      </c>
      <c r="Y105" s="22" t="n">
        <f aca="false">ROUND(V105-W105-X105,2)</f>
        <v>0</v>
      </c>
      <c r="Z105" s="22" t="n">
        <f aca="false">AC104*(1+G$7)</f>
        <v>0</v>
      </c>
      <c r="AA105" s="22" t="n">
        <f aca="false">MIN(Z105,G$8)</f>
        <v>0</v>
      </c>
      <c r="AB105" s="22" t="n">
        <f aca="false">MAX(0,MIN(Z105-AA105,$C105-(P105+T105+X105)))</f>
        <v>0</v>
      </c>
      <c r="AC105" s="22" t="n">
        <f aca="false">ROUND(Z105-AA105-AB105,2)</f>
        <v>0</v>
      </c>
      <c r="AD105" s="22" t="n">
        <f aca="false">AG104*(1+H$7)</f>
        <v>0</v>
      </c>
      <c r="AE105" s="22" t="n">
        <f aca="false">MIN(AD105,H$8)</f>
        <v>0</v>
      </c>
      <c r="AF105" s="22" t="n">
        <f aca="false">MAX(0,MIN(AD105-AE105,$C105-(P105+T105+X105+AB105)))</f>
        <v>0</v>
      </c>
      <c r="AG105" s="22" t="n">
        <f aca="false">ROUND(AD105-AE105-AF105,2)</f>
        <v>0</v>
      </c>
      <c r="AH105" s="22" t="n">
        <f aca="false">AK104*(1+I$7)</f>
        <v>0</v>
      </c>
      <c r="AI105" s="22" t="n">
        <f aca="false">MIN(AH105,I$8)</f>
        <v>0</v>
      </c>
      <c r="AJ105" s="22" t="n">
        <f aca="false">MAX(0,MIN(AH105-AI105,$C105-(P105+T105+X105+AB105+AF105)))</f>
        <v>0</v>
      </c>
      <c r="AK105" s="22" t="n">
        <f aca="false">ROUND(AH105-AI105-AJ105,2)</f>
        <v>0</v>
      </c>
      <c r="AL105" s="22" t="n">
        <f aca="false">AO104*(1+J$7)</f>
        <v>0</v>
      </c>
      <c r="AM105" s="22" t="n">
        <f aca="false">MIN(AL105,J$8)</f>
        <v>0</v>
      </c>
      <c r="AN105" s="22" t="n">
        <f aca="false">MAX(0,MIN(AL105-AM105,$C105-(P105+T105+X105+AB105+AF105+AJ105)))</f>
        <v>0</v>
      </c>
      <c r="AO105" s="22" t="n">
        <f aca="false">ROUND(AL105-AM105-AN105,2)</f>
        <v>0</v>
      </c>
      <c r="AP105" s="22" t="n">
        <f aca="false">AS104*(1+K$7)</f>
        <v>0</v>
      </c>
      <c r="AQ105" s="22" t="n">
        <f aca="false">MIN(AP105,K$8)</f>
        <v>0</v>
      </c>
      <c r="AR105" s="22" t="n">
        <f aca="false">MAX(0,MIN(AP105-AQ105,$C105-(P105+T105+X105+AB105+AF105+AJ105+AN105)))</f>
        <v>0</v>
      </c>
      <c r="AS105" s="22" t="n">
        <f aca="false">ROUND(AP105-AQ105-AR105,2)</f>
        <v>0</v>
      </c>
      <c r="AT105" s="22" t="n">
        <f aca="false">AW104*(1+L$7)</f>
        <v>0</v>
      </c>
      <c r="AU105" s="22" t="n">
        <f aca="false">MIN(AT105,L$8)</f>
        <v>0</v>
      </c>
      <c r="AV105" s="22" t="n">
        <f aca="false">MAX(0,MIN(AT105-AU105,$C105-(P105+T105+X105+AB105+AF105+AJ105+AN105+AR105)))</f>
        <v>0</v>
      </c>
      <c r="AW105" s="22" t="n">
        <f aca="false">ROUND(AT105-AU105-AV105,2)</f>
        <v>0</v>
      </c>
      <c r="AX105" s="22" t="n">
        <f aca="false">BA104*(1+M$7)</f>
        <v>0</v>
      </c>
      <c r="AY105" s="22" t="n">
        <f aca="false">MIN(AX105,M$8)</f>
        <v>0</v>
      </c>
      <c r="AZ105" s="22" t="n">
        <f aca="false">MAX(0,MIN(AX105-AY105,$C105-(P105+T105+X105+AB105+AF105+AJ105+AN105+AR105+AV105)))</f>
        <v>0</v>
      </c>
      <c r="BA105" s="22" t="n">
        <f aca="false">ROUND(AX105-AY105-AZ105,2)</f>
        <v>0</v>
      </c>
    </row>
    <row r="106" customFormat="false" ht="15" hidden="false" customHeight="false" outlineLevel="0" collapsed="false">
      <c r="A106" s="0" t="n">
        <v>96</v>
      </c>
      <c r="B106" s="39" t="n">
        <f aca="false">EDATE(Borçlar!$K$7,95)</f>
        <v>49188</v>
      </c>
      <c r="C106" s="36" t="n">
        <f aca="false">MAX(0,SUM(Borçlar!$D$5:$D$14)-(O106+S106+W106+AA106+AE106+AI106+AM106+AQ106+AU106+AY106))</f>
        <v>14000</v>
      </c>
      <c r="D106" s="36" t="n">
        <f aca="false">O106+P106+S106+T106+W106+X106+AA106+AB106+AE106+AF106+AI106+AJ106+AM106+AN106+AQ106+AR106+AU106+AV106+AY106+AZ106</f>
        <v>0</v>
      </c>
      <c r="E106" s="36" t="n">
        <f aca="false">(N106+R106+V106+Z106+AD106+AH106+AL106+AP106+AT106+AX106)-(F105)</f>
        <v>0</v>
      </c>
      <c r="F106" s="36" t="n">
        <f aca="false">Q106+U106+Y106+AC106+AG106+AK106+AO106+AS106+AW106+BA106</f>
        <v>0</v>
      </c>
      <c r="N106" s="22" t="n">
        <f aca="false">Q105*(1+D$7)</f>
        <v>0</v>
      </c>
      <c r="O106" s="22" t="n">
        <f aca="false">MIN(N106,D$8)</f>
        <v>0</v>
      </c>
      <c r="P106" s="22" t="n">
        <f aca="false">MAX(0,MIN(N106-O106,$C106-(0)))</f>
        <v>0</v>
      </c>
      <c r="Q106" s="22" t="n">
        <f aca="false">ROUND(N106-O106-P106,2)</f>
        <v>0</v>
      </c>
      <c r="R106" s="22" t="n">
        <f aca="false">U105*(1+E$7)</f>
        <v>0</v>
      </c>
      <c r="S106" s="22" t="n">
        <f aca="false">MIN(R106,E$8)</f>
        <v>0</v>
      </c>
      <c r="T106" s="22" t="n">
        <f aca="false">MAX(0,MIN(R106-S106,$C106-(P106)))</f>
        <v>0</v>
      </c>
      <c r="U106" s="22" t="n">
        <f aca="false">ROUND(R106-S106-T106,2)</f>
        <v>0</v>
      </c>
      <c r="V106" s="22" t="n">
        <f aca="false">Y105*(1+F$7)</f>
        <v>0</v>
      </c>
      <c r="W106" s="22" t="n">
        <f aca="false">MIN(V106,F$8)</f>
        <v>0</v>
      </c>
      <c r="X106" s="22" t="n">
        <f aca="false">MAX(0,MIN(V106-W106,$C106-(P106+T106)))</f>
        <v>0</v>
      </c>
      <c r="Y106" s="22" t="n">
        <f aca="false">ROUND(V106-W106-X106,2)</f>
        <v>0</v>
      </c>
      <c r="Z106" s="22" t="n">
        <f aca="false">AC105*(1+G$7)</f>
        <v>0</v>
      </c>
      <c r="AA106" s="22" t="n">
        <f aca="false">MIN(Z106,G$8)</f>
        <v>0</v>
      </c>
      <c r="AB106" s="22" t="n">
        <f aca="false">MAX(0,MIN(Z106-AA106,$C106-(P106+T106+X106)))</f>
        <v>0</v>
      </c>
      <c r="AC106" s="22" t="n">
        <f aca="false">ROUND(Z106-AA106-AB106,2)</f>
        <v>0</v>
      </c>
      <c r="AD106" s="22" t="n">
        <f aca="false">AG105*(1+H$7)</f>
        <v>0</v>
      </c>
      <c r="AE106" s="22" t="n">
        <f aca="false">MIN(AD106,H$8)</f>
        <v>0</v>
      </c>
      <c r="AF106" s="22" t="n">
        <f aca="false">MAX(0,MIN(AD106-AE106,$C106-(P106+T106+X106+AB106)))</f>
        <v>0</v>
      </c>
      <c r="AG106" s="22" t="n">
        <f aca="false">ROUND(AD106-AE106-AF106,2)</f>
        <v>0</v>
      </c>
      <c r="AH106" s="22" t="n">
        <f aca="false">AK105*(1+I$7)</f>
        <v>0</v>
      </c>
      <c r="AI106" s="22" t="n">
        <f aca="false">MIN(AH106,I$8)</f>
        <v>0</v>
      </c>
      <c r="AJ106" s="22" t="n">
        <f aca="false">MAX(0,MIN(AH106-AI106,$C106-(P106+T106+X106+AB106+AF106)))</f>
        <v>0</v>
      </c>
      <c r="AK106" s="22" t="n">
        <f aca="false">ROUND(AH106-AI106-AJ106,2)</f>
        <v>0</v>
      </c>
      <c r="AL106" s="22" t="n">
        <f aca="false">AO105*(1+J$7)</f>
        <v>0</v>
      </c>
      <c r="AM106" s="22" t="n">
        <f aca="false">MIN(AL106,J$8)</f>
        <v>0</v>
      </c>
      <c r="AN106" s="22" t="n">
        <f aca="false">MAX(0,MIN(AL106-AM106,$C106-(P106+T106+X106+AB106+AF106+AJ106)))</f>
        <v>0</v>
      </c>
      <c r="AO106" s="22" t="n">
        <f aca="false">ROUND(AL106-AM106-AN106,2)</f>
        <v>0</v>
      </c>
      <c r="AP106" s="22" t="n">
        <f aca="false">AS105*(1+K$7)</f>
        <v>0</v>
      </c>
      <c r="AQ106" s="22" t="n">
        <f aca="false">MIN(AP106,K$8)</f>
        <v>0</v>
      </c>
      <c r="AR106" s="22" t="n">
        <f aca="false">MAX(0,MIN(AP106-AQ106,$C106-(P106+T106+X106+AB106+AF106+AJ106+AN106)))</f>
        <v>0</v>
      </c>
      <c r="AS106" s="22" t="n">
        <f aca="false">ROUND(AP106-AQ106-AR106,2)</f>
        <v>0</v>
      </c>
      <c r="AT106" s="22" t="n">
        <f aca="false">AW105*(1+L$7)</f>
        <v>0</v>
      </c>
      <c r="AU106" s="22" t="n">
        <f aca="false">MIN(AT106,L$8)</f>
        <v>0</v>
      </c>
      <c r="AV106" s="22" t="n">
        <f aca="false">MAX(0,MIN(AT106-AU106,$C106-(P106+T106+X106+AB106+AF106+AJ106+AN106+AR106)))</f>
        <v>0</v>
      </c>
      <c r="AW106" s="22" t="n">
        <f aca="false">ROUND(AT106-AU106-AV106,2)</f>
        <v>0</v>
      </c>
      <c r="AX106" s="22" t="n">
        <f aca="false">BA105*(1+M$7)</f>
        <v>0</v>
      </c>
      <c r="AY106" s="22" t="n">
        <f aca="false">MIN(AX106,M$8)</f>
        <v>0</v>
      </c>
      <c r="AZ106" s="22" t="n">
        <f aca="false">MAX(0,MIN(AX106-AY106,$C106-(P106+T106+X106+AB106+AF106+AJ106+AN106+AR106+AV106)))</f>
        <v>0</v>
      </c>
      <c r="BA106" s="22" t="n">
        <f aca="false">ROUND(AX106-AY106-AZ106,2)</f>
        <v>0</v>
      </c>
    </row>
    <row r="107" customFormat="false" ht="15" hidden="false" customHeight="false" outlineLevel="0" collapsed="false">
      <c r="A107" s="0" t="n">
        <v>97</v>
      </c>
      <c r="B107" s="39" t="n">
        <f aca="false">EDATE(Borçlar!$K$7,96)</f>
        <v>49218</v>
      </c>
      <c r="C107" s="36" t="n">
        <f aca="false">MAX(0,SUM(Borçlar!$D$5:$D$14)-(O107+S107+W107+AA107+AE107+AI107+AM107+AQ107+AU107+AY107))</f>
        <v>14000</v>
      </c>
      <c r="D107" s="36" t="n">
        <f aca="false">O107+P107+S107+T107+W107+X107+AA107+AB107+AE107+AF107+AI107+AJ107+AM107+AN107+AQ107+AR107+AU107+AV107+AY107+AZ107</f>
        <v>0</v>
      </c>
      <c r="E107" s="36" t="n">
        <f aca="false">(N107+R107+V107+Z107+AD107+AH107+AL107+AP107+AT107+AX107)-(F106)</f>
        <v>0</v>
      </c>
      <c r="F107" s="36" t="n">
        <f aca="false">Q107+U107+Y107+AC107+AG107+AK107+AO107+AS107+AW107+BA107</f>
        <v>0</v>
      </c>
      <c r="N107" s="22" t="n">
        <f aca="false">Q106*(1+D$7)</f>
        <v>0</v>
      </c>
      <c r="O107" s="22" t="n">
        <f aca="false">MIN(N107,D$8)</f>
        <v>0</v>
      </c>
      <c r="P107" s="22" t="n">
        <f aca="false">MAX(0,MIN(N107-O107,$C107-(0)))</f>
        <v>0</v>
      </c>
      <c r="Q107" s="22" t="n">
        <f aca="false">ROUND(N107-O107-P107,2)</f>
        <v>0</v>
      </c>
      <c r="R107" s="22" t="n">
        <f aca="false">U106*(1+E$7)</f>
        <v>0</v>
      </c>
      <c r="S107" s="22" t="n">
        <f aca="false">MIN(R107,E$8)</f>
        <v>0</v>
      </c>
      <c r="T107" s="22" t="n">
        <f aca="false">MAX(0,MIN(R107-S107,$C107-(P107)))</f>
        <v>0</v>
      </c>
      <c r="U107" s="22" t="n">
        <f aca="false">ROUND(R107-S107-T107,2)</f>
        <v>0</v>
      </c>
      <c r="V107" s="22" t="n">
        <f aca="false">Y106*(1+F$7)</f>
        <v>0</v>
      </c>
      <c r="W107" s="22" t="n">
        <f aca="false">MIN(V107,F$8)</f>
        <v>0</v>
      </c>
      <c r="X107" s="22" t="n">
        <f aca="false">MAX(0,MIN(V107-W107,$C107-(P107+T107)))</f>
        <v>0</v>
      </c>
      <c r="Y107" s="22" t="n">
        <f aca="false">ROUND(V107-W107-X107,2)</f>
        <v>0</v>
      </c>
      <c r="Z107" s="22" t="n">
        <f aca="false">AC106*(1+G$7)</f>
        <v>0</v>
      </c>
      <c r="AA107" s="22" t="n">
        <f aca="false">MIN(Z107,G$8)</f>
        <v>0</v>
      </c>
      <c r="AB107" s="22" t="n">
        <f aca="false">MAX(0,MIN(Z107-AA107,$C107-(P107+T107+X107)))</f>
        <v>0</v>
      </c>
      <c r="AC107" s="22" t="n">
        <f aca="false">ROUND(Z107-AA107-AB107,2)</f>
        <v>0</v>
      </c>
      <c r="AD107" s="22" t="n">
        <f aca="false">AG106*(1+H$7)</f>
        <v>0</v>
      </c>
      <c r="AE107" s="22" t="n">
        <f aca="false">MIN(AD107,H$8)</f>
        <v>0</v>
      </c>
      <c r="AF107" s="22" t="n">
        <f aca="false">MAX(0,MIN(AD107-AE107,$C107-(P107+T107+X107+AB107)))</f>
        <v>0</v>
      </c>
      <c r="AG107" s="22" t="n">
        <f aca="false">ROUND(AD107-AE107-AF107,2)</f>
        <v>0</v>
      </c>
      <c r="AH107" s="22" t="n">
        <f aca="false">AK106*(1+I$7)</f>
        <v>0</v>
      </c>
      <c r="AI107" s="22" t="n">
        <f aca="false">MIN(AH107,I$8)</f>
        <v>0</v>
      </c>
      <c r="AJ107" s="22" t="n">
        <f aca="false">MAX(0,MIN(AH107-AI107,$C107-(P107+T107+X107+AB107+AF107)))</f>
        <v>0</v>
      </c>
      <c r="AK107" s="22" t="n">
        <f aca="false">ROUND(AH107-AI107-AJ107,2)</f>
        <v>0</v>
      </c>
      <c r="AL107" s="22" t="n">
        <f aca="false">AO106*(1+J$7)</f>
        <v>0</v>
      </c>
      <c r="AM107" s="22" t="n">
        <f aca="false">MIN(AL107,J$8)</f>
        <v>0</v>
      </c>
      <c r="AN107" s="22" t="n">
        <f aca="false">MAX(0,MIN(AL107-AM107,$C107-(P107+T107+X107+AB107+AF107+AJ107)))</f>
        <v>0</v>
      </c>
      <c r="AO107" s="22" t="n">
        <f aca="false">ROUND(AL107-AM107-AN107,2)</f>
        <v>0</v>
      </c>
      <c r="AP107" s="22" t="n">
        <f aca="false">AS106*(1+K$7)</f>
        <v>0</v>
      </c>
      <c r="AQ107" s="22" t="n">
        <f aca="false">MIN(AP107,K$8)</f>
        <v>0</v>
      </c>
      <c r="AR107" s="22" t="n">
        <f aca="false">MAX(0,MIN(AP107-AQ107,$C107-(P107+T107+X107+AB107+AF107+AJ107+AN107)))</f>
        <v>0</v>
      </c>
      <c r="AS107" s="22" t="n">
        <f aca="false">ROUND(AP107-AQ107-AR107,2)</f>
        <v>0</v>
      </c>
      <c r="AT107" s="22" t="n">
        <f aca="false">AW106*(1+L$7)</f>
        <v>0</v>
      </c>
      <c r="AU107" s="22" t="n">
        <f aca="false">MIN(AT107,L$8)</f>
        <v>0</v>
      </c>
      <c r="AV107" s="22" t="n">
        <f aca="false">MAX(0,MIN(AT107-AU107,$C107-(P107+T107+X107+AB107+AF107+AJ107+AN107+AR107)))</f>
        <v>0</v>
      </c>
      <c r="AW107" s="22" t="n">
        <f aca="false">ROUND(AT107-AU107-AV107,2)</f>
        <v>0</v>
      </c>
      <c r="AX107" s="22" t="n">
        <f aca="false">BA106*(1+M$7)</f>
        <v>0</v>
      </c>
      <c r="AY107" s="22" t="n">
        <f aca="false">MIN(AX107,M$8)</f>
        <v>0</v>
      </c>
      <c r="AZ107" s="22" t="n">
        <f aca="false">MAX(0,MIN(AX107-AY107,$C107-(P107+T107+X107+AB107+AF107+AJ107+AN107+AR107+AV107)))</f>
        <v>0</v>
      </c>
      <c r="BA107" s="22" t="n">
        <f aca="false">ROUND(AX107-AY107-AZ107,2)</f>
        <v>0</v>
      </c>
    </row>
    <row r="108" customFormat="false" ht="15" hidden="false" customHeight="false" outlineLevel="0" collapsed="false">
      <c r="A108" s="0" t="n">
        <v>98</v>
      </c>
      <c r="B108" s="39" t="n">
        <f aca="false">EDATE(Borçlar!$K$7,97)</f>
        <v>49249</v>
      </c>
      <c r="C108" s="36" t="n">
        <f aca="false">MAX(0,SUM(Borçlar!$D$5:$D$14)-(O108+S108+W108+AA108+AE108+AI108+AM108+AQ108+AU108+AY108))</f>
        <v>14000</v>
      </c>
      <c r="D108" s="36" t="n">
        <f aca="false">O108+P108+S108+T108+W108+X108+AA108+AB108+AE108+AF108+AI108+AJ108+AM108+AN108+AQ108+AR108+AU108+AV108+AY108+AZ108</f>
        <v>0</v>
      </c>
      <c r="E108" s="36" t="n">
        <f aca="false">(N108+R108+V108+Z108+AD108+AH108+AL108+AP108+AT108+AX108)-(F107)</f>
        <v>0</v>
      </c>
      <c r="F108" s="36" t="n">
        <f aca="false">Q108+U108+Y108+AC108+AG108+AK108+AO108+AS108+AW108+BA108</f>
        <v>0</v>
      </c>
      <c r="N108" s="22" t="n">
        <f aca="false">Q107*(1+D$7)</f>
        <v>0</v>
      </c>
      <c r="O108" s="22" t="n">
        <f aca="false">MIN(N108,D$8)</f>
        <v>0</v>
      </c>
      <c r="P108" s="22" t="n">
        <f aca="false">MAX(0,MIN(N108-O108,$C108-(0)))</f>
        <v>0</v>
      </c>
      <c r="Q108" s="22" t="n">
        <f aca="false">ROUND(N108-O108-P108,2)</f>
        <v>0</v>
      </c>
      <c r="R108" s="22" t="n">
        <f aca="false">U107*(1+E$7)</f>
        <v>0</v>
      </c>
      <c r="S108" s="22" t="n">
        <f aca="false">MIN(R108,E$8)</f>
        <v>0</v>
      </c>
      <c r="T108" s="22" t="n">
        <f aca="false">MAX(0,MIN(R108-S108,$C108-(P108)))</f>
        <v>0</v>
      </c>
      <c r="U108" s="22" t="n">
        <f aca="false">ROUND(R108-S108-T108,2)</f>
        <v>0</v>
      </c>
      <c r="V108" s="22" t="n">
        <f aca="false">Y107*(1+F$7)</f>
        <v>0</v>
      </c>
      <c r="W108" s="22" t="n">
        <f aca="false">MIN(V108,F$8)</f>
        <v>0</v>
      </c>
      <c r="X108" s="22" t="n">
        <f aca="false">MAX(0,MIN(V108-W108,$C108-(P108+T108)))</f>
        <v>0</v>
      </c>
      <c r="Y108" s="22" t="n">
        <f aca="false">ROUND(V108-W108-X108,2)</f>
        <v>0</v>
      </c>
      <c r="Z108" s="22" t="n">
        <f aca="false">AC107*(1+G$7)</f>
        <v>0</v>
      </c>
      <c r="AA108" s="22" t="n">
        <f aca="false">MIN(Z108,G$8)</f>
        <v>0</v>
      </c>
      <c r="AB108" s="22" t="n">
        <f aca="false">MAX(0,MIN(Z108-AA108,$C108-(P108+T108+X108)))</f>
        <v>0</v>
      </c>
      <c r="AC108" s="22" t="n">
        <f aca="false">ROUND(Z108-AA108-AB108,2)</f>
        <v>0</v>
      </c>
      <c r="AD108" s="22" t="n">
        <f aca="false">AG107*(1+H$7)</f>
        <v>0</v>
      </c>
      <c r="AE108" s="22" t="n">
        <f aca="false">MIN(AD108,H$8)</f>
        <v>0</v>
      </c>
      <c r="AF108" s="22" t="n">
        <f aca="false">MAX(0,MIN(AD108-AE108,$C108-(P108+T108+X108+AB108)))</f>
        <v>0</v>
      </c>
      <c r="AG108" s="22" t="n">
        <f aca="false">ROUND(AD108-AE108-AF108,2)</f>
        <v>0</v>
      </c>
      <c r="AH108" s="22" t="n">
        <f aca="false">AK107*(1+I$7)</f>
        <v>0</v>
      </c>
      <c r="AI108" s="22" t="n">
        <f aca="false">MIN(AH108,I$8)</f>
        <v>0</v>
      </c>
      <c r="AJ108" s="22" t="n">
        <f aca="false">MAX(0,MIN(AH108-AI108,$C108-(P108+T108+X108+AB108+AF108)))</f>
        <v>0</v>
      </c>
      <c r="AK108" s="22" t="n">
        <f aca="false">ROUND(AH108-AI108-AJ108,2)</f>
        <v>0</v>
      </c>
      <c r="AL108" s="22" t="n">
        <f aca="false">AO107*(1+J$7)</f>
        <v>0</v>
      </c>
      <c r="AM108" s="22" t="n">
        <f aca="false">MIN(AL108,J$8)</f>
        <v>0</v>
      </c>
      <c r="AN108" s="22" t="n">
        <f aca="false">MAX(0,MIN(AL108-AM108,$C108-(P108+T108+X108+AB108+AF108+AJ108)))</f>
        <v>0</v>
      </c>
      <c r="AO108" s="22" t="n">
        <f aca="false">ROUND(AL108-AM108-AN108,2)</f>
        <v>0</v>
      </c>
      <c r="AP108" s="22" t="n">
        <f aca="false">AS107*(1+K$7)</f>
        <v>0</v>
      </c>
      <c r="AQ108" s="22" t="n">
        <f aca="false">MIN(AP108,K$8)</f>
        <v>0</v>
      </c>
      <c r="AR108" s="22" t="n">
        <f aca="false">MAX(0,MIN(AP108-AQ108,$C108-(P108+T108+X108+AB108+AF108+AJ108+AN108)))</f>
        <v>0</v>
      </c>
      <c r="AS108" s="22" t="n">
        <f aca="false">ROUND(AP108-AQ108-AR108,2)</f>
        <v>0</v>
      </c>
      <c r="AT108" s="22" t="n">
        <f aca="false">AW107*(1+L$7)</f>
        <v>0</v>
      </c>
      <c r="AU108" s="22" t="n">
        <f aca="false">MIN(AT108,L$8)</f>
        <v>0</v>
      </c>
      <c r="AV108" s="22" t="n">
        <f aca="false">MAX(0,MIN(AT108-AU108,$C108-(P108+T108+X108+AB108+AF108+AJ108+AN108+AR108)))</f>
        <v>0</v>
      </c>
      <c r="AW108" s="22" t="n">
        <f aca="false">ROUND(AT108-AU108-AV108,2)</f>
        <v>0</v>
      </c>
      <c r="AX108" s="22" t="n">
        <f aca="false">BA107*(1+M$7)</f>
        <v>0</v>
      </c>
      <c r="AY108" s="22" t="n">
        <f aca="false">MIN(AX108,M$8)</f>
        <v>0</v>
      </c>
      <c r="AZ108" s="22" t="n">
        <f aca="false">MAX(0,MIN(AX108-AY108,$C108-(P108+T108+X108+AB108+AF108+AJ108+AN108+AR108+AV108)))</f>
        <v>0</v>
      </c>
      <c r="BA108" s="22" t="n">
        <f aca="false">ROUND(AX108-AY108-AZ108,2)</f>
        <v>0</v>
      </c>
    </row>
    <row r="109" customFormat="false" ht="15" hidden="false" customHeight="false" outlineLevel="0" collapsed="false">
      <c r="A109" s="0" t="n">
        <v>99</v>
      </c>
      <c r="B109" s="39" t="n">
        <f aca="false">EDATE(Borçlar!$K$7,98)</f>
        <v>49279</v>
      </c>
      <c r="C109" s="36" t="n">
        <f aca="false">MAX(0,SUM(Borçlar!$D$5:$D$14)-(O109+S109+W109+AA109+AE109+AI109+AM109+AQ109+AU109+AY109))</f>
        <v>14000</v>
      </c>
      <c r="D109" s="36" t="n">
        <f aca="false">O109+P109+S109+T109+W109+X109+AA109+AB109+AE109+AF109+AI109+AJ109+AM109+AN109+AQ109+AR109+AU109+AV109+AY109+AZ109</f>
        <v>0</v>
      </c>
      <c r="E109" s="36" t="n">
        <f aca="false">(N109+R109+V109+Z109+AD109+AH109+AL109+AP109+AT109+AX109)-(F108)</f>
        <v>0</v>
      </c>
      <c r="F109" s="36" t="n">
        <f aca="false">Q109+U109+Y109+AC109+AG109+AK109+AO109+AS109+AW109+BA109</f>
        <v>0</v>
      </c>
      <c r="N109" s="22" t="n">
        <f aca="false">Q108*(1+D$7)</f>
        <v>0</v>
      </c>
      <c r="O109" s="22" t="n">
        <f aca="false">MIN(N109,D$8)</f>
        <v>0</v>
      </c>
      <c r="P109" s="22" t="n">
        <f aca="false">MAX(0,MIN(N109-O109,$C109-(0)))</f>
        <v>0</v>
      </c>
      <c r="Q109" s="22" t="n">
        <f aca="false">ROUND(N109-O109-P109,2)</f>
        <v>0</v>
      </c>
      <c r="R109" s="22" t="n">
        <f aca="false">U108*(1+E$7)</f>
        <v>0</v>
      </c>
      <c r="S109" s="22" t="n">
        <f aca="false">MIN(R109,E$8)</f>
        <v>0</v>
      </c>
      <c r="T109" s="22" t="n">
        <f aca="false">MAX(0,MIN(R109-S109,$C109-(P109)))</f>
        <v>0</v>
      </c>
      <c r="U109" s="22" t="n">
        <f aca="false">ROUND(R109-S109-T109,2)</f>
        <v>0</v>
      </c>
      <c r="V109" s="22" t="n">
        <f aca="false">Y108*(1+F$7)</f>
        <v>0</v>
      </c>
      <c r="W109" s="22" t="n">
        <f aca="false">MIN(V109,F$8)</f>
        <v>0</v>
      </c>
      <c r="X109" s="22" t="n">
        <f aca="false">MAX(0,MIN(V109-W109,$C109-(P109+T109)))</f>
        <v>0</v>
      </c>
      <c r="Y109" s="22" t="n">
        <f aca="false">ROUND(V109-W109-X109,2)</f>
        <v>0</v>
      </c>
      <c r="Z109" s="22" t="n">
        <f aca="false">AC108*(1+G$7)</f>
        <v>0</v>
      </c>
      <c r="AA109" s="22" t="n">
        <f aca="false">MIN(Z109,G$8)</f>
        <v>0</v>
      </c>
      <c r="AB109" s="22" t="n">
        <f aca="false">MAX(0,MIN(Z109-AA109,$C109-(P109+T109+X109)))</f>
        <v>0</v>
      </c>
      <c r="AC109" s="22" t="n">
        <f aca="false">ROUND(Z109-AA109-AB109,2)</f>
        <v>0</v>
      </c>
      <c r="AD109" s="22" t="n">
        <f aca="false">AG108*(1+H$7)</f>
        <v>0</v>
      </c>
      <c r="AE109" s="22" t="n">
        <f aca="false">MIN(AD109,H$8)</f>
        <v>0</v>
      </c>
      <c r="AF109" s="22" t="n">
        <f aca="false">MAX(0,MIN(AD109-AE109,$C109-(P109+T109+X109+AB109)))</f>
        <v>0</v>
      </c>
      <c r="AG109" s="22" t="n">
        <f aca="false">ROUND(AD109-AE109-AF109,2)</f>
        <v>0</v>
      </c>
      <c r="AH109" s="22" t="n">
        <f aca="false">AK108*(1+I$7)</f>
        <v>0</v>
      </c>
      <c r="AI109" s="22" t="n">
        <f aca="false">MIN(AH109,I$8)</f>
        <v>0</v>
      </c>
      <c r="AJ109" s="22" t="n">
        <f aca="false">MAX(0,MIN(AH109-AI109,$C109-(P109+T109+X109+AB109+AF109)))</f>
        <v>0</v>
      </c>
      <c r="AK109" s="22" t="n">
        <f aca="false">ROUND(AH109-AI109-AJ109,2)</f>
        <v>0</v>
      </c>
      <c r="AL109" s="22" t="n">
        <f aca="false">AO108*(1+J$7)</f>
        <v>0</v>
      </c>
      <c r="AM109" s="22" t="n">
        <f aca="false">MIN(AL109,J$8)</f>
        <v>0</v>
      </c>
      <c r="AN109" s="22" t="n">
        <f aca="false">MAX(0,MIN(AL109-AM109,$C109-(P109+T109+X109+AB109+AF109+AJ109)))</f>
        <v>0</v>
      </c>
      <c r="AO109" s="22" t="n">
        <f aca="false">ROUND(AL109-AM109-AN109,2)</f>
        <v>0</v>
      </c>
      <c r="AP109" s="22" t="n">
        <f aca="false">AS108*(1+K$7)</f>
        <v>0</v>
      </c>
      <c r="AQ109" s="22" t="n">
        <f aca="false">MIN(AP109,K$8)</f>
        <v>0</v>
      </c>
      <c r="AR109" s="22" t="n">
        <f aca="false">MAX(0,MIN(AP109-AQ109,$C109-(P109+T109+X109+AB109+AF109+AJ109+AN109)))</f>
        <v>0</v>
      </c>
      <c r="AS109" s="22" t="n">
        <f aca="false">ROUND(AP109-AQ109-AR109,2)</f>
        <v>0</v>
      </c>
      <c r="AT109" s="22" t="n">
        <f aca="false">AW108*(1+L$7)</f>
        <v>0</v>
      </c>
      <c r="AU109" s="22" t="n">
        <f aca="false">MIN(AT109,L$8)</f>
        <v>0</v>
      </c>
      <c r="AV109" s="22" t="n">
        <f aca="false">MAX(0,MIN(AT109-AU109,$C109-(P109+T109+X109+AB109+AF109+AJ109+AN109+AR109)))</f>
        <v>0</v>
      </c>
      <c r="AW109" s="22" t="n">
        <f aca="false">ROUND(AT109-AU109-AV109,2)</f>
        <v>0</v>
      </c>
      <c r="AX109" s="22" t="n">
        <f aca="false">BA108*(1+M$7)</f>
        <v>0</v>
      </c>
      <c r="AY109" s="22" t="n">
        <f aca="false">MIN(AX109,M$8)</f>
        <v>0</v>
      </c>
      <c r="AZ109" s="22" t="n">
        <f aca="false">MAX(0,MIN(AX109-AY109,$C109-(P109+T109+X109+AB109+AF109+AJ109+AN109+AR109+AV109)))</f>
        <v>0</v>
      </c>
      <c r="BA109" s="22" t="n">
        <f aca="false">ROUND(AX109-AY109-AZ109,2)</f>
        <v>0</v>
      </c>
    </row>
    <row r="110" customFormat="false" ht="15" hidden="false" customHeight="false" outlineLevel="0" collapsed="false">
      <c r="A110" s="0" t="n">
        <v>100</v>
      </c>
      <c r="B110" s="39" t="n">
        <f aca="false">EDATE(Borçlar!$K$7,99)</f>
        <v>49310</v>
      </c>
      <c r="C110" s="36" t="n">
        <f aca="false">MAX(0,SUM(Borçlar!$D$5:$D$14)-(O110+S110+W110+AA110+AE110+AI110+AM110+AQ110+AU110+AY110))</f>
        <v>14000</v>
      </c>
      <c r="D110" s="36" t="n">
        <f aca="false">O110+P110+S110+T110+W110+X110+AA110+AB110+AE110+AF110+AI110+AJ110+AM110+AN110+AQ110+AR110+AU110+AV110+AY110+AZ110</f>
        <v>0</v>
      </c>
      <c r="E110" s="36" t="n">
        <f aca="false">(N110+R110+V110+Z110+AD110+AH110+AL110+AP110+AT110+AX110)-(F109)</f>
        <v>0</v>
      </c>
      <c r="F110" s="36" t="n">
        <f aca="false">Q110+U110+Y110+AC110+AG110+AK110+AO110+AS110+AW110+BA110</f>
        <v>0</v>
      </c>
      <c r="N110" s="22" t="n">
        <f aca="false">Q109*(1+D$7)</f>
        <v>0</v>
      </c>
      <c r="O110" s="22" t="n">
        <f aca="false">MIN(N110,D$8)</f>
        <v>0</v>
      </c>
      <c r="P110" s="22" t="n">
        <f aca="false">MAX(0,MIN(N110-O110,$C110-(0)))</f>
        <v>0</v>
      </c>
      <c r="Q110" s="22" t="n">
        <f aca="false">ROUND(N110-O110-P110,2)</f>
        <v>0</v>
      </c>
      <c r="R110" s="22" t="n">
        <f aca="false">U109*(1+E$7)</f>
        <v>0</v>
      </c>
      <c r="S110" s="22" t="n">
        <f aca="false">MIN(R110,E$8)</f>
        <v>0</v>
      </c>
      <c r="T110" s="22" t="n">
        <f aca="false">MAX(0,MIN(R110-S110,$C110-(P110)))</f>
        <v>0</v>
      </c>
      <c r="U110" s="22" t="n">
        <f aca="false">ROUND(R110-S110-T110,2)</f>
        <v>0</v>
      </c>
      <c r="V110" s="22" t="n">
        <f aca="false">Y109*(1+F$7)</f>
        <v>0</v>
      </c>
      <c r="W110" s="22" t="n">
        <f aca="false">MIN(V110,F$8)</f>
        <v>0</v>
      </c>
      <c r="X110" s="22" t="n">
        <f aca="false">MAX(0,MIN(V110-W110,$C110-(P110+T110)))</f>
        <v>0</v>
      </c>
      <c r="Y110" s="22" t="n">
        <f aca="false">ROUND(V110-W110-X110,2)</f>
        <v>0</v>
      </c>
      <c r="Z110" s="22" t="n">
        <f aca="false">AC109*(1+G$7)</f>
        <v>0</v>
      </c>
      <c r="AA110" s="22" t="n">
        <f aca="false">MIN(Z110,G$8)</f>
        <v>0</v>
      </c>
      <c r="AB110" s="22" t="n">
        <f aca="false">MAX(0,MIN(Z110-AA110,$C110-(P110+T110+X110)))</f>
        <v>0</v>
      </c>
      <c r="AC110" s="22" t="n">
        <f aca="false">ROUND(Z110-AA110-AB110,2)</f>
        <v>0</v>
      </c>
      <c r="AD110" s="22" t="n">
        <f aca="false">AG109*(1+H$7)</f>
        <v>0</v>
      </c>
      <c r="AE110" s="22" t="n">
        <f aca="false">MIN(AD110,H$8)</f>
        <v>0</v>
      </c>
      <c r="AF110" s="22" t="n">
        <f aca="false">MAX(0,MIN(AD110-AE110,$C110-(P110+T110+X110+AB110)))</f>
        <v>0</v>
      </c>
      <c r="AG110" s="22" t="n">
        <f aca="false">ROUND(AD110-AE110-AF110,2)</f>
        <v>0</v>
      </c>
      <c r="AH110" s="22" t="n">
        <f aca="false">AK109*(1+I$7)</f>
        <v>0</v>
      </c>
      <c r="AI110" s="22" t="n">
        <f aca="false">MIN(AH110,I$8)</f>
        <v>0</v>
      </c>
      <c r="AJ110" s="22" t="n">
        <f aca="false">MAX(0,MIN(AH110-AI110,$C110-(P110+T110+X110+AB110+AF110)))</f>
        <v>0</v>
      </c>
      <c r="AK110" s="22" t="n">
        <f aca="false">ROUND(AH110-AI110-AJ110,2)</f>
        <v>0</v>
      </c>
      <c r="AL110" s="22" t="n">
        <f aca="false">AO109*(1+J$7)</f>
        <v>0</v>
      </c>
      <c r="AM110" s="22" t="n">
        <f aca="false">MIN(AL110,J$8)</f>
        <v>0</v>
      </c>
      <c r="AN110" s="22" t="n">
        <f aca="false">MAX(0,MIN(AL110-AM110,$C110-(P110+T110+X110+AB110+AF110+AJ110)))</f>
        <v>0</v>
      </c>
      <c r="AO110" s="22" t="n">
        <f aca="false">ROUND(AL110-AM110-AN110,2)</f>
        <v>0</v>
      </c>
      <c r="AP110" s="22" t="n">
        <f aca="false">AS109*(1+K$7)</f>
        <v>0</v>
      </c>
      <c r="AQ110" s="22" t="n">
        <f aca="false">MIN(AP110,K$8)</f>
        <v>0</v>
      </c>
      <c r="AR110" s="22" t="n">
        <f aca="false">MAX(0,MIN(AP110-AQ110,$C110-(P110+T110+X110+AB110+AF110+AJ110+AN110)))</f>
        <v>0</v>
      </c>
      <c r="AS110" s="22" t="n">
        <f aca="false">ROUND(AP110-AQ110-AR110,2)</f>
        <v>0</v>
      </c>
      <c r="AT110" s="22" t="n">
        <f aca="false">AW109*(1+L$7)</f>
        <v>0</v>
      </c>
      <c r="AU110" s="22" t="n">
        <f aca="false">MIN(AT110,L$8)</f>
        <v>0</v>
      </c>
      <c r="AV110" s="22" t="n">
        <f aca="false">MAX(0,MIN(AT110-AU110,$C110-(P110+T110+X110+AB110+AF110+AJ110+AN110+AR110)))</f>
        <v>0</v>
      </c>
      <c r="AW110" s="22" t="n">
        <f aca="false">ROUND(AT110-AU110-AV110,2)</f>
        <v>0</v>
      </c>
      <c r="AX110" s="22" t="n">
        <f aca="false">BA109*(1+M$7)</f>
        <v>0</v>
      </c>
      <c r="AY110" s="22" t="n">
        <f aca="false">MIN(AX110,M$8)</f>
        <v>0</v>
      </c>
      <c r="AZ110" s="22" t="n">
        <f aca="false">MAX(0,MIN(AX110-AY110,$C110-(P110+T110+X110+AB110+AF110+AJ110+AN110+AR110+AV110)))</f>
        <v>0</v>
      </c>
      <c r="BA110" s="22" t="n">
        <f aca="false">ROUND(AX110-AY110-AZ110,2)</f>
        <v>0</v>
      </c>
    </row>
    <row r="111" customFormat="false" ht="15" hidden="false" customHeight="false" outlineLevel="0" collapsed="false">
      <c r="A111" s="0" t="n">
        <v>101</v>
      </c>
      <c r="B111" s="39" t="n">
        <f aca="false">EDATE(Borçlar!$K$7,100)</f>
        <v>49341</v>
      </c>
      <c r="C111" s="36" t="n">
        <f aca="false">MAX(0,SUM(Borçlar!$D$5:$D$14)-(O111+S111+W111+AA111+AE111+AI111+AM111+AQ111+AU111+AY111))</f>
        <v>14000</v>
      </c>
      <c r="D111" s="36" t="n">
        <f aca="false">O111+P111+S111+T111+W111+X111+AA111+AB111+AE111+AF111+AI111+AJ111+AM111+AN111+AQ111+AR111+AU111+AV111+AY111+AZ111</f>
        <v>0</v>
      </c>
      <c r="E111" s="36" t="n">
        <f aca="false">(N111+R111+V111+Z111+AD111+AH111+AL111+AP111+AT111+AX111)-(F110)</f>
        <v>0</v>
      </c>
      <c r="F111" s="36" t="n">
        <f aca="false">Q111+U111+Y111+AC111+AG111+AK111+AO111+AS111+AW111+BA111</f>
        <v>0</v>
      </c>
      <c r="N111" s="22" t="n">
        <f aca="false">Q110*(1+D$7)</f>
        <v>0</v>
      </c>
      <c r="O111" s="22" t="n">
        <f aca="false">MIN(N111,D$8)</f>
        <v>0</v>
      </c>
      <c r="P111" s="22" t="n">
        <f aca="false">MAX(0,MIN(N111-O111,$C111-(0)))</f>
        <v>0</v>
      </c>
      <c r="Q111" s="22" t="n">
        <f aca="false">ROUND(N111-O111-P111,2)</f>
        <v>0</v>
      </c>
      <c r="R111" s="22" t="n">
        <f aca="false">U110*(1+E$7)</f>
        <v>0</v>
      </c>
      <c r="S111" s="22" t="n">
        <f aca="false">MIN(R111,E$8)</f>
        <v>0</v>
      </c>
      <c r="T111" s="22" t="n">
        <f aca="false">MAX(0,MIN(R111-S111,$C111-(P111)))</f>
        <v>0</v>
      </c>
      <c r="U111" s="22" t="n">
        <f aca="false">ROUND(R111-S111-T111,2)</f>
        <v>0</v>
      </c>
      <c r="V111" s="22" t="n">
        <f aca="false">Y110*(1+F$7)</f>
        <v>0</v>
      </c>
      <c r="W111" s="22" t="n">
        <f aca="false">MIN(V111,F$8)</f>
        <v>0</v>
      </c>
      <c r="X111" s="22" t="n">
        <f aca="false">MAX(0,MIN(V111-W111,$C111-(P111+T111)))</f>
        <v>0</v>
      </c>
      <c r="Y111" s="22" t="n">
        <f aca="false">ROUND(V111-W111-X111,2)</f>
        <v>0</v>
      </c>
      <c r="Z111" s="22" t="n">
        <f aca="false">AC110*(1+G$7)</f>
        <v>0</v>
      </c>
      <c r="AA111" s="22" t="n">
        <f aca="false">MIN(Z111,G$8)</f>
        <v>0</v>
      </c>
      <c r="AB111" s="22" t="n">
        <f aca="false">MAX(0,MIN(Z111-AA111,$C111-(P111+T111+X111)))</f>
        <v>0</v>
      </c>
      <c r="AC111" s="22" t="n">
        <f aca="false">ROUND(Z111-AA111-AB111,2)</f>
        <v>0</v>
      </c>
      <c r="AD111" s="22" t="n">
        <f aca="false">AG110*(1+H$7)</f>
        <v>0</v>
      </c>
      <c r="AE111" s="22" t="n">
        <f aca="false">MIN(AD111,H$8)</f>
        <v>0</v>
      </c>
      <c r="AF111" s="22" t="n">
        <f aca="false">MAX(0,MIN(AD111-AE111,$C111-(P111+T111+X111+AB111)))</f>
        <v>0</v>
      </c>
      <c r="AG111" s="22" t="n">
        <f aca="false">ROUND(AD111-AE111-AF111,2)</f>
        <v>0</v>
      </c>
      <c r="AH111" s="22" t="n">
        <f aca="false">AK110*(1+I$7)</f>
        <v>0</v>
      </c>
      <c r="AI111" s="22" t="n">
        <f aca="false">MIN(AH111,I$8)</f>
        <v>0</v>
      </c>
      <c r="AJ111" s="22" t="n">
        <f aca="false">MAX(0,MIN(AH111-AI111,$C111-(P111+T111+X111+AB111+AF111)))</f>
        <v>0</v>
      </c>
      <c r="AK111" s="22" t="n">
        <f aca="false">ROUND(AH111-AI111-AJ111,2)</f>
        <v>0</v>
      </c>
      <c r="AL111" s="22" t="n">
        <f aca="false">AO110*(1+J$7)</f>
        <v>0</v>
      </c>
      <c r="AM111" s="22" t="n">
        <f aca="false">MIN(AL111,J$8)</f>
        <v>0</v>
      </c>
      <c r="AN111" s="22" t="n">
        <f aca="false">MAX(0,MIN(AL111-AM111,$C111-(P111+T111+X111+AB111+AF111+AJ111)))</f>
        <v>0</v>
      </c>
      <c r="AO111" s="22" t="n">
        <f aca="false">ROUND(AL111-AM111-AN111,2)</f>
        <v>0</v>
      </c>
      <c r="AP111" s="22" t="n">
        <f aca="false">AS110*(1+K$7)</f>
        <v>0</v>
      </c>
      <c r="AQ111" s="22" t="n">
        <f aca="false">MIN(AP111,K$8)</f>
        <v>0</v>
      </c>
      <c r="AR111" s="22" t="n">
        <f aca="false">MAX(0,MIN(AP111-AQ111,$C111-(P111+T111+X111+AB111+AF111+AJ111+AN111)))</f>
        <v>0</v>
      </c>
      <c r="AS111" s="22" t="n">
        <f aca="false">ROUND(AP111-AQ111-AR111,2)</f>
        <v>0</v>
      </c>
      <c r="AT111" s="22" t="n">
        <f aca="false">AW110*(1+L$7)</f>
        <v>0</v>
      </c>
      <c r="AU111" s="22" t="n">
        <f aca="false">MIN(AT111,L$8)</f>
        <v>0</v>
      </c>
      <c r="AV111" s="22" t="n">
        <f aca="false">MAX(0,MIN(AT111-AU111,$C111-(P111+T111+X111+AB111+AF111+AJ111+AN111+AR111)))</f>
        <v>0</v>
      </c>
      <c r="AW111" s="22" t="n">
        <f aca="false">ROUND(AT111-AU111-AV111,2)</f>
        <v>0</v>
      </c>
      <c r="AX111" s="22" t="n">
        <f aca="false">BA110*(1+M$7)</f>
        <v>0</v>
      </c>
      <c r="AY111" s="22" t="n">
        <f aca="false">MIN(AX111,M$8)</f>
        <v>0</v>
      </c>
      <c r="AZ111" s="22" t="n">
        <f aca="false">MAX(0,MIN(AX111-AY111,$C111-(P111+T111+X111+AB111+AF111+AJ111+AN111+AR111+AV111)))</f>
        <v>0</v>
      </c>
      <c r="BA111" s="22" t="n">
        <f aca="false">ROUND(AX111-AY111-AZ111,2)</f>
        <v>0</v>
      </c>
    </row>
    <row r="112" customFormat="false" ht="15" hidden="false" customHeight="false" outlineLevel="0" collapsed="false">
      <c r="A112" s="0" t="n">
        <v>102</v>
      </c>
      <c r="B112" s="39" t="n">
        <f aca="false">EDATE(Borçlar!$K$7,101)</f>
        <v>49369</v>
      </c>
      <c r="C112" s="36" t="n">
        <f aca="false">MAX(0,SUM(Borçlar!$D$5:$D$14)-(O112+S112+W112+AA112+AE112+AI112+AM112+AQ112+AU112+AY112))</f>
        <v>14000</v>
      </c>
      <c r="D112" s="36" t="n">
        <f aca="false">O112+P112+S112+T112+W112+X112+AA112+AB112+AE112+AF112+AI112+AJ112+AM112+AN112+AQ112+AR112+AU112+AV112+AY112+AZ112</f>
        <v>0</v>
      </c>
      <c r="E112" s="36" t="n">
        <f aca="false">(N112+R112+V112+Z112+AD112+AH112+AL112+AP112+AT112+AX112)-(F111)</f>
        <v>0</v>
      </c>
      <c r="F112" s="36" t="n">
        <f aca="false">Q112+U112+Y112+AC112+AG112+AK112+AO112+AS112+AW112+BA112</f>
        <v>0</v>
      </c>
      <c r="N112" s="22" t="n">
        <f aca="false">Q111*(1+D$7)</f>
        <v>0</v>
      </c>
      <c r="O112" s="22" t="n">
        <f aca="false">MIN(N112,D$8)</f>
        <v>0</v>
      </c>
      <c r="P112" s="22" t="n">
        <f aca="false">MAX(0,MIN(N112-O112,$C112-(0)))</f>
        <v>0</v>
      </c>
      <c r="Q112" s="22" t="n">
        <f aca="false">ROUND(N112-O112-P112,2)</f>
        <v>0</v>
      </c>
      <c r="R112" s="22" t="n">
        <f aca="false">U111*(1+E$7)</f>
        <v>0</v>
      </c>
      <c r="S112" s="22" t="n">
        <f aca="false">MIN(R112,E$8)</f>
        <v>0</v>
      </c>
      <c r="T112" s="22" t="n">
        <f aca="false">MAX(0,MIN(R112-S112,$C112-(P112)))</f>
        <v>0</v>
      </c>
      <c r="U112" s="22" t="n">
        <f aca="false">ROUND(R112-S112-T112,2)</f>
        <v>0</v>
      </c>
      <c r="V112" s="22" t="n">
        <f aca="false">Y111*(1+F$7)</f>
        <v>0</v>
      </c>
      <c r="W112" s="22" t="n">
        <f aca="false">MIN(V112,F$8)</f>
        <v>0</v>
      </c>
      <c r="X112" s="22" t="n">
        <f aca="false">MAX(0,MIN(V112-W112,$C112-(P112+T112)))</f>
        <v>0</v>
      </c>
      <c r="Y112" s="22" t="n">
        <f aca="false">ROUND(V112-W112-X112,2)</f>
        <v>0</v>
      </c>
      <c r="Z112" s="22" t="n">
        <f aca="false">AC111*(1+G$7)</f>
        <v>0</v>
      </c>
      <c r="AA112" s="22" t="n">
        <f aca="false">MIN(Z112,G$8)</f>
        <v>0</v>
      </c>
      <c r="AB112" s="22" t="n">
        <f aca="false">MAX(0,MIN(Z112-AA112,$C112-(P112+T112+X112)))</f>
        <v>0</v>
      </c>
      <c r="AC112" s="22" t="n">
        <f aca="false">ROUND(Z112-AA112-AB112,2)</f>
        <v>0</v>
      </c>
      <c r="AD112" s="22" t="n">
        <f aca="false">AG111*(1+H$7)</f>
        <v>0</v>
      </c>
      <c r="AE112" s="22" t="n">
        <f aca="false">MIN(AD112,H$8)</f>
        <v>0</v>
      </c>
      <c r="AF112" s="22" t="n">
        <f aca="false">MAX(0,MIN(AD112-AE112,$C112-(P112+T112+X112+AB112)))</f>
        <v>0</v>
      </c>
      <c r="AG112" s="22" t="n">
        <f aca="false">ROUND(AD112-AE112-AF112,2)</f>
        <v>0</v>
      </c>
      <c r="AH112" s="22" t="n">
        <f aca="false">AK111*(1+I$7)</f>
        <v>0</v>
      </c>
      <c r="AI112" s="22" t="n">
        <f aca="false">MIN(AH112,I$8)</f>
        <v>0</v>
      </c>
      <c r="AJ112" s="22" t="n">
        <f aca="false">MAX(0,MIN(AH112-AI112,$C112-(P112+T112+X112+AB112+AF112)))</f>
        <v>0</v>
      </c>
      <c r="AK112" s="22" t="n">
        <f aca="false">ROUND(AH112-AI112-AJ112,2)</f>
        <v>0</v>
      </c>
      <c r="AL112" s="22" t="n">
        <f aca="false">AO111*(1+J$7)</f>
        <v>0</v>
      </c>
      <c r="AM112" s="22" t="n">
        <f aca="false">MIN(AL112,J$8)</f>
        <v>0</v>
      </c>
      <c r="AN112" s="22" t="n">
        <f aca="false">MAX(0,MIN(AL112-AM112,$C112-(P112+T112+X112+AB112+AF112+AJ112)))</f>
        <v>0</v>
      </c>
      <c r="AO112" s="22" t="n">
        <f aca="false">ROUND(AL112-AM112-AN112,2)</f>
        <v>0</v>
      </c>
      <c r="AP112" s="22" t="n">
        <f aca="false">AS111*(1+K$7)</f>
        <v>0</v>
      </c>
      <c r="AQ112" s="22" t="n">
        <f aca="false">MIN(AP112,K$8)</f>
        <v>0</v>
      </c>
      <c r="AR112" s="22" t="n">
        <f aca="false">MAX(0,MIN(AP112-AQ112,$C112-(P112+T112+X112+AB112+AF112+AJ112+AN112)))</f>
        <v>0</v>
      </c>
      <c r="AS112" s="22" t="n">
        <f aca="false">ROUND(AP112-AQ112-AR112,2)</f>
        <v>0</v>
      </c>
      <c r="AT112" s="22" t="n">
        <f aca="false">AW111*(1+L$7)</f>
        <v>0</v>
      </c>
      <c r="AU112" s="22" t="n">
        <f aca="false">MIN(AT112,L$8)</f>
        <v>0</v>
      </c>
      <c r="AV112" s="22" t="n">
        <f aca="false">MAX(0,MIN(AT112-AU112,$C112-(P112+T112+X112+AB112+AF112+AJ112+AN112+AR112)))</f>
        <v>0</v>
      </c>
      <c r="AW112" s="22" t="n">
        <f aca="false">ROUND(AT112-AU112-AV112,2)</f>
        <v>0</v>
      </c>
      <c r="AX112" s="22" t="n">
        <f aca="false">BA111*(1+M$7)</f>
        <v>0</v>
      </c>
      <c r="AY112" s="22" t="n">
        <f aca="false">MIN(AX112,M$8)</f>
        <v>0</v>
      </c>
      <c r="AZ112" s="22" t="n">
        <f aca="false">MAX(0,MIN(AX112-AY112,$C112-(P112+T112+X112+AB112+AF112+AJ112+AN112+AR112+AV112)))</f>
        <v>0</v>
      </c>
      <c r="BA112" s="22" t="n">
        <f aca="false">ROUND(AX112-AY112-AZ112,2)</f>
        <v>0</v>
      </c>
    </row>
    <row r="113" customFormat="false" ht="15" hidden="false" customHeight="false" outlineLevel="0" collapsed="false">
      <c r="A113" s="0" t="n">
        <v>103</v>
      </c>
      <c r="B113" s="39" t="n">
        <f aca="false">EDATE(Borçlar!$K$7,102)</f>
        <v>49400</v>
      </c>
      <c r="C113" s="36" t="n">
        <f aca="false">MAX(0,SUM(Borçlar!$D$5:$D$14)-(O113+S113+W113+AA113+AE113+AI113+AM113+AQ113+AU113+AY113))</f>
        <v>14000</v>
      </c>
      <c r="D113" s="36" t="n">
        <f aca="false">O113+P113+S113+T113+W113+X113+AA113+AB113+AE113+AF113+AI113+AJ113+AM113+AN113+AQ113+AR113+AU113+AV113+AY113+AZ113</f>
        <v>0</v>
      </c>
      <c r="E113" s="36" t="n">
        <f aca="false">(N113+R113+V113+Z113+AD113+AH113+AL113+AP113+AT113+AX113)-(F112)</f>
        <v>0</v>
      </c>
      <c r="F113" s="36" t="n">
        <f aca="false">Q113+U113+Y113+AC113+AG113+AK113+AO113+AS113+AW113+BA113</f>
        <v>0</v>
      </c>
      <c r="N113" s="22" t="n">
        <f aca="false">Q112*(1+D$7)</f>
        <v>0</v>
      </c>
      <c r="O113" s="22" t="n">
        <f aca="false">MIN(N113,D$8)</f>
        <v>0</v>
      </c>
      <c r="P113" s="22" t="n">
        <f aca="false">MAX(0,MIN(N113-O113,$C113-(0)))</f>
        <v>0</v>
      </c>
      <c r="Q113" s="22" t="n">
        <f aca="false">ROUND(N113-O113-P113,2)</f>
        <v>0</v>
      </c>
      <c r="R113" s="22" t="n">
        <f aca="false">U112*(1+E$7)</f>
        <v>0</v>
      </c>
      <c r="S113" s="22" t="n">
        <f aca="false">MIN(R113,E$8)</f>
        <v>0</v>
      </c>
      <c r="T113" s="22" t="n">
        <f aca="false">MAX(0,MIN(R113-S113,$C113-(P113)))</f>
        <v>0</v>
      </c>
      <c r="U113" s="22" t="n">
        <f aca="false">ROUND(R113-S113-T113,2)</f>
        <v>0</v>
      </c>
      <c r="V113" s="22" t="n">
        <f aca="false">Y112*(1+F$7)</f>
        <v>0</v>
      </c>
      <c r="W113" s="22" t="n">
        <f aca="false">MIN(V113,F$8)</f>
        <v>0</v>
      </c>
      <c r="X113" s="22" t="n">
        <f aca="false">MAX(0,MIN(V113-W113,$C113-(P113+T113)))</f>
        <v>0</v>
      </c>
      <c r="Y113" s="22" t="n">
        <f aca="false">ROUND(V113-W113-X113,2)</f>
        <v>0</v>
      </c>
      <c r="Z113" s="22" t="n">
        <f aca="false">AC112*(1+G$7)</f>
        <v>0</v>
      </c>
      <c r="AA113" s="22" t="n">
        <f aca="false">MIN(Z113,G$8)</f>
        <v>0</v>
      </c>
      <c r="AB113" s="22" t="n">
        <f aca="false">MAX(0,MIN(Z113-AA113,$C113-(P113+T113+X113)))</f>
        <v>0</v>
      </c>
      <c r="AC113" s="22" t="n">
        <f aca="false">ROUND(Z113-AA113-AB113,2)</f>
        <v>0</v>
      </c>
      <c r="AD113" s="22" t="n">
        <f aca="false">AG112*(1+H$7)</f>
        <v>0</v>
      </c>
      <c r="AE113" s="22" t="n">
        <f aca="false">MIN(AD113,H$8)</f>
        <v>0</v>
      </c>
      <c r="AF113" s="22" t="n">
        <f aca="false">MAX(0,MIN(AD113-AE113,$C113-(P113+T113+X113+AB113)))</f>
        <v>0</v>
      </c>
      <c r="AG113" s="22" t="n">
        <f aca="false">ROUND(AD113-AE113-AF113,2)</f>
        <v>0</v>
      </c>
      <c r="AH113" s="22" t="n">
        <f aca="false">AK112*(1+I$7)</f>
        <v>0</v>
      </c>
      <c r="AI113" s="22" t="n">
        <f aca="false">MIN(AH113,I$8)</f>
        <v>0</v>
      </c>
      <c r="AJ113" s="22" t="n">
        <f aca="false">MAX(0,MIN(AH113-AI113,$C113-(P113+T113+X113+AB113+AF113)))</f>
        <v>0</v>
      </c>
      <c r="AK113" s="22" t="n">
        <f aca="false">ROUND(AH113-AI113-AJ113,2)</f>
        <v>0</v>
      </c>
      <c r="AL113" s="22" t="n">
        <f aca="false">AO112*(1+J$7)</f>
        <v>0</v>
      </c>
      <c r="AM113" s="22" t="n">
        <f aca="false">MIN(AL113,J$8)</f>
        <v>0</v>
      </c>
      <c r="AN113" s="22" t="n">
        <f aca="false">MAX(0,MIN(AL113-AM113,$C113-(P113+T113+X113+AB113+AF113+AJ113)))</f>
        <v>0</v>
      </c>
      <c r="AO113" s="22" t="n">
        <f aca="false">ROUND(AL113-AM113-AN113,2)</f>
        <v>0</v>
      </c>
      <c r="AP113" s="22" t="n">
        <f aca="false">AS112*(1+K$7)</f>
        <v>0</v>
      </c>
      <c r="AQ113" s="22" t="n">
        <f aca="false">MIN(AP113,K$8)</f>
        <v>0</v>
      </c>
      <c r="AR113" s="22" t="n">
        <f aca="false">MAX(0,MIN(AP113-AQ113,$C113-(P113+T113+X113+AB113+AF113+AJ113+AN113)))</f>
        <v>0</v>
      </c>
      <c r="AS113" s="22" t="n">
        <f aca="false">ROUND(AP113-AQ113-AR113,2)</f>
        <v>0</v>
      </c>
      <c r="AT113" s="22" t="n">
        <f aca="false">AW112*(1+L$7)</f>
        <v>0</v>
      </c>
      <c r="AU113" s="22" t="n">
        <f aca="false">MIN(AT113,L$8)</f>
        <v>0</v>
      </c>
      <c r="AV113" s="22" t="n">
        <f aca="false">MAX(0,MIN(AT113-AU113,$C113-(P113+T113+X113+AB113+AF113+AJ113+AN113+AR113)))</f>
        <v>0</v>
      </c>
      <c r="AW113" s="22" t="n">
        <f aca="false">ROUND(AT113-AU113-AV113,2)</f>
        <v>0</v>
      </c>
      <c r="AX113" s="22" t="n">
        <f aca="false">BA112*(1+M$7)</f>
        <v>0</v>
      </c>
      <c r="AY113" s="22" t="n">
        <f aca="false">MIN(AX113,M$8)</f>
        <v>0</v>
      </c>
      <c r="AZ113" s="22" t="n">
        <f aca="false">MAX(0,MIN(AX113-AY113,$C113-(P113+T113+X113+AB113+AF113+AJ113+AN113+AR113+AV113)))</f>
        <v>0</v>
      </c>
      <c r="BA113" s="22" t="n">
        <f aca="false">ROUND(AX113-AY113-AZ113,2)</f>
        <v>0</v>
      </c>
    </row>
    <row r="114" customFormat="false" ht="15" hidden="false" customHeight="false" outlineLevel="0" collapsed="false">
      <c r="A114" s="0" t="n">
        <v>104</v>
      </c>
      <c r="B114" s="39" t="n">
        <f aca="false">EDATE(Borçlar!$K$7,103)</f>
        <v>49430</v>
      </c>
      <c r="C114" s="36" t="n">
        <f aca="false">MAX(0,SUM(Borçlar!$D$5:$D$14)-(O114+S114+W114+AA114+AE114+AI114+AM114+AQ114+AU114+AY114))</f>
        <v>14000</v>
      </c>
      <c r="D114" s="36" t="n">
        <f aca="false">O114+P114+S114+T114+W114+X114+AA114+AB114+AE114+AF114+AI114+AJ114+AM114+AN114+AQ114+AR114+AU114+AV114+AY114+AZ114</f>
        <v>0</v>
      </c>
      <c r="E114" s="36" t="n">
        <f aca="false">(N114+R114+V114+Z114+AD114+AH114+AL114+AP114+AT114+AX114)-(F113)</f>
        <v>0</v>
      </c>
      <c r="F114" s="36" t="n">
        <f aca="false">Q114+U114+Y114+AC114+AG114+AK114+AO114+AS114+AW114+BA114</f>
        <v>0</v>
      </c>
      <c r="N114" s="22" t="n">
        <f aca="false">Q113*(1+D$7)</f>
        <v>0</v>
      </c>
      <c r="O114" s="22" t="n">
        <f aca="false">MIN(N114,D$8)</f>
        <v>0</v>
      </c>
      <c r="P114" s="22" t="n">
        <f aca="false">MAX(0,MIN(N114-O114,$C114-(0)))</f>
        <v>0</v>
      </c>
      <c r="Q114" s="22" t="n">
        <f aca="false">ROUND(N114-O114-P114,2)</f>
        <v>0</v>
      </c>
      <c r="R114" s="22" t="n">
        <f aca="false">U113*(1+E$7)</f>
        <v>0</v>
      </c>
      <c r="S114" s="22" t="n">
        <f aca="false">MIN(R114,E$8)</f>
        <v>0</v>
      </c>
      <c r="T114" s="22" t="n">
        <f aca="false">MAX(0,MIN(R114-S114,$C114-(P114)))</f>
        <v>0</v>
      </c>
      <c r="U114" s="22" t="n">
        <f aca="false">ROUND(R114-S114-T114,2)</f>
        <v>0</v>
      </c>
      <c r="V114" s="22" t="n">
        <f aca="false">Y113*(1+F$7)</f>
        <v>0</v>
      </c>
      <c r="W114" s="22" t="n">
        <f aca="false">MIN(V114,F$8)</f>
        <v>0</v>
      </c>
      <c r="X114" s="22" t="n">
        <f aca="false">MAX(0,MIN(V114-W114,$C114-(P114+T114)))</f>
        <v>0</v>
      </c>
      <c r="Y114" s="22" t="n">
        <f aca="false">ROUND(V114-W114-X114,2)</f>
        <v>0</v>
      </c>
      <c r="Z114" s="22" t="n">
        <f aca="false">AC113*(1+G$7)</f>
        <v>0</v>
      </c>
      <c r="AA114" s="22" t="n">
        <f aca="false">MIN(Z114,G$8)</f>
        <v>0</v>
      </c>
      <c r="AB114" s="22" t="n">
        <f aca="false">MAX(0,MIN(Z114-AA114,$C114-(P114+T114+X114)))</f>
        <v>0</v>
      </c>
      <c r="AC114" s="22" t="n">
        <f aca="false">ROUND(Z114-AA114-AB114,2)</f>
        <v>0</v>
      </c>
      <c r="AD114" s="22" t="n">
        <f aca="false">AG113*(1+H$7)</f>
        <v>0</v>
      </c>
      <c r="AE114" s="22" t="n">
        <f aca="false">MIN(AD114,H$8)</f>
        <v>0</v>
      </c>
      <c r="AF114" s="22" t="n">
        <f aca="false">MAX(0,MIN(AD114-AE114,$C114-(P114+T114+X114+AB114)))</f>
        <v>0</v>
      </c>
      <c r="AG114" s="22" t="n">
        <f aca="false">ROUND(AD114-AE114-AF114,2)</f>
        <v>0</v>
      </c>
      <c r="AH114" s="22" t="n">
        <f aca="false">AK113*(1+I$7)</f>
        <v>0</v>
      </c>
      <c r="AI114" s="22" t="n">
        <f aca="false">MIN(AH114,I$8)</f>
        <v>0</v>
      </c>
      <c r="AJ114" s="22" t="n">
        <f aca="false">MAX(0,MIN(AH114-AI114,$C114-(P114+T114+X114+AB114+AF114)))</f>
        <v>0</v>
      </c>
      <c r="AK114" s="22" t="n">
        <f aca="false">ROUND(AH114-AI114-AJ114,2)</f>
        <v>0</v>
      </c>
      <c r="AL114" s="22" t="n">
        <f aca="false">AO113*(1+J$7)</f>
        <v>0</v>
      </c>
      <c r="AM114" s="22" t="n">
        <f aca="false">MIN(AL114,J$8)</f>
        <v>0</v>
      </c>
      <c r="AN114" s="22" t="n">
        <f aca="false">MAX(0,MIN(AL114-AM114,$C114-(P114+T114+X114+AB114+AF114+AJ114)))</f>
        <v>0</v>
      </c>
      <c r="AO114" s="22" t="n">
        <f aca="false">ROUND(AL114-AM114-AN114,2)</f>
        <v>0</v>
      </c>
      <c r="AP114" s="22" t="n">
        <f aca="false">AS113*(1+K$7)</f>
        <v>0</v>
      </c>
      <c r="AQ114" s="22" t="n">
        <f aca="false">MIN(AP114,K$8)</f>
        <v>0</v>
      </c>
      <c r="AR114" s="22" t="n">
        <f aca="false">MAX(0,MIN(AP114-AQ114,$C114-(P114+T114+X114+AB114+AF114+AJ114+AN114)))</f>
        <v>0</v>
      </c>
      <c r="AS114" s="22" t="n">
        <f aca="false">ROUND(AP114-AQ114-AR114,2)</f>
        <v>0</v>
      </c>
      <c r="AT114" s="22" t="n">
        <f aca="false">AW113*(1+L$7)</f>
        <v>0</v>
      </c>
      <c r="AU114" s="22" t="n">
        <f aca="false">MIN(AT114,L$8)</f>
        <v>0</v>
      </c>
      <c r="AV114" s="22" t="n">
        <f aca="false">MAX(0,MIN(AT114-AU114,$C114-(P114+T114+X114+AB114+AF114+AJ114+AN114+AR114)))</f>
        <v>0</v>
      </c>
      <c r="AW114" s="22" t="n">
        <f aca="false">ROUND(AT114-AU114-AV114,2)</f>
        <v>0</v>
      </c>
      <c r="AX114" s="22" t="n">
        <f aca="false">BA113*(1+M$7)</f>
        <v>0</v>
      </c>
      <c r="AY114" s="22" t="n">
        <f aca="false">MIN(AX114,M$8)</f>
        <v>0</v>
      </c>
      <c r="AZ114" s="22" t="n">
        <f aca="false">MAX(0,MIN(AX114-AY114,$C114-(P114+T114+X114+AB114+AF114+AJ114+AN114+AR114+AV114)))</f>
        <v>0</v>
      </c>
      <c r="BA114" s="22" t="n">
        <f aca="false">ROUND(AX114-AY114-AZ114,2)</f>
        <v>0</v>
      </c>
    </row>
    <row r="115" customFormat="false" ht="15" hidden="false" customHeight="false" outlineLevel="0" collapsed="false">
      <c r="A115" s="0" t="n">
        <v>105</v>
      </c>
      <c r="B115" s="39" t="n">
        <f aca="false">EDATE(Borçlar!$K$7,104)</f>
        <v>49461</v>
      </c>
      <c r="C115" s="36" t="n">
        <f aca="false">MAX(0,SUM(Borçlar!$D$5:$D$14)-(O115+S115+W115+AA115+AE115+AI115+AM115+AQ115+AU115+AY115))</f>
        <v>14000</v>
      </c>
      <c r="D115" s="36" t="n">
        <f aca="false">O115+P115+S115+T115+W115+X115+AA115+AB115+AE115+AF115+AI115+AJ115+AM115+AN115+AQ115+AR115+AU115+AV115+AY115+AZ115</f>
        <v>0</v>
      </c>
      <c r="E115" s="36" t="n">
        <f aca="false">(N115+R115+V115+Z115+AD115+AH115+AL115+AP115+AT115+AX115)-(F114)</f>
        <v>0</v>
      </c>
      <c r="F115" s="36" t="n">
        <f aca="false">Q115+U115+Y115+AC115+AG115+AK115+AO115+AS115+AW115+BA115</f>
        <v>0</v>
      </c>
      <c r="N115" s="22" t="n">
        <f aca="false">Q114*(1+D$7)</f>
        <v>0</v>
      </c>
      <c r="O115" s="22" t="n">
        <f aca="false">MIN(N115,D$8)</f>
        <v>0</v>
      </c>
      <c r="P115" s="22" t="n">
        <f aca="false">MAX(0,MIN(N115-O115,$C115-(0)))</f>
        <v>0</v>
      </c>
      <c r="Q115" s="22" t="n">
        <f aca="false">ROUND(N115-O115-P115,2)</f>
        <v>0</v>
      </c>
      <c r="R115" s="22" t="n">
        <f aca="false">U114*(1+E$7)</f>
        <v>0</v>
      </c>
      <c r="S115" s="22" t="n">
        <f aca="false">MIN(R115,E$8)</f>
        <v>0</v>
      </c>
      <c r="T115" s="22" t="n">
        <f aca="false">MAX(0,MIN(R115-S115,$C115-(P115)))</f>
        <v>0</v>
      </c>
      <c r="U115" s="22" t="n">
        <f aca="false">ROUND(R115-S115-T115,2)</f>
        <v>0</v>
      </c>
      <c r="V115" s="22" t="n">
        <f aca="false">Y114*(1+F$7)</f>
        <v>0</v>
      </c>
      <c r="W115" s="22" t="n">
        <f aca="false">MIN(V115,F$8)</f>
        <v>0</v>
      </c>
      <c r="X115" s="22" t="n">
        <f aca="false">MAX(0,MIN(V115-W115,$C115-(P115+T115)))</f>
        <v>0</v>
      </c>
      <c r="Y115" s="22" t="n">
        <f aca="false">ROUND(V115-W115-X115,2)</f>
        <v>0</v>
      </c>
      <c r="Z115" s="22" t="n">
        <f aca="false">AC114*(1+G$7)</f>
        <v>0</v>
      </c>
      <c r="AA115" s="22" t="n">
        <f aca="false">MIN(Z115,G$8)</f>
        <v>0</v>
      </c>
      <c r="AB115" s="22" t="n">
        <f aca="false">MAX(0,MIN(Z115-AA115,$C115-(P115+T115+X115)))</f>
        <v>0</v>
      </c>
      <c r="AC115" s="22" t="n">
        <f aca="false">ROUND(Z115-AA115-AB115,2)</f>
        <v>0</v>
      </c>
      <c r="AD115" s="22" t="n">
        <f aca="false">AG114*(1+H$7)</f>
        <v>0</v>
      </c>
      <c r="AE115" s="22" t="n">
        <f aca="false">MIN(AD115,H$8)</f>
        <v>0</v>
      </c>
      <c r="AF115" s="22" t="n">
        <f aca="false">MAX(0,MIN(AD115-AE115,$C115-(P115+T115+X115+AB115)))</f>
        <v>0</v>
      </c>
      <c r="AG115" s="22" t="n">
        <f aca="false">ROUND(AD115-AE115-AF115,2)</f>
        <v>0</v>
      </c>
      <c r="AH115" s="22" t="n">
        <f aca="false">AK114*(1+I$7)</f>
        <v>0</v>
      </c>
      <c r="AI115" s="22" t="n">
        <f aca="false">MIN(AH115,I$8)</f>
        <v>0</v>
      </c>
      <c r="AJ115" s="22" t="n">
        <f aca="false">MAX(0,MIN(AH115-AI115,$C115-(P115+T115+X115+AB115+AF115)))</f>
        <v>0</v>
      </c>
      <c r="AK115" s="22" t="n">
        <f aca="false">ROUND(AH115-AI115-AJ115,2)</f>
        <v>0</v>
      </c>
      <c r="AL115" s="22" t="n">
        <f aca="false">AO114*(1+J$7)</f>
        <v>0</v>
      </c>
      <c r="AM115" s="22" t="n">
        <f aca="false">MIN(AL115,J$8)</f>
        <v>0</v>
      </c>
      <c r="AN115" s="22" t="n">
        <f aca="false">MAX(0,MIN(AL115-AM115,$C115-(P115+T115+X115+AB115+AF115+AJ115)))</f>
        <v>0</v>
      </c>
      <c r="AO115" s="22" t="n">
        <f aca="false">ROUND(AL115-AM115-AN115,2)</f>
        <v>0</v>
      </c>
      <c r="AP115" s="22" t="n">
        <f aca="false">AS114*(1+K$7)</f>
        <v>0</v>
      </c>
      <c r="AQ115" s="22" t="n">
        <f aca="false">MIN(AP115,K$8)</f>
        <v>0</v>
      </c>
      <c r="AR115" s="22" t="n">
        <f aca="false">MAX(0,MIN(AP115-AQ115,$C115-(P115+T115+X115+AB115+AF115+AJ115+AN115)))</f>
        <v>0</v>
      </c>
      <c r="AS115" s="22" t="n">
        <f aca="false">ROUND(AP115-AQ115-AR115,2)</f>
        <v>0</v>
      </c>
      <c r="AT115" s="22" t="n">
        <f aca="false">AW114*(1+L$7)</f>
        <v>0</v>
      </c>
      <c r="AU115" s="22" t="n">
        <f aca="false">MIN(AT115,L$8)</f>
        <v>0</v>
      </c>
      <c r="AV115" s="22" t="n">
        <f aca="false">MAX(0,MIN(AT115-AU115,$C115-(P115+T115+X115+AB115+AF115+AJ115+AN115+AR115)))</f>
        <v>0</v>
      </c>
      <c r="AW115" s="22" t="n">
        <f aca="false">ROUND(AT115-AU115-AV115,2)</f>
        <v>0</v>
      </c>
      <c r="AX115" s="22" t="n">
        <f aca="false">BA114*(1+M$7)</f>
        <v>0</v>
      </c>
      <c r="AY115" s="22" t="n">
        <f aca="false">MIN(AX115,M$8)</f>
        <v>0</v>
      </c>
      <c r="AZ115" s="22" t="n">
        <f aca="false">MAX(0,MIN(AX115-AY115,$C115-(P115+T115+X115+AB115+AF115+AJ115+AN115+AR115+AV115)))</f>
        <v>0</v>
      </c>
      <c r="BA115" s="22" t="n">
        <f aca="false">ROUND(AX115-AY115-AZ115,2)</f>
        <v>0</v>
      </c>
    </row>
    <row r="116" customFormat="false" ht="15" hidden="false" customHeight="false" outlineLevel="0" collapsed="false">
      <c r="A116" s="0" t="n">
        <v>106</v>
      </c>
      <c r="B116" s="39" t="n">
        <f aca="false">EDATE(Borçlar!$K$7,105)</f>
        <v>49491</v>
      </c>
      <c r="C116" s="36" t="n">
        <f aca="false">MAX(0,SUM(Borçlar!$D$5:$D$14)-(O116+S116+W116+AA116+AE116+AI116+AM116+AQ116+AU116+AY116))</f>
        <v>14000</v>
      </c>
      <c r="D116" s="36" t="n">
        <f aca="false">O116+P116+S116+T116+W116+X116+AA116+AB116+AE116+AF116+AI116+AJ116+AM116+AN116+AQ116+AR116+AU116+AV116+AY116+AZ116</f>
        <v>0</v>
      </c>
      <c r="E116" s="36" t="n">
        <f aca="false">(N116+R116+V116+Z116+AD116+AH116+AL116+AP116+AT116+AX116)-(F115)</f>
        <v>0</v>
      </c>
      <c r="F116" s="36" t="n">
        <f aca="false">Q116+U116+Y116+AC116+AG116+AK116+AO116+AS116+AW116+BA116</f>
        <v>0</v>
      </c>
      <c r="N116" s="22" t="n">
        <f aca="false">Q115*(1+D$7)</f>
        <v>0</v>
      </c>
      <c r="O116" s="22" t="n">
        <f aca="false">MIN(N116,D$8)</f>
        <v>0</v>
      </c>
      <c r="P116" s="22" t="n">
        <f aca="false">MAX(0,MIN(N116-O116,$C116-(0)))</f>
        <v>0</v>
      </c>
      <c r="Q116" s="22" t="n">
        <f aca="false">ROUND(N116-O116-P116,2)</f>
        <v>0</v>
      </c>
      <c r="R116" s="22" t="n">
        <f aca="false">U115*(1+E$7)</f>
        <v>0</v>
      </c>
      <c r="S116" s="22" t="n">
        <f aca="false">MIN(R116,E$8)</f>
        <v>0</v>
      </c>
      <c r="T116" s="22" t="n">
        <f aca="false">MAX(0,MIN(R116-S116,$C116-(P116)))</f>
        <v>0</v>
      </c>
      <c r="U116" s="22" t="n">
        <f aca="false">ROUND(R116-S116-T116,2)</f>
        <v>0</v>
      </c>
      <c r="V116" s="22" t="n">
        <f aca="false">Y115*(1+F$7)</f>
        <v>0</v>
      </c>
      <c r="W116" s="22" t="n">
        <f aca="false">MIN(V116,F$8)</f>
        <v>0</v>
      </c>
      <c r="X116" s="22" t="n">
        <f aca="false">MAX(0,MIN(V116-W116,$C116-(P116+T116)))</f>
        <v>0</v>
      </c>
      <c r="Y116" s="22" t="n">
        <f aca="false">ROUND(V116-W116-X116,2)</f>
        <v>0</v>
      </c>
      <c r="Z116" s="22" t="n">
        <f aca="false">AC115*(1+G$7)</f>
        <v>0</v>
      </c>
      <c r="AA116" s="22" t="n">
        <f aca="false">MIN(Z116,G$8)</f>
        <v>0</v>
      </c>
      <c r="AB116" s="22" t="n">
        <f aca="false">MAX(0,MIN(Z116-AA116,$C116-(P116+T116+X116)))</f>
        <v>0</v>
      </c>
      <c r="AC116" s="22" t="n">
        <f aca="false">ROUND(Z116-AA116-AB116,2)</f>
        <v>0</v>
      </c>
      <c r="AD116" s="22" t="n">
        <f aca="false">AG115*(1+H$7)</f>
        <v>0</v>
      </c>
      <c r="AE116" s="22" t="n">
        <f aca="false">MIN(AD116,H$8)</f>
        <v>0</v>
      </c>
      <c r="AF116" s="22" t="n">
        <f aca="false">MAX(0,MIN(AD116-AE116,$C116-(P116+T116+X116+AB116)))</f>
        <v>0</v>
      </c>
      <c r="AG116" s="22" t="n">
        <f aca="false">ROUND(AD116-AE116-AF116,2)</f>
        <v>0</v>
      </c>
      <c r="AH116" s="22" t="n">
        <f aca="false">AK115*(1+I$7)</f>
        <v>0</v>
      </c>
      <c r="AI116" s="22" t="n">
        <f aca="false">MIN(AH116,I$8)</f>
        <v>0</v>
      </c>
      <c r="AJ116" s="22" t="n">
        <f aca="false">MAX(0,MIN(AH116-AI116,$C116-(P116+T116+X116+AB116+AF116)))</f>
        <v>0</v>
      </c>
      <c r="AK116" s="22" t="n">
        <f aca="false">ROUND(AH116-AI116-AJ116,2)</f>
        <v>0</v>
      </c>
      <c r="AL116" s="22" t="n">
        <f aca="false">AO115*(1+J$7)</f>
        <v>0</v>
      </c>
      <c r="AM116" s="22" t="n">
        <f aca="false">MIN(AL116,J$8)</f>
        <v>0</v>
      </c>
      <c r="AN116" s="22" t="n">
        <f aca="false">MAX(0,MIN(AL116-AM116,$C116-(P116+T116+X116+AB116+AF116+AJ116)))</f>
        <v>0</v>
      </c>
      <c r="AO116" s="22" t="n">
        <f aca="false">ROUND(AL116-AM116-AN116,2)</f>
        <v>0</v>
      </c>
      <c r="AP116" s="22" t="n">
        <f aca="false">AS115*(1+K$7)</f>
        <v>0</v>
      </c>
      <c r="AQ116" s="22" t="n">
        <f aca="false">MIN(AP116,K$8)</f>
        <v>0</v>
      </c>
      <c r="AR116" s="22" t="n">
        <f aca="false">MAX(0,MIN(AP116-AQ116,$C116-(P116+T116+X116+AB116+AF116+AJ116+AN116)))</f>
        <v>0</v>
      </c>
      <c r="AS116" s="22" t="n">
        <f aca="false">ROUND(AP116-AQ116-AR116,2)</f>
        <v>0</v>
      </c>
      <c r="AT116" s="22" t="n">
        <f aca="false">AW115*(1+L$7)</f>
        <v>0</v>
      </c>
      <c r="AU116" s="22" t="n">
        <f aca="false">MIN(AT116,L$8)</f>
        <v>0</v>
      </c>
      <c r="AV116" s="22" t="n">
        <f aca="false">MAX(0,MIN(AT116-AU116,$C116-(P116+T116+X116+AB116+AF116+AJ116+AN116+AR116)))</f>
        <v>0</v>
      </c>
      <c r="AW116" s="22" t="n">
        <f aca="false">ROUND(AT116-AU116-AV116,2)</f>
        <v>0</v>
      </c>
      <c r="AX116" s="22" t="n">
        <f aca="false">BA115*(1+M$7)</f>
        <v>0</v>
      </c>
      <c r="AY116" s="22" t="n">
        <f aca="false">MIN(AX116,M$8)</f>
        <v>0</v>
      </c>
      <c r="AZ116" s="22" t="n">
        <f aca="false">MAX(0,MIN(AX116-AY116,$C116-(P116+T116+X116+AB116+AF116+AJ116+AN116+AR116+AV116)))</f>
        <v>0</v>
      </c>
      <c r="BA116" s="22" t="n">
        <f aca="false">ROUND(AX116-AY116-AZ116,2)</f>
        <v>0</v>
      </c>
    </row>
    <row r="117" customFormat="false" ht="15" hidden="false" customHeight="false" outlineLevel="0" collapsed="false">
      <c r="A117" s="0" t="n">
        <v>107</v>
      </c>
      <c r="B117" s="39" t="n">
        <f aca="false">EDATE(Borçlar!$K$7,106)</f>
        <v>49522</v>
      </c>
      <c r="C117" s="36" t="n">
        <f aca="false">MAX(0,SUM(Borçlar!$D$5:$D$14)-(O117+S117+W117+AA117+AE117+AI117+AM117+AQ117+AU117+AY117))</f>
        <v>14000</v>
      </c>
      <c r="D117" s="36" t="n">
        <f aca="false">O117+P117+S117+T117+W117+X117+AA117+AB117+AE117+AF117+AI117+AJ117+AM117+AN117+AQ117+AR117+AU117+AV117+AY117+AZ117</f>
        <v>0</v>
      </c>
      <c r="E117" s="36" t="n">
        <f aca="false">(N117+R117+V117+Z117+AD117+AH117+AL117+AP117+AT117+AX117)-(F116)</f>
        <v>0</v>
      </c>
      <c r="F117" s="36" t="n">
        <f aca="false">Q117+U117+Y117+AC117+AG117+AK117+AO117+AS117+AW117+BA117</f>
        <v>0</v>
      </c>
      <c r="N117" s="22" t="n">
        <f aca="false">Q116*(1+D$7)</f>
        <v>0</v>
      </c>
      <c r="O117" s="22" t="n">
        <f aca="false">MIN(N117,D$8)</f>
        <v>0</v>
      </c>
      <c r="P117" s="22" t="n">
        <f aca="false">MAX(0,MIN(N117-O117,$C117-(0)))</f>
        <v>0</v>
      </c>
      <c r="Q117" s="22" t="n">
        <f aca="false">ROUND(N117-O117-P117,2)</f>
        <v>0</v>
      </c>
      <c r="R117" s="22" t="n">
        <f aca="false">U116*(1+E$7)</f>
        <v>0</v>
      </c>
      <c r="S117" s="22" t="n">
        <f aca="false">MIN(R117,E$8)</f>
        <v>0</v>
      </c>
      <c r="T117" s="22" t="n">
        <f aca="false">MAX(0,MIN(R117-S117,$C117-(P117)))</f>
        <v>0</v>
      </c>
      <c r="U117" s="22" t="n">
        <f aca="false">ROUND(R117-S117-T117,2)</f>
        <v>0</v>
      </c>
      <c r="V117" s="22" t="n">
        <f aca="false">Y116*(1+F$7)</f>
        <v>0</v>
      </c>
      <c r="W117" s="22" t="n">
        <f aca="false">MIN(V117,F$8)</f>
        <v>0</v>
      </c>
      <c r="X117" s="22" t="n">
        <f aca="false">MAX(0,MIN(V117-W117,$C117-(P117+T117)))</f>
        <v>0</v>
      </c>
      <c r="Y117" s="22" t="n">
        <f aca="false">ROUND(V117-W117-X117,2)</f>
        <v>0</v>
      </c>
      <c r="Z117" s="22" t="n">
        <f aca="false">AC116*(1+G$7)</f>
        <v>0</v>
      </c>
      <c r="AA117" s="22" t="n">
        <f aca="false">MIN(Z117,G$8)</f>
        <v>0</v>
      </c>
      <c r="AB117" s="22" t="n">
        <f aca="false">MAX(0,MIN(Z117-AA117,$C117-(P117+T117+X117)))</f>
        <v>0</v>
      </c>
      <c r="AC117" s="22" t="n">
        <f aca="false">ROUND(Z117-AA117-AB117,2)</f>
        <v>0</v>
      </c>
      <c r="AD117" s="22" t="n">
        <f aca="false">AG116*(1+H$7)</f>
        <v>0</v>
      </c>
      <c r="AE117" s="22" t="n">
        <f aca="false">MIN(AD117,H$8)</f>
        <v>0</v>
      </c>
      <c r="AF117" s="22" t="n">
        <f aca="false">MAX(0,MIN(AD117-AE117,$C117-(P117+T117+X117+AB117)))</f>
        <v>0</v>
      </c>
      <c r="AG117" s="22" t="n">
        <f aca="false">ROUND(AD117-AE117-AF117,2)</f>
        <v>0</v>
      </c>
      <c r="AH117" s="22" t="n">
        <f aca="false">AK116*(1+I$7)</f>
        <v>0</v>
      </c>
      <c r="AI117" s="22" t="n">
        <f aca="false">MIN(AH117,I$8)</f>
        <v>0</v>
      </c>
      <c r="AJ117" s="22" t="n">
        <f aca="false">MAX(0,MIN(AH117-AI117,$C117-(P117+T117+X117+AB117+AF117)))</f>
        <v>0</v>
      </c>
      <c r="AK117" s="22" t="n">
        <f aca="false">ROUND(AH117-AI117-AJ117,2)</f>
        <v>0</v>
      </c>
      <c r="AL117" s="22" t="n">
        <f aca="false">AO116*(1+J$7)</f>
        <v>0</v>
      </c>
      <c r="AM117" s="22" t="n">
        <f aca="false">MIN(AL117,J$8)</f>
        <v>0</v>
      </c>
      <c r="AN117" s="22" t="n">
        <f aca="false">MAX(0,MIN(AL117-AM117,$C117-(P117+T117+X117+AB117+AF117+AJ117)))</f>
        <v>0</v>
      </c>
      <c r="AO117" s="22" t="n">
        <f aca="false">ROUND(AL117-AM117-AN117,2)</f>
        <v>0</v>
      </c>
      <c r="AP117" s="22" t="n">
        <f aca="false">AS116*(1+K$7)</f>
        <v>0</v>
      </c>
      <c r="AQ117" s="22" t="n">
        <f aca="false">MIN(AP117,K$8)</f>
        <v>0</v>
      </c>
      <c r="AR117" s="22" t="n">
        <f aca="false">MAX(0,MIN(AP117-AQ117,$C117-(P117+T117+X117+AB117+AF117+AJ117+AN117)))</f>
        <v>0</v>
      </c>
      <c r="AS117" s="22" t="n">
        <f aca="false">ROUND(AP117-AQ117-AR117,2)</f>
        <v>0</v>
      </c>
      <c r="AT117" s="22" t="n">
        <f aca="false">AW116*(1+L$7)</f>
        <v>0</v>
      </c>
      <c r="AU117" s="22" t="n">
        <f aca="false">MIN(AT117,L$8)</f>
        <v>0</v>
      </c>
      <c r="AV117" s="22" t="n">
        <f aca="false">MAX(0,MIN(AT117-AU117,$C117-(P117+T117+X117+AB117+AF117+AJ117+AN117+AR117)))</f>
        <v>0</v>
      </c>
      <c r="AW117" s="22" t="n">
        <f aca="false">ROUND(AT117-AU117-AV117,2)</f>
        <v>0</v>
      </c>
      <c r="AX117" s="22" t="n">
        <f aca="false">BA116*(1+M$7)</f>
        <v>0</v>
      </c>
      <c r="AY117" s="22" t="n">
        <f aca="false">MIN(AX117,M$8)</f>
        <v>0</v>
      </c>
      <c r="AZ117" s="22" t="n">
        <f aca="false">MAX(0,MIN(AX117-AY117,$C117-(P117+T117+X117+AB117+AF117+AJ117+AN117+AR117+AV117)))</f>
        <v>0</v>
      </c>
      <c r="BA117" s="22" t="n">
        <f aca="false">ROUND(AX117-AY117-AZ117,2)</f>
        <v>0</v>
      </c>
    </row>
    <row r="118" customFormat="false" ht="15" hidden="false" customHeight="false" outlineLevel="0" collapsed="false">
      <c r="A118" s="0" t="n">
        <v>108</v>
      </c>
      <c r="B118" s="39" t="n">
        <f aca="false">EDATE(Borçlar!$K$7,107)</f>
        <v>49553</v>
      </c>
      <c r="C118" s="36" t="n">
        <f aca="false">MAX(0,SUM(Borçlar!$D$5:$D$14)-(O118+S118+W118+AA118+AE118+AI118+AM118+AQ118+AU118+AY118))</f>
        <v>14000</v>
      </c>
      <c r="D118" s="36" t="n">
        <f aca="false">O118+P118+S118+T118+W118+X118+AA118+AB118+AE118+AF118+AI118+AJ118+AM118+AN118+AQ118+AR118+AU118+AV118+AY118+AZ118</f>
        <v>0</v>
      </c>
      <c r="E118" s="36" t="n">
        <f aca="false">(N118+R118+V118+Z118+AD118+AH118+AL118+AP118+AT118+AX118)-(F117)</f>
        <v>0</v>
      </c>
      <c r="F118" s="36" t="n">
        <f aca="false">Q118+U118+Y118+AC118+AG118+AK118+AO118+AS118+AW118+BA118</f>
        <v>0</v>
      </c>
      <c r="N118" s="22" t="n">
        <f aca="false">Q117*(1+D$7)</f>
        <v>0</v>
      </c>
      <c r="O118" s="22" t="n">
        <f aca="false">MIN(N118,D$8)</f>
        <v>0</v>
      </c>
      <c r="P118" s="22" t="n">
        <f aca="false">MAX(0,MIN(N118-O118,$C118-(0)))</f>
        <v>0</v>
      </c>
      <c r="Q118" s="22" t="n">
        <f aca="false">ROUND(N118-O118-P118,2)</f>
        <v>0</v>
      </c>
      <c r="R118" s="22" t="n">
        <f aca="false">U117*(1+E$7)</f>
        <v>0</v>
      </c>
      <c r="S118" s="22" t="n">
        <f aca="false">MIN(R118,E$8)</f>
        <v>0</v>
      </c>
      <c r="T118" s="22" t="n">
        <f aca="false">MAX(0,MIN(R118-S118,$C118-(P118)))</f>
        <v>0</v>
      </c>
      <c r="U118" s="22" t="n">
        <f aca="false">ROUND(R118-S118-T118,2)</f>
        <v>0</v>
      </c>
      <c r="V118" s="22" t="n">
        <f aca="false">Y117*(1+F$7)</f>
        <v>0</v>
      </c>
      <c r="W118" s="22" t="n">
        <f aca="false">MIN(V118,F$8)</f>
        <v>0</v>
      </c>
      <c r="X118" s="22" t="n">
        <f aca="false">MAX(0,MIN(V118-W118,$C118-(P118+T118)))</f>
        <v>0</v>
      </c>
      <c r="Y118" s="22" t="n">
        <f aca="false">ROUND(V118-W118-X118,2)</f>
        <v>0</v>
      </c>
      <c r="Z118" s="22" t="n">
        <f aca="false">AC117*(1+G$7)</f>
        <v>0</v>
      </c>
      <c r="AA118" s="22" t="n">
        <f aca="false">MIN(Z118,G$8)</f>
        <v>0</v>
      </c>
      <c r="AB118" s="22" t="n">
        <f aca="false">MAX(0,MIN(Z118-AA118,$C118-(P118+T118+X118)))</f>
        <v>0</v>
      </c>
      <c r="AC118" s="22" t="n">
        <f aca="false">ROUND(Z118-AA118-AB118,2)</f>
        <v>0</v>
      </c>
      <c r="AD118" s="22" t="n">
        <f aca="false">AG117*(1+H$7)</f>
        <v>0</v>
      </c>
      <c r="AE118" s="22" t="n">
        <f aca="false">MIN(AD118,H$8)</f>
        <v>0</v>
      </c>
      <c r="AF118" s="22" t="n">
        <f aca="false">MAX(0,MIN(AD118-AE118,$C118-(P118+T118+X118+AB118)))</f>
        <v>0</v>
      </c>
      <c r="AG118" s="22" t="n">
        <f aca="false">ROUND(AD118-AE118-AF118,2)</f>
        <v>0</v>
      </c>
      <c r="AH118" s="22" t="n">
        <f aca="false">AK117*(1+I$7)</f>
        <v>0</v>
      </c>
      <c r="AI118" s="22" t="n">
        <f aca="false">MIN(AH118,I$8)</f>
        <v>0</v>
      </c>
      <c r="AJ118" s="22" t="n">
        <f aca="false">MAX(0,MIN(AH118-AI118,$C118-(P118+T118+X118+AB118+AF118)))</f>
        <v>0</v>
      </c>
      <c r="AK118" s="22" t="n">
        <f aca="false">ROUND(AH118-AI118-AJ118,2)</f>
        <v>0</v>
      </c>
      <c r="AL118" s="22" t="n">
        <f aca="false">AO117*(1+J$7)</f>
        <v>0</v>
      </c>
      <c r="AM118" s="22" t="n">
        <f aca="false">MIN(AL118,J$8)</f>
        <v>0</v>
      </c>
      <c r="AN118" s="22" t="n">
        <f aca="false">MAX(0,MIN(AL118-AM118,$C118-(P118+T118+X118+AB118+AF118+AJ118)))</f>
        <v>0</v>
      </c>
      <c r="AO118" s="22" t="n">
        <f aca="false">ROUND(AL118-AM118-AN118,2)</f>
        <v>0</v>
      </c>
      <c r="AP118" s="22" t="n">
        <f aca="false">AS117*(1+K$7)</f>
        <v>0</v>
      </c>
      <c r="AQ118" s="22" t="n">
        <f aca="false">MIN(AP118,K$8)</f>
        <v>0</v>
      </c>
      <c r="AR118" s="22" t="n">
        <f aca="false">MAX(0,MIN(AP118-AQ118,$C118-(P118+T118+X118+AB118+AF118+AJ118+AN118)))</f>
        <v>0</v>
      </c>
      <c r="AS118" s="22" t="n">
        <f aca="false">ROUND(AP118-AQ118-AR118,2)</f>
        <v>0</v>
      </c>
      <c r="AT118" s="22" t="n">
        <f aca="false">AW117*(1+L$7)</f>
        <v>0</v>
      </c>
      <c r="AU118" s="22" t="n">
        <f aca="false">MIN(AT118,L$8)</f>
        <v>0</v>
      </c>
      <c r="AV118" s="22" t="n">
        <f aca="false">MAX(0,MIN(AT118-AU118,$C118-(P118+T118+X118+AB118+AF118+AJ118+AN118+AR118)))</f>
        <v>0</v>
      </c>
      <c r="AW118" s="22" t="n">
        <f aca="false">ROUND(AT118-AU118-AV118,2)</f>
        <v>0</v>
      </c>
      <c r="AX118" s="22" t="n">
        <f aca="false">BA117*(1+M$7)</f>
        <v>0</v>
      </c>
      <c r="AY118" s="22" t="n">
        <f aca="false">MIN(AX118,M$8)</f>
        <v>0</v>
      </c>
      <c r="AZ118" s="22" t="n">
        <f aca="false">MAX(0,MIN(AX118-AY118,$C118-(P118+T118+X118+AB118+AF118+AJ118+AN118+AR118+AV118)))</f>
        <v>0</v>
      </c>
      <c r="BA118" s="22" t="n">
        <f aca="false">ROUND(AX118-AY118-AZ118,2)</f>
        <v>0</v>
      </c>
    </row>
    <row r="119" customFormat="false" ht="15" hidden="false" customHeight="false" outlineLevel="0" collapsed="false">
      <c r="A119" s="0" t="n">
        <v>109</v>
      </c>
      <c r="B119" s="39" t="n">
        <f aca="false">EDATE(Borçlar!$K$7,108)</f>
        <v>49583</v>
      </c>
      <c r="C119" s="36" t="n">
        <f aca="false">MAX(0,SUM(Borçlar!$D$5:$D$14)-(O119+S119+W119+AA119+AE119+AI119+AM119+AQ119+AU119+AY119))</f>
        <v>14000</v>
      </c>
      <c r="D119" s="36" t="n">
        <f aca="false">O119+P119+S119+T119+W119+X119+AA119+AB119+AE119+AF119+AI119+AJ119+AM119+AN119+AQ119+AR119+AU119+AV119+AY119+AZ119</f>
        <v>0</v>
      </c>
      <c r="E119" s="36" t="n">
        <f aca="false">(N119+R119+V119+Z119+AD119+AH119+AL119+AP119+AT119+AX119)-(F118)</f>
        <v>0</v>
      </c>
      <c r="F119" s="36" t="n">
        <f aca="false">Q119+U119+Y119+AC119+AG119+AK119+AO119+AS119+AW119+BA119</f>
        <v>0</v>
      </c>
      <c r="N119" s="22" t="n">
        <f aca="false">Q118*(1+D$7)</f>
        <v>0</v>
      </c>
      <c r="O119" s="22" t="n">
        <f aca="false">MIN(N119,D$8)</f>
        <v>0</v>
      </c>
      <c r="P119" s="22" t="n">
        <f aca="false">MAX(0,MIN(N119-O119,$C119-(0)))</f>
        <v>0</v>
      </c>
      <c r="Q119" s="22" t="n">
        <f aca="false">ROUND(N119-O119-P119,2)</f>
        <v>0</v>
      </c>
      <c r="R119" s="22" t="n">
        <f aca="false">U118*(1+E$7)</f>
        <v>0</v>
      </c>
      <c r="S119" s="22" t="n">
        <f aca="false">MIN(R119,E$8)</f>
        <v>0</v>
      </c>
      <c r="T119" s="22" t="n">
        <f aca="false">MAX(0,MIN(R119-S119,$C119-(P119)))</f>
        <v>0</v>
      </c>
      <c r="U119" s="22" t="n">
        <f aca="false">ROUND(R119-S119-T119,2)</f>
        <v>0</v>
      </c>
      <c r="V119" s="22" t="n">
        <f aca="false">Y118*(1+F$7)</f>
        <v>0</v>
      </c>
      <c r="W119" s="22" t="n">
        <f aca="false">MIN(V119,F$8)</f>
        <v>0</v>
      </c>
      <c r="X119" s="22" t="n">
        <f aca="false">MAX(0,MIN(V119-W119,$C119-(P119+T119)))</f>
        <v>0</v>
      </c>
      <c r="Y119" s="22" t="n">
        <f aca="false">ROUND(V119-W119-X119,2)</f>
        <v>0</v>
      </c>
      <c r="Z119" s="22" t="n">
        <f aca="false">AC118*(1+G$7)</f>
        <v>0</v>
      </c>
      <c r="AA119" s="22" t="n">
        <f aca="false">MIN(Z119,G$8)</f>
        <v>0</v>
      </c>
      <c r="AB119" s="22" t="n">
        <f aca="false">MAX(0,MIN(Z119-AA119,$C119-(P119+T119+X119)))</f>
        <v>0</v>
      </c>
      <c r="AC119" s="22" t="n">
        <f aca="false">ROUND(Z119-AA119-AB119,2)</f>
        <v>0</v>
      </c>
      <c r="AD119" s="22" t="n">
        <f aca="false">AG118*(1+H$7)</f>
        <v>0</v>
      </c>
      <c r="AE119" s="22" t="n">
        <f aca="false">MIN(AD119,H$8)</f>
        <v>0</v>
      </c>
      <c r="AF119" s="22" t="n">
        <f aca="false">MAX(0,MIN(AD119-AE119,$C119-(P119+T119+X119+AB119)))</f>
        <v>0</v>
      </c>
      <c r="AG119" s="22" t="n">
        <f aca="false">ROUND(AD119-AE119-AF119,2)</f>
        <v>0</v>
      </c>
      <c r="AH119" s="22" t="n">
        <f aca="false">AK118*(1+I$7)</f>
        <v>0</v>
      </c>
      <c r="AI119" s="22" t="n">
        <f aca="false">MIN(AH119,I$8)</f>
        <v>0</v>
      </c>
      <c r="AJ119" s="22" t="n">
        <f aca="false">MAX(0,MIN(AH119-AI119,$C119-(P119+T119+X119+AB119+AF119)))</f>
        <v>0</v>
      </c>
      <c r="AK119" s="22" t="n">
        <f aca="false">ROUND(AH119-AI119-AJ119,2)</f>
        <v>0</v>
      </c>
      <c r="AL119" s="22" t="n">
        <f aca="false">AO118*(1+J$7)</f>
        <v>0</v>
      </c>
      <c r="AM119" s="22" t="n">
        <f aca="false">MIN(AL119,J$8)</f>
        <v>0</v>
      </c>
      <c r="AN119" s="22" t="n">
        <f aca="false">MAX(0,MIN(AL119-AM119,$C119-(P119+T119+X119+AB119+AF119+AJ119)))</f>
        <v>0</v>
      </c>
      <c r="AO119" s="22" t="n">
        <f aca="false">ROUND(AL119-AM119-AN119,2)</f>
        <v>0</v>
      </c>
      <c r="AP119" s="22" t="n">
        <f aca="false">AS118*(1+K$7)</f>
        <v>0</v>
      </c>
      <c r="AQ119" s="22" t="n">
        <f aca="false">MIN(AP119,K$8)</f>
        <v>0</v>
      </c>
      <c r="AR119" s="22" t="n">
        <f aca="false">MAX(0,MIN(AP119-AQ119,$C119-(P119+T119+X119+AB119+AF119+AJ119+AN119)))</f>
        <v>0</v>
      </c>
      <c r="AS119" s="22" t="n">
        <f aca="false">ROUND(AP119-AQ119-AR119,2)</f>
        <v>0</v>
      </c>
      <c r="AT119" s="22" t="n">
        <f aca="false">AW118*(1+L$7)</f>
        <v>0</v>
      </c>
      <c r="AU119" s="22" t="n">
        <f aca="false">MIN(AT119,L$8)</f>
        <v>0</v>
      </c>
      <c r="AV119" s="22" t="n">
        <f aca="false">MAX(0,MIN(AT119-AU119,$C119-(P119+T119+X119+AB119+AF119+AJ119+AN119+AR119)))</f>
        <v>0</v>
      </c>
      <c r="AW119" s="22" t="n">
        <f aca="false">ROUND(AT119-AU119-AV119,2)</f>
        <v>0</v>
      </c>
      <c r="AX119" s="22" t="n">
        <f aca="false">BA118*(1+M$7)</f>
        <v>0</v>
      </c>
      <c r="AY119" s="22" t="n">
        <f aca="false">MIN(AX119,M$8)</f>
        <v>0</v>
      </c>
      <c r="AZ119" s="22" t="n">
        <f aca="false">MAX(0,MIN(AX119-AY119,$C119-(P119+T119+X119+AB119+AF119+AJ119+AN119+AR119+AV119)))</f>
        <v>0</v>
      </c>
      <c r="BA119" s="22" t="n">
        <f aca="false">ROUND(AX119-AY119-AZ119,2)</f>
        <v>0</v>
      </c>
    </row>
    <row r="120" customFormat="false" ht="15" hidden="false" customHeight="false" outlineLevel="0" collapsed="false">
      <c r="A120" s="0" t="n">
        <v>110</v>
      </c>
      <c r="B120" s="39" t="n">
        <f aca="false">EDATE(Borçlar!$K$7,109)</f>
        <v>49614</v>
      </c>
      <c r="C120" s="36" t="n">
        <f aca="false">MAX(0,SUM(Borçlar!$D$5:$D$14)-(O120+S120+W120+AA120+AE120+AI120+AM120+AQ120+AU120+AY120))</f>
        <v>14000</v>
      </c>
      <c r="D120" s="36" t="n">
        <f aca="false">O120+P120+S120+T120+W120+X120+AA120+AB120+AE120+AF120+AI120+AJ120+AM120+AN120+AQ120+AR120+AU120+AV120+AY120+AZ120</f>
        <v>0</v>
      </c>
      <c r="E120" s="36" t="n">
        <f aca="false">(N120+R120+V120+Z120+AD120+AH120+AL120+AP120+AT120+AX120)-(F119)</f>
        <v>0</v>
      </c>
      <c r="F120" s="36" t="n">
        <f aca="false">Q120+U120+Y120+AC120+AG120+AK120+AO120+AS120+AW120+BA120</f>
        <v>0</v>
      </c>
      <c r="N120" s="22" t="n">
        <f aca="false">Q119*(1+D$7)</f>
        <v>0</v>
      </c>
      <c r="O120" s="22" t="n">
        <f aca="false">MIN(N120,D$8)</f>
        <v>0</v>
      </c>
      <c r="P120" s="22" t="n">
        <f aca="false">MAX(0,MIN(N120-O120,$C120-(0)))</f>
        <v>0</v>
      </c>
      <c r="Q120" s="22" t="n">
        <f aca="false">ROUND(N120-O120-P120,2)</f>
        <v>0</v>
      </c>
      <c r="R120" s="22" t="n">
        <f aca="false">U119*(1+E$7)</f>
        <v>0</v>
      </c>
      <c r="S120" s="22" t="n">
        <f aca="false">MIN(R120,E$8)</f>
        <v>0</v>
      </c>
      <c r="T120" s="22" t="n">
        <f aca="false">MAX(0,MIN(R120-S120,$C120-(P120)))</f>
        <v>0</v>
      </c>
      <c r="U120" s="22" t="n">
        <f aca="false">ROUND(R120-S120-T120,2)</f>
        <v>0</v>
      </c>
      <c r="V120" s="22" t="n">
        <f aca="false">Y119*(1+F$7)</f>
        <v>0</v>
      </c>
      <c r="W120" s="22" t="n">
        <f aca="false">MIN(V120,F$8)</f>
        <v>0</v>
      </c>
      <c r="X120" s="22" t="n">
        <f aca="false">MAX(0,MIN(V120-W120,$C120-(P120+T120)))</f>
        <v>0</v>
      </c>
      <c r="Y120" s="22" t="n">
        <f aca="false">ROUND(V120-W120-X120,2)</f>
        <v>0</v>
      </c>
      <c r="Z120" s="22" t="n">
        <f aca="false">AC119*(1+G$7)</f>
        <v>0</v>
      </c>
      <c r="AA120" s="22" t="n">
        <f aca="false">MIN(Z120,G$8)</f>
        <v>0</v>
      </c>
      <c r="AB120" s="22" t="n">
        <f aca="false">MAX(0,MIN(Z120-AA120,$C120-(P120+T120+X120)))</f>
        <v>0</v>
      </c>
      <c r="AC120" s="22" t="n">
        <f aca="false">ROUND(Z120-AA120-AB120,2)</f>
        <v>0</v>
      </c>
      <c r="AD120" s="22" t="n">
        <f aca="false">AG119*(1+H$7)</f>
        <v>0</v>
      </c>
      <c r="AE120" s="22" t="n">
        <f aca="false">MIN(AD120,H$8)</f>
        <v>0</v>
      </c>
      <c r="AF120" s="22" t="n">
        <f aca="false">MAX(0,MIN(AD120-AE120,$C120-(P120+T120+X120+AB120)))</f>
        <v>0</v>
      </c>
      <c r="AG120" s="22" t="n">
        <f aca="false">ROUND(AD120-AE120-AF120,2)</f>
        <v>0</v>
      </c>
      <c r="AH120" s="22" t="n">
        <f aca="false">AK119*(1+I$7)</f>
        <v>0</v>
      </c>
      <c r="AI120" s="22" t="n">
        <f aca="false">MIN(AH120,I$8)</f>
        <v>0</v>
      </c>
      <c r="AJ120" s="22" t="n">
        <f aca="false">MAX(0,MIN(AH120-AI120,$C120-(P120+T120+X120+AB120+AF120)))</f>
        <v>0</v>
      </c>
      <c r="AK120" s="22" t="n">
        <f aca="false">ROUND(AH120-AI120-AJ120,2)</f>
        <v>0</v>
      </c>
      <c r="AL120" s="22" t="n">
        <f aca="false">AO119*(1+J$7)</f>
        <v>0</v>
      </c>
      <c r="AM120" s="22" t="n">
        <f aca="false">MIN(AL120,J$8)</f>
        <v>0</v>
      </c>
      <c r="AN120" s="22" t="n">
        <f aca="false">MAX(0,MIN(AL120-AM120,$C120-(P120+T120+X120+AB120+AF120+AJ120)))</f>
        <v>0</v>
      </c>
      <c r="AO120" s="22" t="n">
        <f aca="false">ROUND(AL120-AM120-AN120,2)</f>
        <v>0</v>
      </c>
      <c r="AP120" s="22" t="n">
        <f aca="false">AS119*(1+K$7)</f>
        <v>0</v>
      </c>
      <c r="AQ120" s="22" t="n">
        <f aca="false">MIN(AP120,K$8)</f>
        <v>0</v>
      </c>
      <c r="AR120" s="22" t="n">
        <f aca="false">MAX(0,MIN(AP120-AQ120,$C120-(P120+T120+X120+AB120+AF120+AJ120+AN120)))</f>
        <v>0</v>
      </c>
      <c r="AS120" s="22" t="n">
        <f aca="false">ROUND(AP120-AQ120-AR120,2)</f>
        <v>0</v>
      </c>
      <c r="AT120" s="22" t="n">
        <f aca="false">AW119*(1+L$7)</f>
        <v>0</v>
      </c>
      <c r="AU120" s="22" t="n">
        <f aca="false">MIN(AT120,L$8)</f>
        <v>0</v>
      </c>
      <c r="AV120" s="22" t="n">
        <f aca="false">MAX(0,MIN(AT120-AU120,$C120-(P120+T120+X120+AB120+AF120+AJ120+AN120+AR120)))</f>
        <v>0</v>
      </c>
      <c r="AW120" s="22" t="n">
        <f aca="false">ROUND(AT120-AU120-AV120,2)</f>
        <v>0</v>
      </c>
      <c r="AX120" s="22" t="n">
        <f aca="false">BA119*(1+M$7)</f>
        <v>0</v>
      </c>
      <c r="AY120" s="22" t="n">
        <f aca="false">MIN(AX120,M$8)</f>
        <v>0</v>
      </c>
      <c r="AZ120" s="22" t="n">
        <f aca="false">MAX(0,MIN(AX120-AY120,$C120-(P120+T120+X120+AB120+AF120+AJ120+AN120+AR120+AV120)))</f>
        <v>0</v>
      </c>
      <c r="BA120" s="22" t="n">
        <f aca="false">ROUND(AX120-AY120-AZ120,2)</f>
        <v>0</v>
      </c>
    </row>
    <row r="121" customFormat="false" ht="15" hidden="false" customHeight="false" outlineLevel="0" collapsed="false">
      <c r="A121" s="0" t="n">
        <v>111</v>
      </c>
      <c r="B121" s="39" t="n">
        <f aca="false">EDATE(Borçlar!$K$7,110)</f>
        <v>49644</v>
      </c>
      <c r="C121" s="36" t="n">
        <f aca="false">MAX(0,SUM(Borçlar!$D$5:$D$14)-(O121+S121+W121+AA121+AE121+AI121+AM121+AQ121+AU121+AY121))</f>
        <v>14000</v>
      </c>
      <c r="D121" s="36" t="n">
        <f aca="false">O121+P121+S121+T121+W121+X121+AA121+AB121+AE121+AF121+AI121+AJ121+AM121+AN121+AQ121+AR121+AU121+AV121+AY121+AZ121</f>
        <v>0</v>
      </c>
      <c r="E121" s="36" t="n">
        <f aca="false">(N121+R121+V121+Z121+AD121+AH121+AL121+AP121+AT121+AX121)-(F120)</f>
        <v>0</v>
      </c>
      <c r="F121" s="36" t="n">
        <f aca="false">Q121+U121+Y121+AC121+AG121+AK121+AO121+AS121+AW121+BA121</f>
        <v>0</v>
      </c>
      <c r="N121" s="22" t="n">
        <f aca="false">Q120*(1+D$7)</f>
        <v>0</v>
      </c>
      <c r="O121" s="22" t="n">
        <f aca="false">MIN(N121,D$8)</f>
        <v>0</v>
      </c>
      <c r="P121" s="22" t="n">
        <f aca="false">MAX(0,MIN(N121-O121,$C121-(0)))</f>
        <v>0</v>
      </c>
      <c r="Q121" s="22" t="n">
        <f aca="false">ROUND(N121-O121-P121,2)</f>
        <v>0</v>
      </c>
      <c r="R121" s="22" t="n">
        <f aca="false">U120*(1+E$7)</f>
        <v>0</v>
      </c>
      <c r="S121" s="22" t="n">
        <f aca="false">MIN(R121,E$8)</f>
        <v>0</v>
      </c>
      <c r="T121" s="22" t="n">
        <f aca="false">MAX(0,MIN(R121-S121,$C121-(P121)))</f>
        <v>0</v>
      </c>
      <c r="U121" s="22" t="n">
        <f aca="false">ROUND(R121-S121-T121,2)</f>
        <v>0</v>
      </c>
      <c r="V121" s="22" t="n">
        <f aca="false">Y120*(1+F$7)</f>
        <v>0</v>
      </c>
      <c r="W121" s="22" t="n">
        <f aca="false">MIN(V121,F$8)</f>
        <v>0</v>
      </c>
      <c r="X121" s="22" t="n">
        <f aca="false">MAX(0,MIN(V121-W121,$C121-(P121+T121)))</f>
        <v>0</v>
      </c>
      <c r="Y121" s="22" t="n">
        <f aca="false">ROUND(V121-W121-X121,2)</f>
        <v>0</v>
      </c>
      <c r="Z121" s="22" t="n">
        <f aca="false">AC120*(1+G$7)</f>
        <v>0</v>
      </c>
      <c r="AA121" s="22" t="n">
        <f aca="false">MIN(Z121,G$8)</f>
        <v>0</v>
      </c>
      <c r="AB121" s="22" t="n">
        <f aca="false">MAX(0,MIN(Z121-AA121,$C121-(P121+T121+X121)))</f>
        <v>0</v>
      </c>
      <c r="AC121" s="22" t="n">
        <f aca="false">ROUND(Z121-AA121-AB121,2)</f>
        <v>0</v>
      </c>
      <c r="AD121" s="22" t="n">
        <f aca="false">AG120*(1+H$7)</f>
        <v>0</v>
      </c>
      <c r="AE121" s="22" t="n">
        <f aca="false">MIN(AD121,H$8)</f>
        <v>0</v>
      </c>
      <c r="AF121" s="22" t="n">
        <f aca="false">MAX(0,MIN(AD121-AE121,$C121-(P121+T121+X121+AB121)))</f>
        <v>0</v>
      </c>
      <c r="AG121" s="22" t="n">
        <f aca="false">ROUND(AD121-AE121-AF121,2)</f>
        <v>0</v>
      </c>
      <c r="AH121" s="22" t="n">
        <f aca="false">AK120*(1+I$7)</f>
        <v>0</v>
      </c>
      <c r="AI121" s="22" t="n">
        <f aca="false">MIN(AH121,I$8)</f>
        <v>0</v>
      </c>
      <c r="AJ121" s="22" t="n">
        <f aca="false">MAX(0,MIN(AH121-AI121,$C121-(P121+T121+X121+AB121+AF121)))</f>
        <v>0</v>
      </c>
      <c r="AK121" s="22" t="n">
        <f aca="false">ROUND(AH121-AI121-AJ121,2)</f>
        <v>0</v>
      </c>
      <c r="AL121" s="22" t="n">
        <f aca="false">AO120*(1+J$7)</f>
        <v>0</v>
      </c>
      <c r="AM121" s="22" t="n">
        <f aca="false">MIN(AL121,J$8)</f>
        <v>0</v>
      </c>
      <c r="AN121" s="22" t="n">
        <f aca="false">MAX(0,MIN(AL121-AM121,$C121-(P121+T121+X121+AB121+AF121+AJ121)))</f>
        <v>0</v>
      </c>
      <c r="AO121" s="22" t="n">
        <f aca="false">ROUND(AL121-AM121-AN121,2)</f>
        <v>0</v>
      </c>
      <c r="AP121" s="22" t="n">
        <f aca="false">AS120*(1+K$7)</f>
        <v>0</v>
      </c>
      <c r="AQ121" s="22" t="n">
        <f aca="false">MIN(AP121,K$8)</f>
        <v>0</v>
      </c>
      <c r="AR121" s="22" t="n">
        <f aca="false">MAX(0,MIN(AP121-AQ121,$C121-(P121+T121+X121+AB121+AF121+AJ121+AN121)))</f>
        <v>0</v>
      </c>
      <c r="AS121" s="22" t="n">
        <f aca="false">ROUND(AP121-AQ121-AR121,2)</f>
        <v>0</v>
      </c>
      <c r="AT121" s="22" t="n">
        <f aca="false">AW120*(1+L$7)</f>
        <v>0</v>
      </c>
      <c r="AU121" s="22" t="n">
        <f aca="false">MIN(AT121,L$8)</f>
        <v>0</v>
      </c>
      <c r="AV121" s="22" t="n">
        <f aca="false">MAX(0,MIN(AT121-AU121,$C121-(P121+T121+X121+AB121+AF121+AJ121+AN121+AR121)))</f>
        <v>0</v>
      </c>
      <c r="AW121" s="22" t="n">
        <f aca="false">ROUND(AT121-AU121-AV121,2)</f>
        <v>0</v>
      </c>
      <c r="AX121" s="22" t="n">
        <f aca="false">BA120*(1+M$7)</f>
        <v>0</v>
      </c>
      <c r="AY121" s="22" t="n">
        <f aca="false">MIN(AX121,M$8)</f>
        <v>0</v>
      </c>
      <c r="AZ121" s="22" t="n">
        <f aca="false">MAX(0,MIN(AX121-AY121,$C121-(P121+T121+X121+AB121+AF121+AJ121+AN121+AR121+AV121)))</f>
        <v>0</v>
      </c>
      <c r="BA121" s="22" t="n">
        <f aca="false">ROUND(AX121-AY121-AZ121,2)</f>
        <v>0</v>
      </c>
    </row>
    <row r="122" customFormat="false" ht="15" hidden="false" customHeight="false" outlineLevel="0" collapsed="false">
      <c r="A122" s="0" t="n">
        <v>112</v>
      </c>
      <c r="B122" s="39" t="n">
        <f aca="false">EDATE(Borçlar!$K$7,111)</f>
        <v>49675</v>
      </c>
      <c r="C122" s="36" t="n">
        <f aca="false">MAX(0,SUM(Borçlar!$D$5:$D$14)-(O122+S122+W122+AA122+AE122+AI122+AM122+AQ122+AU122+AY122))</f>
        <v>14000</v>
      </c>
      <c r="D122" s="36" t="n">
        <f aca="false">O122+P122+S122+T122+W122+X122+AA122+AB122+AE122+AF122+AI122+AJ122+AM122+AN122+AQ122+AR122+AU122+AV122+AY122+AZ122</f>
        <v>0</v>
      </c>
      <c r="E122" s="36" t="n">
        <f aca="false">(N122+R122+V122+Z122+AD122+AH122+AL122+AP122+AT122+AX122)-(F121)</f>
        <v>0</v>
      </c>
      <c r="F122" s="36" t="n">
        <f aca="false">Q122+U122+Y122+AC122+AG122+AK122+AO122+AS122+AW122+BA122</f>
        <v>0</v>
      </c>
      <c r="N122" s="22" t="n">
        <f aca="false">Q121*(1+D$7)</f>
        <v>0</v>
      </c>
      <c r="O122" s="22" t="n">
        <f aca="false">MIN(N122,D$8)</f>
        <v>0</v>
      </c>
      <c r="P122" s="22" t="n">
        <f aca="false">MAX(0,MIN(N122-O122,$C122-(0)))</f>
        <v>0</v>
      </c>
      <c r="Q122" s="22" t="n">
        <f aca="false">ROUND(N122-O122-P122,2)</f>
        <v>0</v>
      </c>
      <c r="R122" s="22" t="n">
        <f aca="false">U121*(1+E$7)</f>
        <v>0</v>
      </c>
      <c r="S122" s="22" t="n">
        <f aca="false">MIN(R122,E$8)</f>
        <v>0</v>
      </c>
      <c r="T122" s="22" t="n">
        <f aca="false">MAX(0,MIN(R122-S122,$C122-(P122)))</f>
        <v>0</v>
      </c>
      <c r="U122" s="22" t="n">
        <f aca="false">ROUND(R122-S122-T122,2)</f>
        <v>0</v>
      </c>
      <c r="V122" s="22" t="n">
        <f aca="false">Y121*(1+F$7)</f>
        <v>0</v>
      </c>
      <c r="W122" s="22" t="n">
        <f aca="false">MIN(V122,F$8)</f>
        <v>0</v>
      </c>
      <c r="X122" s="22" t="n">
        <f aca="false">MAX(0,MIN(V122-W122,$C122-(P122+T122)))</f>
        <v>0</v>
      </c>
      <c r="Y122" s="22" t="n">
        <f aca="false">ROUND(V122-W122-X122,2)</f>
        <v>0</v>
      </c>
      <c r="Z122" s="22" t="n">
        <f aca="false">AC121*(1+G$7)</f>
        <v>0</v>
      </c>
      <c r="AA122" s="22" t="n">
        <f aca="false">MIN(Z122,G$8)</f>
        <v>0</v>
      </c>
      <c r="AB122" s="22" t="n">
        <f aca="false">MAX(0,MIN(Z122-AA122,$C122-(P122+T122+X122)))</f>
        <v>0</v>
      </c>
      <c r="AC122" s="22" t="n">
        <f aca="false">ROUND(Z122-AA122-AB122,2)</f>
        <v>0</v>
      </c>
      <c r="AD122" s="22" t="n">
        <f aca="false">AG121*(1+H$7)</f>
        <v>0</v>
      </c>
      <c r="AE122" s="22" t="n">
        <f aca="false">MIN(AD122,H$8)</f>
        <v>0</v>
      </c>
      <c r="AF122" s="22" t="n">
        <f aca="false">MAX(0,MIN(AD122-AE122,$C122-(P122+T122+X122+AB122)))</f>
        <v>0</v>
      </c>
      <c r="AG122" s="22" t="n">
        <f aca="false">ROUND(AD122-AE122-AF122,2)</f>
        <v>0</v>
      </c>
      <c r="AH122" s="22" t="n">
        <f aca="false">AK121*(1+I$7)</f>
        <v>0</v>
      </c>
      <c r="AI122" s="22" t="n">
        <f aca="false">MIN(AH122,I$8)</f>
        <v>0</v>
      </c>
      <c r="AJ122" s="22" t="n">
        <f aca="false">MAX(0,MIN(AH122-AI122,$C122-(P122+T122+X122+AB122+AF122)))</f>
        <v>0</v>
      </c>
      <c r="AK122" s="22" t="n">
        <f aca="false">ROUND(AH122-AI122-AJ122,2)</f>
        <v>0</v>
      </c>
      <c r="AL122" s="22" t="n">
        <f aca="false">AO121*(1+J$7)</f>
        <v>0</v>
      </c>
      <c r="AM122" s="22" t="n">
        <f aca="false">MIN(AL122,J$8)</f>
        <v>0</v>
      </c>
      <c r="AN122" s="22" t="n">
        <f aca="false">MAX(0,MIN(AL122-AM122,$C122-(P122+T122+X122+AB122+AF122+AJ122)))</f>
        <v>0</v>
      </c>
      <c r="AO122" s="22" t="n">
        <f aca="false">ROUND(AL122-AM122-AN122,2)</f>
        <v>0</v>
      </c>
      <c r="AP122" s="22" t="n">
        <f aca="false">AS121*(1+K$7)</f>
        <v>0</v>
      </c>
      <c r="AQ122" s="22" t="n">
        <f aca="false">MIN(AP122,K$8)</f>
        <v>0</v>
      </c>
      <c r="AR122" s="22" t="n">
        <f aca="false">MAX(0,MIN(AP122-AQ122,$C122-(P122+T122+X122+AB122+AF122+AJ122+AN122)))</f>
        <v>0</v>
      </c>
      <c r="AS122" s="22" t="n">
        <f aca="false">ROUND(AP122-AQ122-AR122,2)</f>
        <v>0</v>
      </c>
      <c r="AT122" s="22" t="n">
        <f aca="false">AW121*(1+L$7)</f>
        <v>0</v>
      </c>
      <c r="AU122" s="22" t="n">
        <f aca="false">MIN(AT122,L$8)</f>
        <v>0</v>
      </c>
      <c r="AV122" s="22" t="n">
        <f aca="false">MAX(0,MIN(AT122-AU122,$C122-(P122+T122+X122+AB122+AF122+AJ122+AN122+AR122)))</f>
        <v>0</v>
      </c>
      <c r="AW122" s="22" t="n">
        <f aca="false">ROUND(AT122-AU122-AV122,2)</f>
        <v>0</v>
      </c>
      <c r="AX122" s="22" t="n">
        <f aca="false">BA121*(1+M$7)</f>
        <v>0</v>
      </c>
      <c r="AY122" s="22" t="n">
        <f aca="false">MIN(AX122,M$8)</f>
        <v>0</v>
      </c>
      <c r="AZ122" s="22" t="n">
        <f aca="false">MAX(0,MIN(AX122-AY122,$C122-(P122+T122+X122+AB122+AF122+AJ122+AN122+AR122+AV122)))</f>
        <v>0</v>
      </c>
      <c r="BA122" s="22" t="n">
        <f aca="false">ROUND(AX122-AY122-AZ122,2)</f>
        <v>0</v>
      </c>
    </row>
    <row r="123" customFormat="false" ht="15" hidden="false" customHeight="false" outlineLevel="0" collapsed="false">
      <c r="A123" s="0" t="n">
        <v>113</v>
      </c>
      <c r="B123" s="39" t="n">
        <f aca="false">EDATE(Borçlar!$K$7,112)</f>
        <v>49706</v>
      </c>
      <c r="C123" s="36" t="n">
        <f aca="false">MAX(0,SUM(Borçlar!$D$5:$D$14)-(O123+S123+W123+AA123+AE123+AI123+AM123+AQ123+AU123+AY123))</f>
        <v>14000</v>
      </c>
      <c r="D123" s="36" t="n">
        <f aca="false">O123+P123+S123+T123+W123+X123+AA123+AB123+AE123+AF123+AI123+AJ123+AM123+AN123+AQ123+AR123+AU123+AV123+AY123+AZ123</f>
        <v>0</v>
      </c>
      <c r="E123" s="36" t="n">
        <f aca="false">(N123+R123+V123+Z123+AD123+AH123+AL123+AP123+AT123+AX123)-(F122)</f>
        <v>0</v>
      </c>
      <c r="F123" s="36" t="n">
        <f aca="false">Q123+U123+Y123+AC123+AG123+AK123+AO123+AS123+AW123+BA123</f>
        <v>0</v>
      </c>
      <c r="N123" s="22" t="n">
        <f aca="false">Q122*(1+D$7)</f>
        <v>0</v>
      </c>
      <c r="O123" s="22" t="n">
        <f aca="false">MIN(N123,D$8)</f>
        <v>0</v>
      </c>
      <c r="P123" s="22" t="n">
        <f aca="false">MAX(0,MIN(N123-O123,$C123-(0)))</f>
        <v>0</v>
      </c>
      <c r="Q123" s="22" t="n">
        <f aca="false">ROUND(N123-O123-P123,2)</f>
        <v>0</v>
      </c>
      <c r="R123" s="22" t="n">
        <f aca="false">U122*(1+E$7)</f>
        <v>0</v>
      </c>
      <c r="S123" s="22" t="n">
        <f aca="false">MIN(R123,E$8)</f>
        <v>0</v>
      </c>
      <c r="T123" s="22" t="n">
        <f aca="false">MAX(0,MIN(R123-S123,$C123-(P123)))</f>
        <v>0</v>
      </c>
      <c r="U123" s="22" t="n">
        <f aca="false">ROUND(R123-S123-T123,2)</f>
        <v>0</v>
      </c>
      <c r="V123" s="22" t="n">
        <f aca="false">Y122*(1+F$7)</f>
        <v>0</v>
      </c>
      <c r="W123" s="22" t="n">
        <f aca="false">MIN(V123,F$8)</f>
        <v>0</v>
      </c>
      <c r="X123" s="22" t="n">
        <f aca="false">MAX(0,MIN(V123-W123,$C123-(P123+T123)))</f>
        <v>0</v>
      </c>
      <c r="Y123" s="22" t="n">
        <f aca="false">ROUND(V123-W123-X123,2)</f>
        <v>0</v>
      </c>
      <c r="Z123" s="22" t="n">
        <f aca="false">AC122*(1+G$7)</f>
        <v>0</v>
      </c>
      <c r="AA123" s="22" t="n">
        <f aca="false">MIN(Z123,G$8)</f>
        <v>0</v>
      </c>
      <c r="AB123" s="22" t="n">
        <f aca="false">MAX(0,MIN(Z123-AA123,$C123-(P123+T123+X123)))</f>
        <v>0</v>
      </c>
      <c r="AC123" s="22" t="n">
        <f aca="false">ROUND(Z123-AA123-AB123,2)</f>
        <v>0</v>
      </c>
      <c r="AD123" s="22" t="n">
        <f aca="false">AG122*(1+H$7)</f>
        <v>0</v>
      </c>
      <c r="AE123" s="22" t="n">
        <f aca="false">MIN(AD123,H$8)</f>
        <v>0</v>
      </c>
      <c r="AF123" s="22" t="n">
        <f aca="false">MAX(0,MIN(AD123-AE123,$C123-(P123+T123+X123+AB123)))</f>
        <v>0</v>
      </c>
      <c r="AG123" s="22" t="n">
        <f aca="false">ROUND(AD123-AE123-AF123,2)</f>
        <v>0</v>
      </c>
      <c r="AH123" s="22" t="n">
        <f aca="false">AK122*(1+I$7)</f>
        <v>0</v>
      </c>
      <c r="AI123" s="22" t="n">
        <f aca="false">MIN(AH123,I$8)</f>
        <v>0</v>
      </c>
      <c r="AJ123" s="22" t="n">
        <f aca="false">MAX(0,MIN(AH123-AI123,$C123-(P123+T123+X123+AB123+AF123)))</f>
        <v>0</v>
      </c>
      <c r="AK123" s="22" t="n">
        <f aca="false">ROUND(AH123-AI123-AJ123,2)</f>
        <v>0</v>
      </c>
      <c r="AL123" s="22" t="n">
        <f aca="false">AO122*(1+J$7)</f>
        <v>0</v>
      </c>
      <c r="AM123" s="22" t="n">
        <f aca="false">MIN(AL123,J$8)</f>
        <v>0</v>
      </c>
      <c r="AN123" s="22" t="n">
        <f aca="false">MAX(0,MIN(AL123-AM123,$C123-(P123+T123+X123+AB123+AF123+AJ123)))</f>
        <v>0</v>
      </c>
      <c r="AO123" s="22" t="n">
        <f aca="false">ROUND(AL123-AM123-AN123,2)</f>
        <v>0</v>
      </c>
      <c r="AP123" s="22" t="n">
        <f aca="false">AS122*(1+K$7)</f>
        <v>0</v>
      </c>
      <c r="AQ123" s="22" t="n">
        <f aca="false">MIN(AP123,K$8)</f>
        <v>0</v>
      </c>
      <c r="AR123" s="22" t="n">
        <f aca="false">MAX(0,MIN(AP123-AQ123,$C123-(P123+T123+X123+AB123+AF123+AJ123+AN123)))</f>
        <v>0</v>
      </c>
      <c r="AS123" s="22" t="n">
        <f aca="false">ROUND(AP123-AQ123-AR123,2)</f>
        <v>0</v>
      </c>
      <c r="AT123" s="22" t="n">
        <f aca="false">AW122*(1+L$7)</f>
        <v>0</v>
      </c>
      <c r="AU123" s="22" t="n">
        <f aca="false">MIN(AT123,L$8)</f>
        <v>0</v>
      </c>
      <c r="AV123" s="22" t="n">
        <f aca="false">MAX(0,MIN(AT123-AU123,$C123-(P123+T123+X123+AB123+AF123+AJ123+AN123+AR123)))</f>
        <v>0</v>
      </c>
      <c r="AW123" s="22" t="n">
        <f aca="false">ROUND(AT123-AU123-AV123,2)</f>
        <v>0</v>
      </c>
      <c r="AX123" s="22" t="n">
        <f aca="false">BA122*(1+M$7)</f>
        <v>0</v>
      </c>
      <c r="AY123" s="22" t="n">
        <f aca="false">MIN(AX123,M$8)</f>
        <v>0</v>
      </c>
      <c r="AZ123" s="22" t="n">
        <f aca="false">MAX(0,MIN(AX123-AY123,$C123-(P123+T123+X123+AB123+AF123+AJ123+AN123+AR123+AV123)))</f>
        <v>0</v>
      </c>
      <c r="BA123" s="22" t="n">
        <f aca="false">ROUND(AX123-AY123-AZ123,2)</f>
        <v>0</v>
      </c>
    </row>
    <row r="124" customFormat="false" ht="15" hidden="false" customHeight="false" outlineLevel="0" collapsed="false">
      <c r="A124" s="0" t="n">
        <v>114</v>
      </c>
      <c r="B124" s="39" t="n">
        <f aca="false">EDATE(Borçlar!$K$7,113)</f>
        <v>49735</v>
      </c>
      <c r="C124" s="36" t="n">
        <f aca="false">MAX(0,SUM(Borçlar!$D$5:$D$14)-(O124+S124+W124+AA124+AE124+AI124+AM124+AQ124+AU124+AY124))</f>
        <v>14000</v>
      </c>
      <c r="D124" s="36" t="n">
        <f aca="false">O124+P124+S124+T124+W124+X124+AA124+AB124+AE124+AF124+AI124+AJ124+AM124+AN124+AQ124+AR124+AU124+AV124+AY124+AZ124</f>
        <v>0</v>
      </c>
      <c r="E124" s="36" t="n">
        <f aca="false">(N124+R124+V124+Z124+AD124+AH124+AL124+AP124+AT124+AX124)-(F123)</f>
        <v>0</v>
      </c>
      <c r="F124" s="36" t="n">
        <f aca="false">Q124+U124+Y124+AC124+AG124+AK124+AO124+AS124+AW124+BA124</f>
        <v>0</v>
      </c>
      <c r="N124" s="22" t="n">
        <f aca="false">Q123*(1+D$7)</f>
        <v>0</v>
      </c>
      <c r="O124" s="22" t="n">
        <f aca="false">MIN(N124,D$8)</f>
        <v>0</v>
      </c>
      <c r="P124" s="22" t="n">
        <f aca="false">MAX(0,MIN(N124-O124,$C124-(0)))</f>
        <v>0</v>
      </c>
      <c r="Q124" s="22" t="n">
        <f aca="false">ROUND(N124-O124-P124,2)</f>
        <v>0</v>
      </c>
      <c r="R124" s="22" t="n">
        <f aca="false">U123*(1+E$7)</f>
        <v>0</v>
      </c>
      <c r="S124" s="22" t="n">
        <f aca="false">MIN(R124,E$8)</f>
        <v>0</v>
      </c>
      <c r="T124" s="22" t="n">
        <f aca="false">MAX(0,MIN(R124-S124,$C124-(P124)))</f>
        <v>0</v>
      </c>
      <c r="U124" s="22" t="n">
        <f aca="false">ROUND(R124-S124-T124,2)</f>
        <v>0</v>
      </c>
      <c r="V124" s="22" t="n">
        <f aca="false">Y123*(1+F$7)</f>
        <v>0</v>
      </c>
      <c r="W124" s="22" t="n">
        <f aca="false">MIN(V124,F$8)</f>
        <v>0</v>
      </c>
      <c r="X124" s="22" t="n">
        <f aca="false">MAX(0,MIN(V124-W124,$C124-(P124+T124)))</f>
        <v>0</v>
      </c>
      <c r="Y124" s="22" t="n">
        <f aca="false">ROUND(V124-W124-X124,2)</f>
        <v>0</v>
      </c>
      <c r="Z124" s="22" t="n">
        <f aca="false">AC123*(1+G$7)</f>
        <v>0</v>
      </c>
      <c r="AA124" s="22" t="n">
        <f aca="false">MIN(Z124,G$8)</f>
        <v>0</v>
      </c>
      <c r="AB124" s="22" t="n">
        <f aca="false">MAX(0,MIN(Z124-AA124,$C124-(P124+T124+X124)))</f>
        <v>0</v>
      </c>
      <c r="AC124" s="22" t="n">
        <f aca="false">ROUND(Z124-AA124-AB124,2)</f>
        <v>0</v>
      </c>
      <c r="AD124" s="22" t="n">
        <f aca="false">AG123*(1+H$7)</f>
        <v>0</v>
      </c>
      <c r="AE124" s="22" t="n">
        <f aca="false">MIN(AD124,H$8)</f>
        <v>0</v>
      </c>
      <c r="AF124" s="22" t="n">
        <f aca="false">MAX(0,MIN(AD124-AE124,$C124-(P124+T124+X124+AB124)))</f>
        <v>0</v>
      </c>
      <c r="AG124" s="22" t="n">
        <f aca="false">ROUND(AD124-AE124-AF124,2)</f>
        <v>0</v>
      </c>
      <c r="AH124" s="22" t="n">
        <f aca="false">AK123*(1+I$7)</f>
        <v>0</v>
      </c>
      <c r="AI124" s="22" t="n">
        <f aca="false">MIN(AH124,I$8)</f>
        <v>0</v>
      </c>
      <c r="AJ124" s="22" t="n">
        <f aca="false">MAX(0,MIN(AH124-AI124,$C124-(P124+T124+X124+AB124+AF124)))</f>
        <v>0</v>
      </c>
      <c r="AK124" s="22" t="n">
        <f aca="false">ROUND(AH124-AI124-AJ124,2)</f>
        <v>0</v>
      </c>
      <c r="AL124" s="22" t="n">
        <f aca="false">AO123*(1+J$7)</f>
        <v>0</v>
      </c>
      <c r="AM124" s="22" t="n">
        <f aca="false">MIN(AL124,J$8)</f>
        <v>0</v>
      </c>
      <c r="AN124" s="22" t="n">
        <f aca="false">MAX(0,MIN(AL124-AM124,$C124-(P124+T124+X124+AB124+AF124+AJ124)))</f>
        <v>0</v>
      </c>
      <c r="AO124" s="22" t="n">
        <f aca="false">ROUND(AL124-AM124-AN124,2)</f>
        <v>0</v>
      </c>
      <c r="AP124" s="22" t="n">
        <f aca="false">AS123*(1+K$7)</f>
        <v>0</v>
      </c>
      <c r="AQ124" s="22" t="n">
        <f aca="false">MIN(AP124,K$8)</f>
        <v>0</v>
      </c>
      <c r="AR124" s="22" t="n">
        <f aca="false">MAX(0,MIN(AP124-AQ124,$C124-(P124+T124+X124+AB124+AF124+AJ124+AN124)))</f>
        <v>0</v>
      </c>
      <c r="AS124" s="22" t="n">
        <f aca="false">ROUND(AP124-AQ124-AR124,2)</f>
        <v>0</v>
      </c>
      <c r="AT124" s="22" t="n">
        <f aca="false">AW123*(1+L$7)</f>
        <v>0</v>
      </c>
      <c r="AU124" s="22" t="n">
        <f aca="false">MIN(AT124,L$8)</f>
        <v>0</v>
      </c>
      <c r="AV124" s="22" t="n">
        <f aca="false">MAX(0,MIN(AT124-AU124,$C124-(P124+T124+X124+AB124+AF124+AJ124+AN124+AR124)))</f>
        <v>0</v>
      </c>
      <c r="AW124" s="22" t="n">
        <f aca="false">ROUND(AT124-AU124-AV124,2)</f>
        <v>0</v>
      </c>
      <c r="AX124" s="22" t="n">
        <f aca="false">BA123*(1+M$7)</f>
        <v>0</v>
      </c>
      <c r="AY124" s="22" t="n">
        <f aca="false">MIN(AX124,M$8)</f>
        <v>0</v>
      </c>
      <c r="AZ124" s="22" t="n">
        <f aca="false">MAX(0,MIN(AX124-AY124,$C124-(P124+T124+X124+AB124+AF124+AJ124+AN124+AR124+AV124)))</f>
        <v>0</v>
      </c>
      <c r="BA124" s="22" t="n">
        <f aca="false">ROUND(AX124-AY124-AZ124,2)</f>
        <v>0</v>
      </c>
    </row>
    <row r="125" customFormat="false" ht="15" hidden="false" customHeight="false" outlineLevel="0" collapsed="false">
      <c r="A125" s="0" t="n">
        <v>115</v>
      </c>
      <c r="B125" s="39" t="n">
        <f aca="false">EDATE(Borçlar!$K$7,114)</f>
        <v>49766</v>
      </c>
      <c r="C125" s="36" t="n">
        <f aca="false">MAX(0,SUM(Borçlar!$D$5:$D$14)-(O125+S125+W125+AA125+AE125+AI125+AM125+AQ125+AU125+AY125))</f>
        <v>14000</v>
      </c>
      <c r="D125" s="36" t="n">
        <f aca="false">O125+P125+S125+T125+W125+X125+AA125+AB125+AE125+AF125+AI125+AJ125+AM125+AN125+AQ125+AR125+AU125+AV125+AY125+AZ125</f>
        <v>0</v>
      </c>
      <c r="E125" s="36" t="n">
        <f aca="false">(N125+R125+V125+Z125+AD125+AH125+AL125+AP125+AT125+AX125)-(F124)</f>
        <v>0</v>
      </c>
      <c r="F125" s="36" t="n">
        <f aca="false">Q125+U125+Y125+AC125+AG125+AK125+AO125+AS125+AW125+BA125</f>
        <v>0</v>
      </c>
      <c r="N125" s="22" t="n">
        <f aca="false">Q124*(1+D$7)</f>
        <v>0</v>
      </c>
      <c r="O125" s="22" t="n">
        <f aca="false">MIN(N125,D$8)</f>
        <v>0</v>
      </c>
      <c r="P125" s="22" t="n">
        <f aca="false">MAX(0,MIN(N125-O125,$C125-(0)))</f>
        <v>0</v>
      </c>
      <c r="Q125" s="22" t="n">
        <f aca="false">ROUND(N125-O125-P125,2)</f>
        <v>0</v>
      </c>
      <c r="R125" s="22" t="n">
        <f aca="false">U124*(1+E$7)</f>
        <v>0</v>
      </c>
      <c r="S125" s="22" t="n">
        <f aca="false">MIN(R125,E$8)</f>
        <v>0</v>
      </c>
      <c r="T125" s="22" t="n">
        <f aca="false">MAX(0,MIN(R125-S125,$C125-(P125)))</f>
        <v>0</v>
      </c>
      <c r="U125" s="22" t="n">
        <f aca="false">ROUND(R125-S125-T125,2)</f>
        <v>0</v>
      </c>
      <c r="V125" s="22" t="n">
        <f aca="false">Y124*(1+F$7)</f>
        <v>0</v>
      </c>
      <c r="W125" s="22" t="n">
        <f aca="false">MIN(V125,F$8)</f>
        <v>0</v>
      </c>
      <c r="X125" s="22" t="n">
        <f aca="false">MAX(0,MIN(V125-W125,$C125-(P125+T125)))</f>
        <v>0</v>
      </c>
      <c r="Y125" s="22" t="n">
        <f aca="false">ROUND(V125-W125-X125,2)</f>
        <v>0</v>
      </c>
      <c r="Z125" s="22" t="n">
        <f aca="false">AC124*(1+G$7)</f>
        <v>0</v>
      </c>
      <c r="AA125" s="22" t="n">
        <f aca="false">MIN(Z125,G$8)</f>
        <v>0</v>
      </c>
      <c r="AB125" s="22" t="n">
        <f aca="false">MAX(0,MIN(Z125-AA125,$C125-(P125+T125+X125)))</f>
        <v>0</v>
      </c>
      <c r="AC125" s="22" t="n">
        <f aca="false">ROUND(Z125-AA125-AB125,2)</f>
        <v>0</v>
      </c>
      <c r="AD125" s="22" t="n">
        <f aca="false">AG124*(1+H$7)</f>
        <v>0</v>
      </c>
      <c r="AE125" s="22" t="n">
        <f aca="false">MIN(AD125,H$8)</f>
        <v>0</v>
      </c>
      <c r="AF125" s="22" t="n">
        <f aca="false">MAX(0,MIN(AD125-AE125,$C125-(P125+T125+X125+AB125)))</f>
        <v>0</v>
      </c>
      <c r="AG125" s="22" t="n">
        <f aca="false">ROUND(AD125-AE125-AF125,2)</f>
        <v>0</v>
      </c>
      <c r="AH125" s="22" t="n">
        <f aca="false">AK124*(1+I$7)</f>
        <v>0</v>
      </c>
      <c r="AI125" s="22" t="n">
        <f aca="false">MIN(AH125,I$8)</f>
        <v>0</v>
      </c>
      <c r="AJ125" s="22" t="n">
        <f aca="false">MAX(0,MIN(AH125-AI125,$C125-(P125+T125+X125+AB125+AF125)))</f>
        <v>0</v>
      </c>
      <c r="AK125" s="22" t="n">
        <f aca="false">ROUND(AH125-AI125-AJ125,2)</f>
        <v>0</v>
      </c>
      <c r="AL125" s="22" t="n">
        <f aca="false">AO124*(1+J$7)</f>
        <v>0</v>
      </c>
      <c r="AM125" s="22" t="n">
        <f aca="false">MIN(AL125,J$8)</f>
        <v>0</v>
      </c>
      <c r="AN125" s="22" t="n">
        <f aca="false">MAX(0,MIN(AL125-AM125,$C125-(P125+T125+X125+AB125+AF125+AJ125)))</f>
        <v>0</v>
      </c>
      <c r="AO125" s="22" t="n">
        <f aca="false">ROUND(AL125-AM125-AN125,2)</f>
        <v>0</v>
      </c>
      <c r="AP125" s="22" t="n">
        <f aca="false">AS124*(1+K$7)</f>
        <v>0</v>
      </c>
      <c r="AQ125" s="22" t="n">
        <f aca="false">MIN(AP125,K$8)</f>
        <v>0</v>
      </c>
      <c r="AR125" s="22" t="n">
        <f aca="false">MAX(0,MIN(AP125-AQ125,$C125-(P125+T125+X125+AB125+AF125+AJ125+AN125)))</f>
        <v>0</v>
      </c>
      <c r="AS125" s="22" t="n">
        <f aca="false">ROUND(AP125-AQ125-AR125,2)</f>
        <v>0</v>
      </c>
      <c r="AT125" s="22" t="n">
        <f aca="false">AW124*(1+L$7)</f>
        <v>0</v>
      </c>
      <c r="AU125" s="22" t="n">
        <f aca="false">MIN(AT125,L$8)</f>
        <v>0</v>
      </c>
      <c r="AV125" s="22" t="n">
        <f aca="false">MAX(0,MIN(AT125-AU125,$C125-(P125+T125+X125+AB125+AF125+AJ125+AN125+AR125)))</f>
        <v>0</v>
      </c>
      <c r="AW125" s="22" t="n">
        <f aca="false">ROUND(AT125-AU125-AV125,2)</f>
        <v>0</v>
      </c>
      <c r="AX125" s="22" t="n">
        <f aca="false">BA124*(1+M$7)</f>
        <v>0</v>
      </c>
      <c r="AY125" s="22" t="n">
        <f aca="false">MIN(AX125,M$8)</f>
        <v>0</v>
      </c>
      <c r="AZ125" s="22" t="n">
        <f aca="false">MAX(0,MIN(AX125-AY125,$C125-(P125+T125+X125+AB125+AF125+AJ125+AN125+AR125+AV125)))</f>
        <v>0</v>
      </c>
      <c r="BA125" s="22" t="n">
        <f aca="false">ROUND(AX125-AY125-AZ125,2)</f>
        <v>0</v>
      </c>
    </row>
    <row r="126" customFormat="false" ht="15" hidden="false" customHeight="false" outlineLevel="0" collapsed="false">
      <c r="A126" s="0" t="n">
        <v>116</v>
      </c>
      <c r="B126" s="39" t="n">
        <f aca="false">EDATE(Borçlar!$K$7,115)</f>
        <v>49796</v>
      </c>
      <c r="C126" s="36" t="n">
        <f aca="false">MAX(0,SUM(Borçlar!$D$5:$D$14)-(O126+S126+W126+AA126+AE126+AI126+AM126+AQ126+AU126+AY126))</f>
        <v>14000</v>
      </c>
      <c r="D126" s="36" t="n">
        <f aca="false">O126+P126+S126+T126+W126+X126+AA126+AB126+AE126+AF126+AI126+AJ126+AM126+AN126+AQ126+AR126+AU126+AV126+AY126+AZ126</f>
        <v>0</v>
      </c>
      <c r="E126" s="36" t="n">
        <f aca="false">(N126+R126+V126+Z126+AD126+AH126+AL126+AP126+AT126+AX126)-(F125)</f>
        <v>0</v>
      </c>
      <c r="F126" s="36" t="n">
        <f aca="false">Q126+U126+Y126+AC126+AG126+AK126+AO126+AS126+AW126+BA126</f>
        <v>0</v>
      </c>
      <c r="N126" s="22" t="n">
        <f aca="false">Q125*(1+D$7)</f>
        <v>0</v>
      </c>
      <c r="O126" s="22" t="n">
        <f aca="false">MIN(N126,D$8)</f>
        <v>0</v>
      </c>
      <c r="P126" s="22" t="n">
        <f aca="false">MAX(0,MIN(N126-O126,$C126-(0)))</f>
        <v>0</v>
      </c>
      <c r="Q126" s="22" t="n">
        <f aca="false">ROUND(N126-O126-P126,2)</f>
        <v>0</v>
      </c>
      <c r="R126" s="22" t="n">
        <f aca="false">U125*(1+E$7)</f>
        <v>0</v>
      </c>
      <c r="S126" s="22" t="n">
        <f aca="false">MIN(R126,E$8)</f>
        <v>0</v>
      </c>
      <c r="T126" s="22" t="n">
        <f aca="false">MAX(0,MIN(R126-S126,$C126-(P126)))</f>
        <v>0</v>
      </c>
      <c r="U126" s="22" t="n">
        <f aca="false">ROUND(R126-S126-T126,2)</f>
        <v>0</v>
      </c>
      <c r="V126" s="22" t="n">
        <f aca="false">Y125*(1+F$7)</f>
        <v>0</v>
      </c>
      <c r="W126" s="22" t="n">
        <f aca="false">MIN(V126,F$8)</f>
        <v>0</v>
      </c>
      <c r="X126" s="22" t="n">
        <f aca="false">MAX(0,MIN(V126-W126,$C126-(P126+T126)))</f>
        <v>0</v>
      </c>
      <c r="Y126" s="22" t="n">
        <f aca="false">ROUND(V126-W126-X126,2)</f>
        <v>0</v>
      </c>
      <c r="Z126" s="22" t="n">
        <f aca="false">AC125*(1+G$7)</f>
        <v>0</v>
      </c>
      <c r="AA126" s="22" t="n">
        <f aca="false">MIN(Z126,G$8)</f>
        <v>0</v>
      </c>
      <c r="AB126" s="22" t="n">
        <f aca="false">MAX(0,MIN(Z126-AA126,$C126-(P126+T126+X126)))</f>
        <v>0</v>
      </c>
      <c r="AC126" s="22" t="n">
        <f aca="false">ROUND(Z126-AA126-AB126,2)</f>
        <v>0</v>
      </c>
      <c r="AD126" s="22" t="n">
        <f aca="false">AG125*(1+H$7)</f>
        <v>0</v>
      </c>
      <c r="AE126" s="22" t="n">
        <f aca="false">MIN(AD126,H$8)</f>
        <v>0</v>
      </c>
      <c r="AF126" s="22" t="n">
        <f aca="false">MAX(0,MIN(AD126-AE126,$C126-(P126+T126+X126+AB126)))</f>
        <v>0</v>
      </c>
      <c r="AG126" s="22" t="n">
        <f aca="false">ROUND(AD126-AE126-AF126,2)</f>
        <v>0</v>
      </c>
      <c r="AH126" s="22" t="n">
        <f aca="false">AK125*(1+I$7)</f>
        <v>0</v>
      </c>
      <c r="AI126" s="22" t="n">
        <f aca="false">MIN(AH126,I$8)</f>
        <v>0</v>
      </c>
      <c r="AJ126" s="22" t="n">
        <f aca="false">MAX(0,MIN(AH126-AI126,$C126-(P126+T126+X126+AB126+AF126)))</f>
        <v>0</v>
      </c>
      <c r="AK126" s="22" t="n">
        <f aca="false">ROUND(AH126-AI126-AJ126,2)</f>
        <v>0</v>
      </c>
      <c r="AL126" s="22" t="n">
        <f aca="false">AO125*(1+J$7)</f>
        <v>0</v>
      </c>
      <c r="AM126" s="22" t="n">
        <f aca="false">MIN(AL126,J$8)</f>
        <v>0</v>
      </c>
      <c r="AN126" s="22" t="n">
        <f aca="false">MAX(0,MIN(AL126-AM126,$C126-(P126+T126+X126+AB126+AF126+AJ126)))</f>
        <v>0</v>
      </c>
      <c r="AO126" s="22" t="n">
        <f aca="false">ROUND(AL126-AM126-AN126,2)</f>
        <v>0</v>
      </c>
      <c r="AP126" s="22" t="n">
        <f aca="false">AS125*(1+K$7)</f>
        <v>0</v>
      </c>
      <c r="AQ126" s="22" t="n">
        <f aca="false">MIN(AP126,K$8)</f>
        <v>0</v>
      </c>
      <c r="AR126" s="22" t="n">
        <f aca="false">MAX(0,MIN(AP126-AQ126,$C126-(P126+T126+X126+AB126+AF126+AJ126+AN126)))</f>
        <v>0</v>
      </c>
      <c r="AS126" s="22" t="n">
        <f aca="false">ROUND(AP126-AQ126-AR126,2)</f>
        <v>0</v>
      </c>
      <c r="AT126" s="22" t="n">
        <f aca="false">AW125*(1+L$7)</f>
        <v>0</v>
      </c>
      <c r="AU126" s="22" t="n">
        <f aca="false">MIN(AT126,L$8)</f>
        <v>0</v>
      </c>
      <c r="AV126" s="22" t="n">
        <f aca="false">MAX(0,MIN(AT126-AU126,$C126-(P126+T126+X126+AB126+AF126+AJ126+AN126+AR126)))</f>
        <v>0</v>
      </c>
      <c r="AW126" s="22" t="n">
        <f aca="false">ROUND(AT126-AU126-AV126,2)</f>
        <v>0</v>
      </c>
      <c r="AX126" s="22" t="n">
        <f aca="false">BA125*(1+M$7)</f>
        <v>0</v>
      </c>
      <c r="AY126" s="22" t="n">
        <f aca="false">MIN(AX126,M$8)</f>
        <v>0</v>
      </c>
      <c r="AZ126" s="22" t="n">
        <f aca="false">MAX(0,MIN(AX126-AY126,$C126-(P126+T126+X126+AB126+AF126+AJ126+AN126+AR126+AV126)))</f>
        <v>0</v>
      </c>
      <c r="BA126" s="22" t="n">
        <f aca="false">ROUND(AX126-AY126-AZ126,2)</f>
        <v>0</v>
      </c>
    </row>
    <row r="127" customFormat="false" ht="15" hidden="false" customHeight="false" outlineLevel="0" collapsed="false">
      <c r="A127" s="0" t="n">
        <v>117</v>
      </c>
      <c r="B127" s="39" t="n">
        <f aca="false">EDATE(Borçlar!$K$7,116)</f>
        <v>49827</v>
      </c>
      <c r="C127" s="36" t="n">
        <f aca="false">MAX(0,SUM(Borçlar!$D$5:$D$14)-(O127+S127+W127+AA127+AE127+AI127+AM127+AQ127+AU127+AY127))</f>
        <v>14000</v>
      </c>
      <c r="D127" s="36" t="n">
        <f aca="false">O127+P127+S127+T127+W127+X127+AA127+AB127+AE127+AF127+AI127+AJ127+AM127+AN127+AQ127+AR127+AU127+AV127+AY127+AZ127</f>
        <v>0</v>
      </c>
      <c r="E127" s="36" t="n">
        <f aca="false">(N127+R127+V127+Z127+AD127+AH127+AL127+AP127+AT127+AX127)-(F126)</f>
        <v>0</v>
      </c>
      <c r="F127" s="36" t="n">
        <f aca="false">Q127+U127+Y127+AC127+AG127+AK127+AO127+AS127+AW127+BA127</f>
        <v>0</v>
      </c>
      <c r="N127" s="22" t="n">
        <f aca="false">Q126*(1+D$7)</f>
        <v>0</v>
      </c>
      <c r="O127" s="22" t="n">
        <f aca="false">MIN(N127,D$8)</f>
        <v>0</v>
      </c>
      <c r="P127" s="22" t="n">
        <f aca="false">MAX(0,MIN(N127-O127,$C127-(0)))</f>
        <v>0</v>
      </c>
      <c r="Q127" s="22" t="n">
        <f aca="false">ROUND(N127-O127-P127,2)</f>
        <v>0</v>
      </c>
      <c r="R127" s="22" t="n">
        <f aca="false">U126*(1+E$7)</f>
        <v>0</v>
      </c>
      <c r="S127" s="22" t="n">
        <f aca="false">MIN(R127,E$8)</f>
        <v>0</v>
      </c>
      <c r="T127" s="22" t="n">
        <f aca="false">MAX(0,MIN(R127-S127,$C127-(P127)))</f>
        <v>0</v>
      </c>
      <c r="U127" s="22" t="n">
        <f aca="false">ROUND(R127-S127-T127,2)</f>
        <v>0</v>
      </c>
      <c r="V127" s="22" t="n">
        <f aca="false">Y126*(1+F$7)</f>
        <v>0</v>
      </c>
      <c r="W127" s="22" t="n">
        <f aca="false">MIN(V127,F$8)</f>
        <v>0</v>
      </c>
      <c r="X127" s="22" t="n">
        <f aca="false">MAX(0,MIN(V127-W127,$C127-(P127+T127)))</f>
        <v>0</v>
      </c>
      <c r="Y127" s="22" t="n">
        <f aca="false">ROUND(V127-W127-X127,2)</f>
        <v>0</v>
      </c>
      <c r="Z127" s="22" t="n">
        <f aca="false">AC126*(1+G$7)</f>
        <v>0</v>
      </c>
      <c r="AA127" s="22" t="n">
        <f aca="false">MIN(Z127,G$8)</f>
        <v>0</v>
      </c>
      <c r="AB127" s="22" t="n">
        <f aca="false">MAX(0,MIN(Z127-AA127,$C127-(P127+T127+X127)))</f>
        <v>0</v>
      </c>
      <c r="AC127" s="22" t="n">
        <f aca="false">ROUND(Z127-AA127-AB127,2)</f>
        <v>0</v>
      </c>
      <c r="AD127" s="22" t="n">
        <f aca="false">AG126*(1+H$7)</f>
        <v>0</v>
      </c>
      <c r="AE127" s="22" t="n">
        <f aca="false">MIN(AD127,H$8)</f>
        <v>0</v>
      </c>
      <c r="AF127" s="22" t="n">
        <f aca="false">MAX(0,MIN(AD127-AE127,$C127-(P127+T127+X127+AB127)))</f>
        <v>0</v>
      </c>
      <c r="AG127" s="22" t="n">
        <f aca="false">ROUND(AD127-AE127-AF127,2)</f>
        <v>0</v>
      </c>
      <c r="AH127" s="22" t="n">
        <f aca="false">AK126*(1+I$7)</f>
        <v>0</v>
      </c>
      <c r="AI127" s="22" t="n">
        <f aca="false">MIN(AH127,I$8)</f>
        <v>0</v>
      </c>
      <c r="AJ127" s="22" t="n">
        <f aca="false">MAX(0,MIN(AH127-AI127,$C127-(P127+T127+X127+AB127+AF127)))</f>
        <v>0</v>
      </c>
      <c r="AK127" s="22" t="n">
        <f aca="false">ROUND(AH127-AI127-AJ127,2)</f>
        <v>0</v>
      </c>
      <c r="AL127" s="22" t="n">
        <f aca="false">AO126*(1+J$7)</f>
        <v>0</v>
      </c>
      <c r="AM127" s="22" t="n">
        <f aca="false">MIN(AL127,J$8)</f>
        <v>0</v>
      </c>
      <c r="AN127" s="22" t="n">
        <f aca="false">MAX(0,MIN(AL127-AM127,$C127-(P127+T127+X127+AB127+AF127+AJ127)))</f>
        <v>0</v>
      </c>
      <c r="AO127" s="22" t="n">
        <f aca="false">ROUND(AL127-AM127-AN127,2)</f>
        <v>0</v>
      </c>
      <c r="AP127" s="22" t="n">
        <f aca="false">AS126*(1+K$7)</f>
        <v>0</v>
      </c>
      <c r="AQ127" s="22" t="n">
        <f aca="false">MIN(AP127,K$8)</f>
        <v>0</v>
      </c>
      <c r="AR127" s="22" t="n">
        <f aca="false">MAX(0,MIN(AP127-AQ127,$C127-(P127+T127+X127+AB127+AF127+AJ127+AN127)))</f>
        <v>0</v>
      </c>
      <c r="AS127" s="22" t="n">
        <f aca="false">ROUND(AP127-AQ127-AR127,2)</f>
        <v>0</v>
      </c>
      <c r="AT127" s="22" t="n">
        <f aca="false">AW126*(1+L$7)</f>
        <v>0</v>
      </c>
      <c r="AU127" s="22" t="n">
        <f aca="false">MIN(AT127,L$8)</f>
        <v>0</v>
      </c>
      <c r="AV127" s="22" t="n">
        <f aca="false">MAX(0,MIN(AT127-AU127,$C127-(P127+T127+X127+AB127+AF127+AJ127+AN127+AR127)))</f>
        <v>0</v>
      </c>
      <c r="AW127" s="22" t="n">
        <f aca="false">ROUND(AT127-AU127-AV127,2)</f>
        <v>0</v>
      </c>
      <c r="AX127" s="22" t="n">
        <f aca="false">BA126*(1+M$7)</f>
        <v>0</v>
      </c>
      <c r="AY127" s="22" t="n">
        <f aca="false">MIN(AX127,M$8)</f>
        <v>0</v>
      </c>
      <c r="AZ127" s="22" t="n">
        <f aca="false">MAX(0,MIN(AX127-AY127,$C127-(P127+T127+X127+AB127+AF127+AJ127+AN127+AR127+AV127)))</f>
        <v>0</v>
      </c>
      <c r="BA127" s="22" t="n">
        <f aca="false">ROUND(AX127-AY127-AZ127,2)</f>
        <v>0</v>
      </c>
    </row>
    <row r="128" customFormat="false" ht="15" hidden="false" customHeight="false" outlineLevel="0" collapsed="false">
      <c r="A128" s="0" t="n">
        <v>118</v>
      </c>
      <c r="B128" s="39" t="n">
        <f aca="false">EDATE(Borçlar!$K$7,117)</f>
        <v>49857</v>
      </c>
      <c r="C128" s="36" t="n">
        <f aca="false">MAX(0,SUM(Borçlar!$D$5:$D$14)-(O128+S128+W128+AA128+AE128+AI128+AM128+AQ128+AU128+AY128))</f>
        <v>14000</v>
      </c>
      <c r="D128" s="36" t="n">
        <f aca="false">O128+P128+S128+T128+W128+X128+AA128+AB128+AE128+AF128+AI128+AJ128+AM128+AN128+AQ128+AR128+AU128+AV128+AY128+AZ128</f>
        <v>0</v>
      </c>
      <c r="E128" s="36" t="n">
        <f aca="false">(N128+R128+V128+Z128+AD128+AH128+AL128+AP128+AT128+AX128)-(F127)</f>
        <v>0</v>
      </c>
      <c r="F128" s="36" t="n">
        <f aca="false">Q128+U128+Y128+AC128+AG128+AK128+AO128+AS128+AW128+BA128</f>
        <v>0</v>
      </c>
      <c r="N128" s="22" t="n">
        <f aca="false">Q127*(1+D$7)</f>
        <v>0</v>
      </c>
      <c r="O128" s="22" t="n">
        <f aca="false">MIN(N128,D$8)</f>
        <v>0</v>
      </c>
      <c r="P128" s="22" t="n">
        <f aca="false">MAX(0,MIN(N128-O128,$C128-(0)))</f>
        <v>0</v>
      </c>
      <c r="Q128" s="22" t="n">
        <f aca="false">ROUND(N128-O128-P128,2)</f>
        <v>0</v>
      </c>
      <c r="R128" s="22" t="n">
        <f aca="false">U127*(1+E$7)</f>
        <v>0</v>
      </c>
      <c r="S128" s="22" t="n">
        <f aca="false">MIN(R128,E$8)</f>
        <v>0</v>
      </c>
      <c r="T128" s="22" t="n">
        <f aca="false">MAX(0,MIN(R128-S128,$C128-(P128)))</f>
        <v>0</v>
      </c>
      <c r="U128" s="22" t="n">
        <f aca="false">ROUND(R128-S128-T128,2)</f>
        <v>0</v>
      </c>
      <c r="V128" s="22" t="n">
        <f aca="false">Y127*(1+F$7)</f>
        <v>0</v>
      </c>
      <c r="W128" s="22" t="n">
        <f aca="false">MIN(V128,F$8)</f>
        <v>0</v>
      </c>
      <c r="X128" s="22" t="n">
        <f aca="false">MAX(0,MIN(V128-W128,$C128-(P128+T128)))</f>
        <v>0</v>
      </c>
      <c r="Y128" s="22" t="n">
        <f aca="false">ROUND(V128-W128-X128,2)</f>
        <v>0</v>
      </c>
      <c r="Z128" s="22" t="n">
        <f aca="false">AC127*(1+G$7)</f>
        <v>0</v>
      </c>
      <c r="AA128" s="22" t="n">
        <f aca="false">MIN(Z128,G$8)</f>
        <v>0</v>
      </c>
      <c r="AB128" s="22" t="n">
        <f aca="false">MAX(0,MIN(Z128-AA128,$C128-(P128+T128+X128)))</f>
        <v>0</v>
      </c>
      <c r="AC128" s="22" t="n">
        <f aca="false">ROUND(Z128-AA128-AB128,2)</f>
        <v>0</v>
      </c>
      <c r="AD128" s="22" t="n">
        <f aca="false">AG127*(1+H$7)</f>
        <v>0</v>
      </c>
      <c r="AE128" s="22" t="n">
        <f aca="false">MIN(AD128,H$8)</f>
        <v>0</v>
      </c>
      <c r="AF128" s="22" t="n">
        <f aca="false">MAX(0,MIN(AD128-AE128,$C128-(P128+T128+X128+AB128)))</f>
        <v>0</v>
      </c>
      <c r="AG128" s="22" t="n">
        <f aca="false">ROUND(AD128-AE128-AF128,2)</f>
        <v>0</v>
      </c>
      <c r="AH128" s="22" t="n">
        <f aca="false">AK127*(1+I$7)</f>
        <v>0</v>
      </c>
      <c r="AI128" s="22" t="n">
        <f aca="false">MIN(AH128,I$8)</f>
        <v>0</v>
      </c>
      <c r="AJ128" s="22" t="n">
        <f aca="false">MAX(0,MIN(AH128-AI128,$C128-(P128+T128+X128+AB128+AF128)))</f>
        <v>0</v>
      </c>
      <c r="AK128" s="22" t="n">
        <f aca="false">ROUND(AH128-AI128-AJ128,2)</f>
        <v>0</v>
      </c>
      <c r="AL128" s="22" t="n">
        <f aca="false">AO127*(1+J$7)</f>
        <v>0</v>
      </c>
      <c r="AM128" s="22" t="n">
        <f aca="false">MIN(AL128,J$8)</f>
        <v>0</v>
      </c>
      <c r="AN128" s="22" t="n">
        <f aca="false">MAX(0,MIN(AL128-AM128,$C128-(P128+T128+X128+AB128+AF128+AJ128)))</f>
        <v>0</v>
      </c>
      <c r="AO128" s="22" t="n">
        <f aca="false">ROUND(AL128-AM128-AN128,2)</f>
        <v>0</v>
      </c>
      <c r="AP128" s="22" t="n">
        <f aca="false">AS127*(1+K$7)</f>
        <v>0</v>
      </c>
      <c r="AQ128" s="22" t="n">
        <f aca="false">MIN(AP128,K$8)</f>
        <v>0</v>
      </c>
      <c r="AR128" s="22" t="n">
        <f aca="false">MAX(0,MIN(AP128-AQ128,$C128-(P128+T128+X128+AB128+AF128+AJ128+AN128)))</f>
        <v>0</v>
      </c>
      <c r="AS128" s="22" t="n">
        <f aca="false">ROUND(AP128-AQ128-AR128,2)</f>
        <v>0</v>
      </c>
      <c r="AT128" s="22" t="n">
        <f aca="false">AW127*(1+L$7)</f>
        <v>0</v>
      </c>
      <c r="AU128" s="22" t="n">
        <f aca="false">MIN(AT128,L$8)</f>
        <v>0</v>
      </c>
      <c r="AV128" s="22" t="n">
        <f aca="false">MAX(0,MIN(AT128-AU128,$C128-(P128+T128+X128+AB128+AF128+AJ128+AN128+AR128)))</f>
        <v>0</v>
      </c>
      <c r="AW128" s="22" t="n">
        <f aca="false">ROUND(AT128-AU128-AV128,2)</f>
        <v>0</v>
      </c>
      <c r="AX128" s="22" t="n">
        <f aca="false">BA127*(1+M$7)</f>
        <v>0</v>
      </c>
      <c r="AY128" s="22" t="n">
        <f aca="false">MIN(AX128,M$8)</f>
        <v>0</v>
      </c>
      <c r="AZ128" s="22" t="n">
        <f aca="false">MAX(0,MIN(AX128-AY128,$C128-(P128+T128+X128+AB128+AF128+AJ128+AN128+AR128+AV128)))</f>
        <v>0</v>
      </c>
      <c r="BA128" s="22" t="n">
        <f aca="false">ROUND(AX128-AY128-AZ128,2)</f>
        <v>0</v>
      </c>
    </row>
    <row r="129" customFormat="false" ht="15" hidden="false" customHeight="false" outlineLevel="0" collapsed="false">
      <c r="A129" s="0" t="n">
        <v>119</v>
      </c>
      <c r="B129" s="39" t="n">
        <f aca="false">EDATE(Borçlar!$K$7,118)</f>
        <v>49888</v>
      </c>
      <c r="C129" s="36" t="n">
        <f aca="false">MAX(0,SUM(Borçlar!$D$5:$D$14)-(O129+S129+W129+AA129+AE129+AI129+AM129+AQ129+AU129+AY129))</f>
        <v>14000</v>
      </c>
      <c r="D129" s="36" t="n">
        <f aca="false">O129+P129+S129+T129+W129+X129+AA129+AB129+AE129+AF129+AI129+AJ129+AM129+AN129+AQ129+AR129+AU129+AV129+AY129+AZ129</f>
        <v>0</v>
      </c>
      <c r="E129" s="36" t="n">
        <f aca="false">(N129+R129+V129+Z129+AD129+AH129+AL129+AP129+AT129+AX129)-(F128)</f>
        <v>0</v>
      </c>
      <c r="F129" s="36" t="n">
        <f aca="false">Q129+U129+Y129+AC129+AG129+AK129+AO129+AS129+AW129+BA129</f>
        <v>0</v>
      </c>
      <c r="N129" s="22" t="n">
        <f aca="false">Q128*(1+D$7)</f>
        <v>0</v>
      </c>
      <c r="O129" s="22" t="n">
        <f aca="false">MIN(N129,D$8)</f>
        <v>0</v>
      </c>
      <c r="P129" s="22" t="n">
        <f aca="false">MAX(0,MIN(N129-O129,$C129-(0)))</f>
        <v>0</v>
      </c>
      <c r="Q129" s="22" t="n">
        <f aca="false">ROUND(N129-O129-P129,2)</f>
        <v>0</v>
      </c>
      <c r="R129" s="22" t="n">
        <f aca="false">U128*(1+E$7)</f>
        <v>0</v>
      </c>
      <c r="S129" s="22" t="n">
        <f aca="false">MIN(R129,E$8)</f>
        <v>0</v>
      </c>
      <c r="T129" s="22" t="n">
        <f aca="false">MAX(0,MIN(R129-S129,$C129-(P129)))</f>
        <v>0</v>
      </c>
      <c r="U129" s="22" t="n">
        <f aca="false">ROUND(R129-S129-T129,2)</f>
        <v>0</v>
      </c>
      <c r="V129" s="22" t="n">
        <f aca="false">Y128*(1+F$7)</f>
        <v>0</v>
      </c>
      <c r="W129" s="22" t="n">
        <f aca="false">MIN(V129,F$8)</f>
        <v>0</v>
      </c>
      <c r="X129" s="22" t="n">
        <f aca="false">MAX(0,MIN(V129-W129,$C129-(P129+T129)))</f>
        <v>0</v>
      </c>
      <c r="Y129" s="22" t="n">
        <f aca="false">ROUND(V129-W129-X129,2)</f>
        <v>0</v>
      </c>
      <c r="Z129" s="22" t="n">
        <f aca="false">AC128*(1+G$7)</f>
        <v>0</v>
      </c>
      <c r="AA129" s="22" t="n">
        <f aca="false">MIN(Z129,G$8)</f>
        <v>0</v>
      </c>
      <c r="AB129" s="22" t="n">
        <f aca="false">MAX(0,MIN(Z129-AA129,$C129-(P129+T129+X129)))</f>
        <v>0</v>
      </c>
      <c r="AC129" s="22" t="n">
        <f aca="false">ROUND(Z129-AA129-AB129,2)</f>
        <v>0</v>
      </c>
      <c r="AD129" s="22" t="n">
        <f aca="false">AG128*(1+H$7)</f>
        <v>0</v>
      </c>
      <c r="AE129" s="22" t="n">
        <f aca="false">MIN(AD129,H$8)</f>
        <v>0</v>
      </c>
      <c r="AF129" s="22" t="n">
        <f aca="false">MAX(0,MIN(AD129-AE129,$C129-(P129+T129+X129+AB129)))</f>
        <v>0</v>
      </c>
      <c r="AG129" s="22" t="n">
        <f aca="false">ROUND(AD129-AE129-AF129,2)</f>
        <v>0</v>
      </c>
      <c r="AH129" s="22" t="n">
        <f aca="false">AK128*(1+I$7)</f>
        <v>0</v>
      </c>
      <c r="AI129" s="22" t="n">
        <f aca="false">MIN(AH129,I$8)</f>
        <v>0</v>
      </c>
      <c r="AJ129" s="22" t="n">
        <f aca="false">MAX(0,MIN(AH129-AI129,$C129-(P129+T129+X129+AB129+AF129)))</f>
        <v>0</v>
      </c>
      <c r="AK129" s="22" t="n">
        <f aca="false">ROUND(AH129-AI129-AJ129,2)</f>
        <v>0</v>
      </c>
      <c r="AL129" s="22" t="n">
        <f aca="false">AO128*(1+J$7)</f>
        <v>0</v>
      </c>
      <c r="AM129" s="22" t="n">
        <f aca="false">MIN(AL129,J$8)</f>
        <v>0</v>
      </c>
      <c r="AN129" s="22" t="n">
        <f aca="false">MAX(0,MIN(AL129-AM129,$C129-(P129+T129+X129+AB129+AF129+AJ129)))</f>
        <v>0</v>
      </c>
      <c r="AO129" s="22" t="n">
        <f aca="false">ROUND(AL129-AM129-AN129,2)</f>
        <v>0</v>
      </c>
      <c r="AP129" s="22" t="n">
        <f aca="false">AS128*(1+K$7)</f>
        <v>0</v>
      </c>
      <c r="AQ129" s="22" t="n">
        <f aca="false">MIN(AP129,K$8)</f>
        <v>0</v>
      </c>
      <c r="AR129" s="22" t="n">
        <f aca="false">MAX(0,MIN(AP129-AQ129,$C129-(P129+T129+X129+AB129+AF129+AJ129+AN129)))</f>
        <v>0</v>
      </c>
      <c r="AS129" s="22" t="n">
        <f aca="false">ROUND(AP129-AQ129-AR129,2)</f>
        <v>0</v>
      </c>
      <c r="AT129" s="22" t="n">
        <f aca="false">AW128*(1+L$7)</f>
        <v>0</v>
      </c>
      <c r="AU129" s="22" t="n">
        <f aca="false">MIN(AT129,L$8)</f>
        <v>0</v>
      </c>
      <c r="AV129" s="22" t="n">
        <f aca="false">MAX(0,MIN(AT129-AU129,$C129-(P129+T129+X129+AB129+AF129+AJ129+AN129+AR129)))</f>
        <v>0</v>
      </c>
      <c r="AW129" s="22" t="n">
        <f aca="false">ROUND(AT129-AU129-AV129,2)</f>
        <v>0</v>
      </c>
      <c r="AX129" s="22" t="n">
        <f aca="false">BA128*(1+M$7)</f>
        <v>0</v>
      </c>
      <c r="AY129" s="22" t="n">
        <f aca="false">MIN(AX129,M$8)</f>
        <v>0</v>
      </c>
      <c r="AZ129" s="22" t="n">
        <f aca="false">MAX(0,MIN(AX129-AY129,$C129-(P129+T129+X129+AB129+AF129+AJ129+AN129+AR129+AV129)))</f>
        <v>0</v>
      </c>
      <c r="BA129" s="22" t="n">
        <f aca="false">ROUND(AX129-AY129-AZ129,2)</f>
        <v>0</v>
      </c>
    </row>
    <row r="130" customFormat="false" ht="15" hidden="false" customHeight="false" outlineLevel="0" collapsed="false">
      <c r="A130" s="0" t="n">
        <v>120</v>
      </c>
      <c r="B130" s="39" t="n">
        <f aca="false">EDATE(Borçlar!$K$7,119)</f>
        <v>49919</v>
      </c>
      <c r="C130" s="36" t="n">
        <f aca="false">MAX(0,SUM(Borçlar!$D$5:$D$14)-(O130+S130+W130+AA130+AE130+AI130+AM130+AQ130+AU130+AY130))</f>
        <v>14000</v>
      </c>
      <c r="D130" s="36" t="n">
        <f aca="false">O130+P130+S130+T130+W130+X130+AA130+AB130+AE130+AF130+AI130+AJ130+AM130+AN130+AQ130+AR130+AU130+AV130+AY130+AZ130</f>
        <v>0</v>
      </c>
      <c r="E130" s="36" t="n">
        <f aca="false">(N130+R130+V130+Z130+AD130+AH130+AL130+AP130+AT130+AX130)-(F129)</f>
        <v>0</v>
      </c>
      <c r="F130" s="36" t="n">
        <f aca="false">Q130+U130+Y130+AC130+AG130+AK130+AO130+AS130+AW130+BA130</f>
        <v>0</v>
      </c>
      <c r="N130" s="22" t="n">
        <f aca="false">Q129*(1+D$7)</f>
        <v>0</v>
      </c>
      <c r="O130" s="22" t="n">
        <f aca="false">MIN(N130,D$8)</f>
        <v>0</v>
      </c>
      <c r="P130" s="22" t="n">
        <f aca="false">MAX(0,MIN(N130-O130,$C130-(0)))</f>
        <v>0</v>
      </c>
      <c r="Q130" s="22" t="n">
        <f aca="false">ROUND(N130-O130-P130,2)</f>
        <v>0</v>
      </c>
      <c r="R130" s="22" t="n">
        <f aca="false">U129*(1+E$7)</f>
        <v>0</v>
      </c>
      <c r="S130" s="22" t="n">
        <f aca="false">MIN(R130,E$8)</f>
        <v>0</v>
      </c>
      <c r="T130" s="22" t="n">
        <f aca="false">MAX(0,MIN(R130-S130,$C130-(P130)))</f>
        <v>0</v>
      </c>
      <c r="U130" s="22" t="n">
        <f aca="false">ROUND(R130-S130-T130,2)</f>
        <v>0</v>
      </c>
      <c r="V130" s="22" t="n">
        <f aca="false">Y129*(1+F$7)</f>
        <v>0</v>
      </c>
      <c r="W130" s="22" t="n">
        <f aca="false">MIN(V130,F$8)</f>
        <v>0</v>
      </c>
      <c r="X130" s="22" t="n">
        <f aca="false">MAX(0,MIN(V130-W130,$C130-(P130+T130)))</f>
        <v>0</v>
      </c>
      <c r="Y130" s="22" t="n">
        <f aca="false">ROUND(V130-W130-X130,2)</f>
        <v>0</v>
      </c>
      <c r="Z130" s="22" t="n">
        <f aca="false">AC129*(1+G$7)</f>
        <v>0</v>
      </c>
      <c r="AA130" s="22" t="n">
        <f aca="false">MIN(Z130,G$8)</f>
        <v>0</v>
      </c>
      <c r="AB130" s="22" t="n">
        <f aca="false">MAX(0,MIN(Z130-AA130,$C130-(P130+T130+X130)))</f>
        <v>0</v>
      </c>
      <c r="AC130" s="22" t="n">
        <f aca="false">ROUND(Z130-AA130-AB130,2)</f>
        <v>0</v>
      </c>
      <c r="AD130" s="22" t="n">
        <f aca="false">AG129*(1+H$7)</f>
        <v>0</v>
      </c>
      <c r="AE130" s="22" t="n">
        <f aca="false">MIN(AD130,H$8)</f>
        <v>0</v>
      </c>
      <c r="AF130" s="22" t="n">
        <f aca="false">MAX(0,MIN(AD130-AE130,$C130-(P130+T130+X130+AB130)))</f>
        <v>0</v>
      </c>
      <c r="AG130" s="22" t="n">
        <f aca="false">ROUND(AD130-AE130-AF130,2)</f>
        <v>0</v>
      </c>
      <c r="AH130" s="22" t="n">
        <f aca="false">AK129*(1+I$7)</f>
        <v>0</v>
      </c>
      <c r="AI130" s="22" t="n">
        <f aca="false">MIN(AH130,I$8)</f>
        <v>0</v>
      </c>
      <c r="AJ130" s="22" t="n">
        <f aca="false">MAX(0,MIN(AH130-AI130,$C130-(P130+T130+X130+AB130+AF130)))</f>
        <v>0</v>
      </c>
      <c r="AK130" s="22" t="n">
        <f aca="false">ROUND(AH130-AI130-AJ130,2)</f>
        <v>0</v>
      </c>
      <c r="AL130" s="22" t="n">
        <f aca="false">AO129*(1+J$7)</f>
        <v>0</v>
      </c>
      <c r="AM130" s="22" t="n">
        <f aca="false">MIN(AL130,J$8)</f>
        <v>0</v>
      </c>
      <c r="AN130" s="22" t="n">
        <f aca="false">MAX(0,MIN(AL130-AM130,$C130-(P130+T130+X130+AB130+AF130+AJ130)))</f>
        <v>0</v>
      </c>
      <c r="AO130" s="22" t="n">
        <f aca="false">ROUND(AL130-AM130-AN130,2)</f>
        <v>0</v>
      </c>
      <c r="AP130" s="22" t="n">
        <f aca="false">AS129*(1+K$7)</f>
        <v>0</v>
      </c>
      <c r="AQ130" s="22" t="n">
        <f aca="false">MIN(AP130,K$8)</f>
        <v>0</v>
      </c>
      <c r="AR130" s="22" t="n">
        <f aca="false">MAX(0,MIN(AP130-AQ130,$C130-(P130+T130+X130+AB130+AF130+AJ130+AN130)))</f>
        <v>0</v>
      </c>
      <c r="AS130" s="22" t="n">
        <f aca="false">ROUND(AP130-AQ130-AR130,2)</f>
        <v>0</v>
      </c>
      <c r="AT130" s="22" t="n">
        <f aca="false">AW129*(1+L$7)</f>
        <v>0</v>
      </c>
      <c r="AU130" s="22" t="n">
        <f aca="false">MIN(AT130,L$8)</f>
        <v>0</v>
      </c>
      <c r="AV130" s="22" t="n">
        <f aca="false">MAX(0,MIN(AT130-AU130,$C130-(P130+T130+X130+AB130+AF130+AJ130+AN130+AR130)))</f>
        <v>0</v>
      </c>
      <c r="AW130" s="22" t="n">
        <f aca="false">ROUND(AT130-AU130-AV130,2)</f>
        <v>0</v>
      </c>
      <c r="AX130" s="22" t="n">
        <f aca="false">BA129*(1+M$7)</f>
        <v>0</v>
      </c>
      <c r="AY130" s="22" t="n">
        <f aca="false">MIN(AX130,M$8)</f>
        <v>0</v>
      </c>
      <c r="AZ130" s="22" t="n">
        <f aca="false">MAX(0,MIN(AX130-AY130,$C130-(P130+T130+X130+AB130+AF130+AJ130+AN130+AR130+AV130)))</f>
        <v>0</v>
      </c>
      <c r="BA130" s="22" t="n">
        <f aca="false">ROUND(AX130-AY130-AZ130,2)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81</v>
      </c>
    </row>
    <row r="2" customFormat="false" ht="30" hidden="false" customHeight="true" outlineLevel="0" collapsed="false">
      <c r="B2" s="40" t="s">
        <v>82</v>
      </c>
      <c r="C2" s="40"/>
    </row>
    <row r="3" customFormat="false" ht="31.5" hidden="false" customHeight="true" outlineLevel="0" collapsed="false">
      <c r="B3" s="41" t="s">
        <v>83</v>
      </c>
      <c r="C3" s="41"/>
    </row>
    <row r="5" customFormat="false" ht="15" hidden="false" customHeight="false" outlineLevel="0" collapsed="false">
      <c r="B5" s="42" t="s">
        <v>84</v>
      </c>
      <c r="C5" s="42" t="s">
        <v>85</v>
      </c>
    </row>
    <row r="6" customFormat="false" ht="31.5" hidden="false" customHeight="true" outlineLevel="0" collapsed="false">
      <c r="B6" s="43" t="s">
        <v>86</v>
      </c>
      <c r="C6" s="44" t="s">
        <v>87</v>
      </c>
    </row>
    <row r="7" customFormat="false" ht="31.5" hidden="false" customHeight="true" outlineLevel="0" collapsed="false">
      <c r="B7" s="45" t="s">
        <v>88</v>
      </c>
      <c r="C7" s="46" t="s">
        <v>89</v>
      </c>
    </row>
    <row r="8" customFormat="false" ht="31.5" hidden="false" customHeight="true" outlineLevel="0" collapsed="false">
      <c r="B8" s="43" t="s">
        <v>90</v>
      </c>
      <c r="C8" s="44" t="s">
        <v>91</v>
      </c>
    </row>
    <row r="9" customFormat="false" ht="31.5" hidden="false" customHeight="true" outlineLevel="0" collapsed="false">
      <c r="B9" s="45" t="s">
        <v>92</v>
      </c>
      <c r="C9" s="46" t="s">
        <v>93</v>
      </c>
    </row>
    <row r="10" customFormat="false" ht="31.5" hidden="false" customHeight="true" outlineLevel="0" collapsed="false">
      <c r="B10" s="43" t="s">
        <v>94</v>
      </c>
      <c r="C10" s="44" t="s">
        <v>95</v>
      </c>
    </row>
    <row r="11" customFormat="false" ht="31.5" hidden="false" customHeight="true" outlineLevel="0" collapsed="false">
      <c r="B11" s="45" t="s">
        <v>96</v>
      </c>
      <c r="C11" s="46" t="s">
        <v>97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